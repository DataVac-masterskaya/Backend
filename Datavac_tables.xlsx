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gasuaska\Dev\Backend\"/>
    </mc:Choice>
  </mc:AlternateContent>
  <xr:revisionPtr revIDLastSave="0" documentId="13_ncr:1_{86CDE825-D4F4-436A-976B-B97E10F74C93}" xr6:coauthVersionLast="47" xr6:coauthVersionMax="47" xr10:uidLastSave="{00000000-0000-0000-0000-000000000000}"/>
  <bookViews>
    <workbookView xWindow="-108" yWindow="-108" windowWidth="23256" windowHeight="12456" firstSheet="1" activeTab="1" xr2:uid="{00000000-000D-0000-FFFF-FFFF00000000}"/>
  </bookViews>
  <sheets>
    <sheet name="legacy_hidden_sheet_1" sheetId="1" r:id="rId1"/>
    <sheet name="vaccines" sheetId="2" r:id="rId2"/>
    <sheet name="ingredients_text" sheetId="19" r:id="rId3"/>
    <sheet name="pregnancy_BF_text" sheetId="20" r:id="rId4"/>
    <sheet name="interaction_text" sheetId="21" r:id="rId5"/>
    <sheet name="simult_administration_text" sheetId="22" r:id="rId6"/>
    <sheet name="storage_text" sheetId="23" r:id="rId7"/>
    <sheet name="ages_text" sheetId="3" r:id="rId8"/>
    <sheet name="contraindications_text" sheetId="4" r:id="rId9"/>
    <sheet name="routes_of_administration_text" sheetId="5" r:id="rId10"/>
    <sheet name="legacy_hidden_sheet_2" sheetId="6" state="hidden" r:id="rId11"/>
    <sheet name="vaccines_routes_of_administrati" sheetId="7" r:id="rId12"/>
    <sheet name="routes_of_administration_list" sheetId="8" r:id="rId13"/>
    <sheet name="ages_from_list" sheetId="9" r:id="rId14"/>
    <sheet name="ages_through_list" sheetId="10" r:id="rId15"/>
    <sheet name="vaccines_ages" sheetId="11" r:id="rId16"/>
    <sheet name="infections_list" sheetId="12" r:id="rId17"/>
    <sheet name="vaccines_infections" sheetId="13" r:id="rId18"/>
    <sheet name="contraindications_list" sheetId="14" r:id="rId19"/>
    <sheet name="vaccines_contraindications" sheetId="15" r:id="rId20"/>
    <sheet name="legacy_hidden_sheet_5" sheetId="16" state="hidden" r:id="rId21"/>
    <sheet name="legacy_hidden_sheet_4" sheetId="17" state="hidden" r:id="rId22"/>
    <sheet name="legacy_hidden_sheet_3" sheetId="18" state="hidden" r:id="rId23"/>
  </sheets>
  <externalReferences>
    <externalReference r:id="rId24"/>
  </externalReferences>
  <definedNames>
    <definedName name="_xlnm._FilterDatabase" localSheetId="15" hidden="1">vaccines_ages!$A$1:$Z$997</definedName>
    <definedName name="Z_3347BB5D_8AF0_45D9_BFC8_FD260B52EDAD_.wvu.FilterData" localSheetId="19" hidden="1">vaccines_contraindications!$A$1:$F$912</definedName>
  </definedNames>
  <calcPr calcId="191029"/>
  <customWorkbookViews>
    <customWorkbookView name="contraindication_ID 8" guid="{3347BB5D-8AF0-45D9-BFC8-FD260B52EDA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5" i="23" l="1"/>
  <c r="I106" i="23" s="1"/>
  <c r="I99" i="23"/>
  <c r="I100" i="23" s="1"/>
  <c r="I101" i="23" s="1"/>
  <c r="I97" i="23"/>
  <c r="I95" i="23"/>
  <c r="I93" i="23"/>
  <c r="I91" i="23"/>
  <c r="I89" i="23"/>
  <c r="I87" i="23"/>
  <c r="I82" i="23"/>
  <c r="I76" i="23"/>
  <c r="I70" i="23"/>
  <c r="I71" i="23" s="1"/>
  <c r="I72" i="23" s="1"/>
  <c r="I73" i="23" s="1"/>
  <c r="I74" i="23" s="1"/>
  <c r="I69" i="23"/>
  <c r="I65" i="23"/>
  <c r="I63" i="23"/>
  <c r="I57" i="23"/>
  <c r="I58" i="23" s="1"/>
  <c r="I59" i="23" s="1"/>
  <c r="I55" i="23"/>
  <c r="I52" i="23"/>
  <c r="I51" i="23"/>
  <c r="I46" i="23"/>
  <c r="I47" i="23" s="1"/>
  <c r="I43" i="23"/>
  <c r="I44" i="23" s="1"/>
  <c r="I42" i="23"/>
  <c r="I40" i="23"/>
  <c r="I38" i="23"/>
  <c r="I36" i="23"/>
  <c r="I28" i="23"/>
  <c r="I24" i="23"/>
  <c r="I25" i="23" s="1"/>
  <c r="I19" i="23"/>
  <c r="I18" i="23"/>
  <c r="I14" i="23"/>
  <c r="I15" i="23" s="1"/>
  <c r="I13" i="23"/>
  <c r="I11" i="23"/>
  <c r="I10" i="23"/>
  <c r="I5" i="23"/>
  <c r="I105" i="22"/>
  <c r="I106" i="22" s="1"/>
  <c r="I99" i="22"/>
  <c r="I100" i="22" s="1"/>
  <c r="I101" i="22" s="1"/>
  <c r="I97" i="22"/>
  <c r="I95" i="22"/>
  <c r="I93" i="22"/>
  <c r="I91" i="22"/>
  <c r="I89" i="22"/>
  <c r="I87" i="22"/>
  <c r="I82" i="22"/>
  <c r="I76" i="22"/>
  <c r="I70" i="22"/>
  <c r="I71" i="22" s="1"/>
  <c r="I72" i="22" s="1"/>
  <c r="I73" i="22" s="1"/>
  <c r="I74" i="22" s="1"/>
  <c r="I69" i="22"/>
  <c r="I65" i="22"/>
  <c r="I63" i="22"/>
  <c r="I57" i="22"/>
  <c r="I58" i="22" s="1"/>
  <c r="I59" i="22" s="1"/>
  <c r="I55" i="22"/>
  <c r="I52" i="22"/>
  <c r="I51" i="22"/>
  <c r="I46" i="22"/>
  <c r="I47" i="22" s="1"/>
  <c r="I43" i="22"/>
  <c r="I44" i="22" s="1"/>
  <c r="I42" i="22"/>
  <c r="I40" i="22"/>
  <c r="I38" i="22"/>
  <c r="I36" i="22"/>
  <c r="I28" i="22"/>
  <c r="I24" i="22"/>
  <c r="I25" i="22" s="1"/>
  <c r="I19" i="22"/>
  <c r="I14" i="22"/>
  <c r="I15" i="22" s="1"/>
  <c r="I13" i="22"/>
  <c r="I10" i="22"/>
  <c r="I11" i="22" s="1"/>
  <c r="I5" i="22"/>
  <c r="I105" i="21"/>
  <c r="I106" i="21" s="1"/>
  <c r="I99" i="21"/>
  <c r="I100" i="21" s="1"/>
  <c r="I101" i="21" s="1"/>
  <c r="I97" i="21"/>
  <c r="I95" i="21"/>
  <c r="I93" i="21"/>
  <c r="I91" i="21"/>
  <c r="I89" i="21"/>
  <c r="I87" i="21"/>
  <c r="I82" i="21"/>
  <c r="I76" i="21"/>
  <c r="I71" i="21"/>
  <c r="I72" i="21" s="1"/>
  <c r="I73" i="21" s="1"/>
  <c r="I74" i="21" s="1"/>
  <c r="I70" i="21"/>
  <c r="I69" i="21"/>
  <c r="I65" i="21"/>
  <c r="I63" i="21"/>
  <c r="I57" i="21"/>
  <c r="I58" i="21" s="1"/>
  <c r="I59" i="21" s="1"/>
  <c r="I55" i="21"/>
  <c r="I52" i="21"/>
  <c r="I51" i="21"/>
  <c r="I46" i="21"/>
  <c r="I47" i="21" s="1"/>
  <c r="I43" i="21"/>
  <c r="I44" i="21" s="1"/>
  <c r="I42" i="21"/>
  <c r="I40" i="21"/>
  <c r="I38" i="21"/>
  <c r="I36" i="21"/>
  <c r="I28" i="21"/>
  <c r="I24" i="21"/>
  <c r="I25" i="21" s="1"/>
  <c r="I19" i="21"/>
  <c r="I14" i="21"/>
  <c r="I15" i="21" s="1"/>
  <c r="I13" i="21"/>
  <c r="I10" i="21"/>
  <c r="I11" i="21" s="1"/>
  <c r="I5" i="21"/>
  <c r="I105" i="20"/>
  <c r="I106" i="20" s="1"/>
  <c r="I99" i="20"/>
  <c r="I100" i="20" s="1"/>
  <c r="I101" i="20" s="1"/>
  <c r="I97" i="20"/>
  <c r="I95" i="20"/>
  <c r="I93" i="20"/>
  <c r="I91" i="20"/>
  <c r="I89" i="20"/>
  <c r="I87" i="20"/>
  <c r="I82" i="20"/>
  <c r="I76" i="20"/>
  <c r="I70" i="20"/>
  <c r="I71" i="20" s="1"/>
  <c r="I72" i="20" s="1"/>
  <c r="I73" i="20" s="1"/>
  <c r="I74" i="20" s="1"/>
  <c r="I69" i="20"/>
  <c r="I65" i="20"/>
  <c r="I63" i="20"/>
  <c r="I57" i="20"/>
  <c r="I58" i="20" s="1"/>
  <c r="I59" i="20" s="1"/>
  <c r="I55" i="20"/>
  <c r="I52" i="20"/>
  <c r="I51" i="20"/>
  <c r="I46" i="20"/>
  <c r="I47" i="20" s="1"/>
  <c r="I43" i="20"/>
  <c r="I44" i="20" s="1"/>
  <c r="I42" i="20"/>
  <c r="I40" i="20"/>
  <c r="I38" i="20"/>
  <c r="I36" i="20"/>
  <c r="I28" i="20"/>
  <c r="I25" i="20"/>
  <c r="I24" i="20"/>
  <c r="I19" i="20"/>
  <c r="I14" i="20"/>
  <c r="I15" i="20" s="1"/>
  <c r="I13" i="20"/>
  <c r="I11" i="20"/>
  <c r="I10" i="20"/>
  <c r="I5" i="20"/>
  <c r="I106" i="19"/>
  <c r="I105" i="19"/>
  <c r="I100" i="19"/>
  <c r="I101" i="19" s="1"/>
  <c r="I99" i="19"/>
  <c r="I97" i="19"/>
  <c r="I95" i="19"/>
  <c r="I93" i="19"/>
  <c r="I91" i="19"/>
  <c r="I89" i="19"/>
  <c r="I87" i="19"/>
  <c r="I82" i="19"/>
  <c r="I76" i="19"/>
  <c r="I70" i="19"/>
  <c r="I71" i="19" s="1"/>
  <c r="I72" i="19" s="1"/>
  <c r="I73" i="19" s="1"/>
  <c r="I74" i="19" s="1"/>
  <c r="I69" i="19"/>
  <c r="I65" i="19"/>
  <c r="I63" i="19"/>
  <c r="I58" i="19"/>
  <c r="I59" i="19" s="1"/>
  <c r="I57" i="19"/>
  <c r="I55" i="19"/>
  <c r="I52" i="19"/>
  <c r="I51" i="19"/>
  <c r="I50" i="19"/>
  <c r="I49" i="19"/>
  <c r="I46" i="19"/>
  <c r="I47" i="19" s="1"/>
  <c r="I44" i="19"/>
  <c r="I42" i="19"/>
  <c r="I40" i="19"/>
  <c r="I38" i="19"/>
  <c r="I36" i="19"/>
  <c r="I28" i="19"/>
  <c r="I24" i="19"/>
  <c r="I25" i="19" s="1"/>
  <c r="I19" i="19"/>
  <c r="I14" i="19"/>
  <c r="I15" i="19" s="1"/>
  <c r="I13" i="19"/>
  <c r="I10" i="19"/>
  <c r="I11" i="19" s="1"/>
  <c r="I5" i="19"/>
  <c r="B1349" i="15"/>
  <c r="D1348" i="15"/>
  <c r="B1348" i="15"/>
  <c r="D1347" i="15"/>
  <c r="B1347" i="15"/>
  <c r="D1346" i="15"/>
  <c r="B1346" i="15"/>
  <c r="D1345" i="15"/>
  <c r="B1345" i="15"/>
  <c r="D1344" i="15"/>
  <c r="B1344" i="15"/>
  <c r="D1343" i="15"/>
  <c r="B1343" i="15"/>
  <c r="D1342" i="15"/>
  <c r="B1342" i="15"/>
  <c r="D1341" i="15"/>
  <c r="B1341" i="15"/>
  <c r="D1340" i="15"/>
  <c r="B1340" i="15"/>
  <c r="B1339" i="15"/>
  <c r="D1338" i="15"/>
  <c r="B1338" i="15"/>
  <c r="B1337" i="15"/>
  <c r="D1336" i="15"/>
  <c r="B1336" i="15"/>
  <c r="D1335" i="15"/>
  <c r="B1335" i="15"/>
  <c r="B1334" i="15"/>
  <c r="D1333" i="15"/>
  <c r="B1333" i="15"/>
  <c r="D1332" i="15"/>
  <c r="B1332" i="15"/>
  <c r="D1331" i="15"/>
  <c r="B1331" i="15"/>
  <c r="D1330" i="15"/>
  <c r="B1330" i="15"/>
  <c r="D1329" i="15"/>
  <c r="B1329" i="15"/>
  <c r="D1328" i="15"/>
  <c r="B1328" i="15"/>
  <c r="D1327" i="15"/>
  <c r="B1327" i="15"/>
  <c r="D1326" i="15"/>
  <c r="B1326" i="15"/>
  <c r="D1325" i="15"/>
  <c r="B1325" i="15"/>
  <c r="D1324" i="15"/>
  <c r="B1324" i="15"/>
  <c r="D1323" i="15"/>
  <c r="B1323" i="15"/>
  <c r="D1322" i="15"/>
  <c r="B1322" i="15"/>
  <c r="D1321" i="15"/>
  <c r="B1321" i="15"/>
  <c r="D1320" i="15"/>
  <c r="B1320" i="15"/>
  <c r="D1319" i="15"/>
  <c r="B1319" i="15"/>
  <c r="B1318" i="15"/>
  <c r="D1317" i="15"/>
  <c r="B1317" i="15"/>
  <c r="D1316" i="15"/>
  <c r="B1316" i="15"/>
  <c r="D1315" i="15"/>
  <c r="B1315" i="15"/>
  <c r="D1314" i="15"/>
  <c r="B1314" i="15"/>
  <c r="D1313" i="15"/>
  <c r="B1313" i="15"/>
  <c r="B1312" i="15"/>
  <c r="D1311" i="15"/>
  <c r="B1311" i="15"/>
  <c r="D1310" i="15"/>
  <c r="B1310" i="15"/>
  <c r="D1309" i="15"/>
  <c r="B1309" i="15"/>
  <c r="D1308" i="15"/>
  <c r="B1308" i="15"/>
  <c r="D1307" i="15"/>
  <c r="B1307" i="15"/>
  <c r="D1306" i="15"/>
  <c r="B1306" i="15"/>
  <c r="D1305" i="15"/>
  <c r="B1305" i="15"/>
  <c r="D1304" i="15"/>
  <c r="B1304" i="15"/>
  <c r="D1303" i="15"/>
  <c r="B1303" i="15"/>
  <c r="D1302" i="15"/>
  <c r="B1302" i="15"/>
  <c r="D1301" i="15"/>
  <c r="B1301" i="15"/>
  <c r="B1300" i="15"/>
  <c r="D1299" i="15"/>
  <c r="B1299" i="15"/>
  <c r="D1298" i="15"/>
  <c r="B1298" i="15"/>
  <c r="D1297" i="15"/>
  <c r="B1297" i="15"/>
  <c r="D1296" i="15"/>
  <c r="B1296" i="15"/>
  <c r="B1295" i="15"/>
  <c r="D1294" i="15"/>
  <c r="B1294" i="15"/>
  <c r="D1293" i="15"/>
  <c r="B1293" i="15"/>
  <c r="D1292" i="15"/>
  <c r="B1292" i="15"/>
  <c r="D1291" i="15"/>
  <c r="B1291" i="15"/>
  <c r="D1290" i="15"/>
  <c r="B1290" i="15"/>
  <c r="D1289" i="15"/>
  <c r="B1289" i="15"/>
  <c r="D1288" i="15"/>
  <c r="B1288" i="15"/>
  <c r="D1287" i="15"/>
  <c r="B1287" i="15"/>
  <c r="D1286" i="15"/>
  <c r="B1286" i="15"/>
  <c r="D1285" i="15"/>
  <c r="B1285" i="15"/>
  <c r="D1284" i="15"/>
  <c r="B1284" i="15"/>
  <c r="D1283" i="15"/>
  <c r="B1283" i="15"/>
  <c r="D1282" i="15"/>
  <c r="B1282" i="15"/>
  <c r="D1281" i="15"/>
  <c r="B1281" i="15"/>
  <c r="D1280" i="15"/>
  <c r="B1280" i="15"/>
  <c r="D1279" i="15"/>
  <c r="B1279" i="15"/>
  <c r="D1278" i="15"/>
  <c r="B1278" i="15"/>
  <c r="D1277" i="15"/>
  <c r="B1277" i="15"/>
  <c r="B1276" i="15"/>
  <c r="D1275" i="15"/>
  <c r="B1275" i="15"/>
  <c r="D1274" i="15"/>
  <c r="B1274" i="15"/>
  <c r="D1273" i="15"/>
  <c r="B1273" i="15"/>
  <c r="D1272" i="15"/>
  <c r="B1272" i="15"/>
  <c r="D1271" i="15"/>
  <c r="B1271" i="15"/>
  <c r="D1270" i="15"/>
  <c r="B1270" i="15"/>
  <c r="D1269" i="15"/>
  <c r="B1269" i="15"/>
  <c r="D1268" i="15"/>
  <c r="B1268" i="15"/>
  <c r="D1267" i="15"/>
  <c r="B1267" i="15"/>
  <c r="D1266" i="15"/>
  <c r="B1266" i="15"/>
  <c r="D1265" i="15"/>
  <c r="B1265" i="15"/>
  <c r="D1264" i="15"/>
  <c r="B1264" i="15"/>
  <c r="D1263" i="15"/>
  <c r="B1263" i="15"/>
  <c r="D1262" i="15"/>
  <c r="B1262" i="15"/>
  <c r="D1261" i="15"/>
  <c r="B1261" i="15"/>
  <c r="D1260" i="15"/>
  <c r="B1260" i="15"/>
  <c r="D1259" i="15"/>
  <c r="B1259" i="15"/>
  <c r="D1258" i="15"/>
  <c r="B1258" i="15"/>
  <c r="D1257" i="15"/>
  <c r="B1257" i="15"/>
  <c r="D1256" i="15"/>
  <c r="B1256" i="15"/>
  <c r="D1255" i="15"/>
  <c r="B1255" i="15"/>
  <c r="D1254" i="15"/>
  <c r="B1254" i="15"/>
  <c r="D1253" i="15"/>
  <c r="B1253" i="15"/>
  <c r="D1252" i="15"/>
  <c r="B1252" i="15"/>
  <c r="D1251" i="15"/>
  <c r="B1251" i="15"/>
  <c r="D1250" i="15"/>
  <c r="B1250" i="15"/>
  <c r="B1249" i="15"/>
  <c r="D1248" i="15"/>
  <c r="B1248" i="15"/>
  <c r="D1247" i="15"/>
  <c r="B1247" i="15"/>
  <c r="D1246" i="15"/>
  <c r="B1246" i="15"/>
  <c r="D1245" i="15"/>
  <c r="B1245" i="15"/>
  <c r="D1244" i="15"/>
  <c r="B1244" i="15"/>
  <c r="D1243" i="15"/>
  <c r="B1243" i="15"/>
  <c r="D1242" i="15"/>
  <c r="B1242" i="15"/>
  <c r="D1241" i="15"/>
  <c r="B1241" i="15"/>
  <c r="D1240" i="15"/>
  <c r="B1240" i="15"/>
  <c r="D1239" i="15"/>
  <c r="B1239" i="15"/>
  <c r="D1238" i="15"/>
  <c r="B1238" i="15"/>
  <c r="D1237" i="15"/>
  <c r="B1237" i="15"/>
  <c r="D1236" i="15"/>
  <c r="B1236" i="15"/>
  <c r="D1235" i="15"/>
  <c r="B1235" i="15"/>
  <c r="D1234" i="15"/>
  <c r="B1234" i="15"/>
  <c r="D1233" i="15"/>
  <c r="B1233" i="15"/>
  <c r="D1232" i="15"/>
  <c r="B1232" i="15"/>
  <c r="D1231" i="15"/>
  <c r="B1231" i="15"/>
  <c r="D1230" i="15"/>
  <c r="B1230" i="15"/>
  <c r="D1229" i="15"/>
  <c r="B1229" i="15"/>
  <c r="D1228" i="15"/>
  <c r="B1228" i="15"/>
  <c r="D1227" i="15"/>
  <c r="B1227" i="15"/>
  <c r="D1226" i="15"/>
  <c r="B1226" i="15"/>
  <c r="D1225" i="15"/>
  <c r="B1225" i="15"/>
  <c r="D1224" i="15"/>
  <c r="B1224" i="15"/>
  <c r="D1223" i="15"/>
  <c r="B1223" i="15"/>
  <c r="D1222" i="15"/>
  <c r="B1222" i="15"/>
  <c r="D1221" i="15"/>
  <c r="B1221" i="15"/>
  <c r="D1220" i="15"/>
  <c r="B1220" i="15"/>
  <c r="D1219" i="15"/>
  <c r="B1219" i="15"/>
  <c r="D1218" i="15"/>
  <c r="B1218" i="15"/>
  <c r="D1217" i="15"/>
  <c r="B1217" i="15"/>
  <c r="D1216" i="15"/>
  <c r="B1216" i="15"/>
  <c r="D1215" i="15"/>
  <c r="B1215" i="15"/>
  <c r="D1214" i="15"/>
  <c r="B1214" i="15"/>
  <c r="D1213" i="15"/>
  <c r="B1213" i="15"/>
  <c r="D1212" i="15"/>
  <c r="B1212" i="15"/>
  <c r="D1211" i="15"/>
  <c r="B1211" i="15"/>
  <c r="D1210" i="15"/>
  <c r="B1210" i="15"/>
  <c r="D1209" i="15"/>
  <c r="B1209" i="15"/>
  <c r="D1208" i="15"/>
  <c r="B1208" i="15"/>
  <c r="D1207" i="15"/>
  <c r="B1207" i="15"/>
  <c r="D1206" i="15"/>
  <c r="B1206" i="15"/>
  <c r="D1205" i="15"/>
  <c r="B1205" i="15"/>
  <c r="D1204" i="15"/>
  <c r="B1204" i="15"/>
  <c r="D1203" i="15"/>
  <c r="B1203" i="15"/>
  <c r="D1202" i="15"/>
  <c r="B1202" i="15"/>
  <c r="D1201" i="15"/>
  <c r="B1201" i="15"/>
  <c r="D1200" i="15"/>
  <c r="B1200" i="15"/>
  <c r="D1199" i="15"/>
  <c r="B1199" i="15"/>
  <c r="D1198" i="15"/>
  <c r="B1198" i="15"/>
  <c r="D1197" i="15"/>
  <c r="B1197" i="15"/>
  <c r="D1196" i="15"/>
  <c r="B1196" i="15"/>
  <c r="D1195" i="15"/>
  <c r="B1195" i="15"/>
  <c r="D1194" i="15"/>
  <c r="B1194" i="15"/>
  <c r="B1193" i="15"/>
  <c r="D1192" i="15"/>
  <c r="B1192" i="15"/>
  <c r="D1191" i="15"/>
  <c r="B1191" i="15"/>
  <c r="D1190" i="15"/>
  <c r="B1190" i="15"/>
  <c r="D1189" i="15"/>
  <c r="B1189" i="15"/>
  <c r="D1188" i="15"/>
  <c r="B1188" i="15"/>
  <c r="D1187" i="15"/>
  <c r="B1187" i="15"/>
  <c r="D1186" i="15"/>
  <c r="B1186" i="15"/>
  <c r="D1185" i="15"/>
  <c r="B1185" i="15"/>
  <c r="D1184" i="15"/>
  <c r="B1184" i="15"/>
  <c r="D1183" i="15"/>
  <c r="B1183" i="15"/>
  <c r="D1182" i="15"/>
  <c r="B1182" i="15"/>
  <c r="D1181" i="15"/>
  <c r="B1181" i="15"/>
  <c r="D1180" i="15"/>
  <c r="B1180" i="15"/>
  <c r="D1179" i="15"/>
  <c r="B1179" i="15"/>
  <c r="D1178" i="15"/>
  <c r="B1178" i="15"/>
  <c r="D1177" i="15"/>
  <c r="B1177" i="15"/>
  <c r="D1176" i="15"/>
  <c r="B1176" i="15"/>
  <c r="D1175" i="15"/>
  <c r="B1175" i="15"/>
  <c r="D1174" i="15"/>
  <c r="B1174" i="15"/>
  <c r="D1173" i="15"/>
  <c r="B1173" i="15"/>
  <c r="D1172" i="15"/>
  <c r="B1172" i="15"/>
  <c r="D1171" i="15"/>
  <c r="B1171" i="15"/>
  <c r="D1170" i="15"/>
  <c r="B1170" i="15"/>
  <c r="D1169" i="15"/>
  <c r="B1169" i="15"/>
  <c r="D1168" i="15"/>
  <c r="B1168" i="15"/>
  <c r="D1167" i="15"/>
  <c r="B1167" i="15"/>
  <c r="D1166" i="15"/>
  <c r="B1166" i="15"/>
  <c r="D1165" i="15"/>
  <c r="B1165" i="15"/>
  <c r="D1164" i="15"/>
  <c r="B1164" i="15"/>
  <c r="D1163" i="15"/>
  <c r="B1163" i="15"/>
  <c r="D1162" i="15"/>
  <c r="B1162" i="15"/>
  <c r="D1161" i="15"/>
  <c r="B1161" i="15"/>
  <c r="D1160" i="15"/>
  <c r="B1160" i="15"/>
  <c r="D1159" i="15"/>
  <c r="B1159" i="15"/>
  <c r="D1158" i="15"/>
  <c r="B1158" i="15"/>
  <c r="D1157" i="15"/>
  <c r="B1157" i="15"/>
  <c r="D1156" i="15"/>
  <c r="B1156" i="15"/>
  <c r="D1155" i="15"/>
  <c r="B1155" i="15"/>
  <c r="D1154" i="15"/>
  <c r="B1154" i="15"/>
  <c r="D1153" i="15"/>
  <c r="B1153" i="15"/>
  <c r="D1152" i="15"/>
  <c r="B1152" i="15"/>
  <c r="D1151" i="15"/>
  <c r="B1151" i="15"/>
  <c r="D1150" i="15"/>
  <c r="B1150" i="15"/>
  <c r="D1149" i="15"/>
  <c r="B1149" i="15"/>
  <c r="D1148" i="15"/>
  <c r="B1148" i="15"/>
  <c r="D1147" i="15"/>
  <c r="B1147" i="15"/>
  <c r="D1146" i="15"/>
  <c r="B1146" i="15"/>
  <c r="D1145" i="15"/>
  <c r="B1145" i="15"/>
  <c r="D1144" i="15"/>
  <c r="B1144" i="15"/>
  <c r="D1143" i="15"/>
  <c r="B1143" i="15"/>
  <c r="D1142" i="15"/>
  <c r="B1142" i="15"/>
  <c r="D1141" i="15"/>
  <c r="B1141" i="15"/>
  <c r="D1140" i="15"/>
  <c r="B1140" i="15"/>
  <c r="D1139" i="15"/>
  <c r="B1139" i="15"/>
  <c r="D1138" i="15"/>
  <c r="B1138" i="15"/>
  <c r="D1137" i="15"/>
  <c r="B1137" i="15"/>
  <c r="D1136" i="15"/>
  <c r="B1136" i="15"/>
  <c r="D1135" i="15"/>
  <c r="B1135" i="15"/>
  <c r="D1134" i="15"/>
  <c r="B1134" i="15"/>
  <c r="D1133" i="15"/>
  <c r="B1133" i="15"/>
  <c r="D1132" i="15"/>
  <c r="B1132" i="15"/>
  <c r="D1131" i="15"/>
  <c r="B1131" i="15"/>
  <c r="D1130" i="15"/>
  <c r="B1130" i="15"/>
  <c r="D1129" i="15"/>
  <c r="B1129" i="15"/>
  <c r="D1128" i="15"/>
  <c r="B1128" i="15"/>
  <c r="D1127" i="15"/>
  <c r="B1127" i="15"/>
  <c r="D1126" i="15"/>
  <c r="B1126" i="15"/>
  <c r="D1125" i="15"/>
  <c r="B1125" i="15"/>
  <c r="D1124" i="15"/>
  <c r="B1124" i="15"/>
  <c r="D1123" i="15"/>
  <c r="B1123" i="15"/>
  <c r="D1122" i="15"/>
  <c r="B1122" i="15"/>
  <c r="D1121" i="15"/>
  <c r="B1121" i="15"/>
  <c r="D1120" i="15"/>
  <c r="B1120" i="15"/>
  <c r="D1119" i="15"/>
  <c r="B1119" i="15"/>
  <c r="D1118" i="15"/>
  <c r="B1118" i="15"/>
  <c r="D1117" i="15"/>
  <c r="B1117" i="15"/>
  <c r="D1116" i="15"/>
  <c r="B1116" i="15"/>
  <c r="D1115" i="15"/>
  <c r="B1115" i="15"/>
  <c r="D1114" i="15"/>
  <c r="B1114" i="15"/>
  <c r="D1113" i="15"/>
  <c r="B1113" i="15"/>
  <c r="D1112" i="15"/>
  <c r="B1112" i="15"/>
  <c r="D1111" i="15"/>
  <c r="B1111" i="15"/>
  <c r="D1110" i="15"/>
  <c r="B1110" i="15"/>
  <c r="D1109" i="15"/>
  <c r="B1109" i="15"/>
  <c r="D1108" i="15"/>
  <c r="B1108" i="15"/>
  <c r="D1107" i="15"/>
  <c r="B1107" i="15"/>
  <c r="D1106" i="15"/>
  <c r="B1106" i="15"/>
  <c r="D1105" i="15"/>
  <c r="B1105" i="15"/>
  <c r="D1104" i="15"/>
  <c r="B1104" i="15"/>
  <c r="D1103" i="15"/>
  <c r="B1103" i="15"/>
  <c r="D1102" i="15"/>
  <c r="B1102" i="15"/>
  <c r="D1101" i="15"/>
  <c r="B1101" i="15"/>
  <c r="D1100" i="15"/>
  <c r="B1100" i="15"/>
  <c r="D1099" i="15"/>
  <c r="B1099" i="15"/>
  <c r="D1098" i="15"/>
  <c r="B1098" i="15"/>
  <c r="D1097" i="15"/>
  <c r="B1097" i="15"/>
  <c r="D1096" i="15"/>
  <c r="B1096" i="15"/>
  <c r="D1095" i="15"/>
  <c r="B1095" i="15"/>
  <c r="D1094" i="15"/>
  <c r="B1094" i="15"/>
  <c r="D1093" i="15"/>
  <c r="B1093" i="15"/>
  <c r="D1092" i="15"/>
  <c r="B1092" i="15"/>
  <c r="D1091" i="15"/>
  <c r="B1091" i="15"/>
  <c r="D1090" i="15"/>
  <c r="B1090" i="15"/>
  <c r="D1089" i="15"/>
  <c r="B1089" i="15"/>
  <c r="D1088" i="15"/>
  <c r="B1088" i="15"/>
  <c r="D1087" i="15"/>
  <c r="B1087" i="15"/>
  <c r="D1086" i="15"/>
  <c r="B1086" i="15"/>
  <c r="D1085" i="15"/>
  <c r="B1085" i="15"/>
  <c r="D1084" i="15"/>
  <c r="B1084" i="15"/>
  <c r="D1083" i="15"/>
  <c r="B1083" i="15"/>
  <c r="D1082" i="15"/>
  <c r="B1082" i="15"/>
  <c r="D1081" i="15"/>
  <c r="B1081" i="15"/>
  <c r="D1080" i="15"/>
  <c r="B1080" i="15"/>
  <c r="D1079" i="15"/>
  <c r="B1079" i="15"/>
  <c r="D1078" i="15"/>
  <c r="B1078" i="15"/>
  <c r="D1077" i="15"/>
  <c r="B1077" i="15"/>
  <c r="D1076" i="15"/>
  <c r="B1076" i="15"/>
  <c r="D1075" i="15"/>
  <c r="B1075" i="15"/>
  <c r="D1074" i="15"/>
  <c r="B1074" i="15"/>
  <c r="D1073" i="15"/>
  <c r="B1073" i="15"/>
  <c r="D1072" i="15"/>
  <c r="B1072" i="15"/>
  <c r="D1071" i="15"/>
  <c r="B1071" i="15"/>
  <c r="B1070" i="15"/>
  <c r="D1069" i="15"/>
  <c r="B1069" i="15"/>
  <c r="D1068" i="15"/>
  <c r="B1068" i="15"/>
  <c r="D1067" i="15"/>
  <c r="B1067" i="15"/>
  <c r="D1066" i="15"/>
  <c r="B1066" i="15"/>
  <c r="D1065" i="15"/>
  <c r="B1065" i="15"/>
  <c r="D1064" i="15"/>
  <c r="B1064" i="15"/>
  <c r="D1063" i="15"/>
  <c r="B1063" i="15"/>
  <c r="D1062" i="15"/>
  <c r="B1062" i="15"/>
  <c r="D1061" i="15"/>
  <c r="B1061" i="15"/>
  <c r="D1060" i="15"/>
  <c r="B1060" i="15"/>
  <c r="D1059" i="15"/>
  <c r="B1059" i="15"/>
  <c r="D1058" i="15"/>
  <c r="B1058" i="15"/>
  <c r="D1057" i="15"/>
  <c r="B1057" i="15"/>
  <c r="D1056" i="15"/>
  <c r="B1056" i="15"/>
  <c r="D1055" i="15"/>
  <c r="B1055" i="15"/>
  <c r="D1054" i="15"/>
  <c r="B1054" i="15"/>
  <c r="D1053" i="15"/>
  <c r="B1053" i="15"/>
  <c r="D1052" i="15"/>
  <c r="B1052" i="15"/>
  <c r="D1051" i="15"/>
  <c r="B1051" i="15"/>
  <c r="D1050" i="15"/>
  <c r="B1050" i="15"/>
  <c r="D1049" i="15"/>
  <c r="B1049" i="15"/>
  <c r="D1048" i="15"/>
  <c r="B1048" i="15"/>
  <c r="D1047" i="15"/>
  <c r="B1047" i="15"/>
  <c r="D1046" i="15"/>
  <c r="B1046" i="15"/>
  <c r="D1045" i="15"/>
  <c r="B1045" i="15"/>
  <c r="D1044" i="15"/>
  <c r="B1044" i="15"/>
  <c r="D1043" i="15"/>
  <c r="B1043" i="15"/>
  <c r="D1042" i="15"/>
  <c r="B1042" i="15"/>
  <c r="D1041" i="15"/>
  <c r="B1041" i="15"/>
  <c r="D1040" i="15"/>
  <c r="B1040" i="15"/>
  <c r="D1039" i="15"/>
  <c r="B1039" i="15"/>
  <c r="D1038" i="15"/>
  <c r="B1038" i="15"/>
  <c r="D1037" i="15"/>
  <c r="B1037" i="15"/>
  <c r="D1036" i="15"/>
  <c r="B1036" i="15"/>
  <c r="D1035" i="15"/>
  <c r="B1035" i="15"/>
  <c r="D1034" i="15"/>
  <c r="B1034" i="15"/>
  <c r="D1033" i="15"/>
  <c r="B1033" i="15"/>
  <c r="D1032" i="15"/>
  <c r="B1032" i="15"/>
  <c r="D1031" i="15"/>
  <c r="B1031" i="15"/>
  <c r="D1030" i="15"/>
  <c r="B1030" i="15"/>
  <c r="D1029" i="15"/>
  <c r="B1029" i="15"/>
  <c r="D1028" i="15"/>
  <c r="B1028" i="15"/>
  <c r="D1027" i="15"/>
  <c r="B1027" i="15"/>
  <c r="D1026" i="15"/>
  <c r="B1026" i="15"/>
  <c r="D1025" i="15"/>
  <c r="B1025" i="15"/>
  <c r="D1024" i="15"/>
  <c r="B1024" i="15"/>
  <c r="D1023" i="15"/>
  <c r="B1023" i="15"/>
  <c r="D1022" i="15"/>
  <c r="B1022" i="15"/>
  <c r="D1021" i="15"/>
  <c r="B1021" i="15"/>
  <c r="D1020" i="15"/>
  <c r="B1020" i="15"/>
  <c r="D1019" i="15"/>
  <c r="B1019" i="15"/>
  <c r="D1018" i="15"/>
  <c r="B1018" i="15"/>
  <c r="D1017" i="15"/>
  <c r="B1017" i="15"/>
  <c r="D1016" i="15"/>
  <c r="B1016" i="15"/>
  <c r="D1015" i="15"/>
  <c r="B1015" i="15"/>
  <c r="D1014" i="15"/>
  <c r="B1014" i="15"/>
  <c r="D1013" i="15"/>
  <c r="B1013" i="15"/>
  <c r="D1012" i="15"/>
  <c r="B1012" i="15"/>
  <c r="D1011" i="15"/>
  <c r="B1011" i="15"/>
  <c r="D1010" i="15"/>
  <c r="B1010" i="15"/>
  <c r="D1009" i="15"/>
  <c r="B1009" i="15"/>
  <c r="D1008" i="15"/>
  <c r="B1008" i="15"/>
  <c r="D1007" i="15"/>
  <c r="B1007" i="15"/>
  <c r="D1006" i="15"/>
  <c r="B1006" i="15"/>
  <c r="D1005" i="15"/>
  <c r="B1005" i="15"/>
  <c r="D1004" i="15"/>
  <c r="B1004" i="15"/>
  <c r="D1003" i="15"/>
  <c r="B1003" i="15"/>
  <c r="D1002" i="15"/>
  <c r="B1002" i="15"/>
  <c r="D1001" i="15"/>
  <c r="B1001" i="15"/>
  <c r="D1000" i="15"/>
  <c r="B1000" i="15"/>
  <c r="D999" i="15"/>
  <c r="B999" i="15"/>
  <c r="D998" i="15"/>
  <c r="B998" i="15"/>
  <c r="D997" i="15"/>
  <c r="B997" i="15"/>
  <c r="D996" i="15"/>
  <c r="B996" i="15"/>
  <c r="D995" i="15"/>
  <c r="B995" i="15"/>
  <c r="D994" i="15"/>
  <c r="B994" i="15"/>
  <c r="D993" i="15"/>
  <c r="B993" i="15"/>
  <c r="D992" i="15"/>
  <c r="B992" i="15"/>
  <c r="D991" i="15"/>
  <c r="B991" i="15"/>
  <c r="D990" i="15"/>
  <c r="B990" i="15"/>
  <c r="D989" i="15"/>
  <c r="B989" i="15"/>
  <c r="D988" i="15"/>
  <c r="B988" i="15"/>
  <c r="D987" i="15"/>
  <c r="B987" i="15"/>
  <c r="D986" i="15"/>
  <c r="B986" i="15"/>
  <c r="D985" i="15"/>
  <c r="B985" i="15"/>
  <c r="D984" i="15"/>
  <c r="B984" i="15"/>
  <c r="D983" i="15"/>
  <c r="B983" i="15"/>
  <c r="D982" i="15"/>
  <c r="B982" i="15"/>
  <c r="D981" i="15"/>
  <c r="B981" i="15"/>
  <c r="D980" i="15"/>
  <c r="B980" i="15"/>
  <c r="D979" i="15"/>
  <c r="B979" i="15"/>
  <c r="D978" i="15"/>
  <c r="B978" i="15"/>
  <c r="D977" i="15"/>
  <c r="B977" i="15"/>
  <c r="D976" i="15"/>
  <c r="B976" i="15"/>
  <c r="D975" i="15"/>
  <c r="B975" i="15"/>
  <c r="D974" i="15"/>
  <c r="B974" i="15"/>
  <c r="D973" i="15"/>
  <c r="B973" i="15"/>
  <c r="D972" i="15"/>
  <c r="B972" i="15"/>
  <c r="D971" i="15"/>
  <c r="B971" i="15"/>
  <c r="D970" i="15"/>
  <c r="B970" i="15"/>
  <c r="D969" i="15"/>
  <c r="B969" i="15"/>
  <c r="D968" i="15"/>
  <c r="B968" i="15"/>
  <c r="D967" i="15"/>
  <c r="B967" i="15"/>
  <c r="D966" i="15"/>
  <c r="B966" i="15"/>
  <c r="D965" i="15"/>
  <c r="B965" i="15"/>
  <c r="D964" i="15"/>
  <c r="B964" i="15"/>
  <c r="D963" i="15"/>
  <c r="B963" i="15"/>
  <c r="D962" i="15"/>
  <c r="B962" i="15"/>
  <c r="B961" i="15"/>
  <c r="D960" i="15"/>
  <c r="B960" i="15"/>
  <c r="D959" i="15"/>
  <c r="B959" i="15"/>
  <c r="D958" i="15"/>
  <c r="B958" i="15"/>
  <c r="D957" i="15"/>
  <c r="B957" i="15"/>
  <c r="D956" i="15"/>
  <c r="B956" i="15"/>
  <c r="D955" i="15"/>
  <c r="B955" i="15"/>
  <c r="D954" i="15"/>
  <c r="B954" i="15"/>
  <c r="D953" i="15"/>
  <c r="B953" i="15"/>
  <c r="D952" i="15"/>
  <c r="B952" i="15"/>
  <c r="D951" i="15"/>
  <c r="B951" i="15"/>
  <c r="D950" i="15"/>
  <c r="B950" i="15"/>
  <c r="D949" i="15"/>
  <c r="B949" i="15"/>
  <c r="D948" i="15"/>
  <c r="B948" i="15"/>
  <c r="D947" i="15"/>
  <c r="B947" i="15"/>
  <c r="D946" i="15"/>
  <c r="B946" i="15"/>
  <c r="D945" i="15"/>
  <c r="B945" i="15"/>
  <c r="D944" i="15"/>
  <c r="B944" i="15"/>
  <c r="D943" i="15"/>
  <c r="B943" i="15"/>
  <c r="D942" i="15"/>
  <c r="B942" i="15"/>
  <c r="D941" i="15"/>
  <c r="B941" i="15"/>
  <c r="D940" i="15"/>
  <c r="B940" i="15"/>
  <c r="D939" i="15"/>
  <c r="B939" i="15"/>
  <c r="D938" i="15"/>
  <c r="B938" i="15"/>
  <c r="D937" i="15"/>
  <c r="B937" i="15"/>
  <c r="D936" i="15"/>
  <c r="B936" i="15"/>
  <c r="D935" i="15"/>
  <c r="B935" i="15"/>
  <c r="D934" i="15"/>
  <c r="B934" i="15"/>
  <c r="D933" i="15"/>
  <c r="B933" i="15"/>
  <c r="D932" i="15"/>
  <c r="B932" i="15"/>
  <c r="D931" i="15"/>
  <c r="B931" i="15"/>
  <c r="D930" i="15"/>
  <c r="B930" i="15"/>
  <c r="D929" i="15"/>
  <c r="B929" i="15"/>
  <c r="D928" i="15"/>
  <c r="B928" i="15"/>
  <c r="D927" i="15"/>
  <c r="B927" i="15"/>
  <c r="D926" i="15"/>
  <c r="B926" i="15"/>
  <c r="D925" i="15"/>
  <c r="B925" i="15"/>
  <c r="D924" i="15"/>
  <c r="B924" i="15"/>
  <c r="D923" i="15"/>
  <c r="B923" i="15"/>
  <c r="D922" i="15"/>
  <c r="B922" i="15"/>
  <c r="D921" i="15"/>
  <c r="B921" i="15"/>
  <c r="D920" i="15"/>
  <c r="B920" i="15"/>
  <c r="D919" i="15"/>
  <c r="B919" i="15"/>
  <c r="D918" i="15"/>
  <c r="B918" i="15"/>
  <c r="D917" i="15"/>
  <c r="B917" i="15"/>
  <c r="D916" i="15"/>
  <c r="B916" i="15"/>
  <c r="D915" i="15"/>
  <c r="B915" i="15"/>
  <c r="D914" i="15"/>
  <c r="B914" i="15"/>
  <c r="D913" i="15"/>
  <c r="B913" i="15"/>
  <c r="D912" i="15"/>
  <c r="B912" i="15"/>
  <c r="D911" i="15"/>
  <c r="B911" i="15"/>
  <c r="D910" i="15"/>
  <c r="B910" i="15"/>
  <c r="D909" i="15"/>
  <c r="B909" i="15"/>
  <c r="D908" i="15"/>
  <c r="B908" i="15"/>
  <c r="D907" i="15"/>
  <c r="B907" i="15"/>
  <c r="D906" i="15"/>
  <c r="B906" i="15"/>
  <c r="D905" i="15"/>
  <c r="B905" i="15"/>
  <c r="D904" i="15"/>
  <c r="B904" i="15"/>
  <c r="D903" i="15"/>
  <c r="B903" i="15"/>
  <c r="D902" i="15"/>
  <c r="B902" i="15"/>
  <c r="D901" i="15"/>
  <c r="B901" i="15"/>
  <c r="D900" i="15"/>
  <c r="B900" i="15"/>
  <c r="D899" i="15"/>
  <c r="B899" i="15"/>
  <c r="D898" i="15"/>
  <c r="B898" i="15"/>
  <c r="D897" i="15"/>
  <c r="B897" i="15"/>
  <c r="D896" i="15"/>
  <c r="B896" i="15"/>
  <c r="D895" i="15"/>
  <c r="B895" i="15"/>
  <c r="D894" i="15"/>
  <c r="B894" i="15"/>
  <c r="D893" i="15"/>
  <c r="B893" i="15"/>
  <c r="D892" i="15"/>
  <c r="B892" i="15"/>
  <c r="D891" i="15"/>
  <c r="B891" i="15"/>
  <c r="D890" i="15"/>
  <c r="B890" i="15"/>
  <c r="D889" i="15"/>
  <c r="B889" i="15"/>
  <c r="D888" i="15"/>
  <c r="B888" i="15"/>
  <c r="D887" i="15"/>
  <c r="B887" i="15"/>
  <c r="D886" i="15"/>
  <c r="B886" i="15"/>
  <c r="D885" i="15"/>
  <c r="B885" i="15"/>
  <c r="D884" i="15"/>
  <c r="B884" i="15"/>
  <c r="D883" i="15"/>
  <c r="B883" i="15"/>
  <c r="D882" i="15"/>
  <c r="B882" i="15"/>
  <c r="D881" i="15"/>
  <c r="B881" i="15"/>
  <c r="D880" i="15"/>
  <c r="B880" i="15"/>
  <c r="D879" i="15"/>
  <c r="B879" i="15"/>
  <c r="D878" i="15"/>
  <c r="B878" i="15"/>
  <c r="D877" i="15"/>
  <c r="B877" i="15"/>
  <c r="D876" i="15"/>
  <c r="B876" i="15"/>
  <c r="D875" i="15"/>
  <c r="B875" i="15"/>
  <c r="D874" i="15"/>
  <c r="B874" i="15"/>
  <c r="D873" i="15"/>
  <c r="B873" i="15"/>
  <c r="D872" i="15"/>
  <c r="B872" i="15"/>
  <c r="D871" i="15"/>
  <c r="B871" i="15"/>
  <c r="D870" i="15"/>
  <c r="B870" i="15"/>
  <c r="D869" i="15"/>
  <c r="B869" i="15"/>
  <c r="D868" i="15"/>
  <c r="B868" i="15"/>
  <c r="D867" i="15"/>
  <c r="B867" i="15"/>
  <c r="D866" i="15"/>
  <c r="B866" i="15"/>
  <c r="D865" i="15"/>
  <c r="B865" i="15"/>
  <c r="D864" i="15"/>
  <c r="B864" i="15"/>
  <c r="D863" i="15"/>
  <c r="B863" i="15"/>
  <c r="D862" i="15"/>
  <c r="B862" i="15"/>
  <c r="D861" i="15"/>
  <c r="B861" i="15"/>
  <c r="D860" i="15"/>
  <c r="B860" i="15"/>
  <c r="D859" i="15"/>
  <c r="B859" i="15"/>
  <c r="D858" i="15"/>
  <c r="B858" i="15"/>
  <c r="D857" i="15"/>
  <c r="B857" i="15"/>
  <c r="D856" i="15"/>
  <c r="B856" i="15"/>
  <c r="D855" i="15"/>
  <c r="B855" i="15"/>
  <c r="D854" i="15"/>
  <c r="B854" i="15"/>
  <c r="D853" i="15"/>
  <c r="B853" i="15"/>
  <c r="D852" i="15"/>
  <c r="B852" i="15"/>
  <c r="D851" i="15"/>
  <c r="B851" i="15"/>
  <c r="B850" i="15"/>
  <c r="D849" i="15"/>
  <c r="B849" i="15"/>
  <c r="D848" i="15"/>
  <c r="B848" i="15"/>
  <c r="D847" i="15"/>
  <c r="B847" i="15"/>
  <c r="D846" i="15"/>
  <c r="B846" i="15"/>
  <c r="D845" i="15"/>
  <c r="B845" i="15"/>
  <c r="D844" i="15"/>
  <c r="B844" i="15"/>
  <c r="D843" i="15"/>
  <c r="B843" i="15"/>
  <c r="D842" i="15"/>
  <c r="B842" i="15"/>
  <c r="D841" i="15"/>
  <c r="B841" i="15"/>
  <c r="B840" i="15"/>
  <c r="D839" i="15"/>
  <c r="B839" i="15"/>
  <c r="D838" i="15"/>
  <c r="B838" i="15"/>
  <c r="D837" i="15"/>
  <c r="B837" i="15"/>
  <c r="D836" i="15"/>
  <c r="B836" i="15"/>
  <c r="D835" i="15"/>
  <c r="B835" i="15"/>
  <c r="D834" i="15"/>
  <c r="B834" i="15"/>
  <c r="D833" i="15"/>
  <c r="B833" i="15"/>
  <c r="D832" i="15"/>
  <c r="B832" i="15"/>
  <c r="D831" i="15"/>
  <c r="B831" i="15"/>
  <c r="D830" i="15"/>
  <c r="B830" i="15"/>
  <c r="D829" i="15"/>
  <c r="B829" i="15"/>
  <c r="D828" i="15"/>
  <c r="B828" i="15"/>
  <c r="D827" i="15"/>
  <c r="B827" i="15"/>
  <c r="D826" i="15"/>
  <c r="B826" i="15"/>
  <c r="D825" i="15"/>
  <c r="B825" i="15"/>
  <c r="D824" i="15"/>
  <c r="B824" i="15"/>
  <c r="D823" i="15"/>
  <c r="B823" i="15"/>
  <c r="D822" i="15"/>
  <c r="B822" i="15"/>
  <c r="D821" i="15"/>
  <c r="B821" i="15"/>
  <c r="D820" i="15"/>
  <c r="B820" i="15"/>
  <c r="D819" i="15"/>
  <c r="B819" i="15"/>
  <c r="D818" i="15"/>
  <c r="B818" i="15"/>
  <c r="D817" i="15"/>
  <c r="B817" i="15"/>
  <c r="D816" i="15"/>
  <c r="B816" i="15"/>
  <c r="D815" i="15"/>
  <c r="B815" i="15"/>
  <c r="D814" i="15"/>
  <c r="B814" i="15"/>
  <c r="D813" i="15"/>
  <c r="B813" i="15"/>
  <c r="D812" i="15"/>
  <c r="B812" i="15"/>
  <c r="D811" i="15"/>
  <c r="B811" i="15"/>
  <c r="D810" i="15"/>
  <c r="B810" i="15"/>
  <c r="D809" i="15"/>
  <c r="B809" i="15"/>
  <c r="D808" i="15"/>
  <c r="B808" i="15"/>
  <c r="D807" i="15"/>
  <c r="B807" i="15"/>
  <c r="D806" i="15"/>
  <c r="B806" i="15"/>
  <c r="D805" i="15"/>
  <c r="B805" i="15"/>
  <c r="D804" i="15"/>
  <c r="B804" i="15"/>
  <c r="D803" i="15"/>
  <c r="B803" i="15"/>
  <c r="D802" i="15"/>
  <c r="B802" i="15"/>
  <c r="D801" i="15"/>
  <c r="B801" i="15"/>
  <c r="D800" i="15"/>
  <c r="B800" i="15"/>
  <c r="D799" i="15"/>
  <c r="B799" i="15"/>
  <c r="D798" i="15"/>
  <c r="B798" i="15"/>
  <c r="D797" i="15"/>
  <c r="B797" i="15"/>
  <c r="D796" i="15"/>
  <c r="B796" i="15"/>
  <c r="D795" i="15"/>
  <c r="B795" i="15"/>
  <c r="D794" i="15"/>
  <c r="B794" i="15"/>
  <c r="D793" i="15"/>
  <c r="B793" i="15"/>
  <c r="D792" i="15"/>
  <c r="B792" i="15"/>
  <c r="D791" i="15"/>
  <c r="B791" i="15"/>
  <c r="B790" i="15"/>
  <c r="D789" i="15"/>
  <c r="B789" i="15"/>
  <c r="D788" i="15"/>
  <c r="B788" i="15"/>
  <c r="D787" i="15"/>
  <c r="B787" i="15"/>
  <c r="D786" i="15"/>
  <c r="B786" i="15"/>
  <c r="D785" i="15"/>
  <c r="B785" i="15"/>
  <c r="D784" i="15"/>
  <c r="B784" i="15"/>
  <c r="D783" i="15"/>
  <c r="B783" i="15"/>
  <c r="D782" i="15"/>
  <c r="B782" i="15"/>
  <c r="D781" i="15"/>
  <c r="B781" i="15"/>
  <c r="D780" i="15"/>
  <c r="B780" i="15"/>
  <c r="D779" i="15"/>
  <c r="B779" i="15"/>
  <c r="D778" i="15"/>
  <c r="B778" i="15"/>
  <c r="D777" i="15"/>
  <c r="B777" i="15"/>
  <c r="D776" i="15"/>
  <c r="B776" i="15"/>
  <c r="D775" i="15"/>
  <c r="B775" i="15"/>
  <c r="D774" i="15"/>
  <c r="B774" i="15"/>
  <c r="D773" i="15"/>
  <c r="B773" i="15"/>
  <c r="D772" i="15"/>
  <c r="B772" i="15"/>
  <c r="D771" i="15"/>
  <c r="B771" i="15"/>
  <c r="D770" i="15"/>
  <c r="B770" i="15"/>
  <c r="D769" i="15"/>
  <c r="B769" i="15"/>
  <c r="D768" i="15"/>
  <c r="B768" i="15"/>
  <c r="D767" i="15"/>
  <c r="B767" i="15"/>
  <c r="D766" i="15"/>
  <c r="B766" i="15"/>
  <c r="D765" i="15"/>
  <c r="B765" i="15"/>
  <c r="D764" i="15"/>
  <c r="B764" i="15"/>
  <c r="D763" i="15"/>
  <c r="B763" i="15"/>
  <c r="D762" i="15"/>
  <c r="B762" i="15"/>
  <c r="D761" i="15"/>
  <c r="B761" i="15"/>
  <c r="D760" i="15"/>
  <c r="B760" i="15"/>
  <c r="D759" i="15"/>
  <c r="B759" i="15"/>
  <c r="D758" i="15"/>
  <c r="B758" i="15"/>
  <c r="D757" i="15"/>
  <c r="B757" i="15"/>
  <c r="D756" i="15"/>
  <c r="B756" i="15"/>
  <c r="D755" i="15"/>
  <c r="B755" i="15"/>
  <c r="D754" i="15"/>
  <c r="B754" i="15"/>
  <c r="D753" i="15"/>
  <c r="B753" i="15"/>
  <c r="D752" i="15"/>
  <c r="B752" i="15"/>
  <c r="D751" i="15"/>
  <c r="B751" i="15"/>
  <c r="D750" i="15"/>
  <c r="B750" i="15"/>
  <c r="D749" i="15"/>
  <c r="B749" i="15"/>
  <c r="D748" i="15"/>
  <c r="B748" i="15"/>
  <c r="D747" i="15"/>
  <c r="B747" i="15"/>
  <c r="D746" i="15"/>
  <c r="B746" i="15"/>
  <c r="D745" i="15"/>
  <c r="B745" i="15"/>
  <c r="D744" i="15"/>
  <c r="B744" i="15"/>
  <c r="D743" i="15"/>
  <c r="B743" i="15"/>
  <c r="D742" i="15"/>
  <c r="B742" i="15"/>
  <c r="D741" i="15"/>
  <c r="B741" i="15"/>
  <c r="D740" i="15"/>
  <c r="B740" i="15"/>
  <c r="D739" i="15"/>
  <c r="B739" i="15"/>
  <c r="D738" i="15"/>
  <c r="B738" i="15"/>
  <c r="D737" i="15"/>
  <c r="B737" i="15"/>
  <c r="D736" i="15"/>
  <c r="B736" i="15"/>
  <c r="D735" i="15"/>
  <c r="B735" i="15"/>
  <c r="D734" i="15"/>
  <c r="B734" i="15"/>
  <c r="D733" i="15"/>
  <c r="B733" i="15"/>
  <c r="D732" i="15"/>
  <c r="B732" i="15"/>
  <c r="D731" i="15"/>
  <c r="B731" i="15"/>
  <c r="D730" i="15"/>
  <c r="B730" i="15"/>
  <c r="D729" i="15"/>
  <c r="B729" i="15"/>
  <c r="D728" i="15"/>
  <c r="B728" i="15"/>
  <c r="D727" i="15"/>
  <c r="B727" i="15"/>
  <c r="D726" i="15"/>
  <c r="B726" i="15"/>
  <c r="D725" i="15"/>
  <c r="B725" i="15"/>
  <c r="D724" i="15"/>
  <c r="B724" i="15"/>
  <c r="D723" i="15"/>
  <c r="B723" i="15"/>
  <c r="D722" i="15"/>
  <c r="B722" i="15"/>
  <c r="D721" i="15"/>
  <c r="B721" i="15"/>
  <c r="D720" i="15"/>
  <c r="B720" i="15"/>
  <c r="D719" i="15"/>
  <c r="B719" i="15"/>
  <c r="D718" i="15"/>
  <c r="B718" i="15"/>
  <c r="D717" i="15"/>
  <c r="B717" i="15"/>
  <c r="D716" i="15"/>
  <c r="B716" i="15"/>
  <c r="D715" i="15"/>
  <c r="B715" i="15"/>
  <c r="D714" i="15"/>
  <c r="B714" i="15"/>
  <c r="D713" i="15"/>
  <c r="B713" i="15"/>
  <c r="D712" i="15"/>
  <c r="B712" i="15"/>
  <c r="D711" i="15"/>
  <c r="B711" i="15"/>
  <c r="D710" i="15"/>
  <c r="B710" i="15"/>
  <c r="D709" i="15"/>
  <c r="B709" i="15"/>
  <c r="D708" i="15"/>
  <c r="B708" i="15"/>
  <c r="D707" i="15"/>
  <c r="B707" i="15"/>
  <c r="D706" i="15"/>
  <c r="B706" i="15"/>
  <c r="D705" i="15"/>
  <c r="B705" i="15"/>
  <c r="D704" i="15"/>
  <c r="B704" i="15"/>
  <c r="D703" i="15"/>
  <c r="B703" i="15"/>
  <c r="D702" i="15"/>
  <c r="B702" i="15"/>
  <c r="D701" i="15"/>
  <c r="B701" i="15"/>
  <c r="B700" i="15"/>
  <c r="D699" i="15"/>
  <c r="B699" i="15"/>
  <c r="D698" i="15"/>
  <c r="B698" i="15"/>
  <c r="D697" i="15"/>
  <c r="B697" i="15"/>
  <c r="D696" i="15"/>
  <c r="B696" i="15"/>
  <c r="D695" i="15"/>
  <c r="B695" i="15"/>
  <c r="D694" i="15"/>
  <c r="B694" i="15"/>
  <c r="D693" i="15"/>
  <c r="B693" i="15"/>
  <c r="D692" i="15"/>
  <c r="B692" i="15"/>
  <c r="D691" i="15"/>
  <c r="B691" i="15"/>
  <c r="D690" i="15"/>
  <c r="B690" i="15"/>
  <c r="D689" i="15"/>
  <c r="B689" i="15"/>
  <c r="D688" i="15"/>
  <c r="B688" i="15"/>
  <c r="D687" i="15"/>
  <c r="B687" i="15"/>
  <c r="D686" i="15"/>
  <c r="B686" i="15"/>
  <c r="D685" i="15"/>
  <c r="B685" i="15"/>
  <c r="D684" i="15"/>
  <c r="B684" i="15"/>
  <c r="D683" i="15"/>
  <c r="B683" i="15"/>
  <c r="D682" i="15"/>
  <c r="B682" i="15"/>
  <c r="D681" i="15"/>
  <c r="B681" i="15"/>
  <c r="D680" i="15"/>
  <c r="B680" i="15"/>
  <c r="D679" i="15"/>
  <c r="B679" i="15"/>
  <c r="D678" i="15"/>
  <c r="B678" i="15"/>
  <c r="D677" i="15"/>
  <c r="B677" i="15"/>
  <c r="D676" i="15"/>
  <c r="B676" i="15"/>
  <c r="D675" i="15"/>
  <c r="B675" i="15"/>
  <c r="D674" i="15"/>
  <c r="B674" i="15"/>
  <c r="D673" i="15"/>
  <c r="B673" i="15"/>
  <c r="D672" i="15"/>
  <c r="B672" i="15"/>
  <c r="D671" i="15"/>
  <c r="B671" i="15"/>
  <c r="D670" i="15"/>
  <c r="B670" i="15"/>
  <c r="D669" i="15"/>
  <c r="B669" i="15"/>
  <c r="D668" i="15"/>
  <c r="B668" i="15"/>
  <c r="D667" i="15"/>
  <c r="B667" i="15"/>
  <c r="D666" i="15"/>
  <c r="B666" i="15"/>
  <c r="D665" i="15"/>
  <c r="B665" i="15"/>
  <c r="D664" i="15"/>
  <c r="B664" i="15"/>
  <c r="D663" i="15"/>
  <c r="B663" i="15"/>
  <c r="D662" i="15"/>
  <c r="B662" i="15"/>
  <c r="D661" i="15"/>
  <c r="B661" i="15"/>
  <c r="D660" i="15"/>
  <c r="B660" i="15"/>
  <c r="D659" i="15"/>
  <c r="B659" i="15"/>
  <c r="D658" i="15"/>
  <c r="B658" i="15"/>
  <c r="D657" i="15"/>
  <c r="B657" i="15"/>
  <c r="D656" i="15"/>
  <c r="B656" i="15"/>
  <c r="D655" i="15"/>
  <c r="B655" i="15"/>
  <c r="D654" i="15"/>
  <c r="B654" i="15"/>
  <c r="D653" i="15"/>
  <c r="B653" i="15"/>
  <c r="D652" i="15"/>
  <c r="B652" i="15"/>
  <c r="D651" i="15"/>
  <c r="B651" i="15"/>
  <c r="D650" i="15"/>
  <c r="B650" i="15"/>
  <c r="D649" i="15"/>
  <c r="B649" i="15"/>
  <c r="D648" i="15"/>
  <c r="B648" i="15"/>
  <c r="D647" i="15"/>
  <c r="B647" i="15"/>
  <c r="D646" i="15"/>
  <c r="B646" i="15"/>
  <c r="D645" i="15"/>
  <c r="B645" i="15"/>
  <c r="D644" i="15"/>
  <c r="B644" i="15"/>
  <c r="D643" i="15"/>
  <c r="B643" i="15"/>
  <c r="D642" i="15"/>
  <c r="B642" i="15"/>
  <c r="D641" i="15"/>
  <c r="B641" i="15"/>
  <c r="D640" i="15"/>
  <c r="B640" i="15"/>
  <c r="D639" i="15"/>
  <c r="B639" i="15"/>
  <c r="D638" i="15"/>
  <c r="B638" i="15"/>
  <c r="D637" i="15"/>
  <c r="B637" i="15"/>
  <c r="D636" i="15"/>
  <c r="B636" i="15"/>
  <c r="D635" i="15"/>
  <c r="B635" i="15"/>
  <c r="D634" i="15"/>
  <c r="B634" i="15"/>
  <c r="D633" i="15"/>
  <c r="B633" i="15"/>
  <c r="D632" i="15"/>
  <c r="B632" i="15"/>
  <c r="D631" i="15"/>
  <c r="B631" i="15"/>
  <c r="D630" i="15"/>
  <c r="B630" i="15"/>
  <c r="D629" i="15"/>
  <c r="B629" i="15"/>
  <c r="D628" i="15"/>
  <c r="B628" i="15"/>
  <c r="D627" i="15"/>
  <c r="B627" i="15"/>
  <c r="D626" i="15"/>
  <c r="B626" i="15"/>
  <c r="D625" i="15"/>
  <c r="B625" i="15"/>
  <c r="D624" i="15"/>
  <c r="B624" i="15"/>
  <c r="D623" i="15"/>
  <c r="B623" i="15"/>
  <c r="D622" i="15"/>
  <c r="B622" i="15"/>
  <c r="D621" i="15"/>
  <c r="B621" i="15"/>
  <c r="B620" i="15"/>
  <c r="D619" i="15"/>
  <c r="B619" i="15"/>
  <c r="D618" i="15"/>
  <c r="B618" i="15"/>
  <c r="D617" i="15"/>
  <c r="B617" i="15"/>
  <c r="D616" i="15"/>
  <c r="B616" i="15"/>
  <c r="D615" i="15"/>
  <c r="B615" i="15"/>
  <c r="D614" i="15"/>
  <c r="B614" i="15"/>
  <c r="D613" i="15"/>
  <c r="B613" i="15"/>
  <c r="D612" i="15"/>
  <c r="B612" i="15"/>
  <c r="D611" i="15"/>
  <c r="B611" i="15"/>
  <c r="D610" i="15"/>
  <c r="B610" i="15"/>
  <c r="D609" i="15"/>
  <c r="B609" i="15"/>
  <c r="D608" i="15"/>
  <c r="B608" i="15"/>
  <c r="D607" i="15"/>
  <c r="B607" i="15"/>
  <c r="D606" i="15"/>
  <c r="B606" i="15"/>
  <c r="D605" i="15"/>
  <c r="B605" i="15"/>
  <c r="D604" i="15"/>
  <c r="B604" i="15"/>
  <c r="D603" i="15"/>
  <c r="B603" i="15"/>
  <c r="D602" i="15"/>
  <c r="B602" i="15"/>
  <c r="D601" i="15"/>
  <c r="B601" i="15"/>
  <c r="D600" i="15"/>
  <c r="B600" i="15"/>
  <c r="D599" i="15"/>
  <c r="B599" i="15"/>
  <c r="D598" i="15"/>
  <c r="B598" i="15"/>
  <c r="D597" i="15"/>
  <c r="B597" i="15"/>
  <c r="D596" i="15"/>
  <c r="B596" i="15"/>
  <c r="D595" i="15"/>
  <c r="B595" i="15"/>
  <c r="D594" i="15"/>
  <c r="B594" i="15"/>
  <c r="D593" i="15"/>
  <c r="B593" i="15"/>
  <c r="D592" i="15"/>
  <c r="B592" i="15"/>
  <c r="D591" i="15"/>
  <c r="B591" i="15"/>
  <c r="D590" i="15"/>
  <c r="B590" i="15"/>
  <c r="D589" i="15"/>
  <c r="B589" i="15"/>
  <c r="D588" i="15"/>
  <c r="B588" i="15"/>
  <c r="D587" i="15"/>
  <c r="B587" i="15"/>
  <c r="D586" i="15"/>
  <c r="B586" i="15"/>
  <c r="D585" i="15"/>
  <c r="B585" i="15"/>
  <c r="D584" i="15"/>
  <c r="B584" i="15"/>
  <c r="D583" i="15"/>
  <c r="B583" i="15"/>
  <c r="D582" i="15"/>
  <c r="B582" i="15"/>
  <c r="D581" i="15"/>
  <c r="B581" i="15"/>
  <c r="D580" i="15"/>
  <c r="B580" i="15"/>
  <c r="D579" i="15"/>
  <c r="B579" i="15"/>
  <c r="D578" i="15"/>
  <c r="B578" i="15"/>
  <c r="D577" i="15"/>
  <c r="B577" i="15"/>
  <c r="D576" i="15"/>
  <c r="B576" i="15"/>
  <c r="D575" i="15"/>
  <c r="B575" i="15"/>
  <c r="D574" i="15"/>
  <c r="B574" i="15"/>
  <c r="D573" i="15"/>
  <c r="B573" i="15"/>
  <c r="D572" i="15"/>
  <c r="B572" i="15"/>
  <c r="D571" i="15"/>
  <c r="B571" i="15"/>
  <c r="D570" i="15"/>
  <c r="B570" i="15"/>
  <c r="D569" i="15"/>
  <c r="B569" i="15"/>
  <c r="D568" i="15"/>
  <c r="B568" i="15"/>
  <c r="D567" i="15"/>
  <c r="B567" i="15"/>
  <c r="D566" i="15"/>
  <c r="B566" i="15"/>
  <c r="D565" i="15"/>
  <c r="B565" i="15"/>
  <c r="D564" i="15"/>
  <c r="B564" i="15"/>
  <c r="D563" i="15"/>
  <c r="B563" i="15"/>
  <c r="D562" i="15"/>
  <c r="B562" i="15"/>
  <c r="D561" i="15"/>
  <c r="B561" i="15"/>
  <c r="D560" i="15"/>
  <c r="B560" i="15"/>
  <c r="D559" i="15"/>
  <c r="B559" i="15"/>
  <c r="D558" i="15"/>
  <c r="B558" i="15"/>
  <c r="D557" i="15"/>
  <c r="B557" i="15"/>
  <c r="D556" i="15"/>
  <c r="B556" i="15"/>
  <c r="D555" i="15"/>
  <c r="B555" i="15"/>
  <c r="D554" i="15"/>
  <c r="B554" i="15"/>
  <c r="D553" i="15"/>
  <c r="B553" i="15"/>
  <c r="D552" i="15"/>
  <c r="B552" i="15"/>
  <c r="D551" i="15"/>
  <c r="B551" i="15"/>
  <c r="D550" i="15"/>
  <c r="B550" i="15"/>
  <c r="D549" i="15"/>
  <c r="B549" i="15"/>
  <c r="D548" i="15"/>
  <c r="B548" i="15"/>
  <c r="D547" i="15"/>
  <c r="B547" i="15"/>
  <c r="D546" i="15"/>
  <c r="B546" i="15"/>
  <c r="D545" i="15"/>
  <c r="B545" i="15"/>
  <c r="D544" i="15"/>
  <c r="B544" i="15"/>
  <c r="D543" i="15"/>
  <c r="B543" i="15"/>
  <c r="D542" i="15"/>
  <c r="B542" i="15"/>
  <c r="D541" i="15"/>
  <c r="B541" i="15"/>
  <c r="D540" i="15"/>
  <c r="B540" i="15"/>
  <c r="D539" i="15"/>
  <c r="B539" i="15"/>
  <c r="D538" i="15"/>
  <c r="B538" i="15"/>
  <c r="D537" i="15"/>
  <c r="B537" i="15"/>
  <c r="D536" i="15"/>
  <c r="B536" i="15"/>
  <c r="D535" i="15"/>
  <c r="B535" i="15"/>
  <c r="D534" i="15"/>
  <c r="B534" i="15"/>
  <c r="D533" i="15"/>
  <c r="B533" i="15"/>
  <c r="D532" i="15"/>
  <c r="B532" i="15"/>
  <c r="D531" i="15"/>
  <c r="B531" i="15"/>
  <c r="D530" i="15"/>
  <c r="B530" i="15"/>
  <c r="D529" i="15"/>
  <c r="B529" i="15"/>
  <c r="D528" i="15"/>
  <c r="B528" i="15"/>
  <c r="D527" i="15"/>
  <c r="B527" i="15"/>
  <c r="D526" i="15"/>
  <c r="B526" i="15"/>
  <c r="D525" i="15"/>
  <c r="B525" i="15"/>
  <c r="D524" i="15"/>
  <c r="B524" i="15"/>
  <c r="D523" i="15"/>
  <c r="B523" i="15"/>
  <c r="D522" i="15"/>
  <c r="B522" i="15"/>
  <c r="D521" i="15"/>
  <c r="B521" i="15"/>
  <c r="D520" i="15"/>
  <c r="B520" i="15"/>
  <c r="D519" i="15"/>
  <c r="B519" i="15"/>
  <c r="D518" i="15"/>
  <c r="B518" i="15"/>
  <c r="D517" i="15"/>
  <c r="B517" i="15"/>
  <c r="D516" i="15"/>
  <c r="B516" i="15"/>
  <c r="D515" i="15"/>
  <c r="B515" i="15"/>
  <c r="D514" i="15"/>
  <c r="B514" i="15"/>
  <c r="D513" i="15"/>
  <c r="B513" i="15"/>
  <c r="D512" i="15"/>
  <c r="B512" i="15"/>
  <c r="D511" i="15"/>
  <c r="B511" i="15"/>
  <c r="D510" i="15"/>
  <c r="B510" i="15"/>
  <c r="D509" i="15"/>
  <c r="B509" i="15"/>
  <c r="D508" i="15"/>
  <c r="B508" i="15"/>
  <c r="D507" i="15"/>
  <c r="B507" i="15"/>
  <c r="D506" i="15"/>
  <c r="B506" i="15"/>
  <c r="D505" i="15"/>
  <c r="B505" i="15"/>
  <c r="D504" i="15"/>
  <c r="B504" i="15"/>
  <c r="D503" i="15"/>
  <c r="B503" i="15"/>
  <c r="D502" i="15"/>
  <c r="B502" i="15"/>
  <c r="D501" i="15"/>
  <c r="B501" i="15"/>
  <c r="D500" i="15"/>
  <c r="B500" i="15"/>
  <c r="D499" i="15"/>
  <c r="B499" i="15"/>
  <c r="D498" i="15"/>
  <c r="B498" i="15"/>
  <c r="D497" i="15"/>
  <c r="B497" i="15"/>
  <c r="D496" i="15"/>
  <c r="B496" i="15"/>
  <c r="D495" i="15"/>
  <c r="B495" i="15"/>
  <c r="D494" i="15"/>
  <c r="B494" i="15"/>
  <c r="D493" i="15"/>
  <c r="B493" i="15"/>
  <c r="D492" i="15"/>
  <c r="B492" i="15"/>
  <c r="D491" i="15"/>
  <c r="B491" i="15"/>
  <c r="D490" i="15"/>
  <c r="B490" i="15"/>
  <c r="D489" i="15"/>
  <c r="B489" i="15"/>
  <c r="D488" i="15"/>
  <c r="B488" i="15"/>
  <c r="D487" i="15"/>
  <c r="B487" i="15"/>
  <c r="D486" i="15"/>
  <c r="B486" i="15"/>
  <c r="D485" i="15"/>
  <c r="B485" i="15"/>
  <c r="D484" i="15"/>
  <c r="B484" i="15"/>
  <c r="D483" i="15"/>
  <c r="B483" i="15"/>
  <c r="D482" i="15"/>
  <c r="B482" i="15"/>
  <c r="D481" i="15"/>
  <c r="B481" i="15"/>
  <c r="D480" i="15"/>
  <c r="B480" i="15"/>
  <c r="D479" i="15"/>
  <c r="B479" i="15"/>
  <c r="D478" i="15"/>
  <c r="B478" i="15"/>
  <c r="D477" i="15"/>
  <c r="B477" i="15"/>
  <c r="D476" i="15"/>
  <c r="B476" i="15"/>
  <c r="D475" i="15"/>
  <c r="B475" i="15"/>
  <c r="D474" i="15"/>
  <c r="B474" i="15"/>
  <c r="D473" i="15"/>
  <c r="B473" i="15"/>
  <c r="D472" i="15"/>
  <c r="B472" i="15"/>
  <c r="D471" i="15"/>
  <c r="B471" i="15"/>
  <c r="B470" i="15"/>
  <c r="D469" i="15"/>
  <c r="B469" i="15"/>
  <c r="D468" i="15"/>
  <c r="B468" i="15"/>
  <c r="D467" i="15"/>
  <c r="B467" i="15"/>
  <c r="D466" i="15"/>
  <c r="B466" i="15"/>
  <c r="D465" i="15"/>
  <c r="B465" i="15"/>
  <c r="D464" i="15"/>
  <c r="B464" i="15"/>
  <c r="D463" i="15"/>
  <c r="B463" i="15"/>
  <c r="D462" i="15"/>
  <c r="B462" i="15"/>
  <c r="D461" i="15"/>
  <c r="B461" i="15"/>
  <c r="D460" i="15"/>
  <c r="B460" i="15"/>
  <c r="D459" i="15"/>
  <c r="B459" i="15"/>
  <c r="D458" i="15"/>
  <c r="B458" i="15"/>
  <c r="D457" i="15"/>
  <c r="B457" i="15"/>
  <c r="D456" i="15"/>
  <c r="B456" i="15"/>
  <c r="D455" i="15"/>
  <c r="B455" i="15"/>
  <c r="D454" i="15"/>
  <c r="B454" i="15"/>
  <c r="D453" i="15"/>
  <c r="B453" i="15"/>
  <c r="D452" i="15"/>
  <c r="B452" i="15"/>
  <c r="D451" i="15"/>
  <c r="B451" i="15"/>
  <c r="D450" i="15"/>
  <c r="B450" i="15"/>
  <c r="D449" i="15"/>
  <c r="B449" i="15"/>
  <c r="D448" i="15"/>
  <c r="B448" i="15"/>
  <c r="D447" i="15"/>
  <c r="B447" i="15"/>
  <c r="D446" i="15"/>
  <c r="B446" i="15"/>
  <c r="D445" i="15"/>
  <c r="B445" i="15"/>
  <c r="D444" i="15"/>
  <c r="B444" i="15"/>
  <c r="D443" i="15"/>
  <c r="B443" i="15"/>
  <c r="D442" i="15"/>
  <c r="B442" i="15"/>
  <c r="D441" i="15"/>
  <c r="B441" i="15"/>
  <c r="D440" i="15"/>
  <c r="B440" i="15"/>
  <c r="D439" i="15"/>
  <c r="B439" i="15"/>
  <c r="D438" i="15"/>
  <c r="B438" i="15"/>
  <c r="D437" i="15"/>
  <c r="B437" i="15"/>
  <c r="D436" i="15"/>
  <c r="B436" i="15"/>
  <c r="D435" i="15"/>
  <c r="B435" i="15"/>
  <c r="D434" i="15"/>
  <c r="B434" i="15"/>
  <c r="D433" i="15"/>
  <c r="B433" i="15"/>
  <c r="D432" i="15"/>
  <c r="B432" i="15"/>
  <c r="D431" i="15"/>
  <c r="B431" i="15"/>
  <c r="D430" i="15"/>
  <c r="B430" i="15"/>
  <c r="D429" i="15"/>
  <c r="B429" i="15"/>
  <c r="D428" i="15"/>
  <c r="B428" i="15"/>
  <c r="D427" i="15"/>
  <c r="B427" i="15"/>
  <c r="D426" i="15"/>
  <c r="B426" i="15"/>
  <c r="D425" i="15"/>
  <c r="B425" i="15"/>
  <c r="D424" i="15"/>
  <c r="B424" i="15"/>
  <c r="D423" i="15"/>
  <c r="B423" i="15"/>
  <c r="D422" i="15"/>
  <c r="B422" i="15"/>
  <c r="D421" i="15"/>
  <c r="B421" i="15"/>
  <c r="D420" i="15"/>
  <c r="B420" i="15"/>
  <c r="D419" i="15"/>
  <c r="B419" i="15"/>
  <c r="D418" i="15"/>
  <c r="B418" i="15"/>
  <c r="D417" i="15"/>
  <c r="B417" i="15"/>
  <c r="D416" i="15"/>
  <c r="B416" i="15"/>
  <c r="D415" i="15"/>
  <c r="B415" i="15"/>
  <c r="D414" i="15"/>
  <c r="B414" i="15"/>
  <c r="D413" i="15"/>
  <c r="B413" i="15"/>
  <c r="D412" i="15"/>
  <c r="B412" i="15"/>
  <c r="D411" i="15"/>
  <c r="B411" i="15"/>
  <c r="B410" i="15"/>
  <c r="D409" i="15"/>
  <c r="B409" i="15"/>
  <c r="D408" i="15"/>
  <c r="B408" i="15"/>
  <c r="D407" i="15"/>
  <c r="B407" i="15"/>
  <c r="D406" i="15"/>
  <c r="B406" i="15"/>
  <c r="D405" i="15"/>
  <c r="B405" i="15"/>
  <c r="D404" i="15"/>
  <c r="B404" i="15"/>
  <c r="D403" i="15"/>
  <c r="B403" i="15"/>
  <c r="D402" i="15"/>
  <c r="B402" i="15"/>
  <c r="D401" i="15"/>
  <c r="B401" i="15"/>
  <c r="D400" i="15"/>
  <c r="B400" i="15"/>
  <c r="D399" i="15"/>
  <c r="B399" i="15"/>
  <c r="D398" i="15"/>
  <c r="B398" i="15"/>
  <c r="D397" i="15"/>
  <c r="B397" i="15"/>
  <c r="D396" i="15"/>
  <c r="B396" i="15"/>
  <c r="D395" i="15"/>
  <c r="B395" i="15"/>
  <c r="D394" i="15"/>
  <c r="B394" i="15"/>
  <c r="D393" i="15"/>
  <c r="B393" i="15"/>
  <c r="D392" i="15"/>
  <c r="B392" i="15"/>
  <c r="D391" i="15"/>
  <c r="B391" i="15"/>
  <c r="D390" i="15"/>
  <c r="B390" i="15"/>
  <c r="D389" i="15"/>
  <c r="B389" i="15"/>
  <c r="D388" i="15"/>
  <c r="B388" i="15"/>
  <c r="D387" i="15"/>
  <c r="B387" i="15"/>
  <c r="D386" i="15"/>
  <c r="B386" i="15"/>
  <c r="D385" i="15"/>
  <c r="B385" i="15"/>
  <c r="D384" i="15"/>
  <c r="B384" i="15"/>
  <c r="D383" i="15"/>
  <c r="B383" i="15"/>
  <c r="D382" i="15"/>
  <c r="B382" i="15"/>
  <c r="D381" i="15"/>
  <c r="B381" i="15"/>
  <c r="D380" i="15"/>
  <c r="B380" i="15"/>
  <c r="D379" i="15"/>
  <c r="B379" i="15"/>
  <c r="D378" i="15"/>
  <c r="B378" i="15"/>
  <c r="D377" i="15"/>
  <c r="B377" i="15"/>
  <c r="D376" i="15"/>
  <c r="B376" i="15"/>
  <c r="D375" i="15"/>
  <c r="B375" i="15"/>
  <c r="D374" i="15"/>
  <c r="B374" i="15"/>
  <c r="D373" i="15"/>
  <c r="B373" i="15"/>
  <c r="D372" i="15"/>
  <c r="B372" i="15"/>
  <c r="D371" i="15"/>
  <c r="B371" i="15"/>
  <c r="D370" i="15"/>
  <c r="B370" i="15"/>
  <c r="D369" i="15"/>
  <c r="B369" i="15"/>
  <c r="D368" i="15"/>
  <c r="B368" i="15"/>
  <c r="D367" i="15"/>
  <c r="B367" i="15"/>
  <c r="D366" i="15"/>
  <c r="B366" i="15"/>
  <c r="D365" i="15"/>
  <c r="B365" i="15"/>
  <c r="D364" i="15"/>
  <c r="B364" i="15"/>
  <c r="D363" i="15"/>
  <c r="B363" i="15"/>
  <c r="D362" i="15"/>
  <c r="B362" i="15"/>
  <c r="D361" i="15"/>
  <c r="B361" i="15"/>
  <c r="B360" i="15"/>
  <c r="D359" i="15"/>
  <c r="B359" i="15"/>
  <c r="D358" i="15"/>
  <c r="B358" i="15"/>
  <c r="D357" i="15"/>
  <c r="B357" i="15"/>
  <c r="D356" i="15"/>
  <c r="B356" i="15"/>
  <c r="D355" i="15"/>
  <c r="B355" i="15"/>
  <c r="D354" i="15"/>
  <c r="B354" i="15"/>
  <c r="D353" i="15"/>
  <c r="B353" i="15"/>
  <c r="D352" i="15"/>
  <c r="B352" i="15"/>
  <c r="D351" i="15"/>
  <c r="B351" i="15"/>
  <c r="D350" i="15"/>
  <c r="B350" i="15"/>
  <c r="D349" i="15"/>
  <c r="B349" i="15"/>
  <c r="D348" i="15"/>
  <c r="B348" i="15"/>
  <c r="D347" i="15"/>
  <c r="B347" i="15"/>
  <c r="D346" i="15"/>
  <c r="B346" i="15"/>
  <c r="D345" i="15"/>
  <c r="B345" i="15"/>
  <c r="D344" i="15"/>
  <c r="B344" i="15"/>
  <c r="D343" i="15"/>
  <c r="B343" i="15"/>
  <c r="D342" i="15"/>
  <c r="B342" i="15"/>
  <c r="D341" i="15"/>
  <c r="B341" i="15"/>
  <c r="D340" i="15"/>
  <c r="B340" i="15"/>
  <c r="D339" i="15"/>
  <c r="B339" i="15"/>
  <c r="D338" i="15"/>
  <c r="B338" i="15"/>
  <c r="D337" i="15"/>
  <c r="B337" i="15"/>
  <c r="D336" i="15"/>
  <c r="B336" i="15"/>
  <c r="D335" i="15"/>
  <c r="B335" i="15"/>
  <c r="D334" i="15"/>
  <c r="B334" i="15"/>
  <c r="D333" i="15"/>
  <c r="B333" i="15"/>
  <c r="D332" i="15"/>
  <c r="B332" i="15"/>
  <c r="D331" i="15"/>
  <c r="B331" i="15"/>
  <c r="D330" i="15"/>
  <c r="B330" i="15"/>
  <c r="D329" i="15"/>
  <c r="B329" i="15"/>
  <c r="D328" i="15"/>
  <c r="B328" i="15"/>
  <c r="D327" i="15"/>
  <c r="B327" i="15"/>
  <c r="D326" i="15"/>
  <c r="B326" i="15"/>
  <c r="D325" i="15"/>
  <c r="B325" i="15"/>
  <c r="D324" i="15"/>
  <c r="B324" i="15"/>
  <c r="D323" i="15"/>
  <c r="B323" i="15"/>
  <c r="D322" i="15"/>
  <c r="B322" i="15"/>
  <c r="D321" i="15"/>
  <c r="B321" i="15"/>
  <c r="D320" i="15"/>
  <c r="B320" i="15"/>
  <c r="D319" i="15"/>
  <c r="B319" i="15"/>
  <c r="D318" i="15"/>
  <c r="B318" i="15"/>
  <c r="D317" i="15"/>
  <c r="B317" i="15"/>
  <c r="D316" i="15"/>
  <c r="B316" i="15"/>
  <c r="D315" i="15"/>
  <c r="B315" i="15"/>
  <c r="D314" i="15"/>
  <c r="B314" i="15"/>
  <c r="D313" i="15"/>
  <c r="B313" i="15"/>
  <c r="D312" i="15"/>
  <c r="B312" i="15"/>
  <c r="D311" i="15"/>
  <c r="B311" i="15"/>
  <c r="D310" i="15"/>
  <c r="B310" i="15"/>
  <c r="D309" i="15"/>
  <c r="B309" i="15"/>
  <c r="D308" i="15"/>
  <c r="B308" i="15"/>
  <c r="D307" i="15"/>
  <c r="B307" i="15"/>
  <c r="D306" i="15"/>
  <c r="B306" i="15"/>
  <c r="D305" i="15"/>
  <c r="B305" i="15"/>
  <c r="D304" i="15"/>
  <c r="B304" i="15"/>
  <c r="D303" i="15"/>
  <c r="B303" i="15"/>
  <c r="D302" i="15"/>
  <c r="B302" i="15"/>
  <c r="D301" i="15"/>
  <c r="B301" i="15"/>
  <c r="D300" i="15"/>
  <c r="B300" i="15"/>
  <c r="D299" i="15"/>
  <c r="B299" i="15"/>
  <c r="D298" i="15"/>
  <c r="B298" i="15"/>
  <c r="D297" i="15"/>
  <c r="B297" i="15"/>
  <c r="D296" i="15"/>
  <c r="B296" i="15"/>
  <c r="D295" i="15"/>
  <c r="B295" i="15"/>
  <c r="D294" i="15"/>
  <c r="B294" i="15"/>
  <c r="D293" i="15"/>
  <c r="B293" i="15"/>
  <c r="D292" i="15"/>
  <c r="B292" i="15"/>
  <c r="D291" i="15"/>
  <c r="B291" i="15"/>
  <c r="D290" i="15"/>
  <c r="B290" i="15"/>
  <c r="D289" i="15"/>
  <c r="B289" i="15"/>
  <c r="D288" i="15"/>
  <c r="B288" i="15"/>
  <c r="D287" i="15"/>
  <c r="B287" i="15"/>
  <c r="D286" i="15"/>
  <c r="B286" i="15"/>
  <c r="D285" i="15"/>
  <c r="B285" i="15"/>
  <c r="D284" i="15"/>
  <c r="B284" i="15"/>
  <c r="D283" i="15"/>
  <c r="B283" i="15"/>
  <c r="D282" i="15"/>
  <c r="B282" i="15"/>
  <c r="D281" i="15"/>
  <c r="B281" i="15"/>
  <c r="D280" i="15"/>
  <c r="B280" i="15"/>
  <c r="D279" i="15"/>
  <c r="B279" i="15"/>
  <c r="D278" i="15"/>
  <c r="B278" i="15"/>
  <c r="D277" i="15"/>
  <c r="B277" i="15"/>
  <c r="D276" i="15"/>
  <c r="B276" i="15"/>
  <c r="D275" i="15"/>
  <c r="B275" i="15"/>
  <c r="D274" i="15"/>
  <c r="B274" i="15"/>
  <c r="D273" i="15"/>
  <c r="B273" i="15"/>
  <c r="D272" i="15"/>
  <c r="B272" i="15"/>
  <c r="D271" i="15"/>
  <c r="B271" i="15"/>
  <c r="D270" i="15"/>
  <c r="B270" i="15"/>
  <c r="D269" i="15"/>
  <c r="B269" i="15"/>
  <c r="D268" i="15"/>
  <c r="B268" i="15"/>
  <c r="D267" i="15"/>
  <c r="B267" i="15"/>
  <c r="D266" i="15"/>
  <c r="B266" i="15"/>
  <c r="D265" i="15"/>
  <c r="B265" i="15"/>
  <c r="D264" i="15"/>
  <c r="B264" i="15"/>
  <c r="D263" i="15"/>
  <c r="B263" i="15"/>
  <c r="D262" i="15"/>
  <c r="B262" i="15"/>
  <c r="D261" i="15"/>
  <c r="B261" i="15"/>
  <c r="D260" i="15"/>
  <c r="B260" i="15"/>
  <c r="D259" i="15"/>
  <c r="B259" i="15"/>
  <c r="D258" i="15"/>
  <c r="B258" i="15"/>
  <c r="D257" i="15"/>
  <c r="B257" i="15"/>
  <c r="D256" i="15"/>
  <c r="B256" i="15"/>
  <c r="D255" i="15"/>
  <c r="B255" i="15"/>
  <c r="D254" i="15"/>
  <c r="B254" i="15"/>
  <c r="D253" i="15"/>
  <c r="B253" i="15"/>
  <c r="D252" i="15"/>
  <c r="B252" i="15"/>
  <c r="D251" i="15"/>
  <c r="B251" i="15"/>
  <c r="B250" i="15"/>
  <c r="D249" i="15"/>
  <c r="B249" i="15"/>
  <c r="D248" i="15"/>
  <c r="B248" i="15"/>
  <c r="D247" i="15"/>
  <c r="B247" i="15"/>
  <c r="D246" i="15"/>
  <c r="B246" i="15"/>
  <c r="D245" i="15"/>
  <c r="B245" i="15"/>
  <c r="D244" i="15"/>
  <c r="B244" i="15"/>
  <c r="D243" i="15"/>
  <c r="B243" i="15"/>
  <c r="D242" i="15"/>
  <c r="B242" i="15"/>
  <c r="D241" i="15"/>
  <c r="B241" i="15"/>
  <c r="D240" i="15"/>
  <c r="B240" i="15"/>
  <c r="D239" i="15"/>
  <c r="B239" i="15"/>
  <c r="D238" i="15"/>
  <c r="B238" i="15"/>
  <c r="D237" i="15"/>
  <c r="B237" i="15"/>
  <c r="D236" i="15"/>
  <c r="B236" i="15"/>
  <c r="D235" i="15"/>
  <c r="B235" i="15"/>
  <c r="D234" i="15"/>
  <c r="B234" i="15"/>
  <c r="D233" i="15"/>
  <c r="B233" i="15"/>
  <c r="D232" i="15"/>
  <c r="B232" i="15"/>
  <c r="D231" i="15"/>
  <c r="B231" i="15"/>
  <c r="D230" i="15"/>
  <c r="B230" i="15"/>
  <c r="D229" i="15"/>
  <c r="B229" i="15"/>
  <c r="D228" i="15"/>
  <c r="B228" i="15"/>
  <c r="D227" i="15"/>
  <c r="B227" i="15"/>
  <c r="D226" i="15"/>
  <c r="B226" i="15"/>
  <c r="D225" i="15"/>
  <c r="B225" i="15"/>
  <c r="D224" i="15"/>
  <c r="B224" i="15"/>
  <c r="D223" i="15"/>
  <c r="B223" i="15"/>
  <c r="D222" i="15"/>
  <c r="B222" i="15"/>
  <c r="D221" i="15"/>
  <c r="B221" i="15"/>
  <c r="D220" i="15"/>
  <c r="B220" i="15"/>
  <c r="D219" i="15"/>
  <c r="B219" i="15"/>
  <c r="D218" i="15"/>
  <c r="B218" i="15"/>
  <c r="D217" i="15"/>
  <c r="B217" i="15"/>
  <c r="D216" i="15"/>
  <c r="B216" i="15"/>
  <c r="D215" i="15"/>
  <c r="B215" i="15"/>
  <c r="D214" i="15"/>
  <c r="B214" i="15"/>
  <c r="D213" i="15"/>
  <c r="B213" i="15"/>
  <c r="D212" i="15"/>
  <c r="B212" i="15"/>
  <c r="D211" i="15"/>
  <c r="B211" i="15"/>
  <c r="D210" i="15"/>
  <c r="B210" i="15"/>
  <c r="D209" i="15"/>
  <c r="B209" i="15"/>
  <c r="D208" i="15"/>
  <c r="B208" i="15"/>
  <c r="D207" i="15"/>
  <c r="B207" i="15"/>
  <c r="D206" i="15"/>
  <c r="B206" i="15"/>
  <c r="D205" i="15"/>
  <c r="B205" i="15"/>
  <c r="D204" i="15"/>
  <c r="B204" i="15"/>
  <c r="D203" i="15"/>
  <c r="B203" i="15"/>
  <c r="D202" i="15"/>
  <c r="B202" i="15"/>
  <c r="D201" i="15"/>
  <c r="B201" i="15"/>
  <c r="D200" i="15"/>
  <c r="B200" i="15"/>
  <c r="D199" i="15"/>
  <c r="B199" i="15"/>
  <c r="D198" i="15"/>
  <c r="B198" i="15"/>
  <c r="D197" i="15"/>
  <c r="B197" i="15"/>
  <c r="D196" i="15"/>
  <c r="B196" i="15"/>
  <c r="D195" i="15"/>
  <c r="B195" i="15"/>
  <c r="D194" i="15"/>
  <c r="B194" i="15"/>
  <c r="D193" i="15"/>
  <c r="B193" i="15"/>
  <c r="D192" i="15"/>
  <c r="B192" i="15"/>
  <c r="D191" i="15"/>
  <c r="B191" i="15"/>
  <c r="D190" i="15"/>
  <c r="B190" i="15"/>
  <c r="D189" i="15"/>
  <c r="B189" i="15"/>
  <c r="D188" i="15"/>
  <c r="B188" i="15"/>
  <c r="D187" i="15"/>
  <c r="B187" i="15"/>
  <c r="D186" i="15"/>
  <c r="B186" i="15"/>
  <c r="D185" i="15"/>
  <c r="B185" i="15"/>
  <c r="D184" i="15"/>
  <c r="B184" i="15"/>
  <c r="D183" i="15"/>
  <c r="B183" i="15"/>
  <c r="D182" i="15"/>
  <c r="B182" i="15"/>
  <c r="D181" i="15"/>
  <c r="B181" i="15"/>
  <c r="D180" i="15"/>
  <c r="B180" i="15"/>
  <c r="D179" i="15"/>
  <c r="B179" i="15"/>
  <c r="D178" i="15"/>
  <c r="B178" i="15"/>
  <c r="D177" i="15"/>
  <c r="B177" i="15"/>
  <c r="D176" i="15"/>
  <c r="B176" i="15"/>
  <c r="D175" i="15"/>
  <c r="B175" i="15"/>
  <c r="D174" i="15"/>
  <c r="B174" i="15"/>
  <c r="D173" i="15"/>
  <c r="B173" i="15"/>
  <c r="D172" i="15"/>
  <c r="B172" i="15"/>
  <c r="D171" i="15"/>
  <c r="B171" i="15"/>
  <c r="B170" i="15"/>
  <c r="D169" i="15"/>
  <c r="B169" i="15"/>
  <c r="D168" i="15"/>
  <c r="B168" i="15"/>
  <c r="D167" i="15"/>
  <c r="B167" i="15"/>
  <c r="D166" i="15"/>
  <c r="B166" i="15"/>
  <c r="D165" i="15"/>
  <c r="B165" i="15"/>
  <c r="D164" i="15"/>
  <c r="B164" i="15"/>
  <c r="D163" i="15"/>
  <c r="B163" i="15"/>
  <c r="D162" i="15"/>
  <c r="B162" i="15"/>
  <c r="D161" i="15"/>
  <c r="B161" i="15"/>
  <c r="D160" i="15"/>
  <c r="B160" i="15"/>
  <c r="D159" i="15"/>
  <c r="B159" i="15"/>
  <c r="D158" i="15"/>
  <c r="B158" i="15"/>
  <c r="D157" i="15"/>
  <c r="B157" i="15"/>
  <c r="D156" i="15"/>
  <c r="B156" i="15"/>
  <c r="D155" i="15"/>
  <c r="B155" i="15"/>
  <c r="D154" i="15"/>
  <c r="B154" i="15"/>
  <c r="D153" i="15"/>
  <c r="B153" i="15"/>
  <c r="D152" i="15"/>
  <c r="B152" i="15"/>
  <c r="D151" i="15"/>
  <c r="B151" i="15"/>
  <c r="D150" i="15"/>
  <c r="B150" i="15"/>
  <c r="D149" i="15"/>
  <c r="B149" i="15"/>
  <c r="D148" i="15"/>
  <c r="B148" i="15"/>
  <c r="D147" i="15"/>
  <c r="B147" i="15"/>
  <c r="D146" i="15"/>
  <c r="B146" i="15"/>
  <c r="D145" i="15"/>
  <c r="B145" i="15"/>
  <c r="D144" i="15"/>
  <c r="B144" i="15"/>
  <c r="D143" i="15"/>
  <c r="B143" i="15"/>
  <c r="D142" i="15"/>
  <c r="B142" i="15"/>
  <c r="D141" i="15"/>
  <c r="B141" i="15"/>
  <c r="B140" i="15"/>
  <c r="D139" i="15"/>
  <c r="B139" i="15"/>
  <c r="D138" i="15"/>
  <c r="B138" i="15"/>
  <c r="D137" i="15"/>
  <c r="B137" i="15"/>
  <c r="D136" i="15"/>
  <c r="B136" i="15"/>
  <c r="D135" i="15"/>
  <c r="B135" i="15"/>
  <c r="D134" i="15"/>
  <c r="B134" i="15"/>
  <c r="D133" i="15"/>
  <c r="B133" i="15"/>
  <c r="D132" i="15"/>
  <c r="B132" i="15"/>
  <c r="D131" i="15"/>
  <c r="B131" i="15"/>
  <c r="D130" i="15"/>
  <c r="B130" i="15"/>
  <c r="D129" i="15"/>
  <c r="B129" i="15"/>
  <c r="D128" i="15"/>
  <c r="B128" i="15"/>
  <c r="D127" i="15"/>
  <c r="B127" i="15"/>
  <c r="D126" i="15"/>
  <c r="B126" i="15"/>
  <c r="D125" i="15"/>
  <c r="B125" i="15"/>
  <c r="D124" i="15"/>
  <c r="B124" i="15"/>
  <c r="D123" i="15"/>
  <c r="B123" i="15"/>
  <c r="D122" i="15"/>
  <c r="B122" i="15"/>
  <c r="D121" i="15"/>
  <c r="B121" i="15"/>
  <c r="D120" i="15"/>
  <c r="B120" i="15"/>
  <c r="D119" i="15"/>
  <c r="B119" i="15"/>
  <c r="D118" i="15"/>
  <c r="B118" i="15"/>
  <c r="D117" i="15"/>
  <c r="B117" i="15"/>
  <c r="D116" i="15"/>
  <c r="B116" i="15"/>
  <c r="D115" i="15"/>
  <c r="B115" i="15"/>
  <c r="D114" i="15"/>
  <c r="B114" i="15"/>
  <c r="D113" i="15"/>
  <c r="B113" i="15"/>
  <c r="D112" i="15"/>
  <c r="B112" i="15"/>
  <c r="D111" i="15"/>
  <c r="B111" i="15"/>
  <c r="D110" i="15"/>
  <c r="B110" i="15"/>
  <c r="D109" i="15"/>
  <c r="B109" i="15"/>
  <c r="D108" i="15"/>
  <c r="B108" i="15"/>
  <c r="D107" i="15"/>
  <c r="B107" i="15"/>
  <c r="D106" i="15"/>
  <c r="B106" i="15"/>
  <c r="D105" i="15"/>
  <c r="B105" i="15"/>
  <c r="D104" i="15"/>
  <c r="B104" i="15"/>
  <c r="D103" i="15"/>
  <c r="B103" i="15"/>
  <c r="D102" i="15"/>
  <c r="B102" i="15"/>
  <c r="D101" i="15"/>
  <c r="B101" i="15"/>
  <c r="D100" i="15"/>
  <c r="B100" i="15"/>
  <c r="D99" i="15"/>
  <c r="B99" i="15"/>
  <c r="D98" i="15"/>
  <c r="B98" i="15"/>
  <c r="D97" i="15"/>
  <c r="B97" i="15"/>
  <c r="D96" i="15"/>
  <c r="B96" i="15"/>
  <c r="D95" i="15"/>
  <c r="B95" i="15"/>
  <c r="D94" i="15"/>
  <c r="B94" i="15"/>
  <c r="D93" i="15"/>
  <c r="B93" i="15"/>
  <c r="D92" i="15"/>
  <c r="B92" i="15"/>
  <c r="D91" i="15"/>
  <c r="B91" i="15"/>
  <c r="D90" i="15"/>
  <c r="B90" i="15"/>
  <c r="D89" i="15"/>
  <c r="B89" i="15"/>
  <c r="D88" i="15"/>
  <c r="B88" i="15"/>
  <c r="D87" i="15"/>
  <c r="B87" i="15"/>
  <c r="D86" i="15"/>
  <c r="B86" i="15"/>
  <c r="D85" i="15"/>
  <c r="B85" i="15"/>
  <c r="D84" i="15"/>
  <c r="B84" i="15"/>
  <c r="D83" i="15"/>
  <c r="B83" i="15"/>
  <c r="D82" i="15"/>
  <c r="B82" i="15"/>
  <c r="D81" i="15"/>
  <c r="B81" i="15"/>
  <c r="D80" i="15"/>
  <c r="B80" i="15"/>
  <c r="D79" i="15"/>
  <c r="B79" i="15"/>
  <c r="D78" i="15"/>
  <c r="B78" i="15"/>
  <c r="D77" i="15"/>
  <c r="B77" i="15"/>
  <c r="D76" i="15"/>
  <c r="B76" i="15"/>
  <c r="D75" i="15"/>
  <c r="B75" i="15"/>
  <c r="D74" i="15"/>
  <c r="B74" i="15"/>
  <c r="D73" i="15"/>
  <c r="B73" i="15"/>
  <c r="D72" i="15"/>
  <c r="B72" i="15"/>
  <c r="D71" i="15"/>
  <c r="B71" i="15"/>
  <c r="B70" i="15"/>
  <c r="D69" i="15"/>
  <c r="B69" i="15"/>
  <c r="D68" i="15"/>
  <c r="B68" i="15"/>
  <c r="D67" i="15"/>
  <c r="B67" i="15"/>
  <c r="D66" i="15"/>
  <c r="B66" i="15"/>
  <c r="D65" i="15"/>
  <c r="B65" i="15"/>
  <c r="D64" i="15"/>
  <c r="B64" i="15"/>
  <c r="D63" i="15"/>
  <c r="B63" i="15"/>
  <c r="D62" i="15"/>
  <c r="B62" i="15"/>
  <c r="D61" i="15"/>
  <c r="B61" i="15"/>
  <c r="B60" i="15"/>
  <c r="D59" i="15"/>
  <c r="B59" i="15"/>
  <c r="D58" i="15"/>
  <c r="B58" i="15"/>
  <c r="D57" i="15"/>
  <c r="B57" i="15"/>
  <c r="D56" i="15"/>
  <c r="B56" i="15"/>
  <c r="D55" i="15"/>
  <c r="B55" i="15"/>
  <c r="D54" i="15"/>
  <c r="B54" i="15"/>
  <c r="D53" i="15"/>
  <c r="B53" i="15"/>
  <c r="D52" i="15"/>
  <c r="B52" i="15"/>
  <c r="D51" i="15"/>
  <c r="B51" i="15"/>
  <c r="D50" i="15"/>
  <c r="B50" i="15"/>
  <c r="D49" i="15"/>
  <c r="B49" i="15"/>
  <c r="D48" i="15"/>
  <c r="B48" i="15"/>
  <c r="D47" i="15"/>
  <c r="B47" i="15"/>
  <c r="D46" i="15"/>
  <c r="B46" i="15"/>
  <c r="D45" i="15"/>
  <c r="B45" i="15"/>
  <c r="D44" i="15"/>
  <c r="B44" i="15"/>
  <c r="D43" i="15"/>
  <c r="B43" i="15"/>
  <c r="D42" i="15"/>
  <c r="B42" i="15"/>
  <c r="D41" i="15"/>
  <c r="B41" i="15"/>
  <c r="D40" i="15"/>
  <c r="B40" i="15"/>
  <c r="D39" i="15"/>
  <c r="B39" i="15"/>
  <c r="D38" i="15"/>
  <c r="B38" i="15"/>
  <c r="D37" i="15"/>
  <c r="B37" i="15"/>
  <c r="D36" i="15"/>
  <c r="B36" i="15"/>
  <c r="D35" i="15"/>
  <c r="B35" i="15"/>
  <c r="D34" i="15"/>
  <c r="B34" i="15"/>
  <c r="D33" i="15"/>
  <c r="B33" i="15"/>
  <c r="D32" i="15"/>
  <c r="B32" i="15"/>
  <c r="D31" i="15"/>
  <c r="B31" i="15"/>
  <c r="D30" i="15"/>
  <c r="B30" i="15"/>
  <c r="D29" i="15"/>
  <c r="B29" i="15"/>
  <c r="D28" i="15"/>
  <c r="B28" i="15"/>
  <c r="D27" i="15"/>
  <c r="B27" i="15"/>
  <c r="D26" i="15"/>
  <c r="B26" i="15"/>
  <c r="D25" i="15"/>
  <c r="B25" i="15"/>
  <c r="D24" i="15"/>
  <c r="B24" i="15"/>
  <c r="D23" i="15"/>
  <c r="B23" i="15"/>
  <c r="D22" i="15"/>
  <c r="B22" i="15"/>
  <c r="D21" i="15"/>
  <c r="B21" i="15"/>
  <c r="D20" i="15"/>
  <c r="B20" i="15"/>
  <c r="D19" i="15"/>
  <c r="B19" i="15"/>
  <c r="D18" i="15"/>
  <c r="B18" i="15"/>
  <c r="D17" i="15"/>
  <c r="B17" i="15"/>
  <c r="D16" i="15"/>
  <c r="B16" i="15"/>
  <c r="D15" i="15"/>
  <c r="B15" i="15"/>
  <c r="D14" i="15"/>
  <c r="B14" i="15"/>
  <c r="D13" i="15"/>
  <c r="B13" i="15"/>
  <c r="D12" i="15"/>
  <c r="B12" i="15"/>
  <c r="D11" i="15"/>
  <c r="B11" i="15"/>
  <c r="D10" i="15"/>
  <c r="B10" i="15"/>
  <c r="D9" i="15"/>
  <c r="B9" i="15"/>
  <c r="D8" i="15"/>
  <c r="B8" i="15"/>
  <c r="D7" i="15"/>
  <c r="B7" i="15"/>
  <c r="D6" i="15"/>
  <c r="B6" i="15"/>
  <c r="D5" i="15"/>
  <c r="B5" i="15"/>
  <c r="D4" i="15"/>
  <c r="B4" i="15"/>
  <c r="E3" i="15"/>
  <c r="E4" i="15" s="1"/>
  <c r="E5" i="15" s="1"/>
  <c r="E6" i="15" s="1"/>
  <c r="E7" i="15" s="1"/>
  <c r="E8" i="15" s="1"/>
  <c r="E9" i="15" s="1"/>
  <c r="D3" i="15"/>
  <c r="B3" i="15"/>
  <c r="D2" i="15"/>
  <c r="B2" i="15"/>
  <c r="D3" i="14"/>
  <c r="D4" i="14" s="1"/>
  <c r="D5" i="14" s="1"/>
  <c r="D6" i="14" s="1"/>
  <c r="D7" i="14" s="1"/>
  <c r="D8" i="14" s="1"/>
  <c r="D9" i="14" s="1"/>
  <c r="D10" i="14" s="1"/>
  <c r="D11" i="14" s="1"/>
  <c r="D12" i="14" s="1"/>
  <c r="D13" i="14" s="1"/>
  <c r="D14" i="14" s="1"/>
  <c r="D15" i="14" s="1"/>
  <c r="D16" i="14" s="1"/>
  <c r="D17" i="14" s="1"/>
  <c r="D18" i="14" s="1"/>
  <c r="A2" i="14"/>
  <c r="D1349" i="15" s="1"/>
  <c r="D230" i="13"/>
  <c r="B230" i="13"/>
  <c r="D229" i="13"/>
  <c r="B229" i="13"/>
  <c r="D228" i="13"/>
  <c r="B228" i="13"/>
  <c r="D227" i="13"/>
  <c r="B227" i="13"/>
  <c r="D226" i="13"/>
  <c r="B226" i="13"/>
  <c r="D225" i="13"/>
  <c r="B225" i="13"/>
  <c r="D224" i="13"/>
  <c r="B224" i="13"/>
  <c r="D223" i="13"/>
  <c r="B223" i="13"/>
  <c r="D222" i="13"/>
  <c r="B222" i="13"/>
  <c r="D221" i="13"/>
  <c r="B221" i="13"/>
  <c r="D220" i="13"/>
  <c r="B220" i="13"/>
  <c r="D219" i="13"/>
  <c r="B219" i="13"/>
  <c r="D218" i="13"/>
  <c r="B218" i="13"/>
  <c r="D217" i="13"/>
  <c r="B217" i="13"/>
  <c r="D216" i="13"/>
  <c r="B216" i="13"/>
  <c r="D215" i="13"/>
  <c r="B215" i="13"/>
  <c r="D214" i="13"/>
  <c r="B214" i="13"/>
  <c r="D213" i="13"/>
  <c r="B213" i="13"/>
  <c r="D212" i="13"/>
  <c r="B212" i="13"/>
  <c r="D211" i="13"/>
  <c r="B211" i="13"/>
  <c r="D210" i="13"/>
  <c r="B210" i="13"/>
  <c r="D209" i="13"/>
  <c r="B209" i="13"/>
  <c r="D208" i="13"/>
  <c r="B208" i="13"/>
  <c r="D207" i="13"/>
  <c r="B207" i="13"/>
  <c r="D206" i="13"/>
  <c r="B206" i="13"/>
  <c r="D205" i="13"/>
  <c r="B205" i="13"/>
  <c r="D204" i="13"/>
  <c r="B204" i="13"/>
  <c r="D203" i="13"/>
  <c r="B203" i="13"/>
  <c r="D202" i="13"/>
  <c r="B202" i="13"/>
  <c r="D201" i="13"/>
  <c r="B201" i="13"/>
  <c r="D200" i="13"/>
  <c r="B200" i="13"/>
  <c r="D199" i="13"/>
  <c r="B199" i="13"/>
  <c r="D198" i="13"/>
  <c r="B198" i="13"/>
  <c r="D197" i="13"/>
  <c r="B197" i="13"/>
  <c r="D196" i="13"/>
  <c r="B196" i="13"/>
  <c r="D195" i="13"/>
  <c r="B195" i="13"/>
  <c r="D194" i="13"/>
  <c r="B194" i="13"/>
  <c r="D193" i="13"/>
  <c r="B193" i="13"/>
  <c r="D192" i="13"/>
  <c r="B192" i="13"/>
  <c r="D191" i="13"/>
  <c r="B191" i="13"/>
  <c r="D190" i="13"/>
  <c r="B190" i="13"/>
  <c r="D189" i="13"/>
  <c r="B189" i="13"/>
  <c r="D188" i="13"/>
  <c r="B188" i="13"/>
  <c r="D187" i="13"/>
  <c r="B187" i="13"/>
  <c r="D186" i="13"/>
  <c r="B186" i="13"/>
  <c r="D185" i="13"/>
  <c r="B185" i="13"/>
  <c r="D184" i="13"/>
  <c r="B184" i="13"/>
  <c r="D183" i="13"/>
  <c r="B183" i="13"/>
  <c r="D182" i="13"/>
  <c r="B182" i="13"/>
  <c r="D181" i="13"/>
  <c r="B181" i="13"/>
  <c r="D180" i="13"/>
  <c r="B180" i="13"/>
  <c r="D179" i="13"/>
  <c r="B179" i="13"/>
  <c r="D178" i="13"/>
  <c r="B178" i="13"/>
  <c r="D177" i="13"/>
  <c r="B177" i="13"/>
  <c r="D176" i="13"/>
  <c r="B176" i="13"/>
  <c r="D175" i="13"/>
  <c r="B175" i="13"/>
  <c r="D174" i="13"/>
  <c r="B174" i="13"/>
  <c r="D173" i="13"/>
  <c r="B173" i="13"/>
  <c r="D172" i="13"/>
  <c r="B172" i="13"/>
  <c r="D171" i="13"/>
  <c r="B171" i="13"/>
  <c r="D170" i="13"/>
  <c r="B170" i="13"/>
  <c r="D169" i="13"/>
  <c r="B169" i="13"/>
  <c r="D168" i="13"/>
  <c r="B168" i="13"/>
  <c r="D167" i="13"/>
  <c r="B167" i="13"/>
  <c r="D166" i="13"/>
  <c r="B166" i="13"/>
  <c r="D165" i="13"/>
  <c r="B165" i="13"/>
  <c r="D164" i="13"/>
  <c r="B164" i="13"/>
  <c r="D163" i="13"/>
  <c r="B163" i="13"/>
  <c r="D162" i="13"/>
  <c r="B162" i="13"/>
  <c r="D161" i="13"/>
  <c r="B161" i="13"/>
  <c r="D160" i="13"/>
  <c r="B160" i="13"/>
  <c r="D159" i="13"/>
  <c r="B159" i="13"/>
  <c r="D158" i="13"/>
  <c r="B158" i="13"/>
  <c r="D157" i="13"/>
  <c r="B157" i="13"/>
  <c r="D156" i="13"/>
  <c r="B156" i="13"/>
  <c r="D155" i="13"/>
  <c r="B155" i="13"/>
  <c r="D154" i="13"/>
  <c r="B154" i="13"/>
  <c r="D153" i="13"/>
  <c r="B153" i="13"/>
  <c r="D152" i="13"/>
  <c r="B152" i="13"/>
  <c r="D151" i="13"/>
  <c r="B151" i="13"/>
  <c r="D150" i="13"/>
  <c r="B150" i="13"/>
  <c r="D149" i="13"/>
  <c r="B149" i="13"/>
  <c r="D148" i="13"/>
  <c r="B148" i="13"/>
  <c r="D147" i="13"/>
  <c r="B147" i="13"/>
  <c r="D146" i="13"/>
  <c r="B146" i="13"/>
  <c r="D145" i="13"/>
  <c r="B145" i="13"/>
  <c r="D144" i="13"/>
  <c r="B144" i="13"/>
  <c r="D143" i="13"/>
  <c r="B143" i="13"/>
  <c r="D142" i="13"/>
  <c r="B142" i="13"/>
  <c r="D141" i="13"/>
  <c r="B141" i="13"/>
  <c r="D140" i="13"/>
  <c r="B140" i="13"/>
  <c r="D139" i="13"/>
  <c r="B139" i="13"/>
  <c r="D138" i="13"/>
  <c r="B138" i="13"/>
  <c r="D137" i="13"/>
  <c r="B137" i="13"/>
  <c r="D136" i="13"/>
  <c r="B136" i="13"/>
  <c r="D135" i="13"/>
  <c r="B135" i="13"/>
  <c r="D134" i="13"/>
  <c r="B134" i="13"/>
  <c r="D133" i="13"/>
  <c r="B133" i="13"/>
  <c r="D132" i="13"/>
  <c r="B132" i="13"/>
  <c r="D131" i="13"/>
  <c r="B131" i="13"/>
  <c r="D130" i="13"/>
  <c r="B130" i="13"/>
  <c r="D129" i="13"/>
  <c r="B129" i="13"/>
  <c r="D128" i="13"/>
  <c r="B128" i="13"/>
  <c r="D127" i="13"/>
  <c r="B127" i="13"/>
  <c r="D126" i="13"/>
  <c r="B126" i="13"/>
  <c r="D125" i="13"/>
  <c r="B125" i="13"/>
  <c r="D124" i="13"/>
  <c r="B124" i="13"/>
  <c r="D123" i="13"/>
  <c r="B123" i="13"/>
  <c r="D122" i="13"/>
  <c r="B122" i="13"/>
  <c r="D121" i="13"/>
  <c r="B121" i="13"/>
  <c r="D120" i="13"/>
  <c r="B120" i="13"/>
  <c r="D119" i="13"/>
  <c r="B119" i="13"/>
  <c r="D118" i="13"/>
  <c r="B118" i="13"/>
  <c r="D117" i="13"/>
  <c r="B117" i="13"/>
  <c r="D116" i="13"/>
  <c r="B116" i="13"/>
  <c r="D115" i="13"/>
  <c r="B115" i="13"/>
  <c r="D114" i="13"/>
  <c r="B114" i="13"/>
  <c r="D113" i="13"/>
  <c r="B113" i="13"/>
  <c r="D112" i="13"/>
  <c r="B112" i="13"/>
  <c r="D111" i="13"/>
  <c r="B111" i="13"/>
  <c r="D110" i="13"/>
  <c r="B110" i="13"/>
  <c r="D109" i="13"/>
  <c r="B109" i="13"/>
  <c r="D108" i="13"/>
  <c r="B108" i="13"/>
  <c r="D107" i="13"/>
  <c r="B107" i="13"/>
  <c r="D106" i="13"/>
  <c r="B106" i="13"/>
  <c r="D105" i="13"/>
  <c r="B105" i="13"/>
  <c r="D104" i="13"/>
  <c r="B104" i="13"/>
  <c r="D103" i="13"/>
  <c r="B103" i="13"/>
  <c r="D102" i="13"/>
  <c r="B102" i="13"/>
  <c r="D101" i="13"/>
  <c r="B101" i="13"/>
  <c r="D100" i="13"/>
  <c r="B100" i="13"/>
  <c r="D99" i="13"/>
  <c r="B99" i="13"/>
  <c r="D98" i="13"/>
  <c r="B98" i="13"/>
  <c r="D97" i="13"/>
  <c r="B97" i="13"/>
  <c r="D96" i="13"/>
  <c r="B96" i="13"/>
  <c r="D95" i="13"/>
  <c r="B95" i="13"/>
  <c r="D94" i="13"/>
  <c r="B94" i="13"/>
  <c r="D93" i="13"/>
  <c r="B93" i="13"/>
  <c r="D92" i="13"/>
  <c r="B92" i="13"/>
  <c r="D91" i="13"/>
  <c r="B91" i="13"/>
  <c r="D90" i="13"/>
  <c r="B90" i="13"/>
  <c r="D89" i="13"/>
  <c r="B89" i="13"/>
  <c r="D88" i="13"/>
  <c r="B88" i="13"/>
  <c r="D87" i="13"/>
  <c r="B87" i="13"/>
  <c r="D86" i="13"/>
  <c r="B86" i="13"/>
  <c r="D85" i="13"/>
  <c r="B85" i="13"/>
  <c r="D84" i="13"/>
  <c r="B84" i="13"/>
  <c r="D83" i="13"/>
  <c r="B83" i="13"/>
  <c r="D82" i="13"/>
  <c r="B82" i="13"/>
  <c r="D81" i="13"/>
  <c r="B81" i="13"/>
  <c r="D80" i="13"/>
  <c r="B80" i="13"/>
  <c r="D79" i="13"/>
  <c r="B79" i="13"/>
  <c r="D78" i="13"/>
  <c r="B78" i="13"/>
  <c r="D77" i="13"/>
  <c r="B77" i="13"/>
  <c r="D76" i="13"/>
  <c r="B76" i="13"/>
  <c r="D75" i="13"/>
  <c r="B75" i="13"/>
  <c r="D74" i="13"/>
  <c r="B74" i="13"/>
  <c r="D73" i="13"/>
  <c r="B73" i="13"/>
  <c r="D72" i="13"/>
  <c r="B72" i="13"/>
  <c r="D71" i="13"/>
  <c r="B71" i="13"/>
  <c r="D70" i="13"/>
  <c r="B70" i="13"/>
  <c r="D69" i="13"/>
  <c r="B69" i="13"/>
  <c r="D68" i="13"/>
  <c r="B68" i="13"/>
  <c r="D67" i="13"/>
  <c r="B67" i="13"/>
  <c r="D66" i="13"/>
  <c r="B66" i="13"/>
  <c r="D65" i="13"/>
  <c r="B65" i="13"/>
  <c r="D64" i="13"/>
  <c r="B64" i="13"/>
  <c r="D63" i="13"/>
  <c r="B63" i="13"/>
  <c r="D62" i="13"/>
  <c r="B62" i="13"/>
  <c r="D61" i="13"/>
  <c r="B61" i="13"/>
  <c r="D60" i="13"/>
  <c r="B60" i="13"/>
  <c r="D59" i="13"/>
  <c r="B59" i="13"/>
  <c r="D58" i="13"/>
  <c r="B58" i="13"/>
  <c r="D57" i="13"/>
  <c r="B57" i="13"/>
  <c r="D56" i="13"/>
  <c r="B56" i="13"/>
  <c r="D55" i="13"/>
  <c r="B55" i="13"/>
  <c r="D54" i="13"/>
  <c r="B54" i="13"/>
  <c r="D53" i="13"/>
  <c r="B53" i="13"/>
  <c r="D52" i="13"/>
  <c r="B52" i="13"/>
  <c r="D51" i="13"/>
  <c r="B51" i="13"/>
  <c r="D50" i="13"/>
  <c r="B50" i="13"/>
  <c r="D49" i="13"/>
  <c r="B49" i="13"/>
  <c r="D48" i="13"/>
  <c r="B48" i="13"/>
  <c r="D47" i="13"/>
  <c r="B47" i="13"/>
  <c r="D46" i="13"/>
  <c r="B46" i="13"/>
  <c r="D45" i="13"/>
  <c r="B45" i="13"/>
  <c r="D44" i="13"/>
  <c r="B44" i="13"/>
  <c r="D43" i="13"/>
  <c r="B43" i="13"/>
  <c r="D42" i="13"/>
  <c r="B42" i="13"/>
  <c r="D41" i="13"/>
  <c r="B41" i="13"/>
  <c r="D40" i="13"/>
  <c r="B40" i="13"/>
  <c r="D39" i="13"/>
  <c r="B39" i="13"/>
  <c r="D38" i="13"/>
  <c r="B38" i="13"/>
  <c r="D37" i="13"/>
  <c r="B37" i="13"/>
  <c r="D36" i="13"/>
  <c r="B36" i="13"/>
  <c r="D35" i="13"/>
  <c r="B35" i="13"/>
  <c r="D34" i="13"/>
  <c r="B34" i="13"/>
  <c r="D33" i="13"/>
  <c r="B33" i="13"/>
  <c r="D32" i="13"/>
  <c r="B32" i="13"/>
  <c r="D31" i="13"/>
  <c r="B31" i="13"/>
  <c r="D30" i="13"/>
  <c r="B30" i="13"/>
  <c r="D29" i="13"/>
  <c r="B29" i="13"/>
  <c r="D28" i="13"/>
  <c r="B28" i="13"/>
  <c r="D27" i="13"/>
  <c r="B27" i="13"/>
  <c r="D26" i="13"/>
  <c r="B26" i="13"/>
  <c r="D25" i="13"/>
  <c r="B25" i="13"/>
  <c r="D24" i="13"/>
  <c r="B24" i="13"/>
  <c r="D23" i="13"/>
  <c r="B23" i="13"/>
  <c r="D22" i="13"/>
  <c r="B22" i="13"/>
  <c r="D21" i="13"/>
  <c r="B21" i="13"/>
  <c r="D20" i="13"/>
  <c r="B20" i="13"/>
  <c r="D19" i="13"/>
  <c r="B19" i="13"/>
  <c r="D18" i="13"/>
  <c r="B18" i="13"/>
  <c r="D17" i="13"/>
  <c r="B17" i="13"/>
  <c r="D16" i="13"/>
  <c r="B16" i="13"/>
  <c r="D15" i="13"/>
  <c r="B15" i="13"/>
  <c r="D14" i="13"/>
  <c r="B14" i="13"/>
  <c r="D13" i="13"/>
  <c r="B13" i="13"/>
  <c r="D12" i="13"/>
  <c r="B12" i="13"/>
  <c r="D11" i="13"/>
  <c r="B11" i="13"/>
  <c r="D10" i="13"/>
  <c r="B10" i="13"/>
  <c r="D9" i="13"/>
  <c r="B9" i="13"/>
  <c r="D8" i="13"/>
  <c r="B8" i="13"/>
  <c r="D7" i="13"/>
  <c r="B7" i="13"/>
  <c r="D6" i="13"/>
  <c r="B6" i="13"/>
  <c r="D5" i="13"/>
  <c r="B5" i="13"/>
  <c r="E4" i="13"/>
  <c r="E5" i="13" s="1"/>
  <c r="E6" i="13" s="1"/>
  <c r="E7" i="13" s="1"/>
  <c r="E8" i="13" s="1"/>
  <c r="E9" i="13" s="1"/>
  <c r="E10" i="13" s="1"/>
  <c r="E11" i="13" s="1"/>
  <c r="E12" i="13" s="1"/>
  <c r="E13" i="13" s="1"/>
  <c r="E14" i="13" s="1"/>
  <c r="E15" i="13" s="1"/>
  <c r="E16" i="13" s="1"/>
  <c r="E17" i="13" s="1"/>
  <c r="E18" i="13" s="1"/>
  <c r="E19" i="13" s="1"/>
  <c r="E20" i="13" s="1"/>
  <c r="E21" i="13" s="1"/>
  <c r="E22" i="13" s="1"/>
  <c r="E23" i="13" s="1"/>
  <c r="E24" i="13" s="1"/>
  <c r="E25" i="13" s="1"/>
  <c r="E26" i="13" s="1"/>
  <c r="E27" i="13" s="1"/>
  <c r="E28" i="13" s="1"/>
  <c r="E29" i="13" s="1"/>
  <c r="E30" i="13" s="1"/>
  <c r="E31" i="13" s="1"/>
  <c r="E32" i="13" s="1"/>
  <c r="E33" i="13" s="1"/>
  <c r="E34" i="13" s="1"/>
  <c r="E35" i="13" s="1"/>
  <c r="E36" i="13" s="1"/>
  <c r="E37" i="13" s="1"/>
  <c r="E38" i="13" s="1"/>
  <c r="E39" i="13" s="1"/>
  <c r="E40" i="13" s="1"/>
  <c r="E41" i="13" s="1"/>
  <c r="E42" i="13" s="1"/>
  <c r="E43" i="13" s="1"/>
  <c r="E44" i="13" s="1"/>
  <c r="E45" i="13" s="1"/>
  <c r="E46" i="13" s="1"/>
  <c r="E47" i="13" s="1"/>
  <c r="E48" i="13" s="1"/>
  <c r="E49" i="13" s="1"/>
  <c r="E50" i="13" s="1"/>
  <c r="E51" i="13" s="1"/>
  <c r="E52" i="13" s="1"/>
  <c r="E53" i="13" s="1"/>
  <c r="E54" i="13" s="1"/>
  <c r="E55" i="13" s="1"/>
  <c r="E57" i="13" s="1"/>
  <c r="E58" i="13" s="1"/>
  <c r="E59" i="13" s="1"/>
  <c r="E60" i="13" s="1"/>
  <c r="E61" i="13" s="1"/>
  <c r="E62" i="13" s="1"/>
  <c r="E63" i="13" s="1"/>
  <c r="E64" i="13" s="1"/>
  <c r="E65" i="13" s="1"/>
  <c r="E66" i="13" s="1"/>
  <c r="E67" i="13" s="1"/>
  <c r="E68" i="13" s="1"/>
  <c r="E69" i="13" s="1"/>
  <c r="E70" i="13" s="1"/>
  <c r="E71" i="13" s="1"/>
  <c r="E72" i="13" s="1"/>
  <c r="E73" i="13" s="1"/>
  <c r="E74" i="13" s="1"/>
  <c r="E75" i="13" s="1"/>
  <c r="E76" i="13" s="1"/>
  <c r="E77" i="13" s="1"/>
  <c r="E78" i="13" s="1"/>
  <c r="E79" i="13" s="1"/>
  <c r="E80" i="13" s="1"/>
  <c r="E81" i="13" s="1"/>
  <c r="E82" i="13" s="1"/>
  <c r="E83" i="13" s="1"/>
  <c r="E84" i="13" s="1"/>
  <c r="E85" i="13" s="1"/>
  <c r="E86" i="13" s="1"/>
  <c r="E87" i="13" s="1"/>
  <c r="E88" i="13" s="1"/>
  <c r="E89" i="13" s="1"/>
  <c r="E90" i="13" s="1"/>
  <c r="E91" i="13" s="1"/>
  <c r="E92" i="13" s="1"/>
  <c r="E93" i="13" s="1"/>
  <c r="E94" i="13" s="1"/>
  <c r="E95" i="13" s="1"/>
  <c r="E96" i="13" s="1"/>
  <c r="E97" i="13" s="1"/>
  <c r="E98" i="13" s="1"/>
  <c r="E99" i="13" s="1"/>
  <c r="E100" i="13" s="1"/>
  <c r="E101" i="13" s="1"/>
  <c r="E102" i="13" s="1"/>
  <c r="E103" i="13" s="1"/>
  <c r="E104" i="13" s="1"/>
  <c r="E105" i="13" s="1"/>
  <c r="E106" i="13" s="1"/>
  <c r="E107" i="13" s="1"/>
  <c r="E108" i="13" s="1"/>
  <c r="E109" i="13" s="1"/>
  <c r="E110" i="13" s="1"/>
  <c r="E111" i="13" s="1"/>
  <c r="E112" i="13" s="1"/>
  <c r="E113" i="13" s="1"/>
  <c r="E114" i="13" s="1"/>
  <c r="E115" i="13" s="1"/>
  <c r="E116" i="13" s="1"/>
  <c r="E117" i="13" s="1"/>
  <c r="E118" i="13" s="1"/>
  <c r="E119" i="13" s="1"/>
  <c r="E120" i="13" s="1"/>
  <c r="E121" i="13" s="1"/>
  <c r="E122" i="13" s="1"/>
  <c r="E123" i="13" s="1"/>
  <c r="E124" i="13" s="1"/>
  <c r="E125" i="13" s="1"/>
  <c r="E126" i="13" s="1"/>
  <c r="E127" i="13" s="1"/>
  <c r="E128" i="13" s="1"/>
  <c r="E129" i="13" s="1"/>
  <c r="E130" i="13" s="1"/>
  <c r="E131" i="13" s="1"/>
  <c r="E132" i="13" s="1"/>
  <c r="E133" i="13" s="1"/>
  <c r="E134" i="13" s="1"/>
  <c r="E135" i="13" s="1"/>
  <c r="E136" i="13" s="1"/>
  <c r="E137" i="13" s="1"/>
  <c r="E138" i="13" s="1"/>
  <c r="E139" i="13" s="1"/>
  <c r="D4" i="13"/>
  <c r="B4" i="13"/>
  <c r="E3" i="13"/>
  <c r="D3" i="13"/>
  <c r="B3" i="13"/>
  <c r="D2" i="13"/>
  <c r="B2" i="13"/>
  <c r="D3" i="12"/>
  <c r="D4" i="12" s="1"/>
  <c r="D5" i="12" s="1"/>
  <c r="D6" i="12" s="1"/>
  <c r="D7" i="12" s="1"/>
  <c r="D8" i="12" s="1"/>
  <c r="D9" i="12" s="1"/>
  <c r="D10" i="12" s="1"/>
  <c r="D11" i="12" s="1"/>
  <c r="D12" i="12" s="1"/>
  <c r="D13" i="12" s="1"/>
  <c r="D14" i="12" s="1"/>
  <c r="D15" i="12" s="1"/>
  <c r="D16" i="12" s="1"/>
  <c r="D17" i="12" s="1"/>
  <c r="D18" i="12" s="1"/>
  <c r="D19" i="12" s="1"/>
  <c r="D20" i="12" s="1"/>
  <c r="D21" i="12" s="1"/>
  <c r="D22" i="12" s="1"/>
  <c r="D23" i="12" s="1"/>
  <c r="D24" i="12" s="1"/>
  <c r="D25" i="12" s="1"/>
  <c r="D26" i="12" s="1"/>
  <c r="D27" i="12" s="1"/>
  <c r="D28" i="12" s="1"/>
  <c r="D29" i="12" s="1"/>
  <c r="D30" i="12" s="1"/>
  <c r="D31" i="12" s="1"/>
  <c r="F173" i="11"/>
  <c r="D173" i="11"/>
  <c r="B173" i="11"/>
  <c r="F172" i="11"/>
  <c r="D172" i="11"/>
  <c r="B172" i="11"/>
  <c r="F171" i="11"/>
  <c r="D171" i="11"/>
  <c r="B171" i="11"/>
  <c r="F170" i="11"/>
  <c r="D170" i="11"/>
  <c r="B170" i="11"/>
  <c r="F169" i="11"/>
  <c r="D169" i="11"/>
  <c r="B169" i="11"/>
  <c r="F168" i="11"/>
  <c r="D168" i="11"/>
  <c r="B168" i="11"/>
  <c r="F167" i="11"/>
  <c r="D167" i="11"/>
  <c r="B167" i="11"/>
  <c r="F166" i="11"/>
  <c r="D166" i="11"/>
  <c r="B166" i="11"/>
  <c r="F165" i="11"/>
  <c r="D165" i="11"/>
  <c r="B165" i="11"/>
  <c r="F164" i="11"/>
  <c r="D164" i="11"/>
  <c r="B164" i="11"/>
  <c r="F163" i="11"/>
  <c r="D163" i="11"/>
  <c r="B163" i="11"/>
  <c r="F162" i="11"/>
  <c r="D162" i="11"/>
  <c r="B162" i="11"/>
  <c r="F161" i="11"/>
  <c r="D161" i="11"/>
  <c r="B161" i="11"/>
  <c r="F160" i="11"/>
  <c r="D160" i="11"/>
  <c r="B160" i="11"/>
  <c r="F159" i="11"/>
  <c r="D159" i="11"/>
  <c r="B159" i="11"/>
  <c r="F158" i="11"/>
  <c r="D158" i="11"/>
  <c r="B158" i="11"/>
  <c r="F157" i="11"/>
  <c r="D157" i="11"/>
  <c r="B157" i="11"/>
  <c r="F156" i="11"/>
  <c r="D156" i="11"/>
  <c r="B156" i="11"/>
  <c r="F155" i="11"/>
  <c r="D155" i="11"/>
  <c r="B155" i="11"/>
  <c r="F154" i="11"/>
  <c r="D154" i="11"/>
  <c r="B154" i="11"/>
  <c r="F153" i="11"/>
  <c r="D153" i="11"/>
  <c r="B153" i="11"/>
  <c r="F152" i="11"/>
  <c r="D152" i="11"/>
  <c r="B152" i="11"/>
  <c r="F151" i="11"/>
  <c r="D151" i="11"/>
  <c r="B151" i="11"/>
  <c r="F150" i="11"/>
  <c r="D150" i="11"/>
  <c r="B150" i="11"/>
  <c r="F149" i="11"/>
  <c r="D149" i="11"/>
  <c r="B149" i="11"/>
  <c r="F148" i="11"/>
  <c r="D148" i="11"/>
  <c r="B148" i="11"/>
  <c r="F147" i="11"/>
  <c r="D147" i="11"/>
  <c r="B147" i="11"/>
  <c r="F146" i="11"/>
  <c r="D146" i="11"/>
  <c r="B146" i="11"/>
  <c r="F145" i="11"/>
  <c r="D145" i="11"/>
  <c r="B145" i="11"/>
  <c r="F144" i="11"/>
  <c r="D144" i="11"/>
  <c r="B144" i="11"/>
  <c r="F143" i="11"/>
  <c r="D143" i="11"/>
  <c r="B143" i="11"/>
  <c r="F142" i="11"/>
  <c r="D142" i="11"/>
  <c r="B142" i="11"/>
  <c r="F141" i="11"/>
  <c r="D141" i="11"/>
  <c r="B141" i="11"/>
  <c r="F140" i="11"/>
  <c r="D140" i="11"/>
  <c r="B140" i="11"/>
  <c r="F139" i="11"/>
  <c r="D139" i="11"/>
  <c r="B139" i="11"/>
  <c r="F138" i="11"/>
  <c r="D138" i="11"/>
  <c r="B138" i="11"/>
  <c r="F137" i="11"/>
  <c r="D137" i="11"/>
  <c r="B137" i="11"/>
  <c r="F136" i="11"/>
  <c r="D136" i="11"/>
  <c r="B136" i="11"/>
  <c r="F135" i="11"/>
  <c r="D135" i="11"/>
  <c r="B135" i="11"/>
  <c r="F134" i="11"/>
  <c r="D134" i="11"/>
  <c r="B134" i="11"/>
  <c r="F133" i="11"/>
  <c r="D133" i="11"/>
  <c r="B133" i="11"/>
  <c r="F132" i="11"/>
  <c r="D132" i="11"/>
  <c r="B132" i="11"/>
  <c r="F131" i="11"/>
  <c r="D131" i="11"/>
  <c r="B131" i="11"/>
  <c r="F130" i="11"/>
  <c r="D130" i="11"/>
  <c r="B130" i="11"/>
  <c r="F129" i="11"/>
  <c r="D129" i="11"/>
  <c r="B129" i="11"/>
  <c r="F128" i="11"/>
  <c r="D128" i="11"/>
  <c r="B128" i="11"/>
  <c r="F127" i="11"/>
  <c r="D127" i="11"/>
  <c r="B127" i="11"/>
  <c r="F126" i="11"/>
  <c r="D126" i="11"/>
  <c r="B126" i="11"/>
  <c r="F125" i="11"/>
  <c r="D125" i="11"/>
  <c r="B125" i="11"/>
  <c r="F124" i="11"/>
  <c r="D124" i="11"/>
  <c r="B124" i="11"/>
  <c r="F123" i="11"/>
  <c r="D123" i="11"/>
  <c r="B123" i="11"/>
  <c r="F122" i="11"/>
  <c r="D122" i="11"/>
  <c r="B122" i="11"/>
  <c r="F121" i="11"/>
  <c r="D121" i="11"/>
  <c r="B121" i="11"/>
  <c r="F120" i="11"/>
  <c r="D120" i="11"/>
  <c r="B120" i="11"/>
  <c r="F119" i="11"/>
  <c r="D119" i="11"/>
  <c r="B119" i="11"/>
  <c r="F118" i="11"/>
  <c r="D118" i="11"/>
  <c r="B118" i="11"/>
  <c r="F117" i="11"/>
  <c r="D117" i="11"/>
  <c r="B117" i="11"/>
  <c r="F116" i="11"/>
  <c r="D116" i="11"/>
  <c r="B116" i="11"/>
  <c r="F115" i="11"/>
  <c r="D115" i="11"/>
  <c r="B115" i="11"/>
  <c r="F114" i="11"/>
  <c r="D114" i="11"/>
  <c r="B114" i="11"/>
  <c r="F113" i="11"/>
  <c r="D113" i="11"/>
  <c r="B113" i="11"/>
  <c r="F112" i="11"/>
  <c r="D112" i="11"/>
  <c r="B112" i="11"/>
  <c r="F111" i="11"/>
  <c r="D111" i="11"/>
  <c r="B111" i="11"/>
  <c r="F110" i="11"/>
  <c r="D110" i="11"/>
  <c r="B110" i="11"/>
  <c r="F109" i="11"/>
  <c r="D109" i="11"/>
  <c r="B109" i="11"/>
  <c r="F108" i="11"/>
  <c r="D108" i="11"/>
  <c r="B108" i="11"/>
  <c r="F107" i="11"/>
  <c r="D107" i="11"/>
  <c r="B107" i="11"/>
  <c r="F106" i="11"/>
  <c r="D106" i="11"/>
  <c r="B106" i="11"/>
  <c r="F105" i="11"/>
  <c r="D105" i="11"/>
  <c r="B105" i="11"/>
  <c r="F104" i="11"/>
  <c r="D104" i="11"/>
  <c r="B104" i="11"/>
  <c r="F103" i="11"/>
  <c r="D103" i="11"/>
  <c r="B103" i="11"/>
  <c r="F102" i="11"/>
  <c r="D102" i="11"/>
  <c r="B102" i="11"/>
  <c r="F101" i="11"/>
  <c r="D101" i="11"/>
  <c r="B101" i="11"/>
  <c r="F100" i="11"/>
  <c r="D100" i="11"/>
  <c r="B100" i="11"/>
  <c r="F99" i="11"/>
  <c r="D99" i="11"/>
  <c r="B99" i="11"/>
  <c r="F98" i="11"/>
  <c r="D98" i="11"/>
  <c r="B98" i="11"/>
  <c r="F97" i="11"/>
  <c r="D97" i="11"/>
  <c r="B97" i="11"/>
  <c r="F96" i="11"/>
  <c r="D96" i="11"/>
  <c r="B96" i="11"/>
  <c r="F95" i="11"/>
  <c r="D95" i="11"/>
  <c r="B95" i="11"/>
  <c r="F94" i="11"/>
  <c r="D94" i="11"/>
  <c r="B94" i="11"/>
  <c r="F93" i="11"/>
  <c r="D93" i="11"/>
  <c r="B93" i="11"/>
  <c r="F92" i="11"/>
  <c r="D92" i="11"/>
  <c r="B92" i="11"/>
  <c r="F91" i="11"/>
  <c r="D91" i="11"/>
  <c r="B91" i="11"/>
  <c r="F90" i="11"/>
  <c r="D90" i="11"/>
  <c r="B90" i="11"/>
  <c r="F89" i="11"/>
  <c r="D89" i="11"/>
  <c r="B89" i="11"/>
  <c r="F88" i="11"/>
  <c r="D88" i="11"/>
  <c r="B88" i="11"/>
  <c r="F87" i="11"/>
  <c r="D87" i="11"/>
  <c r="B87" i="11"/>
  <c r="F86" i="11"/>
  <c r="D86" i="11"/>
  <c r="B86" i="11"/>
  <c r="F85" i="11"/>
  <c r="D85" i="11"/>
  <c r="B85" i="11"/>
  <c r="F84" i="11"/>
  <c r="D84" i="11"/>
  <c r="B84" i="11"/>
  <c r="F83" i="11"/>
  <c r="D83" i="11"/>
  <c r="B83" i="11"/>
  <c r="F82" i="11"/>
  <c r="D82" i="11"/>
  <c r="B82" i="11"/>
  <c r="F81" i="11"/>
  <c r="D81" i="11"/>
  <c r="B81" i="11"/>
  <c r="F80" i="11"/>
  <c r="D80" i="11"/>
  <c r="B80" i="11"/>
  <c r="F79" i="11"/>
  <c r="D79" i="11"/>
  <c r="B79" i="11"/>
  <c r="F78" i="11"/>
  <c r="D78" i="11"/>
  <c r="B78" i="11"/>
  <c r="F77" i="11"/>
  <c r="D77" i="11"/>
  <c r="B77" i="11"/>
  <c r="F76" i="11"/>
  <c r="D76" i="11"/>
  <c r="B76" i="11"/>
  <c r="F75" i="11"/>
  <c r="D75" i="11"/>
  <c r="B75" i="11"/>
  <c r="F74" i="11"/>
  <c r="D74" i="11"/>
  <c r="B74" i="11"/>
  <c r="F73" i="11"/>
  <c r="D73" i="11"/>
  <c r="B73" i="11"/>
  <c r="F72" i="11"/>
  <c r="D72" i="11"/>
  <c r="B72" i="11"/>
  <c r="F71" i="11"/>
  <c r="D71" i="11"/>
  <c r="B71" i="11"/>
  <c r="F70" i="11"/>
  <c r="D70" i="11"/>
  <c r="B70" i="11"/>
  <c r="F69" i="11"/>
  <c r="D69" i="11"/>
  <c r="B69" i="11"/>
  <c r="F68" i="11"/>
  <c r="D68" i="11"/>
  <c r="B68" i="11"/>
  <c r="F67" i="11"/>
  <c r="D67" i="11"/>
  <c r="B67" i="11"/>
  <c r="F66" i="11"/>
  <c r="D66" i="11"/>
  <c r="B66" i="11"/>
  <c r="F65" i="11"/>
  <c r="D65" i="11"/>
  <c r="B65" i="11"/>
  <c r="F64" i="11"/>
  <c r="D64" i="11"/>
  <c r="B64" i="11"/>
  <c r="F63" i="11"/>
  <c r="D63" i="11"/>
  <c r="B63" i="11"/>
  <c r="F62" i="11"/>
  <c r="D62" i="11"/>
  <c r="B62" i="11"/>
  <c r="F61" i="11"/>
  <c r="D61" i="11"/>
  <c r="B61" i="11"/>
  <c r="F60" i="11"/>
  <c r="D60" i="11"/>
  <c r="B60" i="11"/>
  <c r="F59" i="11"/>
  <c r="D59" i="11"/>
  <c r="B59" i="11"/>
  <c r="F58" i="11"/>
  <c r="D58" i="11"/>
  <c r="B58" i="11"/>
  <c r="F57" i="11"/>
  <c r="D57" i="11"/>
  <c r="B57" i="11"/>
  <c r="F56" i="11"/>
  <c r="D56" i="11"/>
  <c r="B56" i="11"/>
  <c r="F55" i="11"/>
  <c r="D55" i="11"/>
  <c r="B55" i="11"/>
  <c r="F54" i="11"/>
  <c r="D54" i="11"/>
  <c r="B54" i="11"/>
  <c r="F53" i="11"/>
  <c r="D53" i="11"/>
  <c r="B53" i="11"/>
  <c r="F52" i="11"/>
  <c r="D52" i="11"/>
  <c r="B52" i="11"/>
  <c r="F51" i="11"/>
  <c r="D51" i="11"/>
  <c r="B51" i="11"/>
  <c r="F50" i="11"/>
  <c r="D50" i="11"/>
  <c r="B50" i="11"/>
  <c r="F49" i="11"/>
  <c r="D49" i="11"/>
  <c r="B49" i="11"/>
  <c r="F48" i="11"/>
  <c r="D48" i="11"/>
  <c r="B48" i="11"/>
  <c r="F47" i="11"/>
  <c r="D47" i="11"/>
  <c r="B47" i="11"/>
  <c r="F46" i="11"/>
  <c r="D46" i="11"/>
  <c r="B46" i="11"/>
  <c r="F45" i="11"/>
  <c r="D45" i="11"/>
  <c r="B45" i="11"/>
  <c r="F44" i="11"/>
  <c r="D44" i="11"/>
  <c r="B44" i="11"/>
  <c r="F43" i="11"/>
  <c r="D43" i="11"/>
  <c r="B43" i="11"/>
  <c r="F42" i="11"/>
  <c r="D42" i="11"/>
  <c r="B42" i="11"/>
  <c r="F41" i="11"/>
  <c r="D41" i="11"/>
  <c r="B41" i="11"/>
  <c r="F40" i="11"/>
  <c r="D40" i="11"/>
  <c r="B40" i="11"/>
  <c r="F39" i="11"/>
  <c r="D39" i="11"/>
  <c r="B39" i="11"/>
  <c r="F38" i="11"/>
  <c r="D38" i="11"/>
  <c r="B38" i="11"/>
  <c r="F37" i="11"/>
  <c r="D37" i="11"/>
  <c r="B37" i="11"/>
  <c r="F36" i="11"/>
  <c r="D36" i="11"/>
  <c r="B36" i="11"/>
  <c r="F35" i="11"/>
  <c r="D35" i="11"/>
  <c r="B35" i="11"/>
  <c r="F34" i="11"/>
  <c r="D34" i="11"/>
  <c r="B34" i="11"/>
  <c r="F33" i="11"/>
  <c r="D33" i="11"/>
  <c r="B33" i="11"/>
  <c r="F32" i="11"/>
  <c r="D32" i="11"/>
  <c r="B32" i="11"/>
  <c r="F31" i="11"/>
  <c r="D31" i="11"/>
  <c r="B31" i="11"/>
  <c r="F30" i="11"/>
  <c r="D30" i="11"/>
  <c r="B30" i="11"/>
  <c r="F29" i="11"/>
  <c r="D29" i="11"/>
  <c r="B29" i="11"/>
  <c r="F28" i="11"/>
  <c r="D28" i="11"/>
  <c r="B28" i="11"/>
  <c r="F27" i="11"/>
  <c r="D27" i="11"/>
  <c r="B27" i="11"/>
  <c r="F26" i="11"/>
  <c r="D26" i="11"/>
  <c r="B26" i="11"/>
  <c r="F25" i="11"/>
  <c r="D25" i="11"/>
  <c r="B25" i="11"/>
  <c r="F24" i="11"/>
  <c r="D24" i="11"/>
  <c r="B24" i="11"/>
  <c r="F23" i="11"/>
  <c r="D23" i="11"/>
  <c r="B23" i="11"/>
  <c r="F22" i="11"/>
  <c r="D22" i="11"/>
  <c r="B22" i="11"/>
  <c r="F21" i="11"/>
  <c r="D21" i="11"/>
  <c r="B21" i="11"/>
  <c r="F20" i="11"/>
  <c r="D20" i="11"/>
  <c r="B20" i="11"/>
  <c r="F19" i="11"/>
  <c r="D19" i="11"/>
  <c r="B19" i="11"/>
  <c r="F18" i="11"/>
  <c r="D18" i="11"/>
  <c r="B18" i="11"/>
  <c r="F17" i="11"/>
  <c r="D17" i="11"/>
  <c r="B17" i="11"/>
  <c r="F16" i="11"/>
  <c r="D16" i="11"/>
  <c r="B16" i="11"/>
  <c r="F15" i="11"/>
  <c r="D15" i="11"/>
  <c r="B15" i="11"/>
  <c r="F14" i="11"/>
  <c r="D14" i="11"/>
  <c r="B14" i="11"/>
  <c r="F13" i="11"/>
  <c r="D13" i="11"/>
  <c r="B13" i="11"/>
  <c r="F12" i="11"/>
  <c r="D12" i="11"/>
  <c r="B12" i="11"/>
  <c r="F11" i="11"/>
  <c r="D11" i="11"/>
  <c r="B11" i="11"/>
  <c r="F10" i="11"/>
  <c r="D10" i="11"/>
  <c r="B10" i="11"/>
  <c r="F9" i="11"/>
  <c r="D9" i="11"/>
  <c r="B9" i="11"/>
  <c r="F8" i="11"/>
  <c r="D8" i="11"/>
  <c r="B8" i="11"/>
  <c r="F7" i="11"/>
  <c r="D7" i="11"/>
  <c r="B7" i="11"/>
  <c r="F6" i="11"/>
  <c r="D6" i="11"/>
  <c r="B6" i="11"/>
  <c r="F5" i="11"/>
  <c r="D5" i="11"/>
  <c r="B5" i="11"/>
  <c r="F4" i="11"/>
  <c r="D4" i="11"/>
  <c r="B4" i="11"/>
  <c r="J3" i="11"/>
  <c r="J4" i="11" s="1"/>
  <c r="J5" i="11" s="1"/>
  <c r="J6" i="11" s="1"/>
  <c r="J7" i="11" s="1"/>
  <c r="J8" i="11" s="1"/>
  <c r="J9" i="11" s="1"/>
  <c r="J10" i="11" s="1"/>
  <c r="J11" i="11" s="1"/>
  <c r="J12" i="11" s="1"/>
  <c r="J13" i="11" s="1"/>
  <c r="J14" i="11" s="1"/>
  <c r="J15" i="11" s="1"/>
  <c r="J16" i="11" s="1"/>
  <c r="J17" i="11" s="1"/>
  <c r="J18" i="11" s="1"/>
  <c r="J19" i="11" s="1"/>
  <c r="J20" i="11" s="1"/>
  <c r="J21" i="11" s="1"/>
  <c r="J22" i="11" s="1"/>
  <c r="J23" i="11" s="1"/>
  <c r="J24" i="11" s="1"/>
  <c r="J25" i="11" s="1"/>
  <c r="J26" i="11" s="1"/>
  <c r="J27" i="11" s="1"/>
  <c r="J28" i="11" s="1"/>
  <c r="J29" i="11" s="1"/>
  <c r="J30" i="11" s="1"/>
  <c r="J32" i="11" s="1"/>
  <c r="J33" i="11" s="1"/>
  <c r="J34" i="11" s="1"/>
  <c r="J35" i="11" s="1"/>
  <c r="J36" i="11" s="1"/>
  <c r="J37" i="11" s="1"/>
  <c r="J38" i="11" s="1"/>
  <c r="J39" i="11" s="1"/>
  <c r="J40" i="11" s="1"/>
  <c r="J41" i="11" s="1"/>
  <c r="J42" i="11" s="1"/>
  <c r="J43" i="11" s="1"/>
  <c r="J44" i="11" s="1"/>
  <c r="J45" i="11" s="1"/>
  <c r="J46" i="11" s="1"/>
  <c r="J47" i="11" s="1"/>
  <c r="J48" i="11" s="1"/>
  <c r="J49" i="11" s="1"/>
  <c r="J50" i="11" s="1"/>
  <c r="J51" i="11" s="1"/>
  <c r="J52" i="11" s="1"/>
  <c r="J53" i="11" s="1"/>
  <c r="J54" i="11" s="1"/>
  <c r="J55" i="11" s="1"/>
  <c r="J56" i="11" s="1"/>
  <c r="J57" i="11" s="1"/>
  <c r="J58" i="11" s="1"/>
  <c r="J59" i="11" s="1"/>
  <c r="J60" i="11" s="1"/>
  <c r="J61" i="11" s="1"/>
  <c r="J62" i="11" s="1"/>
  <c r="J63" i="11" s="1"/>
  <c r="J64" i="11" s="1"/>
  <c r="J65" i="11" s="1"/>
  <c r="J66" i="11" s="1"/>
  <c r="J67" i="11" s="1"/>
  <c r="J68" i="11" s="1"/>
  <c r="J69" i="11" s="1"/>
  <c r="J70" i="11" s="1"/>
  <c r="J71" i="11" s="1"/>
  <c r="J72" i="11" s="1"/>
  <c r="J73" i="11" s="1"/>
  <c r="J74" i="11" s="1"/>
  <c r="J75" i="11" s="1"/>
  <c r="J76" i="11" s="1"/>
  <c r="J77" i="11" s="1"/>
  <c r="J78" i="11" s="1"/>
  <c r="J79" i="11" s="1"/>
  <c r="J80" i="11" s="1"/>
  <c r="J81" i="11" s="1"/>
  <c r="J82" i="11" s="1"/>
  <c r="J83" i="11" s="1"/>
  <c r="J84" i="11" s="1"/>
  <c r="J85" i="11" s="1"/>
  <c r="J86" i="11" s="1"/>
  <c r="J87" i="11" s="1"/>
  <c r="J88" i="11" s="1"/>
  <c r="J89" i="11" s="1"/>
  <c r="J90" i="11" s="1"/>
  <c r="J91" i="11" s="1"/>
  <c r="J92" i="11" s="1"/>
  <c r="J93" i="11" s="1"/>
  <c r="J94" i="11" s="1"/>
  <c r="J95" i="11" s="1"/>
  <c r="J96" i="11" s="1"/>
  <c r="J97" i="11" s="1"/>
  <c r="J98" i="11" s="1"/>
  <c r="J99" i="11" s="1"/>
  <c r="J100" i="11" s="1"/>
  <c r="J101" i="11" s="1"/>
  <c r="J102" i="11" s="1"/>
  <c r="J103" i="11" s="1"/>
  <c r="J104" i="11" s="1"/>
  <c r="J105" i="11" s="1"/>
  <c r="J106" i="11" s="1"/>
  <c r="F3" i="11"/>
  <c r="D3" i="11"/>
  <c r="B3" i="11"/>
  <c r="F2" i="11"/>
  <c r="D2" i="11"/>
  <c r="B2" i="11"/>
  <c r="D3" i="10"/>
  <c r="D4" i="10" s="1"/>
  <c r="D5" i="10" s="1"/>
  <c r="D6" i="10" s="1"/>
  <c r="D7" i="10" s="1"/>
  <c r="D8" i="10" s="1"/>
  <c r="D9" i="10" s="1"/>
  <c r="D10" i="10" s="1"/>
  <c r="D11" i="10" s="1"/>
  <c r="D12" i="10" s="1"/>
  <c r="D13" i="10" s="1"/>
  <c r="D14" i="10" s="1"/>
  <c r="D15" i="10" s="1"/>
  <c r="D16" i="10" s="1"/>
  <c r="D17" i="10" s="1"/>
  <c r="D18" i="10" s="1"/>
  <c r="D19" i="10" s="1"/>
  <c r="D20" i="10" s="1"/>
  <c r="D21" i="10" s="1"/>
  <c r="D3" i="9"/>
  <c r="D4" i="9" s="1"/>
  <c r="D5" i="9" s="1"/>
  <c r="D6" i="9" s="1"/>
  <c r="D7" i="9" s="1"/>
  <c r="D8" i="9" s="1"/>
  <c r="D9" i="9" s="1"/>
  <c r="D10" i="9" s="1"/>
  <c r="D11" i="9" s="1"/>
  <c r="D12" i="9" s="1"/>
  <c r="D13" i="9" s="1"/>
  <c r="D14" i="9" s="1"/>
  <c r="D15" i="9" s="1"/>
  <c r="D16" i="9" s="1"/>
  <c r="D17" i="9" s="1"/>
  <c r="D18" i="9" s="1"/>
  <c r="D19" i="9" s="1"/>
  <c r="D20" i="9" s="1"/>
  <c r="D21" i="9" s="1"/>
  <c r="D22" i="9" s="1"/>
  <c r="D23" i="9" s="1"/>
  <c r="I4" i="8"/>
  <c r="I5" i="8" s="1"/>
  <c r="I6" i="8" s="1"/>
  <c r="I7" i="8" s="1"/>
  <c r="I8" i="8" s="1"/>
  <c r="I9" i="8" s="1"/>
  <c r="I10" i="8" s="1"/>
  <c r="I11" i="8" s="1"/>
  <c r="I12" i="8" s="1"/>
  <c r="I13" i="8" s="1"/>
  <c r="I14" i="8" s="1"/>
  <c r="I15" i="8" s="1"/>
  <c r="I16" i="8" s="1"/>
  <c r="I3" i="8"/>
  <c r="A2" i="8"/>
  <c r="H416" i="7" s="1"/>
  <c r="H418" i="7"/>
  <c r="F418" i="7"/>
  <c r="D418" i="7"/>
  <c r="B418" i="7"/>
  <c r="F417" i="7"/>
  <c r="D417" i="7"/>
  <c r="B417" i="7"/>
  <c r="F416" i="7"/>
  <c r="D416" i="7"/>
  <c r="B416" i="7"/>
  <c r="H415" i="7"/>
  <c r="F415" i="7"/>
  <c r="D415" i="7"/>
  <c r="B415" i="7"/>
  <c r="H414" i="7"/>
  <c r="F414" i="7"/>
  <c r="D414" i="7"/>
  <c r="B414" i="7"/>
  <c r="H413" i="7"/>
  <c r="F413" i="7"/>
  <c r="D413" i="7"/>
  <c r="B413" i="7"/>
  <c r="H412" i="7"/>
  <c r="F412" i="7"/>
  <c r="D412" i="7"/>
  <c r="B412" i="7"/>
  <c r="F411" i="7"/>
  <c r="D411" i="7"/>
  <c r="B411" i="7"/>
  <c r="H410" i="7"/>
  <c r="F410" i="7"/>
  <c r="D410" i="7"/>
  <c r="B410" i="7"/>
  <c r="H409" i="7"/>
  <c r="F409" i="7"/>
  <c r="D409" i="7"/>
  <c r="B409" i="7"/>
  <c r="H408" i="7"/>
  <c r="F408" i="7"/>
  <c r="D408" i="7"/>
  <c r="B408" i="7"/>
  <c r="F407" i="7"/>
  <c r="D407" i="7"/>
  <c r="B407" i="7"/>
  <c r="H406" i="7"/>
  <c r="F406" i="7"/>
  <c r="D406" i="7"/>
  <c r="B406" i="7"/>
  <c r="H405" i="7"/>
  <c r="F405" i="7"/>
  <c r="D405" i="7"/>
  <c r="B405" i="7"/>
  <c r="H404" i="7"/>
  <c r="F404" i="7"/>
  <c r="D404" i="7"/>
  <c r="B404" i="7"/>
  <c r="F403" i="7"/>
  <c r="D403" i="7"/>
  <c r="B403" i="7"/>
  <c r="F402" i="7"/>
  <c r="D402" i="7"/>
  <c r="B402" i="7"/>
  <c r="F401" i="7"/>
  <c r="D401" i="7"/>
  <c r="B401" i="7"/>
  <c r="H400" i="7"/>
  <c r="F400" i="7"/>
  <c r="D400" i="7"/>
  <c r="B400" i="7"/>
  <c r="H399" i="7"/>
  <c r="F399" i="7"/>
  <c r="D399" i="7"/>
  <c r="B399" i="7"/>
  <c r="F398" i="7"/>
  <c r="D398" i="7"/>
  <c r="B398" i="7"/>
  <c r="H397" i="7"/>
  <c r="F397" i="7"/>
  <c r="D397" i="7"/>
  <c r="B397" i="7"/>
  <c r="H396" i="7"/>
  <c r="F396" i="7"/>
  <c r="D396" i="7"/>
  <c r="B396" i="7"/>
  <c r="H395" i="7"/>
  <c r="F395" i="7"/>
  <c r="D395" i="7"/>
  <c r="B395" i="7"/>
  <c r="F394" i="7"/>
  <c r="D394" i="7"/>
  <c r="B394" i="7"/>
  <c r="H393" i="7"/>
  <c r="F393" i="7"/>
  <c r="D393" i="7"/>
  <c r="B393" i="7"/>
  <c r="F392" i="7"/>
  <c r="D392" i="7"/>
  <c r="B392" i="7"/>
  <c r="H391" i="7"/>
  <c r="F391" i="7"/>
  <c r="D391" i="7"/>
  <c r="B391" i="7"/>
  <c r="H390" i="7"/>
  <c r="F390" i="7"/>
  <c r="D390" i="7"/>
  <c r="B390" i="7"/>
  <c r="H389" i="7"/>
  <c r="F389" i="7"/>
  <c r="D389" i="7"/>
  <c r="B389" i="7"/>
  <c r="H388" i="7"/>
  <c r="F388" i="7"/>
  <c r="D388" i="7"/>
  <c r="B388" i="7"/>
  <c r="H387" i="7"/>
  <c r="F387" i="7"/>
  <c r="D387" i="7"/>
  <c r="B387" i="7"/>
  <c r="H386" i="7"/>
  <c r="F386" i="7"/>
  <c r="D386" i="7"/>
  <c r="B386" i="7"/>
  <c r="H385" i="7"/>
  <c r="F385" i="7"/>
  <c r="D385" i="7"/>
  <c r="B385" i="7"/>
  <c r="F384" i="7"/>
  <c r="D384" i="7"/>
  <c r="B384" i="7"/>
  <c r="H383" i="7"/>
  <c r="F383" i="7"/>
  <c r="D383" i="7"/>
  <c r="B383" i="7"/>
  <c r="H382" i="7"/>
  <c r="F382" i="7"/>
  <c r="D382" i="7"/>
  <c r="B382" i="7"/>
  <c r="H381" i="7"/>
  <c r="F381" i="7"/>
  <c r="D381" i="7"/>
  <c r="B381" i="7"/>
  <c r="H380" i="7"/>
  <c r="F380" i="7"/>
  <c r="D380" i="7"/>
  <c r="B380" i="7"/>
  <c r="H379" i="7"/>
  <c r="F379" i="7"/>
  <c r="D379" i="7"/>
  <c r="B379" i="7"/>
  <c r="H378" i="7"/>
  <c r="F378" i="7"/>
  <c r="D378" i="7"/>
  <c r="B378" i="7"/>
  <c r="H377" i="7"/>
  <c r="F377" i="7"/>
  <c r="D377" i="7"/>
  <c r="B377" i="7"/>
  <c r="H376" i="7"/>
  <c r="F376" i="7"/>
  <c r="D376" i="7"/>
  <c r="B376" i="7"/>
  <c r="F375" i="7"/>
  <c r="D375" i="7"/>
  <c r="B375" i="7"/>
  <c r="H374" i="7"/>
  <c r="F374" i="7"/>
  <c r="D374" i="7"/>
  <c r="B374" i="7"/>
  <c r="H373" i="7"/>
  <c r="F373" i="7"/>
  <c r="D373" i="7"/>
  <c r="B373" i="7"/>
  <c r="H372" i="7"/>
  <c r="F372" i="7"/>
  <c r="D372" i="7"/>
  <c r="B372" i="7"/>
  <c r="H371" i="7"/>
  <c r="F371" i="7"/>
  <c r="D371" i="7"/>
  <c r="B371" i="7"/>
  <c r="H370" i="7"/>
  <c r="F370" i="7"/>
  <c r="D370" i="7"/>
  <c r="B370" i="7"/>
  <c r="H369" i="7"/>
  <c r="F369" i="7"/>
  <c r="D369" i="7"/>
  <c r="B369" i="7"/>
  <c r="H368" i="7"/>
  <c r="F368" i="7"/>
  <c r="D368" i="7"/>
  <c r="B368" i="7"/>
  <c r="H367" i="7"/>
  <c r="F367" i="7"/>
  <c r="D367" i="7"/>
  <c r="B367" i="7"/>
  <c r="H366" i="7"/>
  <c r="F366" i="7"/>
  <c r="D366" i="7"/>
  <c r="B366" i="7"/>
  <c r="H365" i="7"/>
  <c r="F365" i="7"/>
  <c r="D365" i="7"/>
  <c r="B365" i="7"/>
  <c r="F364" i="7"/>
  <c r="D364" i="7"/>
  <c r="B364" i="7"/>
  <c r="H363" i="7"/>
  <c r="F363" i="7"/>
  <c r="D363" i="7"/>
  <c r="B363" i="7"/>
  <c r="H362" i="7"/>
  <c r="F362" i="7"/>
  <c r="D362" i="7"/>
  <c r="B362" i="7"/>
  <c r="H361" i="7"/>
  <c r="F361" i="7"/>
  <c r="D361" i="7"/>
  <c r="B361" i="7"/>
  <c r="H360" i="7"/>
  <c r="F360" i="7"/>
  <c r="D360" i="7"/>
  <c r="B360" i="7"/>
  <c r="F359" i="7"/>
  <c r="D359" i="7"/>
  <c r="B359" i="7"/>
  <c r="H358" i="7"/>
  <c r="F358" i="7"/>
  <c r="D358" i="7"/>
  <c r="B358" i="7"/>
  <c r="H357" i="7"/>
  <c r="F357" i="7"/>
  <c r="D357" i="7"/>
  <c r="B357" i="7"/>
  <c r="H356" i="7"/>
  <c r="F356" i="7"/>
  <c r="D356" i="7"/>
  <c r="B356" i="7"/>
  <c r="H355" i="7"/>
  <c r="F355" i="7"/>
  <c r="D355" i="7"/>
  <c r="B355" i="7"/>
  <c r="H354" i="7"/>
  <c r="F354" i="7"/>
  <c r="D354" i="7"/>
  <c r="B354" i="7"/>
  <c r="F353" i="7"/>
  <c r="D353" i="7"/>
  <c r="B353" i="7"/>
  <c r="H352" i="7"/>
  <c r="F352" i="7"/>
  <c r="D352" i="7"/>
  <c r="B352" i="7"/>
  <c r="H351" i="7"/>
  <c r="F351" i="7"/>
  <c r="D351" i="7"/>
  <c r="B351" i="7"/>
  <c r="H350" i="7"/>
  <c r="F350" i="7"/>
  <c r="D350" i="7"/>
  <c r="B350" i="7"/>
  <c r="H349" i="7"/>
  <c r="F349" i="7"/>
  <c r="D349" i="7"/>
  <c r="B349" i="7"/>
  <c r="F348" i="7"/>
  <c r="D348" i="7"/>
  <c r="B348" i="7"/>
  <c r="H347" i="7"/>
  <c r="F347" i="7"/>
  <c r="D347" i="7"/>
  <c r="B347" i="7"/>
  <c r="H346" i="7"/>
  <c r="F346" i="7"/>
  <c r="D346" i="7"/>
  <c r="B346" i="7"/>
  <c r="F345" i="7"/>
  <c r="D345" i="7"/>
  <c r="B345" i="7"/>
  <c r="H344" i="7"/>
  <c r="F344" i="7"/>
  <c r="D344" i="7"/>
  <c r="B344" i="7"/>
  <c r="H343" i="7"/>
  <c r="F343" i="7"/>
  <c r="D343" i="7"/>
  <c r="B343" i="7"/>
  <c r="H342" i="7"/>
  <c r="F342" i="7"/>
  <c r="D342" i="7"/>
  <c r="B342" i="7"/>
  <c r="H341" i="7"/>
  <c r="F341" i="7"/>
  <c r="D341" i="7"/>
  <c r="B341" i="7"/>
  <c r="H340" i="7"/>
  <c r="F340" i="7"/>
  <c r="D340" i="7"/>
  <c r="B340" i="7"/>
  <c r="H339" i="7"/>
  <c r="F339" i="7"/>
  <c r="D339" i="7"/>
  <c r="B339" i="7"/>
  <c r="H338" i="7"/>
  <c r="F338" i="7"/>
  <c r="D338" i="7"/>
  <c r="B338" i="7"/>
  <c r="H337" i="7"/>
  <c r="F337" i="7"/>
  <c r="D337" i="7"/>
  <c r="B337" i="7"/>
  <c r="H336" i="7"/>
  <c r="F336" i="7"/>
  <c r="D336" i="7"/>
  <c r="B336" i="7"/>
  <c r="H335" i="7"/>
  <c r="F335" i="7"/>
  <c r="D335" i="7"/>
  <c r="B335" i="7"/>
  <c r="F334" i="7"/>
  <c r="D334" i="7"/>
  <c r="B334" i="7"/>
  <c r="H333" i="7"/>
  <c r="F333" i="7"/>
  <c r="D333" i="7"/>
  <c r="B333" i="7"/>
  <c r="H332" i="7"/>
  <c r="F332" i="7"/>
  <c r="D332" i="7"/>
  <c r="B332" i="7"/>
  <c r="H331" i="7"/>
  <c r="F331" i="7"/>
  <c r="D331" i="7"/>
  <c r="B331" i="7"/>
  <c r="F330" i="7"/>
  <c r="D330" i="7"/>
  <c r="B330" i="7"/>
  <c r="H329" i="7"/>
  <c r="F329" i="7"/>
  <c r="D329" i="7"/>
  <c r="B329" i="7"/>
  <c r="F328" i="7"/>
  <c r="D328" i="7"/>
  <c r="B328" i="7"/>
  <c r="H327" i="7"/>
  <c r="F327" i="7"/>
  <c r="D327" i="7"/>
  <c r="B327" i="7"/>
  <c r="H326" i="7"/>
  <c r="F326" i="7"/>
  <c r="D326" i="7"/>
  <c r="B326" i="7"/>
  <c r="H325" i="7"/>
  <c r="F325" i="7"/>
  <c r="D325" i="7"/>
  <c r="B325" i="7"/>
  <c r="H324" i="7"/>
  <c r="F324" i="7"/>
  <c r="D324" i="7"/>
  <c r="B324" i="7"/>
  <c r="F323" i="7"/>
  <c r="D323" i="7"/>
  <c r="B323" i="7"/>
  <c r="H322" i="7"/>
  <c r="F322" i="7"/>
  <c r="D322" i="7"/>
  <c r="B322" i="7"/>
  <c r="H321" i="7"/>
  <c r="F321" i="7"/>
  <c r="D321" i="7"/>
  <c r="B321" i="7"/>
  <c r="H320" i="7"/>
  <c r="F320" i="7"/>
  <c r="D320" i="7"/>
  <c r="B320" i="7"/>
  <c r="H319" i="7"/>
  <c r="F319" i="7"/>
  <c r="D319" i="7"/>
  <c r="B319" i="7"/>
  <c r="H318" i="7"/>
  <c r="F318" i="7"/>
  <c r="D318" i="7"/>
  <c r="B318" i="7"/>
  <c r="F317" i="7"/>
  <c r="D317" i="7"/>
  <c r="B317" i="7"/>
  <c r="H316" i="7"/>
  <c r="F316" i="7"/>
  <c r="D316" i="7"/>
  <c r="B316" i="7"/>
  <c r="H315" i="7"/>
  <c r="F315" i="7"/>
  <c r="D315" i="7"/>
  <c r="B315" i="7"/>
  <c r="H314" i="7"/>
  <c r="F314" i="7"/>
  <c r="D314" i="7"/>
  <c r="B314" i="7"/>
  <c r="H313" i="7"/>
  <c r="F313" i="7"/>
  <c r="D313" i="7"/>
  <c r="B313" i="7"/>
  <c r="F312" i="7"/>
  <c r="D312" i="7"/>
  <c r="B312" i="7"/>
  <c r="H311" i="7"/>
  <c r="F311" i="7"/>
  <c r="D311" i="7"/>
  <c r="B311" i="7"/>
  <c r="H310" i="7"/>
  <c r="F310" i="7"/>
  <c r="D310" i="7"/>
  <c r="B310" i="7"/>
  <c r="H309" i="7"/>
  <c r="F309" i="7"/>
  <c r="D309" i="7"/>
  <c r="B309" i="7"/>
  <c r="H308" i="7"/>
  <c r="F308" i="7"/>
  <c r="D308" i="7"/>
  <c r="B308" i="7"/>
  <c r="F307" i="7"/>
  <c r="D307" i="7"/>
  <c r="B307" i="7"/>
  <c r="H306" i="7"/>
  <c r="F306" i="7"/>
  <c r="D306" i="7"/>
  <c r="B306" i="7"/>
  <c r="H305" i="7"/>
  <c r="F305" i="7"/>
  <c r="D305" i="7"/>
  <c r="B305" i="7"/>
  <c r="H304" i="7"/>
  <c r="F304" i="7"/>
  <c r="D304" i="7"/>
  <c r="B304" i="7"/>
  <c r="F303" i="7"/>
  <c r="D303" i="7"/>
  <c r="B303" i="7"/>
  <c r="H302" i="7"/>
  <c r="F302" i="7"/>
  <c r="D302" i="7"/>
  <c r="B302" i="7"/>
  <c r="H301" i="7"/>
  <c r="F301" i="7"/>
  <c r="D301" i="7"/>
  <c r="B301" i="7"/>
  <c r="H300" i="7"/>
  <c r="F300" i="7"/>
  <c r="D300" i="7"/>
  <c r="B300" i="7"/>
  <c r="H299" i="7"/>
  <c r="F299" i="7"/>
  <c r="D299" i="7"/>
  <c r="B299" i="7"/>
  <c r="F298" i="7"/>
  <c r="D298" i="7"/>
  <c r="B298" i="7"/>
  <c r="H297" i="7"/>
  <c r="F297" i="7"/>
  <c r="D297" i="7"/>
  <c r="B297" i="7"/>
  <c r="H296" i="7"/>
  <c r="F296" i="7"/>
  <c r="D296" i="7"/>
  <c r="B296" i="7"/>
  <c r="H295" i="7"/>
  <c r="F295" i="7"/>
  <c r="D295" i="7"/>
  <c r="B295" i="7"/>
  <c r="F294" i="7"/>
  <c r="D294" i="7"/>
  <c r="B294" i="7"/>
  <c r="H293" i="7"/>
  <c r="F293" i="7"/>
  <c r="D293" i="7"/>
  <c r="B293" i="7"/>
  <c r="H292" i="7"/>
  <c r="F292" i="7"/>
  <c r="D292" i="7"/>
  <c r="B292" i="7"/>
  <c r="H291" i="7"/>
  <c r="F291" i="7"/>
  <c r="D291" i="7"/>
  <c r="B291" i="7"/>
  <c r="H290" i="7"/>
  <c r="F290" i="7"/>
  <c r="D290" i="7"/>
  <c r="B290" i="7"/>
  <c r="F289" i="7"/>
  <c r="D289" i="7"/>
  <c r="B289" i="7"/>
  <c r="H288" i="7"/>
  <c r="F288" i="7"/>
  <c r="D288" i="7"/>
  <c r="B288" i="7"/>
  <c r="H287" i="7"/>
  <c r="F287" i="7"/>
  <c r="D287" i="7"/>
  <c r="B287" i="7"/>
  <c r="H286" i="7"/>
  <c r="F286" i="7"/>
  <c r="D286" i="7"/>
  <c r="B286" i="7"/>
  <c r="F285" i="7"/>
  <c r="D285" i="7"/>
  <c r="B285" i="7"/>
  <c r="H284" i="7"/>
  <c r="F284" i="7"/>
  <c r="D284" i="7"/>
  <c r="B284" i="7"/>
  <c r="H283" i="7"/>
  <c r="F283" i="7"/>
  <c r="D283" i="7"/>
  <c r="B283" i="7"/>
  <c r="H282" i="7"/>
  <c r="F282" i="7"/>
  <c r="D282" i="7"/>
  <c r="B282" i="7"/>
  <c r="H281" i="7"/>
  <c r="F281" i="7"/>
  <c r="D281" i="7"/>
  <c r="B281" i="7"/>
  <c r="F280" i="7"/>
  <c r="D280" i="7"/>
  <c r="B280" i="7"/>
  <c r="H279" i="7"/>
  <c r="F279" i="7"/>
  <c r="D279" i="7"/>
  <c r="B279" i="7"/>
  <c r="H278" i="7"/>
  <c r="F278" i="7"/>
  <c r="D278" i="7"/>
  <c r="B278" i="7"/>
  <c r="H277" i="7"/>
  <c r="F277" i="7"/>
  <c r="D277" i="7"/>
  <c r="B277" i="7"/>
  <c r="H276" i="7"/>
  <c r="F276" i="7"/>
  <c r="D276" i="7"/>
  <c r="B276" i="7"/>
  <c r="F275" i="7"/>
  <c r="D275" i="7"/>
  <c r="B275" i="7"/>
  <c r="H274" i="7"/>
  <c r="F274" i="7"/>
  <c r="D274" i="7"/>
  <c r="B274" i="7"/>
  <c r="H273" i="7"/>
  <c r="F273" i="7"/>
  <c r="D273" i="7"/>
  <c r="B273" i="7"/>
  <c r="H272" i="7"/>
  <c r="F272" i="7"/>
  <c r="D272" i="7"/>
  <c r="B272" i="7"/>
  <c r="H271" i="7"/>
  <c r="F271" i="7"/>
  <c r="D271" i="7"/>
  <c r="B271" i="7"/>
  <c r="H270" i="7"/>
  <c r="F270" i="7"/>
  <c r="D270" i="7"/>
  <c r="B270" i="7"/>
  <c r="H269" i="7"/>
  <c r="F269" i="7"/>
  <c r="D269" i="7"/>
  <c r="B269" i="7"/>
  <c r="H268" i="7"/>
  <c r="F268" i="7"/>
  <c r="D268" i="7"/>
  <c r="B268" i="7"/>
  <c r="H267" i="7"/>
  <c r="F267" i="7"/>
  <c r="D267" i="7"/>
  <c r="B267" i="7"/>
  <c r="H266" i="7"/>
  <c r="F266" i="7"/>
  <c r="D266" i="7"/>
  <c r="B266" i="7"/>
  <c r="H265" i="7"/>
  <c r="F265" i="7"/>
  <c r="D265" i="7"/>
  <c r="B265" i="7"/>
  <c r="H264" i="7"/>
  <c r="F264" i="7"/>
  <c r="D264" i="7"/>
  <c r="B264" i="7"/>
  <c r="H263" i="7"/>
  <c r="F263" i="7"/>
  <c r="D263" i="7"/>
  <c r="B263" i="7"/>
  <c r="H262" i="7"/>
  <c r="F262" i="7"/>
  <c r="D262" i="7"/>
  <c r="B262" i="7"/>
  <c r="F261" i="7"/>
  <c r="D261" i="7"/>
  <c r="B261" i="7"/>
  <c r="F260" i="7"/>
  <c r="D260" i="7"/>
  <c r="B260" i="7"/>
  <c r="F259" i="7"/>
  <c r="D259" i="7"/>
  <c r="B259" i="7"/>
  <c r="H258" i="7"/>
  <c r="F258" i="7"/>
  <c r="D258" i="7"/>
  <c r="B258" i="7"/>
  <c r="H257" i="7"/>
  <c r="F257" i="7"/>
  <c r="D257" i="7"/>
  <c r="B257" i="7"/>
  <c r="H256" i="7"/>
  <c r="F256" i="7"/>
  <c r="D256" i="7"/>
  <c r="B256" i="7"/>
  <c r="F255" i="7"/>
  <c r="D255" i="7"/>
  <c r="B255" i="7"/>
  <c r="F254" i="7"/>
  <c r="D254" i="7"/>
  <c r="B254" i="7"/>
  <c r="H253" i="7"/>
  <c r="F253" i="7"/>
  <c r="D253" i="7"/>
  <c r="B253" i="7"/>
  <c r="H252" i="7"/>
  <c r="F252" i="7"/>
  <c r="D252" i="7"/>
  <c r="B252" i="7"/>
  <c r="H251" i="7"/>
  <c r="F251" i="7"/>
  <c r="D251" i="7"/>
  <c r="B251" i="7"/>
  <c r="H250" i="7"/>
  <c r="F250" i="7"/>
  <c r="D250" i="7"/>
  <c r="B250" i="7"/>
  <c r="F249" i="7"/>
  <c r="D249" i="7"/>
  <c r="B249" i="7"/>
  <c r="H248" i="7"/>
  <c r="F248" i="7"/>
  <c r="D248" i="7"/>
  <c r="B248" i="7"/>
  <c r="H247" i="7"/>
  <c r="F247" i="7"/>
  <c r="D247" i="7"/>
  <c r="B247" i="7"/>
  <c r="H246" i="7"/>
  <c r="F246" i="7"/>
  <c r="D246" i="7"/>
  <c r="B246" i="7"/>
  <c r="H245" i="7"/>
  <c r="F245" i="7"/>
  <c r="D245" i="7"/>
  <c r="B245" i="7"/>
  <c r="H244" i="7"/>
  <c r="F244" i="7"/>
  <c r="D244" i="7"/>
  <c r="B244" i="7"/>
  <c r="F243" i="7"/>
  <c r="D243" i="7"/>
  <c r="B243" i="7"/>
  <c r="H242" i="7"/>
  <c r="F242" i="7"/>
  <c r="D242" i="7"/>
  <c r="B242" i="7"/>
  <c r="H241" i="7"/>
  <c r="F241" i="7"/>
  <c r="D241" i="7"/>
  <c r="B241" i="7"/>
  <c r="H240" i="7"/>
  <c r="F240" i="7"/>
  <c r="D240" i="7"/>
  <c r="B240" i="7"/>
  <c r="F239" i="7"/>
  <c r="D239" i="7"/>
  <c r="B239" i="7"/>
  <c r="F238" i="7"/>
  <c r="D238" i="7"/>
  <c r="B238" i="7"/>
  <c r="H237" i="7"/>
  <c r="F237" i="7"/>
  <c r="D237" i="7"/>
  <c r="B237" i="7"/>
  <c r="H236" i="7"/>
  <c r="F236" i="7"/>
  <c r="D236" i="7"/>
  <c r="B236" i="7"/>
  <c r="H235" i="7"/>
  <c r="F235" i="7"/>
  <c r="D235" i="7"/>
  <c r="B235" i="7"/>
  <c r="F234" i="7"/>
  <c r="D234" i="7"/>
  <c r="B234" i="7"/>
  <c r="H233" i="7"/>
  <c r="F233" i="7"/>
  <c r="D233" i="7"/>
  <c r="B233" i="7"/>
  <c r="H232" i="7"/>
  <c r="F232" i="7"/>
  <c r="D232" i="7"/>
  <c r="B232" i="7"/>
  <c r="H231" i="7"/>
  <c r="F231" i="7"/>
  <c r="D231" i="7"/>
  <c r="B231" i="7"/>
  <c r="H230" i="7"/>
  <c r="F230" i="7"/>
  <c r="D230" i="7"/>
  <c r="B230" i="7"/>
  <c r="H229" i="7"/>
  <c r="F229" i="7"/>
  <c r="D229" i="7"/>
  <c r="B229" i="7"/>
  <c r="H228" i="7"/>
  <c r="F228" i="7"/>
  <c r="D228" i="7"/>
  <c r="B228" i="7"/>
  <c r="H227" i="7"/>
  <c r="F227" i="7"/>
  <c r="D227" i="7"/>
  <c r="B227" i="7"/>
  <c r="H226" i="7"/>
  <c r="F226" i="7"/>
  <c r="D226" i="7"/>
  <c r="B226" i="7"/>
  <c r="H225" i="7"/>
  <c r="F225" i="7"/>
  <c r="D225" i="7"/>
  <c r="B225" i="7"/>
  <c r="H224" i="7"/>
  <c r="F224" i="7"/>
  <c r="D224" i="7"/>
  <c r="B224" i="7"/>
  <c r="H223" i="7"/>
  <c r="F223" i="7"/>
  <c r="D223" i="7"/>
  <c r="B223" i="7"/>
  <c r="H222" i="7"/>
  <c r="F222" i="7"/>
  <c r="D222" i="7"/>
  <c r="B222" i="7"/>
  <c r="H221" i="7"/>
  <c r="F221" i="7"/>
  <c r="D221" i="7"/>
  <c r="B221" i="7"/>
  <c r="H220" i="7"/>
  <c r="F220" i="7"/>
  <c r="D220" i="7"/>
  <c r="B220" i="7"/>
  <c r="H219" i="7"/>
  <c r="F219" i="7"/>
  <c r="D219" i="7"/>
  <c r="B219" i="7"/>
  <c r="H218" i="7"/>
  <c r="F218" i="7"/>
  <c r="D218" i="7"/>
  <c r="B218" i="7"/>
  <c r="H217" i="7"/>
  <c r="F217" i="7"/>
  <c r="D217" i="7"/>
  <c r="B217" i="7"/>
  <c r="H216" i="7"/>
  <c r="F216" i="7"/>
  <c r="D216" i="7"/>
  <c r="B216" i="7"/>
  <c r="H215" i="7"/>
  <c r="F215" i="7"/>
  <c r="D215" i="7"/>
  <c r="B215" i="7"/>
  <c r="H214" i="7"/>
  <c r="F214" i="7"/>
  <c r="D214" i="7"/>
  <c r="B214" i="7"/>
  <c r="H213" i="7"/>
  <c r="F213" i="7"/>
  <c r="D213" i="7"/>
  <c r="B213" i="7"/>
  <c r="H212" i="7"/>
  <c r="F212" i="7"/>
  <c r="D212" i="7"/>
  <c r="B212" i="7"/>
  <c r="H211" i="7"/>
  <c r="F211" i="7"/>
  <c r="D211" i="7"/>
  <c r="B211" i="7"/>
  <c r="H210" i="7"/>
  <c r="F210" i="7"/>
  <c r="D210" i="7"/>
  <c r="B210" i="7"/>
  <c r="H209" i="7"/>
  <c r="F209" i="7"/>
  <c r="D209" i="7"/>
  <c r="B209" i="7"/>
  <c r="H208" i="7"/>
  <c r="F208" i="7"/>
  <c r="D208" i="7"/>
  <c r="B208" i="7"/>
  <c r="H207" i="7"/>
  <c r="F207" i="7"/>
  <c r="D207" i="7"/>
  <c r="B207" i="7"/>
  <c r="H206" i="7"/>
  <c r="F206" i="7"/>
  <c r="D206" i="7"/>
  <c r="B206" i="7"/>
  <c r="H205" i="7"/>
  <c r="F205" i="7"/>
  <c r="D205" i="7"/>
  <c r="B205" i="7"/>
  <c r="H204" i="7"/>
  <c r="F204" i="7"/>
  <c r="D204" i="7"/>
  <c r="B204" i="7"/>
  <c r="H203" i="7"/>
  <c r="F203" i="7"/>
  <c r="D203" i="7"/>
  <c r="B203" i="7"/>
  <c r="H202" i="7"/>
  <c r="F202" i="7"/>
  <c r="D202" i="7"/>
  <c r="B202" i="7"/>
  <c r="H201" i="7"/>
  <c r="F201" i="7"/>
  <c r="D201" i="7"/>
  <c r="B201" i="7"/>
  <c r="H200" i="7"/>
  <c r="F200" i="7"/>
  <c r="D200" i="7"/>
  <c r="B200" i="7"/>
  <c r="H199" i="7"/>
  <c r="F199" i="7"/>
  <c r="D199" i="7"/>
  <c r="B199" i="7"/>
  <c r="H198" i="7"/>
  <c r="F198" i="7"/>
  <c r="D198" i="7"/>
  <c r="B198" i="7"/>
  <c r="H197" i="7"/>
  <c r="F197" i="7"/>
  <c r="D197" i="7"/>
  <c r="B197" i="7"/>
  <c r="H196" i="7"/>
  <c r="F196" i="7"/>
  <c r="D196" i="7"/>
  <c r="B196" i="7"/>
  <c r="F195" i="7"/>
  <c r="D195" i="7"/>
  <c r="B195" i="7"/>
  <c r="H194" i="7"/>
  <c r="F194" i="7"/>
  <c r="D194" i="7"/>
  <c r="B194" i="7"/>
  <c r="H193" i="7"/>
  <c r="F193" i="7"/>
  <c r="D193" i="7"/>
  <c r="B193" i="7"/>
  <c r="H192" i="7"/>
  <c r="F192" i="7"/>
  <c r="D192" i="7"/>
  <c r="B192" i="7"/>
  <c r="H191" i="7"/>
  <c r="F191" i="7"/>
  <c r="D191" i="7"/>
  <c r="B191" i="7"/>
  <c r="H190" i="7"/>
  <c r="F190" i="7"/>
  <c r="D190" i="7"/>
  <c r="B190" i="7"/>
  <c r="F189" i="7"/>
  <c r="D189" i="7"/>
  <c r="B189" i="7"/>
  <c r="H188" i="7"/>
  <c r="F188" i="7"/>
  <c r="D188" i="7"/>
  <c r="B188" i="7"/>
  <c r="H187" i="7"/>
  <c r="F187" i="7"/>
  <c r="D187" i="7"/>
  <c r="B187" i="7"/>
  <c r="H186" i="7"/>
  <c r="F186" i="7"/>
  <c r="D186" i="7"/>
  <c r="B186" i="7"/>
  <c r="F185" i="7"/>
  <c r="D185" i="7"/>
  <c r="B185" i="7"/>
  <c r="H184" i="7"/>
  <c r="F184" i="7"/>
  <c r="D184" i="7"/>
  <c r="B184" i="7"/>
  <c r="H183" i="7"/>
  <c r="F183" i="7"/>
  <c r="D183" i="7"/>
  <c r="B183" i="7"/>
  <c r="H182" i="7"/>
  <c r="F182" i="7"/>
  <c r="D182" i="7"/>
  <c r="B182" i="7"/>
  <c r="F181" i="7"/>
  <c r="D181" i="7"/>
  <c r="B181" i="7"/>
  <c r="H180" i="7"/>
  <c r="F180" i="7"/>
  <c r="D180" i="7"/>
  <c r="B180" i="7"/>
  <c r="F179" i="7"/>
  <c r="D179" i="7"/>
  <c r="B179" i="7"/>
  <c r="H178" i="7"/>
  <c r="F178" i="7"/>
  <c r="D178" i="7"/>
  <c r="B178" i="7"/>
  <c r="H177" i="7"/>
  <c r="F177" i="7"/>
  <c r="D177" i="7"/>
  <c r="B177" i="7"/>
  <c r="H176" i="7"/>
  <c r="F176" i="7"/>
  <c r="D176" i="7"/>
  <c r="B176" i="7"/>
  <c r="F175" i="7"/>
  <c r="D175" i="7"/>
  <c r="B175" i="7"/>
  <c r="H174" i="7"/>
  <c r="F174" i="7"/>
  <c r="D174" i="7"/>
  <c r="B174" i="7"/>
  <c r="H173" i="7"/>
  <c r="F173" i="7"/>
  <c r="D173" i="7"/>
  <c r="B173" i="7"/>
  <c r="H172" i="7"/>
  <c r="F172" i="7"/>
  <c r="D172" i="7"/>
  <c r="B172" i="7"/>
  <c r="H171" i="7"/>
  <c r="F171" i="7"/>
  <c r="D171" i="7"/>
  <c r="B171" i="7"/>
  <c r="H170" i="7"/>
  <c r="F170" i="7"/>
  <c r="D170" i="7"/>
  <c r="B170" i="7"/>
  <c r="F169" i="7"/>
  <c r="D169" i="7"/>
  <c r="B169" i="7"/>
  <c r="H168" i="7"/>
  <c r="F168" i="7"/>
  <c r="D168" i="7"/>
  <c r="B168" i="7"/>
  <c r="H167" i="7"/>
  <c r="F167" i="7"/>
  <c r="D167" i="7"/>
  <c r="B167" i="7"/>
  <c r="H166" i="7"/>
  <c r="F166" i="7"/>
  <c r="D166" i="7"/>
  <c r="B166" i="7"/>
  <c r="H165" i="7"/>
  <c r="F165" i="7"/>
  <c r="D165" i="7"/>
  <c r="B165" i="7"/>
  <c r="F164" i="7"/>
  <c r="D164" i="7"/>
  <c r="B164" i="7"/>
  <c r="H163" i="7"/>
  <c r="F163" i="7"/>
  <c r="D163" i="7"/>
  <c r="B163" i="7"/>
  <c r="H162" i="7"/>
  <c r="F162" i="7"/>
  <c r="D162" i="7"/>
  <c r="B162" i="7"/>
  <c r="H161" i="7"/>
  <c r="F161" i="7"/>
  <c r="D161" i="7"/>
  <c r="B161" i="7"/>
  <c r="F160" i="7"/>
  <c r="D160" i="7"/>
  <c r="B160" i="7"/>
  <c r="H159" i="7"/>
  <c r="F159" i="7"/>
  <c r="D159" i="7"/>
  <c r="B159" i="7"/>
  <c r="H158" i="7"/>
  <c r="F158" i="7"/>
  <c r="D158" i="7"/>
  <c r="B158" i="7"/>
  <c r="H157" i="7"/>
  <c r="F157" i="7"/>
  <c r="D157" i="7"/>
  <c r="B157" i="7"/>
  <c r="H156" i="7"/>
  <c r="F156" i="7"/>
  <c r="D156" i="7"/>
  <c r="B156" i="7"/>
  <c r="H155" i="7"/>
  <c r="F155" i="7"/>
  <c r="D155" i="7"/>
  <c r="B155" i="7"/>
  <c r="F154" i="7"/>
  <c r="D154" i="7"/>
  <c r="B154" i="7"/>
  <c r="H153" i="7"/>
  <c r="F153" i="7"/>
  <c r="D153" i="7"/>
  <c r="B153" i="7"/>
  <c r="H152" i="7"/>
  <c r="F152" i="7"/>
  <c r="D152" i="7"/>
  <c r="B152" i="7"/>
  <c r="H151" i="7"/>
  <c r="F151" i="7"/>
  <c r="D151" i="7"/>
  <c r="B151" i="7"/>
  <c r="F150" i="7"/>
  <c r="D150" i="7"/>
  <c r="B150" i="7"/>
  <c r="F149" i="7"/>
  <c r="D149" i="7"/>
  <c r="B149" i="7"/>
  <c r="F148" i="7"/>
  <c r="D148" i="7"/>
  <c r="B148" i="7"/>
  <c r="H147" i="7"/>
  <c r="F147" i="7"/>
  <c r="D147" i="7"/>
  <c r="B147" i="7"/>
  <c r="H146" i="7"/>
  <c r="F146" i="7"/>
  <c r="D146" i="7"/>
  <c r="B146" i="7"/>
  <c r="H145" i="7"/>
  <c r="F145" i="7"/>
  <c r="D145" i="7"/>
  <c r="B145" i="7"/>
  <c r="H144" i="7"/>
  <c r="F144" i="7"/>
  <c r="D144" i="7"/>
  <c r="B144" i="7"/>
  <c r="H143" i="7"/>
  <c r="F143" i="7"/>
  <c r="D143" i="7"/>
  <c r="B143" i="7"/>
  <c r="H142" i="7"/>
  <c r="F142" i="7"/>
  <c r="D142" i="7"/>
  <c r="B142" i="7"/>
  <c r="H141" i="7"/>
  <c r="F141" i="7"/>
  <c r="D141" i="7"/>
  <c r="B141" i="7"/>
  <c r="H140" i="7"/>
  <c r="F140" i="7"/>
  <c r="D140" i="7"/>
  <c r="B140" i="7"/>
  <c r="F139" i="7"/>
  <c r="D139" i="7"/>
  <c r="B139" i="7"/>
  <c r="H138" i="7"/>
  <c r="F138" i="7"/>
  <c r="D138" i="7"/>
  <c r="B138" i="7"/>
  <c r="H137" i="7"/>
  <c r="F137" i="7"/>
  <c r="D137" i="7"/>
  <c r="B137" i="7"/>
  <c r="H136" i="7"/>
  <c r="F136" i="7"/>
  <c r="D136" i="7"/>
  <c r="B136" i="7"/>
  <c r="H135" i="7"/>
  <c r="F135" i="7"/>
  <c r="D135" i="7"/>
  <c r="B135" i="7"/>
  <c r="H134" i="7"/>
  <c r="F134" i="7"/>
  <c r="D134" i="7"/>
  <c r="B134" i="7"/>
  <c r="F133" i="7"/>
  <c r="D133" i="7"/>
  <c r="B133" i="7"/>
  <c r="H132" i="7"/>
  <c r="F132" i="7"/>
  <c r="D132" i="7"/>
  <c r="B132" i="7"/>
  <c r="H131" i="7"/>
  <c r="F131" i="7"/>
  <c r="D131" i="7"/>
  <c r="B131" i="7"/>
  <c r="H130" i="7"/>
  <c r="F130" i="7"/>
  <c r="D130" i="7"/>
  <c r="B130" i="7"/>
  <c r="H129" i="7"/>
  <c r="F129" i="7"/>
  <c r="D129" i="7"/>
  <c r="B129" i="7"/>
  <c r="H128" i="7"/>
  <c r="F128" i="7"/>
  <c r="D128" i="7"/>
  <c r="B128" i="7"/>
  <c r="H127" i="7"/>
  <c r="F127" i="7"/>
  <c r="D127" i="7"/>
  <c r="B127" i="7"/>
  <c r="H126" i="7"/>
  <c r="F126" i="7"/>
  <c r="D126" i="7"/>
  <c r="B126" i="7"/>
  <c r="H125" i="7"/>
  <c r="F125" i="7"/>
  <c r="D125" i="7"/>
  <c r="B125" i="7"/>
  <c r="H124" i="7"/>
  <c r="F124" i="7"/>
  <c r="D124" i="7"/>
  <c r="B124" i="7"/>
  <c r="H123" i="7"/>
  <c r="F123" i="7"/>
  <c r="D123" i="7"/>
  <c r="B123" i="7"/>
  <c r="H122" i="7"/>
  <c r="F122" i="7"/>
  <c r="D122" i="7"/>
  <c r="B122" i="7"/>
  <c r="H121" i="7"/>
  <c r="F121" i="7"/>
  <c r="D121" i="7"/>
  <c r="B121" i="7"/>
  <c r="H120" i="7"/>
  <c r="F120" i="7"/>
  <c r="D120" i="7"/>
  <c r="B120" i="7"/>
  <c r="H119" i="7"/>
  <c r="F119" i="7"/>
  <c r="D119" i="7"/>
  <c r="B119" i="7"/>
  <c r="H118" i="7"/>
  <c r="F118" i="7"/>
  <c r="D118" i="7"/>
  <c r="B118" i="7"/>
  <c r="H117" i="7"/>
  <c r="F117" i="7"/>
  <c r="D117" i="7"/>
  <c r="B117" i="7"/>
  <c r="H116" i="7"/>
  <c r="F116" i="7"/>
  <c r="D116" i="7"/>
  <c r="B116" i="7"/>
  <c r="H115" i="7"/>
  <c r="F115" i="7"/>
  <c r="D115" i="7"/>
  <c r="B115" i="7"/>
  <c r="F114" i="7"/>
  <c r="D114" i="7"/>
  <c r="B114" i="7"/>
  <c r="H113" i="7"/>
  <c r="F113" i="7"/>
  <c r="D113" i="7"/>
  <c r="B113" i="7"/>
  <c r="H112" i="7"/>
  <c r="F112" i="7"/>
  <c r="D112" i="7"/>
  <c r="B112" i="7"/>
  <c r="H111" i="7"/>
  <c r="F111" i="7"/>
  <c r="D111" i="7"/>
  <c r="B111" i="7"/>
  <c r="H110" i="7"/>
  <c r="F110" i="7"/>
  <c r="D110" i="7"/>
  <c r="B110" i="7"/>
  <c r="H109" i="7"/>
  <c r="F109" i="7"/>
  <c r="D109" i="7"/>
  <c r="B109" i="7"/>
  <c r="H108" i="7"/>
  <c r="F108" i="7"/>
  <c r="D108" i="7"/>
  <c r="B108" i="7"/>
  <c r="H107" i="7"/>
  <c r="F107" i="7"/>
  <c r="D107" i="7"/>
  <c r="B107" i="7"/>
  <c r="H106" i="7"/>
  <c r="F106" i="7"/>
  <c r="D106" i="7"/>
  <c r="B106" i="7"/>
  <c r="H105" i="7"/>
  <c r="F105" i="7"/>
  <c r="D105" i="7"/>
  <c r="B105" i="7"/>
  <c r="H104" i="7"/>
  <c r="F104" i="7"/>
  <c r="D104" i="7"/>
  <c r="B104" i="7"/>
  <c r="H103" i="7"/>
  <c r="F103" i="7"/>
  <c r="D103" i="7"/>
  <c r="B103" i="7"/>
  <c r="H102" i="7"/>
  <c r="F102" i="7"/>
  <c r="D102" i="7"/>
  <c r="B102" i="7"/>
  <c r="H101" i="7"/>
  <c r="F101" i="7"/>
  <c r="D101" i="7"/>
  <c r="B101" i="7"/>
  <c r="H100" i="7"/>
  <c r="F100" i="7"/>
  <c r="D100" i="7"/>
  <c r="B100" i="7"/>
  <c r="H99" i="7"/>
  <c r="F99" i="7"/>
  <c r="D99" i="7"/>
  <c r="B99" i="7"/>
  <c r="H98" i="7"/>
  <c r="F98" i="7"/>
  <c r="D98" i="7"/>
  <c r="B98" i="7"/>
  <c r="H97" i="7"/>
  <c r="F97" i="7"/>
  <c r="D97" i="7"/>
  <c r="B97" i="7"/>
  <c r="F96" i="7"/>
  <c r="D96" i="7"/>
  <c r="B96" i="7"/>
  <c r="H95" i="7"/>
  <c r="F95" i="7"/>
  <c r="D95" i="7"/>
  <c r="B95" i="7"/>
  <c r="H94" i="7"/>
  <c r="F94" i="7"/>
  <c r="D94" i="7"/>
  <c r="B94" i="7"/>
  <c r="H93" i="7"/>
  <c r="F93" i="7"/>
  <c r="D93" i="7"/>
  <c r="B93" i="7"/>
  <c r="H92" i="7"/>
  <c r="F92" i="7"/>
  <c r="D92" i="7"/>
  <c r="B92" i="7"/>
  <c r="F91" i="7"/>
  <c r="D91" i="7"/>
  <c r="B91" i="7"/>
  <c r="H90" i="7"/>
  <c r="F90" i="7"/>
  <c r="D90" i="7"/>
  <c r="B90" i="7"/>
  <c r="H89" i="7"/>
  <c r="F89" i="7"/>
  <c r="D89" i="7"/>
  <c r="B89" i="7"/>
  <c r="H88" i="7"/>
  <c r="F88" i="7"/>
  <c r="D88" i="7"/>
  <c r="B88" i="7"/>
  <c r="H87" i="7"/>
  <c r="F87" i="7"/>
  <c r="D87" i="7"/>
  <c r="B87" i="7"/>
  <c r="H86" i="7"/>
  <c r="F86" i="7"/>
  <c r="D86" i="7"/>
  <c r="B86" i="7"/>
  <c r="H85" i="7"/>
  <c r="F85" i="7"/>
  <c r="D85" i="7"/>
  <c r="B85" i="7"/>
  <c r="H84" i="7"/>
  <c r="F84" i="7"/>
  <c r="D84" i="7"/>
  <c r="B84" i="7"/>
  <c r="H83" i="7"/>
  <c r="F83" i="7"/>
  <c r="D83" i="7"/>
  <c r="B83" i="7"/>
  <c r="H82" i="7"/>
  <c r="F82" i="7"/>
  <c r="D82" i="7"/>
  <c r="B82" i="7"/>
  <c r="F81" i="7"/>
  <c r="D81" i="7"/>
  <c r="B81" i="7"/>
  <c r="H80" i="7"/>
  <c r="F80" i="7"/>
  <c r="D80" i="7"/>
  <c r="B80" i="7"/>
  <c r="H79" i="7"/>
  <c r="F79" i="7"/>
  <c r="D79" i="7"/>
  <c r="B79" i="7"/>
  <c r="H78" i="7"/>
  <c r="F78" i="7"/>
  <c r="D78" i="7"/>
  <c r="B78" i="7"/>
  <c r="H77" i="7"/>
  <c r="F77" i="7"/>
  <c r="D77" i="7"/>
  <c r="B77" i="7"/>
  <c r="H76" i="7"/>
  <c r="F76" i="7"/>
  <c r="D76" i="7"/>
  <c r="B76" i="7"/>
  <c r="H75" i="7"/>
  <c r="F75" i="7"/>
  <c r="D75" i="7"/>
  <c r="B75" i="7"/>
  <c r="H74" i="7"/>
  <c r="F74" i="7"/>
  <c r="D74" i="7"/>
  <c r="B74" i="7"/>
  <c r="H73" i="7"/>
  <c r="F73" i="7"/>
  <c r="D73" i="7"/>
  <c r="B73" i="7"/>
  <c r="H72" i="7"/>
  <c r="F72" i="7"/>
  <c r="D72" i="7"/>
  <c r="B72" i="7"/>
  <c r="H71" i="7"/>
  <c r="F71" i="7"/>
  <c r="D71" i="7"/>
  <c r="B71" i="7"/>
  <c r="H70" i="7"/>
  <c r="F70" i="7"/>
  <c r="D70" i="7"/>
  <c r="B70" i="7"/>
  <c r="H69" i="7"/>
  <c r="F69" i="7"/>
  <c r="D69" i="7"/>
  <c r="B69" i="7"/>
  <c r="F68" i="7"/>
  <c r="D68" i="7"/>
  <c r="B68" i="7"/>
  <c r="H67" i="7"/>
  <c r="F67" i="7"/>
  <c r="D67" i="7"/>
  <c r="B67" i="7"/>
  <c r="H66" i="7"/>
  <c r="F66" i="7"/>
  <c r="D66" i="7"/>
  <c r="B66" i="7"/>
  <c r="H65" i="7"/>
  <c r="F65" i="7"/>
  <c r="D65" i="7"/>
  <c r="B65" i="7"/>
  <c r="H64" i="7"/>
  <c r="F64" i="7"/>
  <c r="D64" i="7"/>
  <c r="B64" i="7"/>
  <c r="F63" i="7"/>
  <c r="D63" i="7"/>
  <c r="B63" i="7"/>
  <c r="H62" i="7"/>
  <c r="F62" i="7"/>
  <c r="D62" i="7"/>
  <c r="B62" i="7"/>
  <c r="H61" i="7"/>
  <c r="F61" i="7"/>
  <c r="D61" i="7"/>
  <c r="B61" i="7"/>
  <c r="F60" i="7"/>
  <c r="D60" i="7"/>
  <c r="B60" i="7"/>
  <c r="H59" i="7"/>
  <c r="F59" i="7"/>
  <c r="D59" i="7"/>
  <c r="B59" i="7"/>
  <c r="H58" i="7"/>
  <c r="F58" i="7"/>
  <c r="D58" i="7"/>
  <c r="B58" i="7"/>
  <c r="H57" i="7"/>
  <c r="F57" i="7"/>
  <c r="D57" i="7"/>
  <c r="B57" i="7"/>
  <c r="H56" i="7"/>
  <c r="F56" i="7"/>
  <c r="D56" i="7"/>
  <c r="B56" i="7"/>
  <c r="F55" i="7"/>
  <c r="D55" i="7"/>
  <c r="B55" i="7"/>
  <c r="H54" i="7"/>
  <c r="F54" i="7"/>
  <c r="D54" i="7"/>
  <c r="B54" i="7"/>
  <c r="H53" i="7"/>
  <c r="F53" i="7"/>
  <c r="D53" i="7"/>
  <c r="B53" i="7"/>
  <c r="H52" i="7"/>
  <c r="F52" i="7"/>
  <c r="D52" i="7"/>
  <c r="B52" i="7"/>
  <c r="H51" i="7"/>
  <c r="F51" i="7"/>
  <c r="D51" i="7"/>
  <c r="B51" i="7"/>
  <c r="H50" i="7"/>
  <c r="F50" i="7"/>
  <c r="D50" i="7"/>
  <c r="B50" i="7"/>
  <c r="H49" i="7"/>
  <c r="F49" i="7"/>
  <c r="D49" i="7"/>
  <c r="B49" i="7"/>
  <c r="F48" i="7"/>
  <c r="D48" i="7"/>
  <c r="B48" i="7"/>
  <c r="H47" i="7"/>
  <c r="F47" i="7"/>
  <c r="D47" i="7"/>
  <c r="B47" i="7"/>
  <c r="H46" i="7"/>
  <c r="F46" i="7"/>
  <c r="D46" i="7"/>
  <c r="B46" i="7"/>
  <c r="H45" i="7"/>
  <c r="F45" i="7"/>
  <c r="D45" i="7"/>
  <c r="B45" i="7"/>
  <c r="F44" i="7"/>
  <c r="D44" i="7"/>
  <c r="B44" i="7"/>
  <c r="H43" i="7"/>
  <c r="F43" i="7"/>
  <c r="D43" i="7"/>
  <c r="B43" i="7"/>
  <c r="H42" i="7"/>
  <c r="F42" i="7"/>
  <c r="D42" i="7"/>
  <c r="B42" i="7"/>
  <c r="H41" i="7"/>
  <c r="F41" i="7"/>
  <c r="D41" i="7"/>
  <c r="B41" i="7"/>
  <c r="F40" i="7"/>
  <c r="D40" i="7"/>
  <c r="B40" i="7"/>
  <c r="H39" i="7"/>
  <c r="F39" i="7"/>
  <c r="D39" i="7"/>
  <c r="B39" i="7"/>
  <c r="H38" i="7"/>
  <c r="F38" i="7"/>
  <c r="D38" i="7"/>
  <c r="B38" i="7"/>
  <c r="H37" i="7"/>
  <c r="F37" i="7"/>
  <c r="D37" i="7"/>
  <c r="B37" i="7"/>
  <c r="H36" i="7"/>
  <c r="F36" i="7"/>
  <c r="D36" i="7"/>
  <c r="B36" i="7"/>
  <c r="F35" i="7"/>
  <c r="D35" i="7"/>
  <c r="B35" i="7"/>
  <c r="H34" i="7"/>
  <c r="F34" i="7"/>
  <c r="D34" i="7"/>
  <c r="B34" i="7"/>
  <c r="H33" i="7"/>
  <c r="F33" i="7"/>
  <c r="D33" i="7"/>
  <c r="B33" i="7"/>
  <c r="H32" i="7"/>
  <c r="F32" i="7"/>
  <c r="D32" i="7"/>
  <c r="B32" i="7"/>
  <c r="H31" i="7"/>
  <c r="F31" i="7"/>
  <c r="D31" i="7"/>
  <c r="B31" i="7"/>
  <c r="F30" i="7"/>
  <c r="D30" i="7"/>
  <c r="B30" i="7"/>
  <c r="H29" i="7"/>
  <c r="F29" i="7"/>
  <c r="D29" i="7"/>
  <c r="B29" i="7"/>
  <c r="H28" i="7"/>
  <c r="F28" i="7"/>
  <c r="D28" i="7"/>
  <c r="B28" i="7"/>
  <c r="H27" i="7"/>
  <c r="F27" i="7"/>
  <c r="D27" i="7"/>
  <c r="B27" i="7"/>
  <c r="H26" i="7"/>
  <c r="F26" i="7"/>
  <c r="D26" i="7"/>
  <c r="B26" i="7"/>
  <c r="H25" i="7"/>
  <c r="F25" i="7"/>
  <c r="D25" i="7"/>
  <c r="B25" i="7"/>
  <c r="H24" i="7"/>
  <c r="F24" i="7"/>
  <c r="D24" i="7"/>
  <c r="B24" i="7"/>
  <c r="H23" i="7"/>
  <c r="F23" i="7"/>
  <c r="D23" i="7"/>
  <c r="B23" i="7"/>
  <c r="H22" i="7"/>
  <c r="F22" i="7"/>
  <c r="D22" i="7"/>
  <c r="B22" i="7"/>
  <c r="H21" i="7"/>
  <c r="F21" i="7"/>
  <c r="D21" i="7"/>
  <c r="B21" i="7"/>
  <c r="F20" i="7"/>
  <c r="D20" i="7"/>
  <c r="B20" i="7"/>
  <c r="F19" i="7"/>
  <c r="D19" i="7"/>
  <c r="B19" i="7"/>
  <c r="H18" i="7"/>
  <c r="F18" i="7"/>
  <c r="D18" i="7"/>
  <c r="B18" i="7"/>
  <c r="H17" i="7"/>
  <c r="F17" i="7"/>
  <c r="D17" i="7"/>
  <c r="B17" i="7"/>
  <c r="H16" i="7"/>
  <c r="F16" i="7"/>
  <c r="D16" i="7"/>
  <c r="B16" i="7"/>
  <c r="H15" i="7"/>
  <c r="F15" i="7"/>
  <c r="D15" i="7"/>
  <c r="B15" i="7"/>
  <c r="F14" i="7"/>
  <c r="D14" i="7"/>
  <c r="B14" i="7"/>
  <c r="H13" i="7"/>
  <c r="F13" i="7"/>
  <c r="D13" i="7"/>
  <c r="B13" i="7"/>
  <c r="H12" i="7"/>
  <c r="F12" i="7"/>
  <c r="D12" i="7"/>
  <c r="B12" i="7"/>
  <c r="F11" i="7"/>
  <c r="D11" i="7"/>
  <c r="B11" i="7"/>
  <c r="F10" i="7"/>
  <c r="D10" i="7"/>
  <c r="B10" i="7"/>
  <c r="F9" i="7"/>
  <c r="D9" i="7"/>
  <c r="B9" i="7"/>
  <c r="H8" i="7"/>
  <c r="F8" i="7"/>
  <c r="D8" i="7"/>
  <c r="B8" i="7"/>
  <c r="H7" i="7"/>
  <c r="F7" i="7"/>
  <c r="D7" i="7"/>
  <c r="B7" i="7"/>
  <c r="F6" i="7"/>
  <c r="D6" i="7"/>
  <c r="B6" i="7"/>
  <c r="H5" i="7"/>
  <c r="F5" i="7"/>
  <c r="D5" i="7"/>
  <c r="B5" i="7"/>
  <c r="H4" i="7"/>
  <c r="F4" i="7"/>
  <c r="D4" i="7"/>
  <c r="B4" i="7"/>
  <c r="H3" i="7"/>
  <c r="F3" i="7"/>
  <c r="D3" i="7"/>
  <c r="B3" i="7"/>
  <c r="H2" i="7"/>
  <c r="F2" i="7"/>
  <c r="D2" i="7"/>
  <c r="B2" i="7"/>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H52" i="5"/>
  <c r="H53" i="5" s="1"/>
  <c r="H54" i="5" s="1"/>
  <c r="H55" i="5" s="1"/>
  <c r="H56" i="5" s="1"/>
  <c r="H57" i="5" s="1"/>
  <c r="H58" i="5" s="1"/>
  <c r="H59" i="5" s="1"/>
  <c r="H60" i="5" s="1"/>
  <c r="H61" i="5" s="1"/>
  <c r="H62" i="5" s="1"/>
  <c r="H63" i="5" s="1"/>
  <c r="H64" i="5" s="1"/>
  <c r="H65" i="5" s="1"/>
  <c r="H66" i="5" s="1"/>
  <c r="H67" i="5" s="1"/>
  <c r="H68" i="5" s="1"/>
  <c r="H69" i="5" s="1"/>
  <c r="H70" i="5" s="1"/>
  <c r="H71" i="5" s="1"/>
  <c r="H72" i="5" s="1"/>
  <c r="H73" i="5" s="1"/>
  <c r="H74" i="5" s="1"/>
  <c r="H75" i="5" s="1"/>
  <c r="H76" i="5" s="1"/>
  <c r="H77" i="5" s="1"/>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H4" i="5"/>
  <c r="H5" i="5" s="1"/>
  <c r="H6" i="5" s="1"/>
  <c r="H7" i="5" s="1"/>
  <c r="H8" i="5" s="1"/>
  <c r="H9" i="5" s="1"/>
  <c r="H10" i="5" s="1"/>
  <c r="H11" i="5" s="1"/>
  <c r="H12" i="5" s="1"/>
  <c r="H13" i="5" s="1"/>
  <c r="H14" i="5" s="1"/>
  <c r="H15" i="5" s="1"/>
  <c r="H16" i="5" s="1"/>
  <c r="H17" i="5" s="1"/>
  <c r="H18" i="5" s="1"/>
  <c r="H19" i="5" s="1"/>
  <c r="H20" i="5" s="1"/>
  <c r="H21" i="5" s="1"/>
  <c r="H22" i="5" s="1"/>
  <c r="H23" i="5" s="1"/>
  <c r="H24" i="5" s="1"/>
  <c r="H25" i="5" s="1"/>
  <c r="H26" i="5" s="1"/>
  <c r="H27" i="5" s="1"/>
  <c r="H28" i="5" s="1"/>
  <c r="H29" i="5" s="1"/>
  <c r="H30" i="5" s="1"/>
  <c r="H31" i="5" s="1"/>
  <c r="H32" i="5" s="1"/>
  <c r="H33" i="5" s="1"/>
  <c r="H34" i="5" s="1"/>
  <c r="H35" i="5" s="1"/>
  <c r="H36" i="5" s="1"/>
  <c r="H37" i="5" s="1"/>
  <c r="H38" i="5" s="1"/>
  <c r="H39" i="5" s="1"/>
  <c r="H40" i="5" s="1"/>
  <c r="H41" i="5" s="1"/>
  <c r="H42" i="5" s="1"/>
  <c r="H43" i="5" s="1"/>
  <c r="H44" i="5" s="1"/>
  <c r="H45" i="5" s="1"/>
  <c r="H46" i="5" s="1"/>
  <c r="H47" i="5" s="1"/>
  <c r="H48" i="5" s="1"/>
  <c r="H49" i="5" s="1"/>
  <c r="H50" i="5" s="1"/>
  <c r="B4" i="5"/>
  <c r="H3" i="5"/>
  <c r="B3" i="5"/>
  <c r="B2" i="5"/>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H52" i="4"/>
  <c r="H53" i="4" s="1"/>
  <c r="H54" i="4" s="1"/>
  <c r="H55" i="4" s="1"/>
  <c r="H56" i="4" s="1"/>
  <c r="H57" i="4" s="1"/>
  <c r="H58" i="4" s="1"/>
  <c r="H59" i="4" s="1"/>
  <c r="H60" i="4" s="1"/>
  <c r="H61" i="4" s="1"/>
  <c r="H62" i="4" s="1"/>
  <c r="H63" i="4" s="1"/>
  <c r="H64" i="4" s="1"/>
  <c r="H65" i="4" s="1"/>
  <c r="H66" i="4" s="1"/>
  <c r="H67" i="4" s="1"/>
  <c r="H68" i="4" s="1"/>
  <c r="H69" i="4" s="1"/>
  <c r="H70" i="4" s="1"/>
  <c r="H71" i="4" s="1"/>
  <c r="H72" i="4" s="1"/>
  <c r="H73" i="4" s="1"/>
  <c r="H74" i="4" s="1"/>
  <c r="H75" i="4" s="1"/>
  <c r="H76" i="4" s="1"/>
  <c r="H77" i="4" s="1"/>
  <c r="H78" i="4" s="1"/>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H4" i="4"/>
  <c r="H5" i="4" s="1"/>
  <c r="H6" i="4" s="1"/>
  <c r="H7" i="4" s="1"/>
  <c r="H8" i="4" s="1"/>
  <c r="H9" i="4" s="1"/>
  <c r="H10" i="4" s="1"/>
  <c r="H11" i="4" s="1"/>
  <c r="H12" i="4" s="1"/>
  <c r="H13" i="4" s="1"/>
  <c r="H14" i="4" s="1"/>
  <c r="H15" i="4" s="1"/>
  <c r="H16" i="4" s="1"/>
  <c r="H17" i="4" s="1"/>
  <c r="H18" i="4" s="1"/>
  <c r="H19" i="4" s="1"/>
  <c r="H20" i="4" s="1"/>
  <c r="H21" i="4" s="1"/>
  <c r="H22" i="4" s="1"/>
  <c r="H23" i="4" s="1"/>
  <c r="H24" i="4" s="1"/>
  <c r="H25" i="4" s="1"/>
  <c r="H26" i="4" s="1"/>
  <c r="H27" i="4" s="1"/>
  <c r="H28" i="4" s="1"/>
  <c r="H29" i="4" s="1"/>
  <c r="H30" i="4" s="1"/>
  <c r="H31" i="4" s="1"/>
  <c r="H32" i="4" s="1"/>
  <c r="H33" i="4" s="1"/>
  <c r="H34" i="4" s="1"/>
  <c r="H35" i="4" s="1"/>
  <c r="H36" i="4" s="1"/>
  <c r="H37" i="4" s="1"/>
  <c r="H38" i="4" s="1"/>
  <c r="H39" i="4" s="1"/>
  <c r="H40" i="4" s="1"/>
  <c r="H41" i="4" s="1"/>
  <c r="H42" i="4" s="1"/>
  <c r="H43" i="4" s="1"/>
  <c r="H44" i="4" s="1"/>
  <c r="H45" i="4" s="1"/>
  <c r="H46" i="4" s="1"/>
  <c r="H47" i="4" s="1"/>
  <c r="H48" i="4" s="1"/>
  <c r="H49" i="4" s="1"/>
  <c r="H50" i="4" s="1"/>
  <c r="B4" i="4"/>
  <c r="H3" i="4"/>
  <c r="B3" i="4"/>
  <c r="B2" i="4"/>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H52" i="3"/>
  <c r="H53" i="3" s="1"/>
  <c r="H54" i="3" s="1"/>
  <c r="H55" i="3" s="1"/>
  <c r="H56" i="3" s="1"/>
  <c r="H57" i="3" s="1"/>
  <c r="H58" i="3" s="1"/>
  <c r="H59" i="3" s="1"/>
  <c r="H60" i="3" s="1"/>
  <c r="H61" i="3" s="1"/>
  <c r="H62" i="3" s="1"/>
  <c r="H63" i="3" s="1"/>
  <c r="H64" i="3" s="1"/>
  <c r="H65" i="3" s="1"/>
  <c r="H66" i="3" s="1"/>
  <c r="H67" i="3" s="1"/>
  <c r="H68" i="3" s="1"/>
  <c r="H69" i="3" s="1"/>
  <c r="H70" i="3" s="1"/>
  <c r="H71" i="3" s="1"/>
  <c r="H72" i="3" s="1"/>
  <c r="H73" i="3" s="1"/>
  <c r="H74" i="3" s="1"/>
  <c r="H75" i="3" s="1"/>
  <c r="H76" i="3" s="1"/>
  <c r="H77" i="3" s="1"/>
  <c r="H78" i="3" s="1"/>
  <c r="H79" i="3" s="1"/>
  <c r="H80" i="3" s="1"/>
  <c r="H81" i="3" s="1"/>
  <c r="H82" i="3" s="1"/>
  <c r="H83" i="3" s="1"/>
  <c r="H84" i="3" s="1"/>
  <c r="H85" i="3" s="1"/>
  <c r="H86" i="3" s="1"/>
  <c r="H87" i="3" s="1"/>
  <c r="H88" i="3" s="1"/>
  <c r="H89" i="3" s="1"/>
  <c r="H90" i="3" s="1"/>
  <c r="H91" i="3" s="1"/>
  <c r="H92" i="3" s="1"/>
  <c r="H93" i="3" s="1"/>
  <c r="H94" i="3" s="1"/>
  <c r="H95" i="3" s="1"/>
  <c r="H96" i="3" s="1"/>
  <c r="H97" i="3" s="1"/>
  <c r="H98" i="3" s="1"/>
  <c r="H99" i="3" s="1"/>
  <c r="H100" i="3" s="1"/>
  <c r="H101" i="3" s="1"/>
  <c r="H102" i="3" s="1"/>
  <c r="H103" i="3" s="1"/>
  <c r="H104" i="3" s="1"/>
  <c r="H105" i="3" s="1"/>
  <c r="H106" i="3" s="1"/>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H5" i="3"/>
  <c r="H6" i="3" s="1"/>
  <c r="H7" i="3" s="1"/>
  <c r="H8" i="3" s="1"/>
  <c r="H9" i="3" s="1"/>
  <c r="H10" i="3" s="1"/>
  <c r="H11" i="3" s="1"/>
  <c r="H12" i="3" s="1"/>
  <c r="H13" i="3" s="1"/>
  <c r="H14" i="3" s="1"/>
  <c r="H15" i="3" s="1"/>
  <c r="H16" i="3" s="1"/>
  <c r="H17" i="3" s="1"/>
  <c r="H18" i="3" s="1"/>
  <c r="H19" i="3" s="1"/>
  <c r="H20" i="3" s="1"/>
  <c r="H21" i="3" s="1"/>
  <c r="H22" i="3" s="1"/>
  <c r="H23" i="3" s="1"/>
  <c r="H24" i="3" s="1"/>
  <c r="H25" i="3" s="1"/>
  <c r="H26" i="3" s="1"/>
  <c r="H27" i="3" s="1"/>
  <c r="H28" i="3" s="1"/>
  <c r="H29" i="3" s="1"/>
  <c r="H30" i="3" s="1"/>
  <c r="H31" i="3" s="1"/>
  <c r="H32" i="3" s="1"/>
  <c r="H33" i="3" s="1"/>
  <c r="H34" i="3" s="1"/>
  <c r="H35" i="3" s="1"/>
  <c r="H36" i="3" s="1"/>
  <c r="H37" i="3" s="1"/>
  <c r="H38" i="3" s="1"/>
  <c r="H39" i="3" s="1"/>
  <c r="H40" i="3" s="1"/>
  <c r="H41" i="3" s="1"/>
  <c r="H42" i="3" s="1"/>
  <c r="H43" i="3" s="1"/>
  <c r="H44" i="3" s="1"/>
  <c r="H45" i="3" s="1"/>
  <c r="H46" i="3" s="1"/>
  <c r="H47" i="3" s="1"/>
  <c r="H48" i="3" s="1"/>
  <c r="H49" i="3" s="1"/>
  <c r="H50" i="3" s="1"/>
  <c r="B5" i="3"/>
  <c r="H4" i="3"/>
  <c r="B4" i="3"/>
  <c r="H3" i="3"/>
  <c r="B3" i="3"/>
  <c r="B2" i="3"/>
  <c r="J50" i="2"/>
  <c r="J32" i="2"/>
  <c r="J30" i="2"/>
  <c r="J29" i="2"/>
  <c r="J17" i="2"/>
  <c r="J16" i="2"/>
  <c r="J15" i="2"/>
  <c r="J14" i="2"/>
  <c r="J13" i="2"/>
  <c r="J12" i="2"/>
  <c r="J11" i="2"/>
  <c r="J10" i="2"/>
  <c r="J9" i="2"/>
  <c r="J8" i="2"/>
  <c r="J7" i="2"/>
  <c r="J6" i="2"/>
  <c r="J5" i="2"/>
  <c r="J4" i="2"/>
  <c r="J3" i="2"/>
  <c r="J2" i="2"/>
  <c r="B134" i="22" l="1"/>
  <c r="B147" i="23"/>
  <c r="B134" i="23"/>
  <c r="B12" i="22"/>
  <c r="B173" i="21"/>
  <c r="B40" i="23"/>
  <c r="B167" i="23"/>
  <c r="B15" i="23"/>
  <c r="B154" i="23"/>
  <c r="B154" i="22"/>
  <c r="B30" i="23"/>
  <c r="B58" i="23"/>
  <c r="B86" i="23"/>
  <c r="B115" i="23"/>
  <c r="B135" i="23"/>
  <c r="B155" i="23"/>
  <c r="B107" i="23"/>
  <c r="B2" i="23"/>
  <c r="B16" i="23"/>
  <c r="B31" i="23"/>
  <c r="B45" i="23"/>
  <c r="B72" i="23"/>
  <c r="B87" i="23"/>
  <c r="B100" i="23"/>
  <c r="B116" i="23"/>
  <c r="B136" i="23"/>
  <c r="B156" i="23"/>
  <c r="B99" i="23"/>
  <c r="B3" i="23"/>
  <c r="B17" i="23"/>
  <c r="B32" i="23"/>
  <c r="B46" i="23"/>
  <c r="B59" i="23"/>
  <c r="B117" i="23"/>
  <c r="B137" i="23"/>
  <c r="B157" i="23"/>
  <c r="B11" i="23"/>
  <c r="B44" i="23"/>
  <c r="B4" i="23"/>
  <c r="B18" i="23"/>
  <c r="B33" i="23"/>
  <c r="B73" i="23"/>
  <c r="B88" i="23"/>
  <c r="B101" i="23"/>
  <c r="B118" i="23"/>
  <c r="B138" i="23"/>
  <c r="B158" i="23"/>
  <c r="B79" i="23"/>
  <c r="B71" i="23"/>
  <c r="B5" i="23"/>
  <c r="B34" i="23"/>
  <c r="B47" i="23"/>
  <c r="B60" i="23"/>
  <c r="B89" i="23"/>
  <c r="B119" i="23"/>
  <c r="B139" i="23"/>
  <c r="B159" i="23"/>
  <c r="B29" i="22"/>
  <c r="B19" i="23"/>
  <c r="B35" i="23"/>
  <c r="B61" i="23"/>
  <c r="B74" i="23"/>
  <c r="B102" i="23"/>
  <c r="B120" i="23"/>
  <c r="B140" i="23"/>
  <c r="B160" i="23"/>
  <c r="B17" i="21"/>
  <c r="B114" i="23"/>
  <c r="B71" i="22"/>
  <c r="B6" i="23"/>
  <c r="B36" i="23"/>
  <c r="B48" i="23"/>
  <c r="B62" i="23"/>
  <c r="B90" i="23"/>
  <c r="B103" i="23"/>
  <c r="B121" i="23"/>
  <c r="B141" i="23"/>
  <c r="B161" i="23"/>
  <c r="B66" i="23"/>
  <c r="B29" i="23"/>
  <c r="B7" i="23"/>
  <c r="B20" i="23"/>
  <c r="B49" i="23"/>
  <c r="B63" i="23"/>
  <c r="B75" i="23"/>
  <c r="B91" i="23"/>
  <c r="B104" i="23"/>
  <c r="B122" i="23"/>
  <c r="B142" i="23"/>
  <c r="B162" i="23"/>
  <c r="B8" i="23"/>
  <c r="B21" i="23"/>
  <c r="B37" i="23"/>
  <c r="B50" i="23"/>
  <c r="B76" i="23"/>
  <c r="B105" i="23"/>
  <c r="B123" i="23"/>
  <c r="B143" i="23"/>
  <c r="B163" i="23"/>
  <c r="B85" i="23"/>
  <c r="B85" i="22"/>
  <c r="B9" i="23"/>
  <c r="B22" i="23"/>
  <c r="B38" i="23"/>
  <c r="B51" i="23"/>
  <c r="B64" i="23"/>
  <c r="B92" i="23"/>
  <c r="B124" i="23"/>
  <c r="B144" i="23"/>
  <c r="B164" i="23"/>
  <c r="B127" i="23"/>
  <c r="B10" i="23"/>
  <c r="B23" i="23"/>
  <c r="B65" i="23"/>
  <c r="B77" i="23"/>
  <c r="B93" i="23"/>
  <c r="B106" i="23"/>
  <c r="B125" i="23"/>
  <c r="B145" i="23"/>
  <c r="B165" i="23"/>
  <c r="B94" i="23"/>
  <c r="B24" i="23"/>
  <c r="B39" i="23"/>
  <c r="B52" i="23"/>
  <c r="B78" i="23"/>
  <c r="B126" i="23"/>
  <c r="B146" i="23"/>
  <c r="B166" i="23"/>
  <c r="B127" i="21"/>
  <c r="B25" i="23"/>
  <c r="B53" i="23"/>
  <c r="B67" i="23"/>
  <c r="B80" i="23"/>
  <c r="B95" i="23"/>
  <c r="B108" i="23"/>
  <c r="B128" i="23"/>
  <c r="B148" i="23"/>
  <c r="B168" i="23"/>
  <c r="B12" i="23"/>
  <c r="B41" i="23"/>
  <c r="B54" i="23"/>
  <c r="B68" i="23"/>
  <c r="B81" i="23"/>
  <c r="B109" i="23"/>
  <c r="B129" i="23"/>
  <c r="B149" i="23"/>
  <c r="B169" i="23"/>
  <c r="B13" i="23"/>
  <c r="B26" i="23"/>
  <c r="B42" i="23"/>
  <c r="B55" i="23"/>
  <c r="B69" i="23"/>
  <c r="B82" i="23"/>
  <c r="B96" i="23"/>
  <c r="B110" i="23"/>
  <c r="B130" i="23"/>
  <c r="B150" i="23"/>
  <c r="B170" i="23"/>
  <c r="B44" i="22"/>
  <c r="B27" i="23"/>
  <c r="B97" i="23"/>
  <c r="B111" i="23"/>
  <c r="B131" i="23"/>
  <c r="B151" i="23"/>
  <c r="B171" i="23"/>
  <c r="B99" i="22"/>
  <c r="B14" i="23"/>
  <c r="B28" i="23"/>
  <c r="B43" i="23"/>
  <c r="B56" i="23"/>
  <c r="B70" i="23"/>
  <c r="B83" i="23"/>
  <c r="B112" i="23"/>
  <c r="B132" i="23"/>
  <c r="B152" i="23"/>
  <c r="B172" i="23"/>
  <c r="B114" i="22"/>
  <c r="B57" i="23"/>
  <c r="B84" i="23"/>
  <c r="B98" i="23"/>
  <c r="B113" i="23"/>
  <c r="B133" i="23"/>
  <c r="B153" i="23"/>
  <c r="B173" i="23"/>
  <c r="B154" i="21"/>
  <c r="B15" i="22"/>
  <c r="B30" i="22"/>
  <c r="B58" i="22"/>
  <c r="B86" i="22"/>
  <c r="B115" i="22"/>
  <c r="B135" i="22"/>
  <c r="B155" i="22"/>
  <c r="B66" i="21"/>
  <c r="B167" i="21"/>
  <c r="B31" i="22"/>
  <c r="B45" i="22"/>
  <c r="B72" i="22"/>
  <c r="B87" i="22"/>
  <c r="B100" i="22"/>
  <c r="B116" i="22"/>
  <c r="B136" i="22"/>
  <c r="B156" i="22"/>
  <c r="B30" i="21"/>
  <c r="B68" i="21"/>
  <c r="B2" i="22"/>
  <c r="B16" i="22"/>
  <c r="B32" i="22"/>
  <c r="B46" i="22"/>
  <c r="B59" i="22"/>
  <c r="B117" i="22"/>
  <c r="B137" i="22"/>
  <c r="B157" i="22"/>
  <c r="B3" i="22"/>
  <c r="B17" i="22"/>
  <c r="B33" i="22"/>
  <c r="B73" i="22"/>
  <c r="B88" i="22"/>
  <c r="B101" i="22"/>
  <c r="B118" i="22"/>
  <c r="B138" i="22"/>
  <c r="B158" i="22"/>
  <c r="B67" i="21"/>
  <c r="B94" i="21"/>
  <c r="B109" i="21"/>
  <c r="B128" i="21"/>
  <c r="B147" i="21"/>
  <c r="B4" i="22"/>
  <c r="B18" i="22"/>
  <c r="B34" i="22"/>
  <c r="B47" i="22"/>
  <c r="B60" i="22"/>
  <c r="B89" i="22"/>
  <c r="B119" i="22"/>
  <c r="B139" i="22"/>
  <c r="B159" i="22"/>
  <c r="B26" i="21"/>
  <c r="B41" i="21"/>
  <c r="B170" i="21"/>
  <c r="B40" i="21"/>
  <c r="B5" i="22"/>
  <c r="B19" i="22"/>
  <c r="B35" i="22"/>
  <c r="B61" i="22"/>
  <c r="B74" i="22"/>
  <c r="B102" i="22"/>
  <c r="B120" i="22"/>
  <c r="B140" i="22"/>
  <c r="B160" i="22"/>
  <c r="B81" i="21"/>
  <c r="B36" i="22"/>
  <c r="B48" i="22"/>
  <c r="B62" i="22"/>
  <c r="B90" i="22"/>
  <c r="B103" i="22"/>
  <c r="B121" i="22"/>
  <c r="B141" i="22"/>
  <c r="B161" i="22"/>
  <c r="B25" i="21"/>
  <c r="B33" i="21"/>
  <c r="B73" i="21"/>
  <c r="B42" i="21"/>
  <c r="B79" i="21"/>
  <c r="B6" i="22"/>
  <c r="B20" i="22"/>
  <c r="B49" i="22"/>
  <c r="B63" i="22"/>
  <c r="B75" i="22"/>
  <c r="B91" i="22"/>
  <c r="B104" i="22"/>
  <c r="B122" i="22"/>
  <c r="B142" i="22"/>
  <c r="B162" i="22"/>
  <c r="B3" i="21"/>
  <c r="B86" i="21"/>
  <c r="B80" i="21"/>
  <c r="B7" i="22"/>
  <c r="B21" i="22"/>
  <c r="B37" i="22"/>
  <c r="B50" i="22"/>
  <c r="B76" i="22"/>
  <c r="B105" i="22"/>
  <c r="B123" i="22"/>
  <c r="B143" i="22"/>
  <c r="B163" i="22"/>
  <c r="B29" i="21"/>
  <c r="B8" i="22"/>
  <c r="B22" i="22"/>
  <c r="B38" i="22"/>
  <c r="B51" i="22"/>
  <c r="B64" i="22"/>
  <c r="B92" i="22"/>
  <c r="B124" i="22"/>
  <c r="B144" i="22"/>
  <c r="B164" i="22"/>
  <c r="B12" i="21"/>
  <c r="B55" i="21"/>
  <c r="B82" i="21"/>
  <c r="B44" i="21"/>
  <c r="B9" i="22"/>
  <c r="B23" i="22"/>
  <c r="B65" i="22"/>
  <c r="B77" i="22"/>
  <c r="B93" i="22"/>
  <c r="B106" i="22"/>
  <c r="B125" i="22"/>
  <c r="B145" i="22"/>
  <c r="B165" i="22"/>
  <c r="B14" i="21"/>
  <c r="B69" i="21"/>
  <c r="B96" i="21"/>
  <c r="B110" i="21"/>
  <c r="B10" i="22"/>
  <c r="B24" i="22"/>
  <c r="B39" i="22"/>
  <c r="B52" i="22"/>
  <c r="B78" i="22"/>
  <c r="B126" i="22"/>
  <c r="B146" i="22"/>
  <c r="B166" i="22"/>
  <c r="B40" i="22"/>
  <c r="B66" i="22"/>
  <c r="B79" i="22"/>
  <c r="B94" i="22"/>
  <c r="B107" i="22"/>
  <c r="B127" i="22"/>
  <c r="B147" i="22"/>
  <c r="B167" i="22"/>
  <c r="B11" i="22"/>
  <c r="B25" i="22"/>
  <c r="B53" i="22"/>
  <c r="B67" i="22"/>
  <c r="B80" i="22"/>
  <c r="B95" i="22"/>
  <c r="B108" i="22"/>
  <c r="B128" i="22"/>
  <c r="B148" i="22"/>
  <c r="B168" i="22"/>
  <c r="B53" i="21"/>
  <c r="B41" i="22"/>
  <c r="B54" i="22"/>
  <c r="B68" i="22"/>
  <c r="B81" i="22"/>
  <c r="B109" i="22"/>
  <c r="B129" i="22"/>
  <c r="B149" i="22"/>
  <c r="B169" i="22"/>
  <c r="B54" i="21"/>
  <c r="B26" i="22"/>
  <c r="B42" i="22"/>
  <c r="B55" i="22"/>
  <c r="B69" i="22"/>
  <c r="B82" i="22"/>
  <c r="B96" i="22"/>
  <c r="B110" i="22"/>
  <c r="B130" i="22"/>
  <c r="B150" i="22"/>
  <c r="B170" i="22"/>
  <c r="B18" i="21"/>
  <c r="B11" i="21"/>
  <c r="B13" i="22"/>
  <c r="B27" i="22"/>
  <c r="B97" i="22"/>
  <c r="B111" i="22"/>
  <c r="B131" i="22"/>
  <c r="B151" i="22"/>
  <c r="B171" i="22"/>
  <c r="B57" i="21"/>
  <c r="B28" i="22"/>
  <c r="B43" i="22"/>
  <c r="B56" i="22"/>
  <c r="B70" i="22"/>
  <c r="B83" i="22"/>
  <c r="B112" i="22"/>
  <c r="B132" i="22"/>
  <c r="B152" i="22"/>
  <c r="B172" i="22"/>
  <c r="B107" i="21"/>
  <c r="B14" i="22"/>
  <c r="B57" i="22"/>
  <c r="B84" i="22"/>
  <c r="B98" i="22"/>
  <c r="B113" i="22"/>
  <c r="B133" i="22"/>
  <c r="B153" i="22"/>
  <c r="B173" i="22"/>
  <c r="B58" i="21"/>
  <c r="B115" i="21"/>
  <c r="B135" i="21"/>
  <c r="B155" i="21"/>
  <c r="B15" i="21"/>
  <c r="B31" i="21"/>
  <c r="B45" i="21"/>
  <c r="B72" i="21"/>
  <c r="B87" i="21"/>
  <c r="B100" i="21"/>
  <c r="B116" i="21"/>
  <c r="B136" i="21"/>
  <c r="B156" i="21"/>
  <c r="B168" i="21"/>
  <c r="B99" i="21"/>
  <c r="B114" i="21"/>
  <c r="B134" i="21"/>
  <c r="B2" i="21"/>
  <c r="B16" i="21"/>
  <c r="B32" i="21"/>
  <c r="B46" i="21"/>
  <c r="B59" i="21"/>
  <c r="B117" i="21"/>
  <c r="B137" i="21"/>
  <c r="B157" i="21"/>
  <c r="B138" i="21"/>
  <c r="B158" i="21"/>
  <c r="B108" i="21"/>
  <c r="B4" i="21"/>
  <c r="B34" i="21"/>
  <c r="B47" i="21"/>
  <c r="B60" i="21"/>
  <c r="B89" i="21"/>
  <c r="B119" i="21"/>
  <c r="B139" i="21"/>
  <c r="B159" i="21"/>
  <c r="B95" i="21"/>
  <c r="B149" i="21"/>
  <c r="B5" i="21"/>
  <c r="B19" i="21"/>
  <c r="B35" i="21"/>
  <c r="B61" i="21"/>
  <c r="B74" i="21"/>
  <c r="B102" i="21"/>
  <c r="B120" i="21"/>
  <c r="B140" i="21"/>
  <c r="B160" i="21"/>
  <c r="B36" i="21"/>
  <c r="B48" i="21"/>
  <c r="B62" i="21"/>
  <c r="B90" i="21"/>
  <c r="B103" i="21"/>
  <c r="B121" i="21"/>
  <c r="B141" i="21"/>
  <c r="B161" i="21"/>
  <c r="B85" i="21"/>
  <c r="B88" i="21"/>
  <c r="B6" i="21"/>
  <c r="B20" i="21"/>
  <c r="B49" i="21"/>
  <c r="B63" i="21"/>
  <c r="B75" i="21"/>
  <c r="B91" i="21"/>
  <c r="B104" i="21"/>
  <c r="B122" i="21"/>
  <c r="B142" i="21"/>
  <c r="B162" i="21"/>
  <c r="B101" i="21"/>
  <c r="B7" i="21"/>
  <c r="B21" i="21"/>
  <c r="B37" i="21"/>
  <c r="B50" i="21"/>
  <c r="B76" i="21"/>
  <c r="B105" i="21"/>
  <c r="B123" i="21"/>
  <c r="B143" i="21"/>
  <c r="B163" i="21"/>
  <c r="B148" i="21"/>
  <c r="B71" i="21"/>
  <c r="B8" i="21"/>
  <c r="B22" i="21"/>
  <c r="B38" i="21"/>
  <c r="B51" i="21"/>
  <c r="B64" i="21"/>
  <c r="B92" i="21"/>
  <c r="B124" i="21"/>
  <c r="B144" i="21"/>
  <c r="B164" i="21"/>
  <c r="B129" i="21"/>
  <c r="B118" i="21"/>
  <c r="B9" i="21"/>
  <c r="B23" i="21"/>
  <c r="B65" i="21"/>
  <c r="B77" i="21"/>
  <c r="B93" i="21"/>
  <c r="B106" i="21"/>
  <c r="B125" i="21"/>
  <c r="B145" i="21"/>
  <c r="B165" i="21"/>
  <c r="B10" i="21"/>
  <c r="B24" i="21"/>
  <c r="B39" i="21"/>
  <c r="B52" i="21"/>
  <c r="B78" i="21"/>
  <c r="B126" i="21"/>
  <c r="B146" i="21"/>
  <c r="B166" i="21"/>
  <c r="B169" i="21"/>
  <c r="B130" i="21"/>
  <c r="B150" i="21"/>
  <c r="B13" i="21"/>
  <c r="B27" i="21"/>
  <c r="B97" i="21"/>
  <c r="B111" i="21"/>
  <c r="B131" i="21"/>
  <c r="B151" i="21"/>
  <c r="B171" i="21"/>
  <c r="B28" i="21"/>
  <c r="B43" i="21"/>
  <c r="B56" i="21"/>
  <c r="B70" i="21"/>
  <c r="B83" i="21"/>
  <c r="B112" i="21"/>
  <c r="B132" i="21"/>
  <c r="B152" i="21"/>
  <c r="B172" i="21"/>
  <c r="B84" i="21"/>
  <c r="B98" i="21"/>
  <c r="B113" i="21"/>
  <c r="B133" i="21"/>
  <c r="B153" i="21"/>
  <c r="B67" i="20"/>
  <c r="B173" i="20"/>
  <c r="B25" i="20"/>
  <c r="B80" i="20"/>
  <c r="B11" i="20"/>
  <c r="B43" i="20"/>
  <c r="B95" i="20"/>
  <c r="B134" i="20"/>
  <c r="B53" i="20"/>
  <c r="B108" i="20"/>
  <c r="B128" i="20"/>
  <c r="B154" i="20"/>
  <c r="B15" i="20"/>
  <c r="B30" i="20"/>
  <c r="B58" i="20"/>
  <c r="B86" i="20"/>
  <c r="B115" i="20"/>
  <c r="B135" i="20"/>
  <c r="B155" i="20"/>
  <c r="B114" i="20"/>
  <c r="B31" i="20"/>
  <c r="B45" i="20"/>
  <c r="B72" i="20"/>
  <c r="B87" i="20"/>
  <c r="B100" i="20"/>
  <c r="B116" i="20"/>
  <c r="B136" i="20"/>
  <c r="B156" i="20"/>
  <c r="B2" i="20"/>
  <c r="B16" i="20"/>
  <c r="B32" i="20"/>
  <c r="B46" i="20"/>
  <c r="B59" i="20"/>
  <c r="B117" i="20"/>
  <c r="B137" i="20"/>
  <c r="B157" i="20"/>
  <c r="B99" i="20"/>
  <c r="B3" i="20"/>
  <c r="B17" i="20"/>
  <c r="B33" i="20"/>
  <c r="B73" i="20"/>
  <c r="B88" i="20"/>
  <c r="B101" i="20"/>
  <c r="B118" i="20"/>
  <c r="B138" i="20"/>
  <c r="B158" i="20"/>
  <c r="B71" i="20"/>
  <c r="B4" i="20"/>
  <c r="B18" i="20"/>
  <c r="B34" i="20"/>
  <c r="B47" i="20"/>
  <c r="B60" i="20"/>
  <c r="B89" i="20"/>
  <c r="B119" i="20"/>
  <c r="B139" i="20"/>
  <c r="B159" i="20"/>
  <c r="B5" i="20"/>
  <c r="B19" i="20"/>
  <c r="B35" i="20"/>
  <c r="B61" i="20"/>
  <c r="B74" i="20"/>
  <c r="B102" i="20"/>
  <c r="B120" i="20"/>
  <c r="B140" i="20"/>
  <c r="B160" i="20"/>
  <c r="B85" i="20"/>
  <c r="B36" i="20"/>
  <c r="B48" i="20"/>
  <c r="B62" i="20"/>
  <c r="B90" i="20"/>
  <c r="B103" i="20"/>
  <c r="B121" i="20"/>
  <c r="B141" i="20"/>
  <c r="B161" i="20"/>
  <c r="B44" i="20"/>
  <c r="B6" i="20"/>
  <c r="B20" i="20"/>
  <c r="B49" i="20"/>
  <c r="B63" i="20"/>
  <c r="B75" i="20"/>
  <c r="B91" i="20"/>
  <c r="B104" i="20"/>
  <c r="B122" i="20"/>
  <c r="B142" i="20"/>
  <c r="B162" i="20"/>
  <c r="B7" i="20"/>
  <c r="B21" i="20"/>
  <c r="B37" i="20"/>
  <c r="B50" i="20"/>
  <c r="B76" i="20"/>
  <c r="B105" i="20"/>
  <c r="B123" i="20"/>
  <c r="B143" i="20"/>
  <c r="B163" i="20"/>
  <c r="B29" i="20"/>
  <c r="B8" i="20"/>
  <c r="B22" i="20"/>
  <c r="B38" i="20"/>
  <c r="B51" i="20"/>
  <c r="B64" i="20"/>
  <c r="B92" i="20"/>
  <c r="B124" i="20"/>
  <c r="B144" i="20"/>
  <c r="B164" i="20"/>
  <c r="B9" i="20"/>
  <c r="B23" i="20"/>
  <c r="B65" i="20"/>
  <c r="B77" i="20"/>
  <c r="B93" i="20"/>
  <c r="B106" i="20"/>
  <c r="B125" i="20"/>
  <c r="B145" i="20"/>
  <c r="B165" i="20"/>
  <c r="B10" i="20"/>
  <c r="B24" i="20"/>
  <c r="B39" i="20"/>
  <c r="B52" i="20"/>
  <c r="B78" i="20"/>
  <c r="B126" i="20"/>
  <c r="B146" i="20"/>
  <c r="B166" i="20"/>
  <c r="B40" i="20"/>
  <c r="B66" i="20"/>
  <c r="B79" i="20"/>
  <c r="B94" i="20"/>
  <c r="B107" i="20"/>
  <c r="B127" i="20"/>
  <c r="B147" i="20"/>
  <c r="B167" i="20"/>
  <c r="B148" i="20"/>
  <c r="B168" i="20"/>
  <c r="B41" i="20"/>
  <c r="B54" i="20"/>
  <c r="B68" i="20"/>
  <c r="B81" i="20"/>
  <c r="B109" i="20"/>
  <c r="B129" i="20"/>
  <c r="B149" i="20"/>
  <c r="B169" i="20"/>
  <c r="B12" i="20"/>
  <c r="B26" i="20"/>
  <c r="B42" i="20"/>
  <c r="B55" i="20"/>
  <c r="B69" i="20"/>
  <c r="B82" i="20"/>
  <c r="B96" i="20"/>
  <c r="B110" i="20"/>
  <c r="B130" i="20"/>
  <c r="B150" i="20"/>
  <c r="B170" i="20"/>
  <c r="B13" i="20"/>
  <c r="B27" i="20"/>
  <c r="B97" i="20"/>
  <c r="B111" i="20"/>
  <c r="B131" i="20"/>
  <c r="B151" i="20"/>
  <c r="B171" i="20"/>
  <c r="B28" i="20"/>
  <c r="B56" i="20"/>
  <c r="B70" i="20"/>
  <c r="B83" i="20"/>
  <c r="B112" i="20"/>
  <c r="B132" i="20"/>
  <c r="B152" i="20"/>
  <c r="B172" i="20"/>
  <c r="B14" i="20"/>
  <c r="B57" i="20"/>
  <c r="B84" i="20"/>
  <c r="B98" i="20"/>
  <c r="B113" i="20"/>
  <c r="B133" i="20"/>
  <c r="B153" i="20"/>
  <c r="B173" i="19"/>
  <c r="B29" i="19"/>
  <c r="B57" i="19"/>
  <c r="B84" i="19"/>
  <c r="B98" i="19"/>
  <c r="B113" i="19"/>
  <c r="B134" i="19"/>
  <c r="B154" i="19"/>
  <c r="B15" i="19"/>
  <c r="B30" i="19"/>
  <c r="B45" i="19"/>
  <c r="B71" i="19"/>
  <c r="B85" i="19"/>
  <c r="B99" i="19"/>
  <c r="B114" i="19"/>
  <c r="B135" i="19"/>
  <c r="B155" i="19"/>
  <c r="B31" i="19"/>
  <c r="B46" i="19"/>
  <c r="B58" i="19"/>
  <c r="B86" i="19"/>
  <c r="B115" i="19"/>
  <c r="B136" i="19"/>
  <c r="B156" i="19"/>
  <c r="B2" i="19"/>
  <c r="B16" i="19"/>
  <c r="B32" i="19"/>
  <c r="B72" i="19"/>
  <c r="B87" i="19"/>
  <c r="B100" i="19"/>
  <c r="B116" i="19"/>
  <c r="B137" i="19"/>
  <c r="B157" i="19"/>
  <c r="B3" i="19"/>
  <c r="B17" i="19"/>
  <c r="B33" i="19"/>
  <c r="B47" i="19"/>
  <c r="B59" i="19"/>
  <c r="B117" i="19"/>
  <c r="B138" i="19"/>
  <c r="B158" i="19"/>
  <c r="B4" i="19"/>
  <c r="B18" i="19"/>
  <c r="B34" i="19"/>
  <c r="B73" i="19"/>
  <c r="B88" i="19"/>
  <c r="B101" i="19"/>
  <c r="B118" i="19"/>
  <c r="B139" i="19"/>
  <c r="B159" i="19"/>
  <c r="B5" i="19"/>
  <c r="B19" i="19"/>
  <c r="B35" i="19"/>
  <c r="B48" i="19"/>
  <c r="B60" i="19"/>
  <c r="B89" i="19"/>
  <c r="B119" i="19"/>
  <c r="B140" i="19"/>
  <c r="B160" i="19"/>
  <c r="B36" i="19"/>
  <c r="B49" i="19"/>
  <c r="B61" i="19"/>
  <c r="B74" i="19"/>
  <c r="B102" i="19"/>
  <c r="B120" i="19"/>
  <c r="B141" i="19"/>
  <c r="B161" i="19"/>
  <c r="B6" i="19"/>
  <c r="B20" i="19"/>
  <c r="B62" i="19"/>
  <c r="B90" i="19"/>
  <c r="B103" i="19"/>
  <c r="B121" i="19"/>
  <c r="B142" i="19"/>
  <c r="B162" i="19"/>
  <c r="B7" i="19"/>
  <c r="B21" i="19"/>
  <c r="B37" i="19"/>
  <c r="B50" i="19"/>
  <c r="B63" i="19"/>
  <c r="B75" i="19"/>
  <c r="B91" i="19"/>
  <c r="B104" i="19"/>
  <c r="B122" i="19"/>
  <c r="B143" i="19"/>
  <c r="B163" i="19"/>
  <c r="B8" i="19"/>
  <c r="B22" i="19"/>
  <c r="B38" i="19"/>
  <c r="B76" i="19"/>
  <c r="B105" i="19"/>
  <c r="B123" i="19"/>
  <c r="B144" i="19"/>
  <c r="B164" i="19"/>
  <c r="B9" i="19"/>
  <c r="B23" i="19"/>
  <c r="B51" i="19"/>
  <c r="B64" i="19"/>
  <c r="B92" i="19"/>
  <c r="B124" i="19"/>
  <c r="B145" i="19"/>
  <c r="B165" i="19"/>
  <c r="B10" i="19"/>
  <c r="B24" i="19"/>
  <c r="B39" i="19"/>
  <c r="B65" i="19"/>
  <c r="B77" i="19"/>
  <c r="B93" i="19"/>
  <c r="B106" i="19"/>
  <c r="B126" i="19"/>
  <c r="B146" i="19"/>
  <c r="B166" i="19"/>
  <c r="B40" i="19"/>
  <c r="B52" i="19"/>
  <c r="B78" i="19"/>
  <c r="B127" i="19"/>
  <c r="B147" i="19"/>
  <c r="B167" i="19"/>
  <c r="B11" i="19"/>
  <c r="B25" i="19"/>
  <c r="B66" i="19"/>
  <c r="B79" i="19"/>
  <c r="B94" i="19"/>
  <c r="B107" i="19"/>
  <c r="B128" i="19"/>
  <c r="B148" i="19"/>
  <c r="B168" i="19"/>
  <c r="B41" i="19"/>
  <c r="B53" i="19"/>
  <c r="B67" i="19"/>
  <c r="B80" i="19"/>
  <c r="B95" i="19"/>
  <c r="B108" i="19"/>
  <c r="B129" i="19"/>
  <c r="B149" i="19"/>
  <c r="B169" i="19"/>
  <c r="B12" i="19"/>
  <c r="B26" i="19"/>
  <c r="B42" i="19"/>
  <c r="B54" i="19"/>
  <c r="B68" i="19"/>
  <c r="B81" i="19"/>
  <c r="B109" i="19"/>
  <c r="B130" i="19"/>
  <c r="B150" i="19"/>
  <c r="B170" i="19"/>
  <c r="B13" i="19"/>
  <c r="B27" i="19"/>
  <c r="B55" i="19"/>
  <c r="B69" i="19"/>
  <c r="B82" i="19"/>
  <c r="B96" i="19"/>
  <c r="B110" i="19"/>
  <c r="B131" i="19"/>
  <c r="B151" i="19"/>
  <c r="B171" i="19"/>
  <c r="B28" i="19"/>
  <c r="B43" i="19"/>
  <c r="B97" i="19"/>
  <c r="B111" i="19"/>
  <c r="B132" i="19"/>
  <c r="B152" i="19"/>
  <c r="B172" i="19"/>
  <c r="B14" i="19"/>
  <c r="B44" i="19"/>
  <c r="B56" i="19"/>
  <c r="B70" i="19"/>
  <c r="B83" i="19"/>
  <c r="B112" i="19"/>
  <c r="B133" i="19"/>
  <c r="B153" i="19"/>
  <c r="H78" i="5"/>
  <c r="H79" i="5" s="1"/>
  <c r="H80" i="5" s="1"/>
  <c r="H81" i="5" s="1"/>
  <c r="H82" i="5" s="1"/>
  <c r="H83" i="5" s="1"/>
  <c r="H84" i="5" s="1"/>
  <c r="H85" i="5" s="1"/>
  <c r="H86" i="5" s="1"/>
  <c r="H87" i="5" s="1"/>
  <c r="H88" i="5" s="1"/>
  <c r="H89" i="5" s="1"/>
  <c r="H90" i="5" s="1"/>
  <c r="H91" i="5" s="1"/>
  <c r="H92" i="5" s="1"/>
  <c r="H93" i="5" s="1"/>
  <c r="H94" i="5" s="1"/>
  <c r="H95" i="5" s="1"/>
  <c r="H96" i="5" s="1"/>
  <c r="H97" i="5" s="1"/>
  <c r="H98" i="5" s="1"/>
  <c r="H99" i="5" s="1"/>
  <c r="H100" i="5" s="1"/>
  <c r="H101" i="5" s="1"/>
  <c r="H102" i="5" s="1"/>
  <c r="H103" i="5" s="1"/>
  <c r="H104" i="5" s="1"/>
  <c r="H105" i="5" s="1"/>
  <c r="H106" i="5" s="1"/>
  <c r="H79" i="4"/>
  <c r="H80" i="4" s="1"/>
  <c r="H81" i="4" s="1"/>
  <c r="H82" i="4" s="1"/>
  <c r="H83" i="4" s="1"/>
  <c r="H84" i="4" s="1"/>
  <c r="H85" i="4" s="1"/>
  <c r="H86" i="4" s="1"/>
  <c r="H87" i="4" s="1"/>
  <c r="H88" i="4" s="1"/>
  <c r="H89" i="4" s="1"/>
  <c r="H90" i="4" s="1"/>
  <c r="H91" i="4" s="1"/>
  <c r="H92" i="4" s="1"/>
  <c r="H93" i="4" s="1"/>
  <c r="H94" i="4" s="1"/>
  <c r="H95" i="4" s="1"/>
  <c r="H96" i="4" s="1"/>
  <c r="H97" i="4" s="1"/>
  <c r="H98" i="4" s="1"/>
  <c r="H99" i="4" s="1"/>
  <c r="H100" i="4" s="1"/>
  <c r="H101" i="4" s="1"/>
  <c r="H102" i="4" s="1"/>
  <c r="H103" i="4" s="1"/>
  <c r="H104" i="4" s="1"/>
  <c r="H105" i="4" s="1"/>
  <c r="H106" i="4" s="1"/>
  <c r="H312" i="7"/>
  <c r="H317" i="7"/>
  <c r="H417" i="7"/>
  <c r="H307" i="7"/>
  <c r="H402" i="7"/>
  <c r="D60" i="15"/>
  <c r="D70" i="15"/>
  <c r="D140" i="15"/>
  <c r="D170" i="15"/>
  <c r="D250" i="15"/>
  <c r="D360" i="15"/>
  <c r="D410" i="15"/>
  <c r="D470" i="15"/>
  <c r="D620" i="15"/>
  <c r="D700" i="15"/>
  <c r="D790" i="15"/>
  <c r="D840" i="15"/>
  <c r="D850" i="15"/>
  <c r="D1070" i="15"/>
  <c r="D1300" i="15"/>
  <c r="H392" i="7"/>
  <c r="H407" i="7"/>
  <c r="H48" i="7"/>
  <c r="H63" i="7"/>
  <c r="H68" i="7"/>
  <c r="H133" i="7"/>
  <c r="H148" i="7"/>
  <c r="H238" i="7"/>
  <c r="H243" i="7"/>
  <c r="H298" i="7"/>
  <c r="H303" i="7"/>
  <c r="H323" i="7"/>
  <c r="H328" i="7"/>
  <c r="H348" i="7"/>
  <c r="H353" i="7"/>
  <c r="H398" i="7"/>
  <c r="H403" i="7"/>
  <c r="D961" i="15"/>
  <c r="D1312" i="15"/>
  <c r="H9" i="7"/>
  <c r="H14" i="7"/>
  <c r="H19" i="7"/>
  <c r="H44" i="7"/>
  <c r="H114" i="7"/>
  <c r="H139" i="7"/>
  <c r="H149" i="7"/>
  <c r="H154" i="7"/>
  <c r="H164" i="7"/>
  <c r="H169" i="7"/>
  <c r="H179" i="7"/>
  <c r="H189" i="7"/>
  <c r="H234" i="7"/>
  <c r="H239" i="7"/>
  <c r="H249" i="7"/>
  <c r="H254" i="7"/>
  <c r="H259" i="7"/>
  <c r="H289" i="7"/>
  <c r="H294" i="7"/>
  <c r="H334" i="7"/>
  <c r="H359" i="7"/>
  <c r="H364" i="7"/>
  <c r="H384" i="7"/>
  <c r="H394" i="7"/>
  <c r="D1193" i="15"/>
  <c r="D1334" i="15"/>
  <c r="H10" i="7"/>
  <c r="H20" i="7"/>
  <c r="H30" i="7"/>
  <c r="H35" i="7"/>
  <c r="H40" i="7"/>
  <c r="H55" i="7"/>
  <c r="H60" i="7"/>
  <c r="H150" i="7"/>
  <c r="H160" i="7"/>
  <c r="H175" i="7"/>
  <c r="H185" i="7"/>
  <c r="H195" i="7"/>
  <c r="H255" i="7"/>
  <c r="H260" i="7"/>
  <c r="H275" i="7"/>
  <c r="H280" i="7"/>
  <c r="H285" i="7"/>
  <c r="H330" i="7"/>
  <c r="H345" i="7"/>
  <c r="H375" i="7"/>
  <c r="D1295" i="15"/>
  <c r="D1276" i="15"/>
  <c r="H6" i="7"/>
  <c r="H11" i="7"/>
  <c r="H81" i="7"/>
  <c r="H91" i="7"/>
  <c r="H96" i="7"/>
  <c r="H181" i="7"/>
  <c r="H261" i="7"/>
  <c r="H401" i="7"/>
  <c r="H411" i="7"/>
  <c r="D1337" i="15"/>
  <c r="D1318" i="15"/>
  <c r="D1249" i="15"/>
  <c r="D1339" i="15"/>
</calcChain>
</file>

<file path=xl/sharedStrings.xml><?xml version="1.0" encoding="utf-8"?>
<sst xmlns="http://schemas.openxmlformats.org/spreadsheetml/2006/main" count="6786" uniqueCount="4142">
  <si>
    <t>id</t>
  </si>
  <si>
    <t>code_name</t>
  </si>
  <si>
    <t>product_characteristics_link_primary_field_for_version_1</t>
  </si>
  <si>
    <t>short_name</t>
  </si>
  <si>
    <t>long_name</t>
  </si>
  <si>
    <t>manufacturer</t>
  </si>
  <si>
    <t>in_use_in_Russia</t>
  </si>
  <si>
    <t>comment_to_show</t>
  </si>
  <si>
    <t>comment_to_show_wo_html</t>
  </si>
  <si>
    <t>dosage</t>
  </si>
  <si>
    <t>creation_date</t>
  </si>
  <si>
    <t>update_date</t>
  </si>
  <si>
    <t>OKhLP_specialists_link</t>
  </si>
  <si>
    <t>laypeople_leaflet_GRLS_link</t>
  </si>
  <si>
    <t>laypeople_leaflet_OKhLP_link</t>
  </si>
  <si>
    <t>GRLS_instruction_link</t>
  </si>
  <si>
    <t>legacy_links</t>
  </si>
  <si>
    <t>BCG_Microgen</t>
  </si>
  <si>
    <t>https://grls.rosminzdrav.ru/Grls_View_v2.aspx?routingGuid=9f91626d-1063-4ea5-9346-800cc6ef9b44</t>
  </si>
  <si>
    <t>БЦЖ (Микроген)</t>
  </si>
  <si>
    <t>Вакцина туберкулезная (БЦЖ)</t>
  </si>
  <si>
    <t>Микроген</t>
  </si>
  <si>
    <t>in use</t>
  </si>
  <si>
    <t>&lt;p&gt;Используется в двух случаях:
&lt;ol&gt;&lt;li&gt;на тех территориях, где показатель заболеваемости туберкулеза превышает 80&amp;nbsp;случаев на 100&amp;nbsp;000&amp;nbsp;населения;&lt;/li&gt;
&lt;li&gt;если в окружении новорожденного есть больной туберкулезом.&lt;/li&gt;&lt;/ol&gt;&lt;/p&gt;</t>
  </si>
  <si>
    <t>Используется в двух случаях:
1. на тех территориях, где показатель заболеваемости туберкулеза превышает 80 случаев на 100 000 населения;
2. если в окружении новорожденного есть больной туберкулезом.</t>
  </si>
  <si>
    <t>есть</t>
  </si>
  <si>
    <t>https://grls.rosminzdrav.ru/Grls_View_v2.aspx?routingGuid=e175064d-f010-42d9-bfca-0b186e7cb1d7</t>
  </si>
  <si>
    <r>
      <rPr>
        <u/>
        <sz val="10"/>
        <color rgb="FF1155CC"/>
        <rFont val="Arial"/>
      </rPr>
      <t xml:space="preserve">http://grls.rosminzdrav.ru/Grls_View_v2.aspx?routingGuid=f4d664a2-1579-4fe1-a208-c61795ed1ce9&amp;t=
</t>
    </r>
    <r>
      <rPr>
        <u/>
        <sz val="10"/>
        <color rgb="FF1155CC"/>
        <rFont val="Arial"/>
      </rPr>
      <t>https://grls.rosminzdrav.ru/Grls_View_v2.aspx?routingGuid=580694c3-d27d-4aa9-900d-0437dc6119ca
https://grls.rosminzdrav.ru/Grls_View_v2.aspx?routingGuid=e175064d-f010-42d9-bfca-0b186e7cb1d7
https://lk.regmed.ru/Register/GetPDFfromDA?ID=1597322951
https://lk.regmed.ru/Register/GetPDFfromDA?ID=1597323001</t>
    </r>
  </si>
  <si>
    <t>BCG_M_Microgen</t>
  </si>
  <si>
    <t>https://grls.rosminzdrav.ru/Grls_View_v2.aspx?routingGuid=115ba81b-7cb9-4737-9e63-163458ef9d0b</t>
  </si>
  <si>
    <t>БЦЖ-М (Микроген)</t>
  </si>
  <si>
    <t>Вакцина туберкулезная для щадящей первичной иммунизации (БЦЖ-М)</t>
  </si>
  <si>
    <t>&lt;p&gt;Используется по умолчанию для вакцинации детей против туберкулеза. Однако на территориях с повышенной заболеваемостью туберкулезом, а также если в окружении новорожденного есть больной туберкулезом, используется другая вакцина — "БЦЖ".&lt;/p&gt;</t>
  </si>
  <si>
    <t>Используется по умолчанию для вакцинации детей против туберкулеза. Однако на территориях с повышенной заболеваемостью туберкулезом, а также если в окружении новорожденного есть больной туберкулезом, используется другая вакцина — "БЦЖ".</t>
  </si>
  <si>
    <t>https://grls.rosminzdrav.ru/Grls_View_v2.aspx?routingGuid=84b15383-df1c-4cb1-a2bb-287483fe9800</t>
  </si>
  <si>
    <t>http://grls.rosminzdrav.ru/Grls_View_v2.aspx?routingGuid=c4592056-f001-476c-9fcf-8f64bc5ec53b&amp;t=
https://grls.rosminzdrav.ru/Grls_View_v2.aspx?routingGuid=42231e5b-155e-451f-9f13-d2990507b30c
https://grls.rosminzdrav.ru/Grls_View_v2.aspx?routingGuid=84b15383-df1c-4cb1-a2bb-287483fe9800
https://lk.regmed.ru/Register/GetPDFfromDA?ID=1597318981
https://lk.regmed.ru/Register/GetPDFfromDA?ID=1597319151</t>
  </si>
  <si>
    <t>BCG_Gamaleya</t>
  </si>
  <si>
    <t>https://grls.rosminzdrav.ru/Grls_View_v2.aspx?routingGuid=4215760f-875d-476b-a9b6-af2e398c3025</t>
  </si>
  <si>
    <t>БЦЖ (Гамалеи)</t>
  </si>
  <si>
    <t>НИЦЭМ им. Н.Ф. Гамалеи</t>
  </si>
  <si>
    <t>https://grls.rosminzdrav.ru/Grls_View_v2.aspx?routingGuid=9197ac42-596c-4696-829a-f39b4433e1ba</t>
  </si>
  <si>
    <t>http://grls.rosminzdrav.ru/Grls_View_v2.aspx?routingGuid=43b8e297-04e6-46a8-9d65-f7f656dfcafc&amp;t=
https://grls.rosminzdrav.ru/Grls_View_v2.aspx?routingGuid=9197ac42-596c-4696-829a-f39b4433e1ba</t>
  </si>
  <si>
    <t>BCG_M_Gamaleya</t>
  </si>
  <si>
    <t>https://grls.rosminzdrav.ru/Grls_View_v2.aspx?routingGuid=30fc01db-b288-495f-9e55-e1dd798d18a9</t>
  </si>
  <si>
    <t>БЦЖ-М (Гамалеи)</t>
  </si>
  <si>
    <t>https://grls.rosminzdrav.ru/Grls_View_v2.aspx?routingGuid=221f440c-110f-4587-8edb-bc7559e9b891</t>
  </si>
  <si>
    <t>http://grls.rosminzdrav.ru/Grls_View_v2.aspx?routingGuid=d9b7a224-4ea9-4e72-9147-51b294e89dc3&amp;t=
https://grls.rosminzdrav.ru/Grls_View_v2.aspx?routingGuid=221f440c-110f-4587-8edb-bc7559e9b891</t>
  </si>
  <si>
    <t>Infanrix</t>
  </si>
  <si>
    <t>https://grls.rosminzdrav.ru/Grls_View_v2.aspx?routingGuid=60b8bad6-1fec-492d-a07c-25eee3daa0b5</t>
  </si>
  <si>
    <t>Инфанрикс</t>
  </si>
  <si>
    <t>Инфанрикс® (Вакцина для профилактики дифтерии, столбняка, коклюша (бесклеточная) трехкомпонентная адсорбированная жидкая)</t>
  </si>
  <si>
    <t>GSK</t>
  </si>
  <si>
    <t>not in use</t>
  </si>
  <si>
    <t>&lt;p&gt;DTaP, бесклеточный коклюшный компонент&lt;/p&gt;</t>
  </si>
  <si>
    <t>DTaP, бесклеточный коклюшный компонент</t>
  </si>
  <si>
    <t>нет</t>
  </si>
  <si>
    <t xml:space="preserve">http://grls.rosminzdrav.ru/Grls_View_v2.aspx?routingGuid=5d56b9eb-b9a5-4bd5-b6cc-ff7f975b513b&amp;t=
https://grls.rosminzdrav.ru/Grls_View_v2.aspx?routingGuid=58af8725-f1f7-4c7e-8b50-f3f15e82f83f
https://grls.rosminzdrav.ru/Grls_View_v2.aspx?routingGuid=415bcf4b-21de-45a5-b2b4-60dc3b1dce77
</t>
  </si>
  <si>
    <t>AKDS_Microgen</t>
  </si>
  <si>
    <t>https://grls.rosminzdrav.ru/Grls_View_v2.aspx?routingGuid=73faea00-ddd0-427e-9f40-49dfea9a2470</t>
  </si>
  <si>
    <t>АКДС (Микроген)</t>
  </si>
  <si>
    <t>Вакцина коклюшно-дифтерийно-столбнячная адсорбированная (АКДС-вакцина)</t>
  </si>
  <si>
    <t>&lt;p&gt;DTaP, цельноклеточный коклюшный компонент&lt;/p&gt;</t>
  </si>
  <si>
    <t>DTaP, цельноклеточный коклюшный компонент</t>
  </si>
  <si>
    <t>https://grls.rosminzdrav.ru/Grls_View_v2.aspx?routingGuid=e6156693-4103-4342-8849-ac022e006944</t>
  </si>
  <si>
    <r>
      <rPr>
        <u/>
        <sz val="10"/>
        <color rgb="FF1155CC"/>
        <rFont val="Arial"/>
      </rPr>
      <t>http://grls.rosminzdrav.ru/Grls_View_v2.aspx?routingGuid=a670767c-43c3 – 4823-8c12-311809975160&amp;t=
https://grls.rosminzdrav.ru/Grls_View_v2.aspx?routingGuid=eaf85871-f010-44dc-9405-8624e77e3499</t>
    </r>
    <r>
      <rPr>
        <u/>
        <sz val="10"/>
        <color rgb="FF1155CC"/>
        <rFont val="Arial"/>
      </rPr>
      <t xml:space="preserve">
</t>
    </r>
    <r>
      <rPr>
        <u/>
        <sz val="10"/>
        <color rgb="FF1155CC"/>
        <rFont val="Arial"/>
      </rPr>
      <t>https://grls.rosminzdrav.ru/Grls_View_v2.aspx?routingGuid=e6156693-4103-4342-8849-ac022e006944
https://lk.regmed.ru/Register/GetPDFfromDA?ID=1587927891
https://lk.regmed.ru/Register/GetPDFfromDA?ID=1587927901</t>
    </r>
  </si>
  <si>
    <t>AKDS_Biomed</t>
  </si>
  <si>
    <t>https://grls.rosminzdrav.ru/Grls_View_v2.aspx?routingGuid=aba4f9bd-407e-42a8-a32c-1105beece2f6</t>
  </si>
  <si>
    <t>АКДС (Биомед)</t>
  </si>
  <si>
    <t>Биомед</t>
  </si>
  <si>
    <t>Bubo_kok</t>
  </si>
  <si>
    <t>https://grls.rosminzdrav.ru/Grls_View_v2.aspx?routingGuid=81b39c46-e795-4993-b85b-0cf51e164f6b</t>
  </si>
  <si>
    <t>Бубо-Кок</t>
  </si>
  <si>
    <t>Бубо®-Кок</t>
  </si>
  <si>
    <t>Комбиотех</t>
  </si>
  <si>
    <t>Pentaxim</t>
  </si>
  <si>
    <t>https://grls.rosminzdrav.ru/Grls_View_v2.aspx?routingGuid=04b887e5-95d7-44df-beaa-a539fe956444</t>
  </si>
  <si>
    <t>Пентаксим</t>
  </si>
  <si>
    <t>Пентаксим® (вакцина для профилактики дифтерии и столбняка адсорбированная, коклюша ацеллюлярная, полиомиелита инактивированная и инфекций, вызываемых Haemophilus influenzae тип b, конъюгированная)</t>
  </si>
  <si>
    <t>Sanofi Pasteur</t>
  </si>
  <si>
    <t>&lt;p&gt;DTaP-IPV-Hib, бесклеточный коклюшный компонент&lt;/p&gt;</t>
  </si>
  <si>
    <t>DTaP-IPV-Hib, бесклеточный коклюшный компонент</t>
  </si>
  <si>
    <t>https://grls.rosminzdrav.ru/Grls_View_v2.aspx?routingGuid=fa23fbae-fb1a-45b2-8191-2db254575e44</t>
  </si>
  <si>
    <r>
      <rPr>
        <u/>
        <sz val="10"/>
        <color rgb="FF1155CC"/>
        <rFont val="Arial"/>
      </rPr>
      <t>http://grls.rosminzdrav.ru/Grls_View_v2.aspx?routingGuid=f43b3011-7633 – 434e-a703-3e18238e9b83&amp;t=
https://grls.rosminzdrav.ru/Grls_View_v2.aspx?routingGuid=4d5a75ea-7318-4f8a-8614-2188f4327bdb&amp;t=
https://grls.rosminzdrav.ru/Grls_View_v2.aspx?routingGuid=8289a09f-0328-4db3-9276-2022b87fed33
https://grls.rosminzdrav.ru/Grls_View_v2.aspx?routingGuid=fa23fbae-fb1a-45b2-8191-2db254575e44</t>
    </r>
    <r>
      <rPr>
        <u/>
        <sz val="10"/>
        <color rgb="FF1155CC"/>
        <rFont val="Arial"/>
      </rPr>
      <t xml:space="preserve">
</t>
    </r>
    <r>
      <rPr>
        <u/>
        <sz val="10"/>
        <color rgb="FF1155CC"/>
        <rFont val="Arial"/>
      </rPr>
      <t xml:space="preserve">https://lk.regmed.ru/Register/GetPDFfromDA?ID=1513980681
https://grls.rosminzdrav.ru/Grls_View_v2.aspx?routingGuid=b2790880-bd07-4709-bcc8-484689f1439b
https://lk.regmed.ru/Register/GetPDFfromDA?ID=1574041341
https://lk.regmed.ru/Register/GetPDFfromDA?ID=1582784751
https://lk.regmed.ru/Register/GetPDFfromDA?ID=1582784721
https://grls.rosminzdrav.ru/Grls_View_v2.aspx?routingGuid=023a461f-a6cb-488f-8489-6afbcdaac988
</t>
    </r>
    <r>
      <rPr>
        <u/>
        <sz val="10"/>
        <color rgb="FF1155CC"/>
        <rFont val="Arial"/>
      </rPr>
      <t xml:space="preserve">https://grls.rosminzdrav.ru/Grls_View_v2.aspx?routingGuid=c5882f45-fe9f-4981-9d00-2a4c650d1d69
</t>
    </r>
  </si>
  <si>
    <t>Infanrix_Hexa</t>
  </si>
  <si>
    <t>https://grls.rosminzdrav.ru/Grls_View_v2.aspx?routingGuid=f9454b06-083d-4c13-8eda-e54a19450d13</t>
  </si>
  <si>
    <t>Инфанрикс Гекса</t>
  </si>
  <si>
    <t>Инфанрикс® Гекса (Вакцина для профилактики дифтерии, столбняка, коклюша (бесклеточная), полиомиелита (инактивированная), гепатита B комбинированная, адсорбированная в комплекте с вакциной для профилактики инфекции, вызываемой Haemophilus influenzae тип b конъюгированной, адсорбированной)</t>
  </si>
  <si>
    <t>&lt;p&gt;DTaP-IPV-Hib-HepB, бесклеточный коклюшный компонент&lt;/p&gt;</t>
  </si>
  <si>
    <t>DTaP-IPV-Hib-HepB, бесклеточный коклюшный компонент</t>
  </si>
  <si>
    <t>https://grls.rosminzdrav.ru/Grls_View_v2.aspx?routingGuid=4b6927fa-e480-44a7-b945-557299500fe8</t>
  </si>
  <si>
    <r>
      <rPr>
        <u/>
        <sz val="10"/>
        <color rgb="FF1155CC"/>
        <rFont val="Arial"/>
      </rPr>
      <t>http://grls.rosminzdrav.ru/Grls_View_v2.aspx?routingGuid=5aba1c6d-00b7-484e-b79c-ad45273f4575&amp;t=
https://grls.rosminzdrav.ru/Grls_View_v2.aspx?routingGuid=1a3ae12c-6484-4823-a535-8a689832cc91&amp;t=
https://grls.rosminzdrav.ru/Grls_View_v2.aspx?routingGuid=d9b8e111-d7b5-4d26-bfb7-cabd995d0470</t>
    </r>
    <r>
      <rPr>
        <u/>
        <sz val="10"/>
        <color rgb="FF1155CC"/>
        <rFont val="Arial"/>
      </rPr>
      <t xml:space="preserve">
</t>
    </r>
    <r>
      <rPr>
        <u/>
        <sz val="10"/>
        <color rgb="FF1155CC"/>
        <rFont val="Arial"/>
      </rPr>
      <t xml:space="preserve">https://grls.rosminzdrav.ru/Grls_View_v2.aspx?routingGuid=8e26d23e-07b5-4826-b6e2-686cce4141a8
https://grls.rosminzdrav.ru/Grls_View_v2.aspx?routingGuid=3a8d0e82-1e71-4ef0-b0c4-10350ec87f9a
</t>
    </r>
  </si>
  <si>
    <t>Bubo_M</t>
  </si>
  <si>
    <t>https://grls.rosminzdrav.ru/Grls_View_v2.aspx?routingGuid=0b7d30f1-b40f-453c-9c7b-800a072aa409</t>
  </si>
  <si>
    <t>Бубо-М</t>
  </si>
  <si>
    <t>Бубо®-М (Вакцина комбинированная гепатита B и анатоксина дифтерийно-столбнячного с уменьшенным содержанием антигенов адсорбированная жидкая)</t>
  </si>
  <si>
    <t>https://grls.rosminzdrav.ru/Grls_View_v2.aspx?routingGuid=d4d36459-a495-4769-bf77-558ba99330b1</t>
  </si>
  <si>
    <t>AD_M_Microgen</t>
  </si>
  <si>
    <t>https://grls.rosminzdrav.ru/Grls_View_v2.aspx?routingGuid=fa42329f-9433-4dc6-af8a-f811be13fb87</t>
  </si>
  <si>
    <t>АД-М (Микроген)</t>
  </si>
  <si>
    <t>Анатоксин дифтерийный очищенный адсорбированный с уменьшенным содержанием антигена жидкий (АД-М-анатоксин)</t>
  </si>
  <si>
    <t>https://lk.regmed.ru/Register/GetPDFfromDAToken?Token=9916a334-02fd-4f23-ad64-c996916ac2d6</t>
  </si>
  <si>
    <t>https://lk.regmed.ru/Register/GetPDFfromDAToken?Token=22df29cf-dc92-4628-a24c-edf2e8b2b256</t>
  </si>
  <si>
    <t>https://grls.rosminzdrav.ru/Grls_View_v2.aspx?routingGuid=6e48dbe9-c71e-4694-b7ac-47a70cf6b097</t>
  </si>
  <si>
    <t>http://grls.rosminzdrav.ru/Grls_View_v2.aspx?routingGuid=2a2e60b9-cc49-4bc2-9f7f-5766163a5610&amp;t=
https://grls.rosminzdrav.ru/Grls_View_v2.aspx?routingGuid=be7e45b4-ee7c-4ffc-b4fd-6b8e48edfbe3
https://grls.rosminzdrav.ru/Grls_View_v2.aspx?routingGuid=6e48dbe9-c71e-4694-b7ac-47a70cf6b097
https://lk.regmed.ru/Register/GetPDFfromDA?ID=1601683231
https://lk.regmed.ru/Register/GetPDFfromDA?ID=1601683241</t>
  </si>
  <si>
    <t>ADS_Microgen</t>
  </si>
  <si>
    <t>https://grls.rosminzdrav.ru/Grls_View_v2.aspx?routingGuid=82af2230-6ada-4cb2-a263-0a2c1f841be2</t>
  </si>
  <si>
    <t>АДС (Микроген)</t>
  </si>
  <si>
    <t>Анатоксин дифтерийно-столбнячный очищенный адсорбированный жидкий (АДС-анатоксин)</t>
  </si>
  <si>
    <t>https://lk.regmed.ru/Register/GetPDFfromDAToken?Token=ff0cddac-c2c3-4fac-84e2-d026f4f71869</t>
  </si>
  <si>
    <t>https://lk.regmed.ru/Register/GetPDFfromDAToken?Token=9a6142ea-2a03-4b1a-9dbb-31db8de71e87</t>
  </si>
  <si>
    <t>https://grls.rosminzdrav.ru/Grls_View_v2.aspx?routingGuid=263b30af-486c-42e0-911a-2a5ed131f20b</t>
  </si>
  <si>
    <t>http://grls.rosminzdrav.ru/Grls_View_v2.aspx?routingGuid=56e77eb8-534a-44be-afd0-061fb8ec4621&amp;t=
https://grls.rosminzdrav.ru/Grls_View_v2.aspx?routingGuid=2a7cde6e-0f3e-447e-9619-585de96a0f74
https://grls.rosminzdrav.ru/Grls_View_v2.aspx?routingGuid=263b30af-486c-42e0-911a-2a5ed131f20b
https://lk.regmed.ru/Register/GetPDFfromDA?ID=1605321651
https://lk.regmed.ru/Register/GetPDFfromDA?ID=1605321641</t>
  </si>
  <si>
    <t>ADS_M_Microgen</t>
  </si>
  <si>
    <t>https://grls.rosminzdrav.ru/Grls_View_v2.aspx?routingGuid=7901c857-1397-49d2-9a93-f8c171091efa</t>
  </si>
  <si>
    <t>АДС-М (Микроген)</t>
  </si>
  <si>
    <t>Анатоксин дифтерийно-столбнячный очищенный адсорбированный с уменьшенным содержанием антигенов жидкий (АДС-М-анатоксин)</t>
  </si>
  <si>
    <t>https://lk.regmed.ru/Register/GetPDFfromDAToken?Token=67df064e-3139-49b6-917f-a5131fbd35d6</t>
  </si>
  <si>
    <t>https://lk.regmed.ru/Register/GetPDFfromDAToken?Token=8e7de8c8-45c1-4c8d-8449-0c0d2af1e327</t>
  </si>
  <si>
    <t>https://grls.rosminzdrav.ru/Grls_View_v2.aspx?routingGuid=6aefbaea-b7c4-49fe-b6a2-0d376c18f14a</t>
  </si>
  <si>
    <t>http://grls.rosminzdrav.ru/Grls_View_v2.aspx?routingGuid=f7b0a096-adc5-4d00-9845-688629c81df0&amp;t=
https://grls.rosminzdrav.ru/Grls_View_v2.aspx?routingGuid=25f82e77-7060-400f-9bbb-141130ec982a&amp;t=
https://grls.rosminzdrav.ru/Grls_View_v2.aspx?routingGuid=6aefbaea-b7c4-49fe-b6a2-0d376c18f14a
https://lk.regmed.ru/Register/GetPDFfromDA?ID=1600526521
https://lk.regmed.ru/Register/GetPDFfromDA?ID=1600526511
https://grls.rosminzdrav.ru/Grls_View_v2.aspx?routingGuid=95537b39-97ee-4255-9697-68976985653e</t>
  </si>
  <si>
    <t>ADS_M_Biomed</t>
  </si>
  <si>
    <t>https://grls.rosminzdrav.ru/Grls_View_v2.aspx?routingGuid=795940d7 – 9c11-423c-98fe-44a1d739a593</t>
  </si>
  <si>
    <t>АДС-М (Биомед)</t>
  </si>
  <si>
    <t>Анатоксин дифтерийно-столбнячный очищенный адсорбированный с уменьшенным содержанием антигенов жидкий (АДС-М анатоксин)</t>
  </si>
  <si>
    <t>https://grls.rosminzdrav.ru/Grls_View_v2.aspx?routingGuid=795940d7-9c11-423c-98fe-44a1d739a593</t>
  </si>
  <si>
    <t>Adacel</t>
  </si>
  <si>
    <t>https://grls.rosminzdrav.ru/Grls_View_v2.aspx?routingGuid=d8627a3c-16a5-46d0-b31f-e60eb2448d80</t>
  </si>
  <si>
    <t>Адасель</t>
  </si>
  <si>
    <t>АДАСЕЛЬ® [Вакцина для профилактики дифтерии (с уменьшенным содержанием антигена), коклюша (с уменьшенным содержанием антигена, бесклеточная) и столбняка, комбинированная, адсорбированная]</t>
  </si>
  <si>
    <t>Санофи Пастер Лимитед</t>
  </si>
  <si>
    <t>&lt;p&gt;Tdap, сниженное содержание дифтерийного и коклюшного компонента, бесклеточный коклюшный компонент&lt;/p&gt;</t>
  </si>
  <si>
    <t>Tdap, сниженное содержание дифтерийного и коклюшного компонента, бесклеточный коклюшный компонент</t>
  </si>
  <si>
    <t>https://lk.regmed.ru/Register/GetPDFfromDAToken?Token=7fabfdf2-4fe8-448e-859f-9a4b20cc3213</t>
  </si>
  <si>
    <t>https://lk.regmed.ru/Register/GetPDFfromDAToken?Token=64e50f3b-676a-4ffd-a308-008f4019c7c0</t>
  </si>
  <si>
    <r>
      <rPr>
        <u/>
        <sz val="10"/>
        <color rgb="FF0563C1"/>
        <rFont val="Liberation Sans"/>
      </rPr>
      <t>https://grls.rosminzdrav.ru/Grls_View_v2.aspx?routingGuid=375ef2f9-abab-464c-b1b3-b993bc8f42ec</t>
    </r>
  </si>
  <si>
    <r>
      <rPr>
        <u/>
        <sz val="10"/>
        <color rgb="FF1155CC"/>
        <rFont val="Arial"/>
      </rPr>
      <t>http://grls.rosminzdrav.ru/Grls_View_v2.aspx?routingGuid=6e2aecff-8338-4266-8505-8b8c9b01801a&amp;t=
https://grls.rosminzdrav.ru/Grls_View_v2.aspx?routingGuid=7eeca2fc-ee22-43f1-a33e-01b127cb9cce&amp;t=
https://grls.rosminzdrav.ru/Grls_View_v2.aspx?routingGuid=95654753-d6d2-4485-8c56-7f29dbeace86</t>
    </r>
    <r>
      <rPr>
        <u/>
        <sz val="10"/>
        <color rgb="FF1155CC"/>
        <rFont val="Arial"/>
      </rPr>
      <t xml:space="preserve">
</t>
    </r>
    <r>
      <rPr>
        <u/>
        <sz val="10"/>
        <color rgb="FF1155CC"/>
        <rFont val="Arial"/>
      </rPr>
      <t>https://grls.rosminzdrav.ru/Grls_View_v2.aspx?routingGuid=375ef2f9-abab-464c-b1b3-b993bc8f42ec
https://lk.regmed.ru/Register/GetPDFfromDA?ID=1555257271
https://lk.regmed.ru/Register/GetPDFfromDA?ID=1592320751
https://lk.regmed.ru/Register/GetPDFfromDA?ID=1592320761</t>
    </r>
  </si>
  <si>
    <t>Algavac_M</t>
  </si>
  <si>
    <t>https://grls.rosminzdrav.ru/Grls_View_v2.aspx?routingGuid=2bf12380-3a71-4642-a9a3-ef0e4ca9b815</t>
  </si>
  <si>
    <t>Альгавак М</t>
  </si>
  <si>
    <t>АЛЬГАВАК® М</t>
  </si>
  <si>
    <t>http://grls.rosminzdrav.ru/Grls_View_v2.aspx?routingGuid=19f151f4-39f1-4518-bdad-6c70489cb7db&amp;t=
https://grls.rosminzdrav.ru/Grls_View_v2.aspx?routingGuid=d5b58794-3b91-45d1-84ee-df1f0ee83ea6</t>
  </si>
  <si>
    <t>Algavac</t>
  </si>
  <si>
    <t>https://grls.rosminzdrav.ru/Grls_View_v2.aspx?routingGuid=4f6d874c-7745-4c6b-8c90-228a1f2f3484</t>
  </si>
  <si>
    <t>Альгавак</t>
  </si>
  <si>
    <t>АЛЬГАВАК®</t>
  </si>
  <si>
    <t>&lt;p&gt;Вакцину АЛЬГАВАК можно использовать для ревакцинации в тех случаях, когда предыдущая вакцинация осуществлялась другими инактивированными вакцинами для профилактики гепатита А.&lt;/p&gt;</t>
  </si>
  <si>
    <t>Вакцину АЛЬГАВАК можно использовать для ревакцинации в тех случаях, когда предыдущая вакцинация осуществлялась другими инактивированными вакцинами для профилактики гепатита А.</t>
  </si>
  <si>
    <t>https://grls.rosminzdrav.ru/Grls_View_v2.aspx?routingGuid=a282addd-c0aa-4540-a495-2a96a71e6fbe
https://grls.rosminzdrav.ru/Grls_View_v2.aspx?routingGuid=f7a52b5d-5517-4495-b65c-80dd8f948f0c</t>
  </si>
  <si>
    <t>Havrix_720</t>
  </si>
  <si>
    <t>https://grls.rosminzdrav.ru/Grls_View_v2.aspx?routingGuid=b8dfef4d-a4cf-4d18-9599-1a3fb42864c7</t>
  </si>
  <si>
    <t>Хаврикс 720</t>
  </si>
  <si>
    <t>Хаврикс® (вакцина против гепатита А инактивированная)</t>
  </si>
  <si>
    <t>https://lk.regmed.ru/Register/GetPDFfromDAToken?Token=6d0a7c06-3859-4f01-8d37-bf8887046a88</t>
  </si>
  <si>
    <t>https://lk.regmed.ru/Register/GetPDFfromDAToken?Token=88854c2c-329e-40d6-9464-84468572891b</t>
  </si>
  <si>
    <t>https://grls.rosminzdrav.ru/Grls_View_v2.aspx?routingGuid=8c19af66-4fb0-474c-a1bf-d60e191504cd</t>
  </si>
  <si>
    <t>http://grls.rosminzdrav.ru/Grls_View_v2.aspx?routingGuid=8ecd1f23-ce36-4316-8f63 – 4aa28a61a7e4&amp;t=
https://grls.rosminzdrav.ru/Grls_View_v2.aspx?routingGuid=7f9925e4-9dd3 – 46b4-9a72-c4306af33e14&amp;t=
https://grls.rosminzdrav.ru/Grls_View_v2.aspx?routingGuid=6cee7e81-acb9-4ae0-8da8-13bc218f9f43
https://grls.rosminzdrav.ru/Grls_View_v2.aspx?routingGuid=8ffa4f17-cffc-4a79-b721-833a058ae522
https://lk.regmed.ru/Register/GetPDFfromDA?ID=1607490831
https://lk.regmed.ru/Register/GetPDFfromDA?ID=1607490821</t>
  </si>
  <si>
    <t>Havrix_1440</t>
  </si>
  <si>
    <t>Хаврикс 1440</t>
  </si>
  <si>
    <t>http://grls.rosminzdrav.ru/Grls_View_v2.aspx?routingGuid=8ecd1f23-ce36-4316-8f63 – 4aa28a61a7e4&amp;t=
https://grls.rosminzdrav.ru/Grls_View_v2.aspx?routingGuid=7f9925e4-9dd3 – 46b4-9a72-c4306af33e14&amp;t=
https://grls.rosminzdrav.ru/Grls_View_v2.aspx?routingGuid=6cee7e81-acb9-4ae0-8da8-13bc218f9f43
https://grls.rosminzdrav.ru/Grls_View_v2.aspx?routingGuid=8ffa4f17-cffc-4a79-b721-833a058ae522
https://lk.regmed.ru/Register/GetPDFfromDA?ID=1607490831
https://lk.regmed.ru/Register/GetPDFfromDA?ID=1607490821
https://lk.regmed.ru/Register/GetPDFfromDA?ID=1607490821</t>
  </si>
  <si>
    <t>Avaxim_80</t>
  </si>
  <si>
    <t>https://grls.rosminzdrav.ru/Grls_View_v2.aspx?routingGuid=0814c0aa-66c2-4566-a774-02de4c45b6ac</t>
  </si>
  <si>
    <t>Аваксим 80</t>
  </si>
  <si>
    <t>Аваксим 80 (вакцина для профилактики гепатита A инактивированная, адсорбированная)</t>
  </si>
  <si>
    <t>http://grls.rosminzdrav.ru/Grls_View_v2.aspx?routingGuid=3a8088d9-7d7f-445f-a8e4-a1bab7a809ad&amp;t=
https://grls.rosminzdrav.ru/Grls_View_v2.aspx?routingGuid=78ff9266-b5f3 – 490a-a1b8-27301443480a&amp;t=</t>
  </si>
  <si>
    <t>Avaxim_160</t>
  </si>
  <si>
    <t>https://grls.rosminzdrav.ru/Grls_View_v2.aspx?routingGuid=658e07cb-fcb9-412f-9392-b9e9e21a6343</t>
  </si>
  <si>
    <t>Аваксим 160</t>
  </si>
  <si>
    <t>Аваксим 160 (вакцина для профилактики гепатита A инактивированная, адсорбированная)</t>
  </si>
  <si>
    <t>http://grls.rosminzdrav.ru/Grls_View_v2.aspx?routingGuid=0e797243-3326-40c5-91d4-3790146525e4&amp;t=
https://grls.rosminzdrav.ru/Grls_View_v2.aspx?routingGuid=5209bb3a-760a-415a-8697-652ac260fca5&amp;t=</t>
  </si>
  <si>
    <t>Regevac_0_5</t>
  </si>
  <si>
    <t>https://grls.rosminzdrav.ru/Grls_View_v2.aspx?routingGuid=ec6e3b51-e76b-4abf-99cf-7c02bab06091</t>
  </si>
  <si>
    <t>Регевак детский</t>
  </si>
  <si>
    <t>Регевак® В (Вакцина против гепатита В, рекомбинантная дрожжевая жидкая)</t>
  </si>
  <si>
    <r>
      <rPr>
        <u/>
        <sz val="10"/>
        <color rgb="FF1155CC"/>
        <rFont val="Arial"/>
      </rPr>
      <t>http://grls.rosminzdrav.ru/Grls_View_v2.aspx?routingGuid=accc9e6e-21d3 – 4b43-8eb4-65d0bf807a6a&amp;t=</t>
    </r>
    <r>
      <rPr>
        <u/>
        <sz val="10"/>
        <color rgb="FF1155CC"/>
        <rFont val="Arial"/>
      </rPr>
      <t xml:space="preserve">
</t>
    </r>
    <r>
      <rPr>
        <u/>
        <sz val="10"/>
        <color rgb="FF1155CC"/>
        <rFont val="Arial"/>
      </rPr>
      <t xml:space="preserve">https://grls.rosminzdrav.ru/Grls_View_v2.aspx?routingGuid=7bf6a88b-0ee8-48d7-afe3-7585739a9aaf
https://grls.rosminzdrav.ru/Grls_View_v2.aspx?routingGuid=7b2a598f-1146-475f-9678-bf4c14e2523a
</t>
    </r>
  </si>
  <si>
    <t>HepB_Combiotech_0_5</t>
  </si>
  <si>
    <t>https://grls.rosminzdrav.ru/Grls_View_v2.aspx?routingGuid=0cc60fe9-635e-4134-80d2-59a7787e33fb</t>
  </si>
  <si>
    <t>гепатита B (Комбиотех) детская</t>
  </si>
  <si>
    <t>Вакцина гепатита В рекомбинантная дрожжевая</t>
  </si>
  <si>
    <t>&lt;p&gt;Препарат выпускается в виде «взрослой» и «детской» вакцины с консервантом и без консерванта.&lt;/p&gt;</t>
  </si>
  <si>
    <t>Препарат выпускается в виде «взрослой» и «детской» вакцины с консервантом и без консерванта.</t>
  </si>
  <si>
    <t>https://grls.rosminzdrav.ru/Grls_View_v2.aspx?routingGuid=3059b036-5e60-42ed-b26c-7eb6d5d06406</t>
  </si>
  <si>
    <t>Euvax_B_0_5</t>
  </si>
  <si>
    <t>https://grls.rosminzdrav.ru/Grls_View_v2.aspx?routingGuid=0d28b2ad-18b2-4e7a-8c27-436c0feea6d4</t>
  </si>
  <si>
    <t>Эувакс В детский</t>
  </si>
  <si>
    <t>Эувакс В (вакцина для профилактики гепатита B рекомбинантная)</t>
  </si>
  <si>
    <t>https://grls.rosminzdrav.ru/Grls_View_v2.aspx?routingGuid=0c704154-cba0-4019-ad47-535acfcd840c</t>
  </si>
  <si>
    <t>Euvax_B_1_0</t>
  </si>
  <si>
    <t>Эувакс В взрослый</t>
  </si>
  <si>
    <t>Cervarix</t>
  </si>
  <si>
    <t>https://grls.rosminzdrav.ru/Grls_View_v2.aspx?routingGuid=eb109c11-f04c-4753-b278-73a5bd064e47</t>
  </si>
  <si>
    <t>Церварикс</t>
  </si>
  <si>
    <t>Церварикс®</t>
  </si>
  <si>
    <t>https://lk.regmed.ru/Register/GetPDFfromDAToken?Token=f88d9e07-3794-4fde-9c2d-fd91c377cc95</t>
  </si>
  <si>
    <t>https://lk.regmed.ru/Register/GetPDFfromDAToken?Token=a5276048-6e32-4f08-9d02-266d9f69b4db</t>
  </si>
  <si>
    <t>https://grls.rosminzdrav.ru/Grls_View_v2.aspx?routingGuid=74a77c48-c131-41c4-ab9d-88f8daa7fa64</t>
  </si>
  <si>
    <t>http://grls.rosminzdrav.ru/Grls_View_v2.aspx?routingGuid=f1674482-805b-467b-896f-f78e3c14cba4&amp;t=
https://grls.rosminzdrav.ru/Grls_View_v2.aspx?routingGuid=ad735aab-e490-4da0-a3d9-0cec0766c5ca&amp;t=
https://grls.rosminzdrav.ru/Grls_View_v2.aspx?routingGuid=2978c96b-a743 – 462b-8c08-0a3d26589799
https://lk.regmed.ru/Register/GetPDFfromDA?ID=1611660161
https://lk.regmed.ru/Register/GetPDFfromDA?ID=1611660121</t>
  </si>
  <si>
    <t>Gardasil_4</t>
  </si>
  <si>
    <t>https://grls.rosminzdrav.ru/Grls_View_v2.aspx?routingGuid=2ae3187f-3553-4a0f-953d-db66a9c16d23</t>
  </si>
  <si>
    <t>Гардасил 4</t>
  </si>
  <si>
    <t>Гардасил®</t>
  </si>
  <si>
    <t>MSD</t>
  </si>
  <si>
    <t>&lt;p&gt;4-валентная&lt;/p&gt;</t>
  </si>
  <si>
    <t>4-валентная</t>
  </si>
  <si>
    <t>https://lk.regmed.ru/Register/GetPDFfromDAToken?Token=ba26e648-28b3-4eac-b578-0748c8e03c4e</t>
  </si>
  <si>
    <t>https://lk.regmed.ru/Register/GetPDFfromDAToken?Token=0b4492da-8526-4af7-a136-8dc82478f429</t>
  </si>
  <si>
    <t>https://grls.rosminzdrav.ru/Grls_View_v2.aspx?routingGuid=aa002533-365b-40c6-b369-8384878dcd93&amp;t=
https://grls.rosminzdrav.ru/Grls_View_v2.aspx?routingGuid=2bec1ede-4863 – 4d77-abb6-4e68d781b2e4&amp;t=
https://grls.rosminzdrav.ru/Grls_View_v2.aspx?routingGuid=4d6605d8-b4e5-43b2-8c81-ef86901d93fd
https://grls.rosminzdrav.ru/Grls_View_v2.aspx?routingGuid=764b9dc3-6936-4f27-b568-bf9afd87abfc
https://lk.regmed.ru/Register/GetPDFfromDA?ID=1575625191
https://lk.regmed.ru/Register/GetPDFfromDA?ID=1575625171
https://grls.rosminzdrav.ru/Grls_View_v2.aspx?routingGuid=764b9dc3-6936-4f27-b568-bf9afd87abfc</t>
  </si>
  <si>
    <t>Sputnik</t>
  </si>
  <si>
    <t>https://grls.rosminzdrav.ru/Grls_View_v2.aspx?routingGuid=579be5e3-09cf-46b4-8238-f3087cd4e808</t>
  </si>
  <si>
    <t>Спутник V</t>
  </si>
  <si>
    <t>Гам-КОВИД-Вак Комбинированная векторная вакцина для профилактики коронавирусной инфекции, вызываемой вирусом SARS-CoV-2</t>
  </si>
  <si>
    <t>https://lk.regmed.ru/Register/GetPDFfromDAToken?Token=dc4e4486-14e8-430b-b506-5364c1e11fe7</t>
  </si>
  <si>
    <t>https://lk.regmed.ru/Register/GetPDFfromDAToken?Token=3453097f-e598-4860-bd54-aa72f063f2ef</t>
  </si>
  <si>
    <t>https://grls.rosminzdrav.ru/Grls_View_v2.aspx?routingGuid=85127f3b-11cb-47df-95aa-325127c74955</t>
  </si>
  <si>
    <t>https://grls.rosminzdrav.ru/Grls_View_v2.aspx?routingGuid=d494c688-0bc6-4c30-9e81-23f043ceb43e&amp;t=
https://grls.rosminzdrav.ru/Grls_View_v2.aspx?routingGuid=5d7a9ba1-f4ec-4557-ba99-dcab4740067d&amp;t=
https://grls.rosminzdrav.ru/Grls_View_v2.aspx?routingGuid=1c3ac13e-0c68-4319-b618-e203985fa74a
https://grls.rosminzdrav.ru/Grls_View_v2.aspx?routingGuid=b0900ae9-5b06-4cb2-bdb4-e8a3bec5f6d6</t>
  </si>
  <si>
    <t>Sputnik_Lyo</t>
  </si>
  <si>
    <t>https://grls.rosminzdrav.ru/Grls_View_v2.aspx?routingGuid=ff05de13-f90b-475b-a47c-609c8a0539a7</t>
  </si>
  <si>
    <t>Спутник V (лиофилизат)</t>
  </si>
  <si>
    <t>Гам-КОВИД-Вак-Лио Комбинированная векторная вакцина для профилактики коронавирусной инфекции, вызываемой вирусом SARS-CoV-2</t>
  </si>
  <si>
    <t>EpiVacCorona</t>
  </si>
  <si>
    <t>https://grls.rosminzdrav.ru/Grls_View_v2.aspx?routingGuid=fd7355d2-abfa-4846-99da-a1c5c6e8991a</t>
  </si>
  <si>
    <t>ЭпиВакКорона</t>
  </si>
  <si>
    <t>ЭпиВакКорона Вакцина на основе пептидных антигенов для профилактики COVID-19</t>
  </si>
  <si>
    <t>Вектор</t>
  </si>
  <si>
    <t>http://grls.rosminzdrav.ru/Grls_View_v2.aspx?routingGuid=d8f07c35 – 7edc-49ab-8647-6b6865449167&amp;t=
https://grls.rosminzdrav.ru/Grls_View_v2.aspx?routingGuid=6248c7e9-198f-44e0-9682-5794b677fec3&amp;t=
https://grls.rosminzdrav.ru/Grls_View_v2.aspx?routingGuid=34ca6cb0-7450-4f53-8bec-17d2bdf92c2b</t>
  </si>
  <si>
    <t>Grippol_Microgen</t>
  </si>
  <si>
    <t>https://grls.rosminzdrav.ru/Grls_View_v2.aspx?routingGuid=70f8f0f0-7bac-41ec-a36d-51dcd6ebce84</t>
  </si>
  <si>
    <t>Гриппол (Микроген)</t>
  </si>
  <si>
    <t>Гриппол® Вакцина гриппозная тривалентная полимер-субъединичная жидкая</t>
  </si>
  <si>
    <t>https://grls.rosminzdrav.ru/Grls_View_v2.aspx?routingGuid=0ae550bc-37b4-4f2e-bbff-b1a71c00c505</t>
  </si>
  <si>
    <t>Grippol_Petrovax</t>
  </si>
  <si>
    <t>https://grls.rosminzdrav.ru/Grls_View_v2.aspx?routingGuid=ce700a9a-2b35-47e5-a73b-3cf65afee43b</t>
  </si>
  <si>
    <t>Гриппол (Петровакс)</t>
  </si>
  <si>
    <t>Гриппол® [Вакцина гриппозная тривалентная полимер-субъединичная жидкая]</t>
  </si>
  <si>
    <t>Петровакс</t>
  </si>
  <si>
    <t>Grippol_plus_0_5</t>
  </si>
  <si>
    <t>https://grls.rosminzdrav.ru/Grls_View_v2.aspx?routingGuid=907b510e-7f7f-46df-b43a-f6541b9871fc</t>
  </si>
  <si>
    <t>Гриппол плюс 0,5 мл</t>
  </si>
  <si>
    <t>Гриппол® плюс [Вакцина гриппозная тривалентная инактивированная полимер-субъединичная]</t>
  </si>
  <si>
    <t>https://lk.regmed.ru/Register/GetPDFfromDAToken?Token=8cc54647-279e-4b2f-82d7-b1ed3161d86a</t>
  </si>
  <si>
    <t>https://lk.regmed.ru/Register/GetPDFfromDAToken?Token=333cbca5-2931-4145-ba0e-d5b9ee3e74f7</t>
  </si>
  <si>
    <t>https://grls.rosminzdrav.ru/Grls_View_v2.aspx?routingGuid=6cb99bc7-105a-4075-a791-8895b32ca394</t>
  </si>
  <si>
    <r>
      <rPr>
        <u/>
        <sz val="10"/>
        <color rgb="FF1155CC"/>
        <rFont val="Arial"/>
      </rPr>
      <t>http://grls.rosminzdrav.ru/Grls_View_v2.aspx?routingGuid=e5e46dca-6622-4d3a-a0cd-349a012a5fc0&amp;t=
https://grls.rosminzdrav.ru/Grls_View_v2.aspx?routingGuid=85b9ac25-4fe7-4433-8cd8-f0b342dd9cf7&amp;t=
https://grls.rosminzdrav.ru/Grls_View_v2.aspx?routingGuid=4427eb1b-4f6c-42f5-9639-cb5f3a09cba2</t>
    </r>
    <r>
      <rPr>
        <u/>
        <sz val="10"/>
        <color rgb="FF1155CC"/>
        <rFont val="Arial"/>
      </rPr>
      <t xml:space="preserve">
</t>
    </r>
    <r>
      <rPr>
        <u/>
        <sz val="10"/>
        <color rgb="FF1155CC"/>
        <rFont val="Arial"/>
      </rPr>
      <t>https://grls.rosminzdrav.ru/Grls_View_v2.aspx?routingGuid=3b219e04-d778-4884-b683-c531afd10243
https://grls.rosminzdrav.ru/InstrImg/2023/09/26/1497492/e385d3ef-3918-4b5f-911b-fd418c787580.pdf
https://lk.regmed.ru/Register/GetPDFfromDA?ID=1512826451
https://lk.regmed.ru/Register/GetPDFfromDA?ID=1599002471
https://lk.regmed.ru/Register/GetPDFfromDA?ID=1599002501
https://grls.rosminzdrav.ru/Grls_View_v2.aspx?routingGuid=9f01a261-d030-46db-82a0-3ab09a958a2e
https://grls.rosminzdrav.ru/Grls_View_v2.aspx?routingGuid=3b219e04-d778-4884-b683-c531afd10243</t>
    </r>
  </si>
  <si>
    <t>Sovigripp</t>
  </si>
  <si>
    <t>https://grls.rosminzdrav.ru/Grls_View_v2.aspx?routingGuid=b287b682-550a-418f-8189-05dac16da4ae</t>
  </si>
  <si>
    <t>Совигрипп</t>
  </si>
  <si>
    <t>СОВИГРИПП® Вакцина гриппозная инактивированная субъединичная</t>
  </si>
  <si>
    <t>https://lk.regmed.ru/Register/GetPDFfromDAToken?Token=4d1562e5-05e7-405f-9673-b89a20ffd447</t>
  </si>
  <si>
    <t>https://lk.regmed.ru/Register/GetPDFfromDAToken?Token=068c5473-106f-49bc-a5f7-7ba1b7f020c3</t>
  </si>
  <si>
    <t>https://grls.rosminzdrav.ru/Grls_View_v2.aspx?routingGuid=80286849-4848-4b66-a986-a99c8a476964</t>
  </si>
  <si>
    <t>http://grls.rosminzdrav.ru/Grls_View_v2.aspx?routingGuid=52ba41b8-9298-4f53-a5c0-8dedc52494a6&amp;t=
https://grls.rosminzdrav.ru/Grls_View_v2.aspx?routingGuid=072a45dd-9eac-44a1-b14d-fa7fffdf4885&amp;t=
https://grls.rosminzdrav.ru/Grls_View_v2.aspx?routingGuid=6ed700c7-271c-40a1-814a-0d3f717a24de
https://grls.rosminzdrav.ru/Grls_View_v2.aspx?routingGuid=80286849-4848-4b66-a986-a99c8a476964
https://lk.regmed.ru/Register/GetPDFfromDA?ID=1633580161
https://lk.regmed.ru/Register/GetPDFfromDA?ID=1633580151</t>
  </si>
  <si>
    <t>Ultrix</t>
  </si>
  <si>
    <t>https://grls.rosminzdrav.ru/Grls_View_v2.aspx?routingGuid=b90698f2-e111-4450-b82c-5c3ca26a25f5</t>
  </si>
  <si>
    <t>Ультрикс</t>
  </si>
  <si>
    <t>Ультрикс® Вакцина гриппозная инактивированная расщепленная</t>
  </si>
  <si>
    <t>ФОРТ</t>
  </si>
  <si>
    <t>https://lk.regmed.ru/Register/GetPDFfromDAToken?Token=ebfed185-d787-4d31-8be8-d3cbc95b7794</t>
  </si>
  <si>
    <t>https://lk.regmed.ru/Register/GetPDFfromDAToken?Token=030e4140-af45-48dd-b213-76aeb3a23c36</t>
  </si>
  <si>
    <t>https://grls.rosminzdrav.ru/Grls_View_v2.aspx?routingGuid=fe89d09a-8d9b-45fa-bb82-740a81904a6d</t>
  </si>
  <si>
    <r>
      <rPr>
        <u/>
        <sz val="10"/>
        <color rgb="FF1155CC"/>
        <rFont val="Arial"/>
      </rPr>
      <t>http://grls.rosminzdrav.ru/Grls_View_v2.aspx?routingGuid=fb9c24c2-c33a-4920-8361-9997d94b4e68&amp;t=</t>
    </r>
    <r>
      <rPr>
        <u/>
        <sz val="10"/>
        <color rgb="FF1155CC"/>
        <rFont val="Arial"/>
      </rPr>
      <t xml:space="preserve">
</t>
    </r>
    <r>
      <rPr>
        <u/>
        <sz val="10"/>
        <color rgb="FF1155CC"/>
        <rFont val="Arial"/>
      </rPr>
      <t>https://grls.rosminzdrav.ru/Grls_View_v2.aspx?routingGuid=fe89d09a-8d9b-45fa-bb82-740a81904a6d
https://lk.regmed.ru/Register/GetPDFfromDA?ID=1523760571
https://lk.regmed.ru/Register/GetPDFfromDA?ID=1523760581</t>
    </r>
  </si>
  <si>
    <t>Flu_M</t>
  </si>
  <si>
    <t>https://grls.rosminzdrav.ru/Grls_View_v2.aspx?routingGuid=e7496b1f-1be9-46a3-b43f-e1c83a5b6cc8</t>
  </si>
  <si>
    <t>Флю-М</t>
  </si>
  <si>
    <t>Флю-М [Вакцина гриппозная инактивированная расщепленная]</t>
  </si>
  <si>
    <t>СПбНИИВС</t>
  </si>
  <si>
    <t>https://grls.rosminzdrav.ru/Grls_View_v2.aspx?routingGuid=c6301213-2c71-499d-bf27-8fd593484674</t>
  </si>
  <si>
    <t>http://grls.rosminzdrav.ru/Grls_View_v2.aspx?routingGuid=24b95e82-2958-40e4-a4a2-4771c644d37a&amp;t=
https://grls.rosminzdrav.ru/Grls_View_v2.aspx?routingGuid=48a4c1e2-75b8-4e93-9354-db9c0f57205c&amp;t=
https://grls.rosminzdrav.ru/Grls_View_v2.aspx?routingGuid=6feebd54-4999-44d5-bd49-445441202847
https://grls.rosminzdrav.ru/Grls_View_v2.aspx?routingGuid=dfddbade-1401-4b6d-903d-74fe3c1a2821</t>
  </si>
  <si>
    <t>Vaxigrip</t>
  </si>
  <si>
    <t>https://grls.rosminzdrav.ru/Grls_View_v2.aspx?routingGuid=34537f7c-cc43 – 45ef-bc9a-9820641bf718</t>
  </si>
  <si>
    <t>Ваксигрип</t>
  </si>
  <si>
    <t>Ваксигрип® (инактивированная сплит-вакцина для профилактики гриппа)</t>
  </si>
  <si>
    <t>https://grls.rosminzdrav.ru/Grls_View_v2.aspx?routingGuid=34537f7c-cc43-45ef-bc9a-9820641bf718</t>
  </si>
  <si>
    <t>http://grls.rosminzdrav.ru/Grls_View_v2.aspx?routingGuid=dbe0bb34-ff56-47e4-9873-0133b28f09c9&amp;t=</t>
  </si>
  <si>
    <t>Influvac</t>
  </si>
  <si>
    <t>https://grls.rosminzdrav.ru/Grls_View_v2.aspx?routingGuid=f0e5ea62-1cea-4427-923d-201a87349492</t>
  </si>
  <si>
    <t>Инфлювак</t>
  </si>
  <si>
    <t>Инфлювак® (вакцина гриппозная субъединичная инактивированная)</t>
  </si>
  <si>
    <t>https://grls.rosminzdrav.ru/Grls_View_v2.aspx?routingGuid=d1eda2da-96d0-46b8-883a-7358a06372b2</t>
  </si>
  <si>
    <t>http://grls.rosminzdrav.ru/Grls_View_v2.aspx?routingGuid=fec37fbb-555f-4f09-832e-e55c4adf9598&amp;t=
https://grls.rosminzdrav.ru/Grls_View_v2.aspx?routingGuid=bbe4964e-190b-475d-bc21-5df56876bcc3&amp;t=
https://grls.rosminzdrav.ru/Grls_View_v2.aspx?routingGuid=904ea0a9-2557-42e6-b1fe-cf2e3d5a2a5f</t>
  </si>
  <si>
    <t>Ultrix_quadri</t>
  </si>
  <si>
    <t>https://grls.rosminzdrav.ru/Grls_View_v2.aspx?routingGuid=39b44822-0ca7-409d-bc25-db49ef3d5471</t>
  </si>
  <si>
    <t>Ультрикс Квадри</t>
  </si>
  <si>
    <t>Ультрикс® Квадри Вакцина гриппозная четырехвалентная инактивированная расщепленная</t>
  </si>
  <si>
    <t>https://lk.regmed.ru/Register/GetPDFfromDAToken?Token=6b6de448-9da8-4025-8b7a-e10951e7ff00</t>
  </si>
  <si>
    <t>https://lk.regmed.ru/Register/GetPDFfromDAToken?Token=b2eb25a3-b0e8-4ec0-a061-84b5525ed27c</t>
  </si>
  <si>
    <t>https://grls.rosminzdrav.ru/Grls_View_v2.aspx?routingGuid=d8000e0b-8c92-4c5f-97ca-007605503798</t>
  </si>
  <si>
    <t>http://grls.rosminzdrav.ru/Grls_View_v2.aspx?routingGuid=124a42d3-7fac-48c0-aaaf-cfe4d199894b&amp;t=
https://grls.rosminzdrav.ru/Grls_View_v2.aspx?routingGuid=45037bd5-8037-42bf-9ee0-98d83f94c5c1&amp;t=
https://grls.rosminzdrav.ru/Grls_View_v2.aspx?routingGuid=7d222a39-9ad4-46f7-9bdb-89acbc8d2d6f
https://grls.rosminzdrav.ru/Grls_View_v2.aspx?routingGuid=5b2d02e2-366c-4fda-9c5c-c8682c64f4ab
https://grls.rosminzdrav.ru/Grls_View_v2.aspx?routingGuid=d8000e0b-8c92-4c5f-97ca-007605503798
https://lk.regmed.ru/Register/GetPDFfromDA?ID=1612604181
https://lk.regmed.ru/Register/GetPDFfromDA?ID=1612604221</t>
  </si>
  <si>
    <t>Grippol_quadrivalent</t>
  </si>
  <si>
    <t>https://grls.rosminzdrav.ru/Grls_View_v2.aspx?routingGuid=9d163668-04c5-490d-81ed-287f1cc6ac47</t>
  </si>
  <si>
    <t>Гриппол Квадривалент</t>
  </si>
  <si>
    <t>Гриппол® Квадривалент Вакцина гриппозная четырехвалентная инактивированная субъединичная адъювантная</t>
  </si>
  <si>
    <t>https://lk.regmed.ru/Register/GetPDFfromDAToken?Token=21d09ab4-e8b0-4241-88e6-6f4a8868109c</t>
  </si>
  <si>
    <t>https://lk.regmed.ru/Register/GetPDFfromDAToken?Token=b432b611-0158-4b27-8d05-73c60d69171c</t>
  </si>
  <si>
    <t>https://grls.rosminzdrav.ru/Grls_View_v2.aspx?routingGuid=2227b96d-2e61-48bd-9cca-17ce427fdc48</t>
  </si>
  <si>
    <t>http://grls.rosminzdrav.ru/Grls_View_v2.aspx?routingGuid=df187e16-c6c8-4e25-996d-d24609d80ffe&amp;t=
https://grls.rosminzdrav.ru/Grls_View_v2.aspx?routingGuid=795bca3c-a1a9-4b1f-b746-0543118bba89&amp;t=
https://grls.rosminzdrav.ru/Grls_View_v2.aspx?routingGuid=aaad7988-7890-4311-aff9-8bea62268f88
https://grls.rosminzdrav.ru/Grls_View_v2.aspx?routingGuid=246d6b61-cf90-437b-9ff2-8fd5f105a763
https://lk.regmed.ru/Register/GetPDFfromDA?ID=1597541001
https://lk.regmed.ru/Register/GetPDFfromDA?ID=1597541011
https://grls.rosminzdrav.ru/Grls_View_v2.aspx?routingGuid=a3561d12-68bd-4cc8-a1b3-aa2502077435</t>
  </si>
  <si>
    <t>measles_Microgen</t>
  </si>
  <si>
    <t>https://grls.rosminzdrav.ru/Grls_View_v2.aspx?routingGuid=21ef9e10-0802-4099-9f29-815fab9bf24f</t>
  </si>
  <si>
    <t>коревая (Микроген)</t>
  </si>
  <si>
    <t>Вакцина коревая культуральная живая</t>
  </si>
  <si>
    <t>https://lk.regmed.ru/Register/GetPDFfromDAToken?Token=7542b90d-b67b-4205-9d82-117e106aba6c</t>
  </si>
  <si>
    <t>https://lk.regmed.ru/Register/GetPDFfromDAToken?Token=49eb0c51-5786-40d6-aa23-a6ca97631b43</t>
  </si>
  <si>
    <r>
      <rPr>
        <u/>
        <sz val="10"/>
        <color rgb="FF1155CC"/>
        <rFont val="Arial"/>
      </rPr>
      <t>http://grls.rosminzdrav.ru/Grls_View_v2.aspx?routingGuid=61237c83-f5c4-43db-aad1-879afb2576dc&amp;t=
https://grls.rosminzdrav.ru/Grls_View_v2.aspx?routingGuid=50f4ddc8-d32e-4bc9-a7e8-ef3b725bdcf4</t>
    </r>
    <r>
      <rPr>
        <u/>
        <sz val="10"/>
        <color rgb="FF1155CC"/>
        <rFont val="Arial"/>
      </rPr>
      <t xml:space="preserve">
</t>
    </r>
    <r>
      <rPr>
        <u/>
        <sz val="10"/>
        <color rgb="FF1155CC"/>
        <rFont val="Arial"/>
      </rPr>
      <t>https://grls.rosminzdrav.ru/Grls_View_v2.aspx?routingGuid=01e97889-adda-4d87-b2f3-d4b8afcbbc5a
https://lk.regmed.ru/Register/GetPDFfromDA?ID=1581220991
https://lk.regmed.ru/Register/GetPDFfromDA?ID=1581220981</t>
    </r>
  </si>
  <si>
    <t>measles_Serum_India</t>
  </si>
  <si>
    <t>https://grls.rosminzdrav.ru/Grls_View_v2.aspx?routingGuid=af4dd5ba-8e11-450c-83f0-3c6db2b13cf6</t>
  </si>
  <si>
    <t>коревая (Серум Инститьют)</t>
  </si>
  <si>
    <t>Вакцина против кори живая аттенуированная</t>
  </si>
  <si>
    <t>Серум Инститьют</t>
  </si>
  <si>
    <r>
      <rPr>
        <u/>
        <sz val="10"/>
        <color rgb="FF1155CC"/>
        <rFont val="Arial"/>
      </rPr>
      <t xml:space="preserve">http://grls.rosminzdrav.ru/Grls_View_v2.aspx?routingGuid=3a8b491f-08bf-49aa-80ac-02b9a3c91a1f&amp;t=
https://grls.rosminzdrav.ru/Grls_View_v2.aspx?routingGuid=231607bd-b4c9-4eec-b6e1-5f28de2c5eb3
https://grls.rosminzdrav.ru/Grls_View_v2.aspx?routingGuid=d0960ca7-bae5-4ef6-a711-929de9abc901
</t>
    </r>
    <r>
      <rPr>
        <u/>
        <sz val="10"/>
        <color rgb="FF1155CC"/>
        <rFont val="Arial"/>
      </rPr>
      <t xml:space="preserve">https://grls.rosminzdrav.ru/Grls_View_v2.aspx?routingGuid=0fb5a06d-2df7-4647-98fa-055df85c6963
</t>
    </r>
  </si>
  <si>
    <t>measles_Vector</t>
  </si>
  <si>
    <t>https://grls.rosminzdrav.ru/Grls_View_v2.aspx?routingGuid=1c26875c-896c-488d-b713-142d18c1310f</t>
  </si>
  <si>
    <t>коревая (Вектор)</t>
  </si>
  <si>
    <t>measles_mumps_Microgen</t>
  </si>
  <si>
    <t>https://grls.rosminzdrav.ru/Grls_View_v2.aspx?routingGuid=bbcf7276-a503-4968-abd0-286f29aa80a7</t>
  </si>
  <si>
    <t>паротитно-коревая (Микроген)</t>
  </si>
  <si>
    <t>Вакцина паротитно-коревая культуральная живая</t>
  </si>
  <si>
    <t>https://lk.regmed.ru/Register/GetPDFfromDAToken?Token=871cc235-deab-47cc-ac2f-13a865cc2b7f</t>
  </si>
  <si>
    <t>https://lk.regmed.ru/Register/GetPDFfromDAToken?Token=60f59013-3af8-438a-b5ec-739308a69e96</t>
  </si>
  <si>
    <r>
      <rPr>
        <u/>
        <sz val="10"/>
        <color rgb="FF1155CC"/>
        <rFont val="Arial"/>
      </rPr>
      <t>http://grls.rosminzdrav.ru/Grls_View_v2.aspx?routingGuid=ca43f50c-f676-44b2-86ad-853f677b4498&amp;t=
https://grls.rosminzdrav.ru/Grls_View_v2.aspx?routingGuid=791e81d9-294b-4baf-8a70-168c7f7f86f2</t>
    </r>
    <r>
      <rPr>
        <u/>
        <sz val="10"/>
        <color rgb="FF1155CC"/>
        <rFont val="Arial"/>
      </rPr>
      <t xml:space="preserve">
https://grls.rosminzdrav.ru/Grls_View_v2.aspx?routingGuid=d16807c0-3ae7-4dcf-9b27 – 98da382d2a0b
</t>
    </r>
    <r>
      <rPr>
        <u/>
        <sz val="10"/>
        <color rgb="FF1155CC"/>
        <rFont val="Arial"/>
      </rPr>
      <t>https://lk.regmed.ru/Register/GetPDFfromDA?ID=1537524921
https://lk.regmed.ru/Register/GetPDFfromDA?ID=1597558391
https://lk.regmed.ru/Register/GetPDFfromDA?ID=1597558401</t>
    </r>
  </si>
  <si>
    <t>Vactrivir</t>
  </si>
  <si>
    <t>https://grls.rosminzdrav.ru/Grls_View_v2.aspx?routingGuid=a4090b86-5da6-4481-8230-dd9e607b60af</t>
  </si>
  <si>
    <t>Вактривир</t>
  </si>
  <si>
    <t>ВАКТРИВИР Комбинированная вакцина против кори, краснухи и паротита культуральная живая</t>
  </si>
  <si>
    <t>&lt;p&gt;При необходимости вакцинации детей в возрасте младше 12&amp;nbsp;месяцев, если это предусмотрено Национальными рекомендациями, вакцину следует вводить в возрасте не ранее 9&amp;nbsp;месяцев.&lt;/p&gt;</t>
  </si>
  <si>
    <t>При необходимости вакцинации детей в возрасте младше 12 месяцев, если это предусмотрено Национальными рекомендациями, вакцину следует вводить в возрасте не ранее 9 месяцев.</t>
  </si>
  <si>
    <t>https://lk.regmed.ru/Register/GetPDFfromDAToken?Token=8415d4f4-69df-4249-bc87-8ca7cad24c51</t>
  </si>
  <si>
    <t>https://lk.regmed.ru/Register/GetPDFfromDAToken?Token=fd485da8-7368-4961-a19c-06323bb3bcc0</t>
  </si>
  <si>
    <t>https://grls.rosminzdrav.ru/Grls_View_v2.aspx?routingGuid=5b6518f1-1b39-4e40-8390-4b9a01bf80dd</t>
  </si>
  <si>
    <r>
      <rPr>
        <u/>
        <sz val="10"/>
        <color rgb="FF1155CC"/>
        <rFont val="Arial"/>
      </rPr>
      <t>http://grls.rosminzdrav.ru/Grls_View_v2.aspx?routingGuid=81101529-b9fa-42c8-b76c-a700ade3d59c&amp;t=
https://grls.rosminzdrav.ru/Grls_View_v2.aspx?routingGuid=8697837e-9a5b-40ee-a9cf-889ae74a67df
https://grls.rosminzdrav.ru/Grls_View_v2.aspx?routingGuid=227d901e-8846-4d42-b5d6-b13f1432ed6f</t>
    </r>
    <r>
      <rPr>
        <u/>
        <sz val="10"/>
        <color rgb="FF1155CC"/>
        <rFont val="Arial"/>
      </rPr>
      <t xml:space="preserve">
</t>
    </r>
    <r>
      <rPr>
        <u/>
        <sz val="10"/>
        <color rgb="FF1155CC"/>
        <rFont val="Arial"/>
      </rPr>
      <t>https://grls.rosminzdrav.ru/Grls_View_v2.aspx?routingGuid=de5e2075-b10e-4d53-a550-05da38523f20</t>
    </r>
    <r>
      <rPr>
        <u/>
        <sz val="10"/>
        <color rgb="FF1155CC"/>
        <rFont val="Arial"/>
      </rPr>
      <t xml:space="preserve">
</t>
    </r>
    <r>
      <rPr>
        <u/>
        <sz val="10"/>
        <color rgb="FF1155CC"/>
        <rFont val="Arial"/>
      </rPr>
      <t>https://lk.regmed.ru/Register/GetPDFfromDA?ID=1574035031
https://grls.rosminzdrav.ru/Grls_View_v2.aspx?routingGuid=52ee92d0-9f04-49b0-837d-e4075fbf0b34
https://lk.regmed.ru/Register/GetPDFfromDA?ID=1615125021
https://lk.regmed.ru/Register/GetPDFfromDA?ID=1615125031</t>
    </r>
  </si>
  <si>
    <t>MMR_II</t>
  </si>
  <si>
    <t>https://grls.rosminzdrav.ru/Grls_View_v2.aspx?routingGuid=aa975a20-f44a-451e-bf3e-3dcc80435b61</t>
  </si>
  <si>
    <t>М-М-Р II</t>
  </si>
  <si>
    <t>М-М-Р II® (Вакцина против кори, паротита и краснухи, живая)</t>
  </si>
  <si>
    <t>http://grls.rosminzdrav.ru/Grls_View_v2.aspx?routingGuid=0d17eb38-2f27-41b3-ae00-df4048d683a8&amp;t=
https://grls.rosminzdrav.ru/Grls_View_v2.aspx?routingGuid=20933871-b349-4a9f-b8ed-0bdd37633ce8
https://grls.rosminzdrav.ru/Grls_View_v2.aspx?routingGuid=79070156-b013 – 49b6-b02e-67816d8e0b88</t>
  </si>
  <si>
    <t>MenA_Microgen</t>
  </si>
  <si>
    <t>https://grls.rosminzdrav.ru/Grls_View_v2.aspx?routingGuid=573dc2fd-b104-4a0c-a56a-486f57764912</t>
  </si>
  <si>
    <t>Менингококковая гр. A</t>
  </si>
  <si>
    <t>Вакцина менингококковая группы А полисахаридная</t>
  </si>
  <si>
    <t>&lt;p&gt;менингококки группы&amp;nbsp;A&lt;/p&gt;</t>
  </si>
  <si>
    <t>менингококки группы A</t>
  </si>
  <si>
    <t>https://lk.regmed.ru/Register/GetPDFfromDAToken?Token=22a07d8d-d541-45f6-8093-29d650df9705</t>
  </si>
  <si>
    <t>https://lk.regmed.ru/Register/GetPDFfromDAToken?Token=3d5332a3-fefe-4a5b-acda-977c16b3d967</t>
  </si>
  <si>
    <r>
      <rPr>
        <u/>
        <sz val="10"/>
        <color rgb="FF1155CC"/>
        <rFont val="Arial"/>
      </rPr>
      <t>http://grls.rosminzdrav.ru/Grls_View_v2.aspx?routingGuid=539093dd-5019-4c91-982a-7b0108bbce0e&amp;t=
https://grls.rosminzdrav.ru/Grls_View_v2.aspx?routingGuid=c70e230d-b8c5-4764-b82d-fe3e658e3dcf</t>
    </r>
    <r>
      <rPr>
        <u/>
        <sz val="10"/>
        <color rgb="FF1155CC"/>
        <rFont val="Arial"/>
      </rPr>
      <t xml:space="preserve">
</t>
    </r>
    <r>
      <rPr>
        <u/>
        <sz val="10"/>
        <color rgb="FF1155CC"/>
        <rFont val="Arial"/>
      </rPr>
      <t>https://grls.rosminzdrav.ru/Grls_View_v2.aspx?routingGuid=0120e001-9957-4ac6-9c90-e3953b7e1e18
https://lk.regmed.ru/Register/GetPDFfromDA?ID=1583272671
https://lk.regmed.ru/Register/GetPDFfromDA?ID=1583272641</t>
    </r>
  </si>
  <si>
    <t>MeningoVac_A_C</t>
  </si>
  <si>
    <t>https://grls.rosminzdrav.ru/Grls_View_v2.aspx?routingGuid=162087a7-8c2e-4c1c-ada9-b2d41a7fc06d</t>
  </si>
  <si>
    <t>Менингококковая гр. А+С</t>
  </si>
  <si>
    <t>Вакцина менингококковая групп А и С полисахаридная</t>
  </si>
  <si>
    <t>&lt;p&gt;менингококки группы&amp;nbsp;A, C&lt;/p&gt;</t>
  </si>
  <si>
    <t>менингококки группы A, C</t>
  </si>
  <si>
    <t>https://lk.regmed.ru/Register/GetPDFfromDAToken?Token=023326ba-2394-4cee-8436-d2d7251635d0</t>
  </si>
  <si>
    <t>https://lk.regmed.ru/Register/GetPDFfromDAToken?Token=ee03c4ca-717d-4833-b701-e198134f2d9e</t>
  </si>
  <si>
    <r>
      <rPr>
        <u/>
        <sz val="10"/>
        <color rgb="FF1155CC"/>
        <rFont val="Arial"/>
      </rPr>
      <t>http://grls.rosminzdrav.ru/Grls_View_v2.aspx?routingGuid=f5818301-d1f3 – 41f0-8756-aae5c73114a3&amp;t=</t>
    </r>
    <r>
      <rPr>
        <u/>
        <sz val="10"/>
        <color rgb="FF1155CC"/>
        <rFont val="Arial"/>
      </rPr>
      <t xml:space="preserve">
</t>
    </r>
    <r>
      <rPr>
        <u/>
        <sz val="10"/>
        <color rgb="FF1155CC"/>
        <rFont val="Arial"/>
      </rPr>
      <t>https://grls.rosminzdrav.ru/Grls_View_v2.aspx?routingGuid=347acbcf-2d55-4d52-b4e7-d02d0bcc8066
https://lk.regmed.ru/Register/GetPDFfromDA?ID=1581523381
https://lk.regmed.ru/Register/GetPDFfromDA?ID=1581523391</t>
    </r>
  </si>
  <si>
    <t>Menactra</t>
  </si>
  <si>
    <t>https://grls.rosminzdrav.ru/Grls_View_v2.aspx?routingGuid=f79c63df-14fc-4066-a985-f34555bed179</t>
  </si>
  <si>
    <t>Менактра</t>
  </si>
  <si>
    <t>МЕНАКТРА® [вакцина менингококковая полисахаридная (серогрупп A, C, Y и W-135), конъюгированная с дифтерийным анатоксином]</t>
  </si>
  <si>
    <t>&lt;p&gt;менингококки группы&amp;nbsp;A, C, W, Y&lt;/p&gt;</t>
  </si>
  <si>
    <t>менингококки группы A, C, W, Y</t>
  </si>
  <si>
    <t>https://lk.regmed.ru/Register/GetPDFfromDAToken?Token=daa21352-7464-4e37-a24b-31888db79e80</t>
  </si>
  <si>
    <t>https://lk.regmed.ru/Register/GetPDFfromDAToken?Token=0725a6ff-6dab-4a0b-bf38-21b81e568dfb</t>
  </si>
  <si>
    <t>https://grls.rosminzdrav.ru/Grls_View_v2.aspx?routingGuid=ad209ac6-713c-44f3-a988-34b85866cd93</t>
  </si>
  <si>
    <r>
      <rPr>
        <u/>
        <sz val="10"/>
        <color rgb="FF1155CC"/>
        <rFont val="Arial"/>
      </rPr>
      <t xml:space="preserve">http://grls.rosminzdrav.ru/Grls_View_v2.aspx?routingGuid=8b65507f-1d6e-4318-b54e-d1d9632dd46c&amp;t=
https://grls.rosminzdrav.ru/Grls_View_v2.aspx?routingGuid=0061bcf7-8c2f-4f33-8766 – 7cc2a63e0b45
</t>
    </r>
    <r>
      <rPr>
        <u/>
        <sz val="10"/>
        <color rgb="FF1155CC"/>
        <rFont val="Arial"/>
      </rPr>
      <t xml:space="preserve">https://grls.rosminzdrav.ru/Grls_View_v2.aspx?routingGuid=ad209ac6 – 713c-44f3-a988-34b85866cd93
</t>
    </r>
    <r>
      <rPr>
        <u/>
        <sz val="10"/>
        <color rgb="FF1155CC"/>
        <rFont val="Arial"/>
      </rPr>
      <t>https://grls.rosminzdrav.ru/Grls_View_v2.aspx?routingGuid=f84cd187-dbcf-4c4d-9040-4b41beb42fc7
https://lk.regmed.ru/Register/GetPDFfromDA?ID=1574028031
https://lk.regmed.ru/Register/GetPDFfromDA?ID=1574028041</t>
    </r>
  </si>
  <si>
    <t>mumps_Microgen</t>
  </si>
  <si>
    <t>https://grls.rosminzdrav.ru/Grls_View_v2.aspx?routingGuid=4f505e78-1d02-4b8f-aaf9-618368787be0</t>
  </si>
  <si>
    <t>паротитная (Микроген)</t>
  </si>
  <si>
    <t>Вакцина паротитная культуральная живая</t>
  </si>
  <si>
    <t>https://lk.regmed.ru/Register/GetPDFfromDAToken?Token=a03421c1-d658-4466-a600-c80d1005976d</t>
  </si>
  <si>
    <t>https://lk.regmed.ru/Register/GetPDFfromDAToken?Token=7069eb11-87e9-4098-956f-d6a04dcc1ff5</t>
  </si>
  <si>
    <t>http://grls.rosminzdrav.ru/Grls_View_v2.aspx?routingGuid=5357746a-154a-43d6-8079-181497073d49&amp;t=
https://grls.rosminzdrav.ru/Grls_View_v2.aspx?routingGuid=d43c44b3 – 4860-410e-949e-394ac27f51da
https://grls.rosminzdrav.ru/Grls_View_v2.aspx?routingGuid=63e40ea5-953e-4097-bba6-8a294540ae29
https://lk.regmed.ru/Register/GetPDFfromDA?ID=1537525101
https://lk.regmed.ru/Register/GetPDFfromDA?ID=1594767771
https://lk.regmed.ru/Register/GetPDFfromDA?ID=1594767781</t>
  </si>
  <si>
    <t>Prevenar_13</t>
  </si>
  <si>
    <t>https://grls.rosminzdrav.ru/Grls_View_v2.aspx?routingGuid=c88b7ed6-2791-496d-95ac-2bf2453e540b</t>
  </si>
  <si>
    <t>Превенар 13</t>
  </si>
  <si>
    <t>Превенар® 13 (вакцина пневмококковая полисахаридная конъюгированная адсорбированная, тринадцативалентная)</t>
  </si>
  <si>
    <t>Пфайзер</t>
  </si>
  <si>
    <t>https://lk.regmed.ru/Register/GetPDFfromDAToken?Token=3553002d-a459-42b4-8d3c-382ab7278081</t>
  </si>
  <si>
    <t>https://lk.regmed.ru/Register/GetPDFfromDAToken?Token=2582b5a2-7a42-49c7-ab2d-7f067592996f</t>
  </si>
  <si>
    <t>https://grls.rosminzdrav.ru/Grls_View_v2.aspx?routingGuid=fa171426-1eca-44bc-81f4-6031a67504f1</t>
  </si>
  <si>
    <t>http://grls.rosminzdrav.ru/Grls_View_v2.aspx?routingGuid=17eeb85f-062a-4f03-b4ba-7053cbca6a2e&amp;t=
https://grls.rosminzdrav.ru/Grls_View_v2.aspx?routingGuid=fa171426-1eca-44bc-81f4-6031a67504f1
https://grls.rosminzdrav.ru/Grls_View_v2.aspx?routingGuid=ec38a615-5756-4de3-8136-56f2af639760
https://lk.regmed.ru/Register/GetPDFfromDA?ID=1544529771
https://lk.regmed.ru/Register/GetPDFfromDA?ID=1544529781</t>
  </si>
  <si>
    <t>Synflorix</t>
  </si>
  <si>
    <t>https://grls.rosminzdrav.ru/Grls_View_v2.aspx?routingGuid=98f6f75c-4d06-4e15-8e8e-52e513e2c4c1</t>
  </si>
  <si>
    <t>Синфлорикс</t>
  </si>
  <si>
    <t>Синфлорикс (Вакцина 10-валентная пневмококковая полисахаридная, конъюгированная с D-протеином нетипируемой Haemophilus influenzae, столбнячным и дифтерийным анатоксинами, адсорбированная)</t>
  </si>
  <si>
    <t>http://grls.rosminzdrav.ru/Grls_View_v2.aspx?routingGuid=bc69c871-334e-49d1-9c5e-34547e17b015&amp;t=
https://grls.rosminzdrav.ru/Grls_View_v2.aspx?routingGuid=150b2fd7-dd3c-4227-aa69-61c4de6db279</t>
  </si>
  <si>
    <t>Pneumovax_23</t>
  </si>
  <si>
    <t>https://grls.rosminzdrav.ru/Grls_View_v2.aspx?routingGuid=7ded6546-8feb-4afd-9a4d-1fce9414a552</t>
  </si>
  <si>
    <t>Пневмовакс 23</t>
  </si>
  <si>
    <t>Пневмовакс® 23 (Вакцина пневмококковая, поливалентная)</t>
  </si>
  <si>
    <t>Мерк Шарп и Доум Б.В.</t>
  </si>
  <si>
    <t>https://lk.regmed.ru/Register/GetPDFfromDAToken?Token=10e497be-3d4a-43a2-aa31-092ce691668e</t>
  </si>
  <si>
    <t>https://lk.regmed.ru/Register/GetPDFfromDAToken?Token=712b88e8-5bd2-4955-b963-d496b4e78858</t>
  </si>
  <si>
    <r>
      <rPr>
        <u/>
        <sz val="10"/>
        <color rgb="FF1155CC"/>
        <rFont val="Arial"/>
      </rPr>
      <t>http://grls.rosminzdrav.ru/Grls_View_v2.aspx?routingGuid=e3696973-e636-4bc1-8a9d-42508ea757a1&amp;t=
https://grls.rosminzdrav.ru/Grls_View_v2.aspx?routingGuid=522fd231-380e-4abc-a562-f38eb2a801db
https://grls.rosminzdrav.ru/Grls_View_v2.aspx?routingGuid=32e86091-0622-4dce-aa51-9247900477f9</t>
    </r>
    <r>
      <rPr>
        <u/>
        <sz val="10"/>
        <color rgb="FF1155CC"/>
        <rFont val="Arial"/>
      </rPr>
      <t xml:space="preserve">
</t>
    </r>
    <r>
      <rPr>
        <u/>
        <sz val="10"/>
        <color rgb="FF1155CC"/>
        <rFont val="Arial"/>
      </rPr>
      <t>https://grls.rosminzdrav.ru/Grls_View_v2.aspx?routingGuid=29d4d7af-97b9-4f6d-9b2d-73b52e5c06f6
https://lk.regmed.ru/Register/GetPDFfromDA?ID=1509638211
https://lk.regmed.ru/Register/GetPDFfromDA?ID=1509638231</t>
    </r>
  </si>
  <si>
    <t>MonoVac_Polio</t>
  </si>
  <si>
    <t>https://grls.rosminzdrav.ru/Grls_View_v2.aspx?routingGuid=94cb6422-2bae-41b1-b881-7019bc1e6c88</t>
  </si>
  <si>
    <t>МоноВак полио</t>
  </si>
  <si>
    <t>МоноВак полио тип 2 (Вакцина полиомиелитная пероральная, моновалентная, живая аттенуированная 2 типа)</t>
  </si>
  <si>
    <t>http://grls.rosminzdrav.ru/Grls_View_v2.aspx?routingGuid=e3ab4daa-0aca-47e9-8b48-96b99c77096e&amp;t=
https://grls.rosminzdrav.ru/Grls_View_v2.aspx?routingGuid=400205c6-33cc-46fd-92c6-8ab850bc639d</t>
  </si>
  <si>
    <t>BiVac_Polio</t>
  </si>
  <si>
    <t>https://grls.rosminzdrav.ru/Grls_View_v2.aspx?routingGuid=35f3aeab-53d0-4aa3-b370-016ed06e2330</t>
  </si>
  <si>
    <t>БиВак полио</t>
  </si>
  <si>
    <t>БиВак полио (Вакцина полиомиелитная пероральная, двухвалентная, живая аттенуированная 1, 3 типов)</t>
  </si>
  <si>
    <r>
      <rPr>
        <u/>
        <sz val="10"/>
        <color rgb="FF1155CC"/>
        <rFont val="Arial"/>
      </rPr>
      <t xml:space="preserve">http://grls.rosminzdrav.ru/Grls_View_v2.aspx?routingGuid=aef7142f-ecd9-454b-b8cb-58f9ca7f752f&amp;t=
https://grls.rosminzdrav.ru/Grls_View_v2.aspx?routingGuid=5cb1f1e4-9c80-4be1-b816-427d028c9f95
</t>
    </r>
    <r>
      <rPr>
        <u/>
        <sz val="10"/>
        <color rgb="FF1155CC"/>
        <rFont val="Arial"/>
      </rPr>
      <t xml:space="preserve">https://grls.rosminzdrav.ru/Grls_View_v2.aspx?routingGuid=dc8f7579-e089-4ac2-9211-3b2670e33c76
</t>
    </r>
  </si>
  <si>
    <t>Polymilex</t>
  </si>
  <si>
    <t>https://grls.rosminzdrav.ru/Grls_View_v2.aspx?routingGuid=f91918fb-09b8-4766-8e48-6606a0541073</t>
  </si>
  <si>
    <t>Полимилекс</t>
  </si>
  <si>
    <t>ПОЛИМИЛЕКС® вакцина для профилактики полиомиелита инактивированная</t>
  </si>
  <si>
    <t>http://grls.rosminzdrav.ru/Grls_View_v2.aspx?routingGuid=368521c3-ffe0-427c-9e7e-b3e0530b260b&amp;t=
https://grls.rosminzdrav.ru/Grls_View_v2.aspx?routingGuid=4e478c56 – 77e4-49ba-a746-209737ab662f</t>
  </si>
  <si>
    <t>COCAV</t>
  </si>
  <si>
    <t>https://grls.rosminzdrav.ru/Grls_View_v2.aspx?routingGuid=7da83465-3e51-4a42-99a7-7aff7e64f9e4</t>
  </si>
  <si>
    <t>Кокав</t>
  </si>
  <si>
    <t>КОКАВ Вакцина антирабическая культуральная концентрированная очищенная инактивированная</t>
  </si>
  <si>
    <t>&lt;p&gt;Для постэкспозиционной профилактики, то есть в случае укуса потенциально бешеным животным, противопоказания отсутствуют. В том числе прививка может проводиться беременным, если беременная была укушена животным, которое может быть инфицировано вирусом бешенства.&lt;br&gt;
&lt;br&gt;
Указанные ниже противопоказания относятся к плановой вакцинации лиц, имеющих высокий профессиональный риск заражения бешенством, — ветеринарных работников, егерей, охотников, лесников, лиц, работающих с уличным вирусом бешенства или выполняющих работы по отлову и содержанию животных.&lt;/p&gt;</t>
  </si>
  <si>
    <t>Для постэкспозиционной профилактики, то есть в случае укуса потенциально бешеным животным, противопоказания отсутствуют. В том числе прививка может проводиться беременным, если беременная была укушена животным, которое может быть инфицировано вирусом бешенства.
Указанные ниже противопоказания относятся к плановой вакцинации лиц, имеющих высокий профессиональный риск заражения бешенством, — ветеринарных работников, егерей, охотников, лесников, лиц, работающих с уличным вирусом бешенства или выполняющих работы по отлову и содержанию животных.</t>
  </si>
  <si>
    <t>https://lk.regmed.ru/Register/GetPDFfromDAToken?Token=92b647e6-6e46-4d97-b5db-055d884d1048</t>
  </si>
  <si>
    <t>https://lk.regmed.ru/Register/GetPDFfromDAToken?Token=d3a2ba4c-0ab7-4f72-bada-cdbf545e9964</t>
  </si>
  <si>
    <t>https://grls.rosminzdrav.ru/Grls_View_v2.aspx?routingGuid=3fbed720-7541-47c6-ba18-678e6f65efe9</t>
  </si>
  <si>
    <t>http://grls.rosminzdrav.ru/Grls_View_v2.aspx?routingGuid=de917eb7 – 9b46-453b-bb49-a588ee683192&amp;t=
https://grls.rosminzdrav.ru/Grls_View_v2.aspx?routingGuid=8744c2e9-96ff-4d34-b547-c43d40f6645c
https://grls.rosminzdrav.ru/Grls_View_v2.aspx?routingGuid=3fbed720-7541-47c6-ba18-678e6f65efe9
https://lk.regmed.ru/Register/GetPDFfromDA?ID=1649843881
https://lk.regmed.ru/Register/GetPDFfromDA?ID=1649843891</t>
  </si>
  <si>
    <t>rabies_Chumakov</t>
  </si>
  <si>
    <t>https://grls.rosminzdrav.ru/Grls_View_v2.aspx?routingGuid=91d987ae-568f-4c6b-8623-8abf1ea0cbdc</t>
  </si>
  <si>
    <t>антирабическая (Чумакова)</t>
  </si>
  <si>
    <t>Вакцина антирабическая культуральная концентрированная очищенная инактивированная сухая</t>
  </si>
  <si>
    <t>http://grls.rosminzdrav.ru/Grls_View_v2.aspx?routingGuid=fa3953b4-a836-46cb-84fa-04af871c773f&amp;t=
https://grls.rosminzdrav.ru/Grls_View_v2.aspx?routingGuid=d4c5684e-c17e-4ff7-b95c-cefe70d65da5
https://grls.rosminzdrav.ru/Grls_View_v2.aspx?routingGuid=485c049d-1b8b-4626-9945-f7a0177807db
https://grls.rosminzdrav.ru/Grls_View_v2.aspx?routingGuid=1bbff108-9884-4a0e-9bed-8f37a0ec4e99</t>
  </si>
  <si>
    <t>Rabivac_Vnukovo_32</t>
  </si>
  <si>
    <t>https://grls.rosminzdrav.ru/Grls_View_v2.aspx?routingGuid=e4ffdd5e-89db-479f-b9a3-4aee83beeb8a</t>
  </si>
  <si>
    <t>Рабивак-Внуково-32</t>
  </si>
  <si>
    <t>Рабивак-Внуково-32 Вакцина антирабическая культуральная инактивированная для иммунизации человека</t>
  </si>
  <si>
    <t>https://grls.rosminzdrav.ru/Grls_View_v2.aspx?routingGuid=fdc0478a-afd9-4fb4-b9fd-51277ddd1027</t>
  </si>
  <si>
    <t>RotaTeq</t>
  </si>
  <si>
    <t>https://grls.rosminzdrav.ru/Grls_View_v2.aspx?routingGuid=5a312c4c-479c-463e-85d1-fa7e8990168d</t>
  </si>
  <si>
    <t>РотаТек</t>
  </si>
  <si>
    <t>РотаТек®</t>
  </si>
  <si>
    <t>http://grls.rosminzdrav.ru/Grls_View_v2.aspx?routingGuid=6b6eb6ab-e08f-451b-83af-6529917525e0&amp;t=
https://grls.rosminzdrav.ru/Grls_View_v2.aspx?routingGuid=bdde7917-0e6b-44f1-86ee-6d3838d08a32
https://grls.rosminzdrav.ru/Grls_View_v2.aspx?routingGuid=20c71417-2e14-4301-8f0d-86adf899e2c5</t>
  </si>
  <si>
    <t>rubella_Microgen</t>
  </si>
  <si>
    <t>https://grls.rosminzdrav.ru/Grls_View_v2.aspx?routingGuid=0482f816-63ad-49b9-9b56-808b708f6dab</t>
  </si>
  <si>
    <t>краснушная (Микроген)</t>
  </si>
  <si>
    <t>Вакцина против краснухи культуральная живая</t>
  </si>
  <si>
    <t>https://lk.regmed.ru/Register/GetPDFfromDAToken?Token=861ea14c-5408-419d-bd47-031af580ecf7</t>
  </si>
  <si>
    <t>https://lk.regmed.ru/Register/GetPDFfromDAToken?Token=adbfd269-10a4-4e66-843d-b02b4eb3546f</t>
  </si>
  <si>
    <t>https://grls.rosminzdrav.ru/Grls_View_v2.aspx?routingGuid=e7d9a488-4838-4519-b9b2-7a7c83cac570
https://lk.regmed.ru/Register/GetPDFfromDA?ID=1574035311
https://lk.regmed.ru/Register/GetPDFfromDA?ID=1621077341
https://lk.regmed.ru/Register/GetPDFfromDA?ID=1621077331
https://grls.rosminzdrav.ru/Grls_View_v2.aspx?routingGuid=e7d9a488-4838-4519-b9b2-7a7c83cac570</t>
  </si>
  <si>
    <t>rubella_Serum</t>
  </si>
  <si>
    <t>https://grls.rosminzdrav.ru/Grls_View_v2.aspx?routingGuid=dee8c37b-28f6-45f1-9773-d691d9fb54ae</t>
  </si>
  <si>
    <t>краснушная (Серум Инститьют)</t>
  </si>
  <si>
    <t>Вакцина против краснухи живая аттенуированная</t>
  </si>
  <si>
    <t>AS_Microgen</t>
  </si>
  <si>
    <t>https://grls.rosminzdrav.ru/Grls_View_v2.aspx?routingGuid=640af3c6-436c-47e2-a2cb-8cfff245452f</t>
  </si>
  <si>
    <t>Анатоксин столбнячный (Микроген)</t>
  </si>
  <si>
    <t>Анатоксин столбнячный очищенный адсорбированный жидкий (АС-анатоксин)</t>
  </si>
  <si>
    <t>&lt;p&gt;Анатоксин противопоказан только в первую половину беременности. Во вторую половину беременности введение анатоксина возможно.&lt;/p&gt;</t>
  </si>
  <si>
    <t>Анатоксин противопоказан только в первую половину беременности. Во вторую половину беременности введение анатоксина возможно.</t>
  </si>
  <si>
    <t>https://grls.rosminzdrav.ru/Grls_View_v2.aspx?routingGuid=f3397dc1-d0e3-472a-975a-f988a9b4b549</t>
  </si>
  <si>
    <t>http://grls.rosminzdrav.ru/Grls_View_v2.aspx?routingGuid=c8239b79-bc3e-435f-a7e7-3fdc63171bd6&amp;t=
https://grls.rosminzdrav.ru/Grls_View_v2.aspx?routingGuid=33a12605-0c27-4bd0-938c-de686230b880
https://grls.rosminzdrav.ru/Grls_View_v2.aspx?routingGuid=f3397dc1-d0e3-472a-975a-f988a9b4b549
https://lk.regmed.ru/Register/GetPDFfromDA?ID=1597558331
https://lk.regmed.ru/Register/GetPDFfromDA?ID=1597558341
https://grls.rosminzdrav.ru/Grls_View_v2.aspx?routingGuid=f3397dc1-d0e3-472a-975a-f988a9b4b549</t>
  </si>
  <si>
    <t>AS_Biomed</t>
  </si>
  <si>
    <t>https://grls.rosminzdrav.ru/Grls_View_v2.aspx?routingGuid=e46d0e09-a66e-402e-8777-b446fa489d1c</t>
  </si>
  <si>
    <t>Анатоксин столбнячный (Биомед)</t>
  </si>
  <si>
    <t>https://grls.rosminzdrav.ru/Grls_View_v2.aspx?routingGuid=efdeae15-37e3-4ec2-bdef-9e98fdbd8846</t>
  </si>
  <si>
    <t>Vaqta_25</t>
  </si>
  <si>
    <t>https://grls.rosminzdrav.ru/Grls_View_v2.aspx?routingGuid=2d805292-2bee-4665-b4ef-a466b3e3bc8f</t>
  </si>
  <si>
    <t>Вакта 25</t>
  </si>
  <si>
    <t>Вакта®</t>
  </si>
  <si>
    <t>http://grls.rosminzdrav.ru/Grls_View_v2.aspx?routingGuid=e2729daf-b6bd-46e1-9860-a1e798ffdb95&amp;t=</t>
  </si>
  <si>
    <t>Vaqta_50</t>
  </si>
  <si>
    <t>Вакта 50</t>
  </si>
  <si>
    <t>Klesh_E_Vac_0_5</t>
  </si>
  <si>
    <t>https://grls.rosminzdrav.ru/Grls_View_v2.aspx?routingGuid=708a5616-61d3-4695-a4cb-2e78bcfca33b</t>
  </si>
  <si>
    <t>Клещ-Э-Вак 0,5</t>
  </si>
  <si>
    <t>Клещ-Э-Вак (Вакцина клещевого энцефалита культуральная очищенная концентрированная инактивированная сорбированная)</t>
  </si>
  <si>
    <t>https://grls.rosminzdrav.ru/Grls_View_v2.aspx?routingGuid=245ee300-7d64-4000-ab8b-ded51091a060</t>
  </si>
  <si>
    <r>
      <rPr>
        <u/>
        <sz val="10"/>
        <color rgb="FF1155CC"/>
        <rFont val="Arial"/>
      </rPr>
      <t xml:space="preserve">http://grls.rosminzdrav.ru/Grls_View_v2.aspx?routingGuid=fba2bb4d-f934-460c-b318-dad8525f8cd6&amp;t=
https://grls.rosminzdrav.ru/Grls_View_v2.aspx?routingGuid=80b33204-fa6e-445b-95d7-e8679b50536d
https://grls.rosminzdrav.ru/Grls_View_v2.aspx?routingGuid=245ee300-7d64-4000-ab8b-ded51091a060
</t>
    </r>
    <r>
      <rPr>
        <u/>
        <sz val="10"/>
        <color rgb="FF1155CC"/>
        <rFont val="Arial"/>
      </rPr>
      <t xml:space="preserve">https://grls.rosminzdrav.ru/Grls_View_v2.aspx?routingGuid=4d82f537-a6f0-4a51-a9d5-4a215a7bf663
</t>
    </r>
  </si>
  <si>
    <t>Klesh_E_Vac_0_25</t>
  </si>
  <si>
    <t>Клещ-Э-Вак 0,25</t>
  </si>
  <si>
    <r>
      <rPr>
        <u/>
        <sz val="10"/>
        <color rgb="FF1155CC"/>
        <rFont val="Arial"/>
      </rPr>
      <t xml:space="preserve">http://grls.rosminzdrav.ru/Grls_View_v2.aspx?routingGuid=fba2bb4d-f934-460c-b318-dad8525f8cd6&amp;t=
https://grls.rosminzdrav.ru/Grls_View_v2.aspx?routingGuid=80b33204-fa6e-445b-95d7-e8679b50536d
https://grls.rosminzdrav.ru/Grls_View_v2.aspx?routingGuid=245ee300-7d64-4000-ab8b-ded51091a060
</t>
    </r>
    <r>
      <rPr>
        <u/>
        <sz val="10"/>
        <color rgb="FF1155CC"/>
        <rFont val="Arial"/>
      </rPr>
      <t xml:space="preserve">https://grls.rosminzdrav.ru/Grls_View_v2.aspx?routingGuid=4d82f537-a6f0-4a51-a9d5-4a215a7bf663
</t>
    </r>
  </si>
  <si>
    <t>EnceVir_0_5</t>
  </si>
  <si>
    <t>https://grls.rosminzdrav.ru/Grls_View_v2.aspx?routingGuid=9ea2867c-ced6-45dd-bf78-db44e14fd708</t>
  </si>
  <si>
    <t>ЭнцеВир</t>
  </si>
  <si>
    <t>ЭнцеВир® Вакцина клещевого энцефалита культуральная очищенная концентрированная инактивированная сорбированная</t>
  </si>
  <si>
    <t>https://lk.regmed.ru/Register/GetPDFfromDAToken?Token=1f268f03-9b1c-4d7b-9599-88099428d00f</t>
  </si>
  <si>
    <t>https://lk.regmed.ru/Register/GetPDFfromDAToken?Token=e9c994dc-e4ae-4196-9018-5e51b545e040</t>
  </si>
  <si>
    <t>https://grls.rosminzdrav.ru/Grls_View_v2.aspx?routingGuid=9702f069-1e9e-45d6-b8c9-dfa602227867</t>
  </si>
  <si>
    <r>
      <rPr>
        <u/>
        <sz val="10"/>
        <color rgb="FF1155CC"/>
        <rFont val="Arial"/>
      </rPr>
      <t>http://grls.rosminzdrav.ru/Grls_View_v2.aspx?routingGuid=b015b822-3621-47b5-a28b-f3fcb1be3e29&amp;t=</t>
    </r>
    <r>
      <rPr>
        <u/>
        <sz val="10"/>
        <color rgb="FF1155CC"/>
        <rFont val="Arial"/>
      </rPr>
      <t xml:space="preserve">
</t>
    </r>
    <r>
      <rPr>
        <u/>
        <sz val="10"/>
        <color rgb="FF1155CC"/>
        <rFont val="Arial"/>
      </rPr>
      <t>https://grls.rosminzdrav.ru/Grls_View_v2.aspx?routingGuid=9702f069-1e9e-45d6-b8c9-dfa602227867
https://lk.regmed.ru/Register/GetPDFfromDA?ID=1498623391
https://lk.regmed.ru/Register/GetPDFfromDA?ID=1607784571
https://lk.regmed.ru/Register/GetPDFfromDA?ID=1607784561
https://grls.rosminzdrav.ru/Grls_View_v2.aspx?routingGuid=6d6ef607-d867-4bfe-bed0-e407bbed6085</t>
    </r>
  </si>
  <si>
    <t>EnceVir_Neo_kids</t>
  </si>
  <si>
    <t>https://grls.rosminzdrav.ru/Grls_View_v2.aspx?routingGuid=c2615365-07f8-416b-be71-d3e983cb1eb3</t>
  </si>
  <si>
    <t>ЭнцеВир Нео детский</t>
  </si>
  <si>
    <t>ЭнцеВир® Нео детский (Вакцина клещевого энцефалита культуральная очищенная концентрированная инактивированная сорбированная)</t>
  </si>
  <si>
    <t>https://lk.regmed.ru/Register/GetPDFfromDAToken?Token=5a727ed4-b3cb-4f35-8c47-cdc269e90fed</t>
  </si>
  <si>
    <t>https://lk.regmed.ru/Register/GetPDFfromDAToken?Token=14eebaad-2e05-4a98-9cb4-66fbe0d85f28</t>
  </si>
  <si>
    <t>https://grls.rosminzdrav.ru/Grls_View_v2.aspx?routingGuid=69534cbd-1ff0-4210-8fa1-3ed6ab7564ac</t>
  </si>
  <si>
    <r>
      <rPr>
        <u/>
        <sz val="10"/>
        <color rgb="FF1155CC"/>
        <rFont val="Arial"/>
      </rPr>
      <t>http://grls.rosminzdrav.ru/Grls_View_v2.aspx?routingGuid=dfd84eba-8612-49fd-a32e-b83d21643d56&amp;t=
https://grls.rosminzdrav.ru/Grls_View_v2.aspx?routingGuid=69534cbd-1ff0-4210-8fa1-3ed6ab7564ac</t>
    </r>
    <r>
      <rPr>
        <u/>
        <sz val="10"/>
        <color rgb="FF1155CC"/>
        <rFont val="Arial"/>
      </rPr>
      <t xml:space="preserve">
</t>
    </r>
    <r>
      <rPr>
        <u/>
        <sz val="10"/>
        <color rgb="FF1155CC"/>
        <rFont val="Arial"/>
      </rPr>
      <t>https://grls.rosminzdrav.ru/Grls_View_v2.aspx?routingGuid=0d453064-33d0-4577-bee5-ce36095de060
https://lk.regmed.ru/Register/GetPDFfromDA?ID=1448810831
https://lk.regmed.ru/Register/GetPDFfromDA?ID=1609919901
https://lk.regmed.ru/Register/GetPDFfromDA?ID=1609919911
https://grls.rosminzdrav.ru/Grls_View_v2.aspx?routingGuid=0d453064-33d0-4577-bee5-ce36095de060</t>
    </r>
  </si>
  <si>
    <t>TBE_Chumakov_lyo</t>
  </si>
  <si>
    <t>https://grls.rosminzdrav.ru/Grls_View_v2.aspx?routingGuid=69bf2722-aa8e-4374-a63b-c2e0fd5da7cd</t>
  </si>
  <si>
    <t>клещевого энцефалита (Чумакова)</t>
  </si>
  <si>
    <t>Вакцина клещевого энцефалита культуральная очищенная концентрированная инактивированная сухая</t>
  </si>
  <si>
    <t>https://lk.regmed.ru/Register/GetPDFfromDAToken?Token=2516e721-6e26-4b63-bc37-7163e862ca17</t>
  </si>
  <si>
    <t>https://lk.regmed.ru/Register/GetPDFfromDAToken?Token=295e328d-3b30-4202-920f-eb247e014d71</t>
  </si>
  <si>
    <t>http://grls.rosminzdrav.ru/Grls_View_v2.aspx?routingGuid=0760d6c3 – 49ad-4187 – 9036-5a690d19e861&amp;t=
https://grls.rosminzdrav.ru/Grls_View_v2.aspx?routingGuid=eb87c775-0842-4be2-bfed-f822cdd39a3b
https://grls.rosminzdrav.ru/Grls_View_v2.aspx?routingGuid=eb87c775-0842-4be2-bfed-f822cdd39a3b
https://grls.rosminzdrav.ru/Grls_View_v2.aspx?routingGuid=48aa0e31-2ad9-4072-8261-154769e437ef</t>
  </si>
  <si>
    <t>Varilrix</t>
  </si>
  <si>
    <t>https://grls.rosminzdrav.ru/Grls_View_v2.aspx?routingGuid=cf5179f1-d6f7-4a8b-9251-28065290b167</t>
  </si>
  <si>
    <t>Варилрикс</t>
  </si>
  <si>
    <t>Варилрикс® (Вакцина против ветряной оспы живая аттенуированная)</t>
  </si>
  <si>
    <t>&lt;p&gt;&lt;ul&gt;&lt;li&gt;Плановая профилактика ветряной оспы, в том числе у лиц с повышенным риском тяжелого и осложненного течения ветряной оспы;&lt;/li&gt;
&lt;li&gt;плановая профилактика ветряной оспы у здорового окружения лиц, отнесенных к группам риска;&lt;/li&gt;
&lt;li&gt;экстренная профилактика ветряной оспы в течение 72&amp;nbsp;часов с момента контакта с больным ветряной оспой.&lt;/li&gt;&lt;/ul&gt;&lt;/p&gt;</t>
  </si>
  <si>
    <t>• Плановая профилактика ветряной оспы, в том числе у лиц с повышенным риском тяжелого и осложненного течения ветряной оспы;
• плановая профилактика ветряной оспы у здорового окружения лиц, отнесенных к группам риска;
• экстренная профилактика ветряной оспы в течение 72 часов с момента контакта с больным ветряной оспой.</t>
  </si>
  <si>
    <t>https://lk.regmed.ru/Register/GetPDFfromDAToken?Token=0cff0d2a-3085-4425-a8d9-40621446b45c</t>
  </si>
  <si>
    <t>https://lk.regmed.ru/Register/GetPDFfromDAToken?Token=60bf52c4-1cf3-491f-95c7-1443f70310fe</t>
  </si>
  <si>
    <t>https://grls.rosminzdrav.ru/Grls_View_v2.aspx?routingGuid=a4eb2ebc-3815-42d3-b335-960b32db498b</t>
  </si>
  <si>
    <r>
      <rPr>
        <u/>
        <sz val="10"/>
        <color rgb="FF1155CC"/>
        <rFont val="Arial"/>
      </rPr>
      <t xml:space="preserve">http://grls.rosminzdrav.ru/Grls_View_v2.aspx?routingGuid=00437fd1-ba5c-4f78-8b06-e8e57dc373f6&amp;t=
https://grls.rosminzdrav.ru/Grls_View_v2.aspx?routingGuid=b8eef4c9-1095-483d-9adf-8986d099a434&amp;t=
https://grls.rosminzdrav.ru/Grls_View_v2.aspx?routingGuid=75f8e7c0-e43a-499b-8353-d460ba2db123
</t>
    </r>
    <r>
      <rPr>
        <u/>
        <sz val="10"/>
        <color rgb="FF1155CC"/>
        <rFont val="Arial"/>
      </rPr>
      <t>https://grls.rosminzdrav.ru/Grls_View_v2.aspx?routingGuid=d45dfeef-25f0-48a2-8913-bd6f2593fc47
https://grls.rosminzdrav.ru/Grls_View_v2.aspx?routingGuid=5fa2f190-cb0c-4092-828c-b1ecb66ac0c9
https://lk.regmed.ru/Register/GetPDFfromDA?ID=1590558311
https://lk.regmed.ru/Register/GetPDFfromDA?ID=1590558321
https://grls.rosminzdrav.ru/Grls_View_v2.aspx?routingGuid=009bdf5c-019d-4756-b09a-8f33d379a82c
https://grls.rosminzdrav.ru/Grls_View_v2.aspx?routingGuid=a301ef1c-ce81-4f58-8f58-15c069f1bbdc</t>
    </r>
  </si>
  <si>
    <t>YF_Chumakov_lyo</t>
  </si>
  <si>
    <t>https://grls.rosminzdrav.ru/Grls_View_v2.aspx?routingGuid=a0eece39-1af9-4420-be24-7ff034677feb</t>
  </si>
  <si>
    <t>желтой лихорадки</t>
  </si>
  <si>
    <t>Вакцина желтой лихорадки живая сухая</t>
  </si>
  <si>
    <t>&lt;p&gt;Профилактика желтой лихорадки у детей с 9-месячного возраста и взрослых, направляющихся, проезжающих, или проживающих в регионах, в которых регистрируется заболеваемость желтой лихорадкой; у лиц, направляющихся в страну, въезд в которую требует наличия международного свидетельства о вакцинации; а также у лиц, работающих с живыми культурами возбудителя желтой лихорадки.&lt;/p&gt;</t>
  </si>
  <si>
    <t>Профилактика желтой лихорадки у детей с 9-месячного возраста и взрослых, направляющихся, проезжающих, или проживающих в регионах, в которых регистрируется заболеваемость желтой лихорадкой; у лиц, направляющихся в страну, въезд в которую требует наличия международного свидетельства о вакцинации; а также у лиц, работающих с живыми культурами возбудителя желтой лихорадки.</t>
  </si>
  <si>
    <t>http://grls.rosminzdrav.ru/Grls_View_v2.aspx?routingGuid=6f07494f-792b-4a67-a25b-2c4b1c6afbe0&amp;t=
https://grls.rosminzdrav.ru/Grls_View_v2.aspx?routingGuid=e67ca0ff-f237-4f88-98a3-1baf9ecd4cef
https://grls.rosminzdrav.ru/Grls_View_v2.aspx?routingGuid=01ebf2bb-9158-470c-b8b8-d141a757ec46</t>
  </si>
  <si>
    <t>tularemia_Microgen</t>
  </si>
  <si>
    <t>https://grls.rosminzdrav.ru/Grls_View_v2.aspx?routingGuid=1f496df2-7c22-4ddc-8980-da1023a88a35</t>
  </si>
  <si>
    <t>туляремийная</t>
  </si>
  <si>
    <t>Вакцина туляремийная живая</t>
  </si>
  <si>
    <t>&lt;p&gt;Прививкам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населения.&lt;/p&gt;</t>
  </si>
  <si>
    <t>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t>
  </si>
  <si>
    <t>https://lk.regmed.ru/Register/GetPDFfromDAToken?Token=ec8dbc07-4048-4803-b294-939328173382</t>
  </si>
  <si>
    <t>https://lk.regmed.ru/Register/GetPDFfromDAToken?Token=57130d1c-3dc2-4727-bfc6-85009a2c893a</t>
  </si>
  <si>
    <t>https://grls.rosminzdrav.ru/Grls_View_v2.aspx?routingGuid=91324daa-ff4a-4519-8513-0f5d89103116</t>
  </si>
  <si>
    <t>http://grls.rosminzdrav.ru/Grls_View_v2.aspx?routingGuid=36bc288f-5bfc-4c4c-a748-b68aefafeba1&amp;t=
https://grls.rosminzdrav.ru/Grls_View_v2.aspx?routingGuid=087c5f71-676f-4a3d-8dbd-c6c98cd0f0a5
https://lk.regmed.ru/Register/GetPDFfromDA?ID=1626767261
https://lk.regmed.ru/Register/GetPDFfromDA?ID=1626767251</t>
  </si>
  <si>
    <t>plague_molecular_lyo_RPN</t>
  </si>
  <si>
    <t>https://grls.rosminzdrav.ru/Grls_View_v2.aspx?routingGuid=d4e26cea-321e-489e-90b0-10674ba3eaf9</t>
  </si>
  <si>
    <t>чумная микроинкапсулированная</t>
  </si>
  <si>
    <t>Вакцина чумная молекулярная микроинкапсулированная (ВЧММ)</t>
  </si>
  <si>
    <t>http://grls.rosminzdrav.ru/Grls_View_v2.aspx?routingGuid=0358c243-78a1-4df6-8df2-bcef660d17f3&amp;t=
https://grls.rosminzdrav.ru/Grls_View_v2.aspx?routingGuid=2bfc32c6-d422-4615-a249-925c37c9bba7</t>
  </si>
  <si>
    <t>plague_live_lyo_48_NII_Minoborony</t>
  </si>
  <si>
    <t>https://grls.rosminzdrav.ru/Grls_View_v2.aspx?routingGuid=0962362a-d8cb-4c53-b4f2-43cc75eea35f</t>
  </si>
  <si>
    <t>чумная (лиофилизат, 48 НИИ)</t>
  </si>
  <si>
    <t>Вакцина чумная живая</t>
  </si>
  <si>
    <t>plague_live_tablets_48_NII_Minoborony</t>
  </si>
  <si>
    <t>https://grls.rosminzdrav.ru/Grls_View_v2.aspx?routingGuid=37890f2a-f963 – 4c4a-a9fc-d7738025bf49</t>
  </si>
  <si>
    <t>чумная (таблетки, 48 НИИ)</t>
  </si>
  <si>
    <t>https://grls.rosminzdrav.ru/Grls_View_v2.aspx?routingGuid=37890f2a-f963-4c4a-a9fc-d7738025bf49</t>
  </si>
  <si>
    <t>plague_live_lyo_RPN</t>
  </si>
  <si>
    <t>https://grls.rosminzdrav.ru/Grls_View_v2.aspx?routingGuid=a55e6d43-fef5-4c3d-af16-a15f6b065685</t>
  </si>
  <si>
    <t>чумная (лиофилизат, НИИ РПН)</t>
  </si>
  <si>
    <t>http://grls.rosminzdrav.ru/Grls_View_v2.aspx?routingGuid=37474124-8d9f-4196-99ab-6a0bd063d777&amp;t=</t>
  </si>
  <si>
    <t>brucellosis_therapeutic_48_NII_Minoborony</t>
  </si>
  <si>
    <t>https://grls.rosminzdrav.ru/Grls_View_v2.aspx?routingGuid=7da2f9f3 – 53a6-4cbe-9eae-65a3d0bed21b</t>
  </si>
  <si>
    <t>бруцеллезная (лечебная)</t>
  </si>
  <si>
    <t>Вакцина бруцеллезная инактивированная лечебная</t>
  </si>
  <si>
    <t>https://grls.rosminzdrav.ru/Grls_View_v2.aspx?routingGuid=7da2f9f3-53a6-4cbe-9eae-65a3d0bed21b</t>
  </si>
  <si>
    <t>brucellosis_prophylactic_Microgen</t>
  </si>
  <si>
    <t>https://grls.rosminzdrav.ru/Grls_View_v2.aspx?routingGuid=41231e71-613c-4a24-ab98-462b5d95f938</t>
  </si>
  <si>
    <t>бруцеллезная (профилактическая)</t>
  </si>
  <si>
    <t>Вакцина бруцеллезная живая</t>
  </si>
  <si>
    <t>https://lk.regmed.ru/Register/GetPDFfromDAToken?Token=bbb42574-93e7-4e33-91ef-666773d1f867</t>
  </si>
  <si>
    <t>https://lk.regmed.ru/Register/GetPDFfromDAToken?Token=2ee8485e-7a43-4e4b-89e5-47703a28d58a</t>
  </si>
  <si>
    <t>http://grls.rosminzdrav.ru/Grls_View_v2.aspx?routingGuid=2116d9c4-05b6-4d24-80cf-d438d2ed4e0e&amp;t=
https://grls.rosminzdrav.ru/Grls_View_v2.aspx?routingGuid=af63196a-a228-460c-8e32-0a3e6e1838ad
https://grls.rosminzdrav.ru/Grls_View_v2.aspx?routingGuid=b5609cfe-f7fd-455b-b30e-6f795aa4a55f</t>
  </si>
  <si>
    <t>anthrax_live_48_NII_Minoborony</t>
  </si>
  <si>
    <t>https://grls.rosminzdrav.ru/Grls_View_v2.aspx?routingGuid=d7622abd-8b68-42cc-aeb2-08d107689bbc</t>
  </si>
  <si>
    <t>сибиреязвенная</t>
  </si>
  <si>
    <t>Вакцина сибиреязвенная живая</t>
  </si>
  <si>
    <t>&lt;p&gt;Подлежат обязательной вакцинации:
&lt;ul&gt;&lt;li&gt;Лица,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или подозрительным на инфицирование возбудителем сибирской язвы.&lt;/li&gt;
&lt;li&gt;Лица, профессионально занятые содержанием скота, а также производящие убой скота, занятые заготовкой, сбором, хранением, транспортировкой, переработкой и реализацией сырья животного происхождения.&lt;/li&gt;
&lt;li&gt;Лица, выполняющие сельскохозяйственные, гидромелиоративные, строительные, по выемке и перемещению грунта, заготовительные, промысловые, геологические, изыскательские, экспедиционные на энзоотичных по сибирской язве территориях.&lt;/ul&gt;&lt;/p&gt;</t>
  </si>
  <si>
    <t>Подлежат обязательной вакцинации: 
• 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или подозрительным на инфицирование возбудителем сибирской язвы.
• Лица, профессионально занятые содержанием скота, а также производящие убой скота, занятые заготовкой, сбором, хранением, транспортировкой, переработкой и реализацией сырья животного происхождения.
• Лица, выполняющие сельскохозяйственные, гидромелиоративные, строительные, по выемке и перемещению грунта, заготовительные, промысловые, геологические, изыскательские, экспедиционные на энзоотичных по сибирской язве территориях.</t>
  </si>
  <si>
    <t>anthrax_combined_48_NII_Minoborony</t>
  </si>
  <si>
    <t>https://grls.rosminzdrav.ru/Grls_View_v2.aspx?routingGuid=45ea6a47-5e12-4580-b8ed-b03d229557e4</t>
  </si>
  <si>
    <t>сибиреязвенная комбинированная</t>
  </si>
  <si>
    <t>Вакцина сибиреязвенная комбинированная</t>
  </si>
  <si>
    <t>&lt;p&gt;Плановым прививкам подлежат: 
&lt;ol&gt;&lt;li&gt;Лица,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возбудителем сибирской язвы.&lt;/li&gt;
&lt;li&gt;Лица, производящие убой скота, занятые заготовкой, сбором, хранением, транспортировкой, переработкой и реализацией сырья животного происхождения.&lt;/li&gt;
&lt;li&gt;Лица, выполняющие следующие работы на энзоотичных по сибирской язве территориях: 
&lt;ul&gt;&lt;li&gt;Обслуживание общественного скота.&lt;/li&gt;
&lt;li&gt;Сельскохозяйственные, агро- и гидромелиоративные, строительные и другие работы, связанные с выемкой и перемещением грунта.&lt;/li&gt;
&lt;li&gt;Заготовительные, промысловые, геологические, изыскательные, экспедиционные.&lt;/li&gt;&lt;/ul&gt;&lt;/li&gt;&lt;/ol&gt;&lt;/p&gt;</t>
  </si>
  <si>
    <t>Плановым прививкам подлежат: 
1. 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возбудителем сибирской язвы.
2. Лица, производящие убой скота, занятые заготовкой, сбором, хранением, транспортировкой, переработкой и реализацией сырья животного происхождения.
3. Лица, выполняющие следующие работы на энзоотичных по сибирской язве территориях: 
• Обслуживание общественного скота.
• Сельскохозяйственные, агро- и гидромелиоративные, строительные и другие работы, связанные с выемкой и перемещением грунта.
• Заготовительные, промысловые, геологические, изыскательные, экспедиционные.</t>
  </si>
  <si>
    <t>Rabipur</t>
  </si>
  <si>
    <t>https://grls.rosminzdrav.ru/Grls_View_v2.aspx?routingGuid=b5f5bf28-a50c-46a3-8777-66ad5b7b6870</t>
  </si>
  <si>
    <t>Рабипур</t>
  </si>
  <si>
    <t>Рабипур® (Вакцина антирабическая культуральная очищенная инактивированная)</t>
  </si>
  <si>
    <t>Кайрон Беринг Вакцинс</t>
  </si>
  <si>
    <t>&lt;p&gt;Иммунизация, проводимая в плановом порядке, рекомендована лицам из групп риска инфицирования вирусом бешенства: лицам, работающим с «уличным» вирусом бешенства, ветеринарным работникам, егерям, охотникам, лесникам, лицам, выполняющим работы по отлову и содержанию животных, работникам скотобоен и лабораторий, а также при планировании поездок в эндемичные по бешенству регионы.&lt;/p&gt;</t>
  </si>
  <si>
    <t>Иммунизация, проводимая в плановом порядке, рекомендована лицам из групп риска инфицирования вирусом бешенства: лицам, работающим с «уличным» вирусом бешенства, ветеринарным работникам, егерям, охотникам, лесникам, лицам, выполняющим работы по отлову и содержанию животных, работникам скотобоен и лабораторий, а также при планировании поездок в эндемичные по бешенству регионы.</t>
  </si>
  <si>
    <t>http://grls.rosminzdrav.ru/Grls_View_v2.aspx?routingGuid=0f830a1f-1669-498e-9461-97b3b29333bd&amp;t=</t>
  </si>
  <si>
    <t>leptospirosis_Rostov_NII</t>
  </si>
  <si>
    <t>https://grls.rosminzdrav.ru/Grls_View_v2.aspx?routingGuid=5ef363e0-7cee-48c5-ad35-c352b3fb519e</t>
  </si>
  <si>
    <t>лептоспирозная</t>
  </si>
  <si>
    <t>Вакцина лептоспирозная концентрированная инактивированная жидкая</t>
  </si>
  <si>
    <t>&lt;p&gt;Прививкам подлежат лица, выполняющие следующие работы: 
&lt;ul&gt;&lt;li&gt;По заготовке, хранению, обработке сырья и продуктов животноводства, полученных из хозяйств, расположенных на энзоотических по лептоспирозу территориях.&lt;/li&gt;
&lt;li&gt;По убою скота, больного лептоспирозом, заготовке и переработке мяса и мясопродуктов, полученных от больных лептоспирозом животных.&lt;/li&gt;
&lt;li&gt;По отлову и содержанию безнадзорных животных.&lt;/li&gt;
&lt;li&gt;Работающие с живыми культурами возбудителей лептоспироза.&lt;/li&gt;&lt;/ul&gt;&lt;/p&gt;</t>
  </si>
  <si>
    <t>Прививкам подлежат лица, выполняющие следующие работы: 
• По заготовке, хранению, обработке сырья и продуктов животноводства, полученных из хозяйств, расположенных на энзоотических по лептоспирозу территориях.
• По убою скота, больного лептоспирозом, заготовке и переработке мяса и мясопродуктов, полученных от больных лептоспирозом животных.
• По отлову и содержанию безнадзорных животных.
• Работающие с живыми культурами возбудителей лептоспироза.</t>
  </si>
  <si>
    <t>https://grls.rosminzdrav.ru/Grls_View_v2.aspx?routingGuid=8ac9b405-1c58-4a70-bda8-033c7966fd4d</t>
  </si>
  <si>
    <t>Q_fever_M_44_Microgen</t>
  </si>
  <si>
    <t>https://grls.rosminzdrav.ru/Grls_View_v2.aspx?routingGuid=62187342-c256-42fb-8419-8f916294db89</t>
  </si>
  <si>
    <t>Ку-лихорадки</t>
  </si>
  <si>
    <t>Вакцина Ку-лихорадки М-44 живая (Вакцина Ку-лихорадки М-44)</t>
  </si>
  <si>
    <t>https://lk.regmed.ru/Register/GetPDFfromDAToken?Token=6d636ac5-7688-499c-b16b-bff4c5285c1a</t>
  </si>
  <si>
    <t>https://lk.regmed.ru/Register/GetPDFfromDAToken?Token=c2b7dbca-7236-4aa8-be60-8c042331a880</t>
  </si>
  <si>
    <t>http://grls.rosminzdrav.ru/Grls_View_v2.aspx?routingGuid=b8526b31-c6bb-4bc1-966f-5c85550cee41&amp;t=
https://grls.rosminzdrav.ru/Grls_View_v2.aspx?routingGuid=a8444b14-22c7-466e-90e0-d8ab9e9942b9
http://grls.rosminzdrav.ru/Grls_View_v2.aspx?routingGuid=b8526b31-c6bb-4bc1-966f-5c85550cee41&amp;t=
https://grls.rosminzdrav.ru/Grls_View_v2.aspx?routingGuid=9d6bca2e-ec70-4ccb-bc18-aae81abfc820
https://lk.regmed.ru/Register/GetPDFfromDA?ID=1448785121
https://lk.regmed.ru/Register/GetPDFfromDA?ID=1448785111</t>
  </si>
  <si>
    <t>cholera_NII_Microb</t>
  </si>
  <si>
    <t>https://grls.rosminzdrav.ru/Grls_View_v2.aspx?routingGuid=c27afa22-136b-4a31-96c0-fa7b3d7357f4</t>
  </si>
  <si>
    <t>холерная</t>
  </si>
  <si>
    <t>Вакцина холерная бивалентная химическая</t>
  </si>
  <si>
    <t>http://grls.rosminzdrav.ru/Grls_View_v2.aspx?routingGuid=2bad86b1-6c60-4df8-9f0b-e3bbc2d0aed4&amp;t=
https://grls.rosminzdrav.ru/Grls_View_v2.aspx?routingGuid=c27afa22-136b-4a31-96c0-fa7b3d7357f4
https://grls.rosminzdrav.ru/Grls_View_v2.aspx?routingGuid=23a4f1ff-bfe0-46fb-b9cc-800092325aaf</t>
  </si>
  <si>
    <t>Vianvac</t>
  </si>
  <si>
    <t>https://grls.rosminzdrav.ru/Grls_View_v2.aspx?routingGuid=fdfbbbec-8dee-4615-b7eb-26968c926dbf</t>
  </si>
  <si>
    <t>Вианвак</t>
  </si>
  <si>
    <t>ВИАНВАК® (Вакцина брюшнотифозная Ви-полисахаридная)</t>
  </si>
  <si>
    <r>
      <rPr>
        <u/>
        <sz val="10"/>
        <color rgb="FF1155CC"/>
        <rFont val="Arial"/>
      </rPr>
      <t xml:space="preserve">http://grls.rosminzdrav.ru/Grls_View_v2.aspx?routingGuid=3e6672e6-b148-4ea7-a3ec-d95072a55562&amp;t=
https://grls.rosminzdrav.ru/Grls_View_v2.aspx?routingGuid=51ab849d-8edb-4ef3-819a-2a9807b63a14
</t>
    </r>
    <r>
      <rPr>
        <u/>
        <sz val="10"/>
        <color rgb="FF1155CC"/>
        <rFont val="Arial"/>
      </rPr>
      <t xml:space="preserve">https://grls.rosminzdrav.ru/Grls_View_v2.aspx?routingGuid=76c87b45-b6ce-477c-97ea-019809d8e9e4
</t>
    </r>
  </si>
  <si>
    <t>Typhivac</t>
  </si>
  <si>
    <t>https://grls.rosminzdrav.ru/Grls_View_v2.aspx?routingGuid=0544ac02-95bc-4db8-8c03-e56ad7882e51</t>
  </si>
  <si>
    <t>Тифивак</t>
  </si>
  <si>
    <t>Тифивак (Вакцина брюшнотифозная спиртовая)</t>
  </si>
  <si>
    <t>https://grls.rosminzdrav.ru/Grls_View_v2.aspx?routingGuid=e9aa0be8-7a01-4d82-9e8d-6cce064a2b65&amp;t=</t>
  </si>
  <si>
    <t>Shigellvac</t>
  </si>
  <si>
    <t>https://grls.rosminzdrav.ru/Grls_View_v2.aspx?routingGuid=45faa55d-d1ab-4179-9b8d-7b152e30bfec</t>
  </si>
  <si>
    <t>Шигеллвак</t>
  </si>
  <si>
    <t>Шигеллвак (Вакцина дизентерийная против шигелл Зонне полисахаридная)</t>
  </si>
  <si>
    <r>
      <rPr>
        <u/>
        <sz val="10"/>
        <color rgb="FF1155CC"/>
        <rFont val="Arial"/>
      </rPr>
      <t xml:space="preserve">https://grls.rosminzdrav.ru/Grls_View_v2.aspx?routingGuid=daa1567c-260a-4baf-bc15-9532637374d6&amp;t=
https://grls.rosminzdrav.ru/Grls_View_v2.aspx?routingGuid=a4171a20-3e03-47a3-ab1f-36c63fe1187c
https://grls.rosminzdrav.ru/Grls_View_v2.aspx?routingGuid=320c5d6b-28a9-4d00-953d-d31a51ca500e
</t>
    </r>
    <r>
      <rPr>
        <u/>
        <sz val="10"/>
        <color rgb="FF1155CC"/>
        <rFont val="Arial"/>
      </rPr>
      <t xml:space="preserve">https://grls.rosminzdrav.ru/Grls_View_v2.aspx?routingGuid=9e871f71-9cba-4dd8-a32e-7bb5635a876e
</t>
    </r>
  </si>
  <si>
    <t>CoviVac</t>
  </si>
  <si>
    <t>https://grls.rosminzdrav.ru/Grls_View_v2.aspx?routingGuid=dd8bb917-0073-4bc0-809b-587e89c9a8b0</t>
  </si>
  <si>
    <t>КовиВак</t>
  </si>
  <si>
    <t>КовиВак (Вакцина коронавирусная инактивированная цельновирионная концентрированная очищенная)</t>
  </si>
  <si>
    <t>http://grls.rosminzdrav.ru/Grls_View_v2.aspx?routingGuid=71035dbe-6178-42c0-8d36-aa54e546a65b&amp;t=
https://grls.rosminzdrav.ru/Grls_View_v2.aspx?routingGuid=ea3395fe-7012-45d7 – 94c6-ef826206f61f
https://grls.rosminzdrav.ru/Grls_View_v2.aspx?routingGuid=956ad8ef-fb1c-4652-bec5-137afe7169fa
https://grls.rosminzdrav.ru/Grls_View_v2.aspx?routingGuid=b8dfa2a8-c740-4d19-aeba-a686a18348a3</t>
  </si>
  <si>
    <t>Sputnik_light</t>
  </si>
  <si>
    <t>https://grls.rosminzdrav.ru/Grls_View_v2.aspx?routingGuid=e231ed27-8f9b-48e2-9c90-6d4b5edb2693</t>
  </si>
  <si>
    <t>Спутник Лайт</t>
  </si>
  <si>
    <t>Спутник Лайт Векторная вакцина для профилактики коронавирусной инфекции, вызываемой вирусом SARS-CoV-2</t>
  </si>
  <si>
    <t>https://lk.regmed.ru/Register/GetPDFfromDAToken?Token=50f49d83-55c5-4c3f-95fd-eb87ceb7bbc1</t>
  </si>
  <si>
    <t>https://lk.regmed.ru/Register/GetPDFfromDAToken?Token=ce9023ae-8f18-40b4-87c3-b37e8c580d72</t>
  </si>
  <si>
    <t>https://grls.rosminzdrav.ru/Grls_View_v2.aspx?routingGuid=f8533219-aa8e-4abf-85af-03f5cf67b7de&amp;t=
https://grls.rosminzdrav.ru/Grls_View_v2.aspx?routingGuid=b1a6c581-3c52-4bcd-89e5-9ff444a560ef
https://grls.rosminzdrav.ru/Grls_View_v2.aspx?routingGuid=6ec3a403-0ce9-49f9-a55b-fffb93a25310
https://grls.rosminzdrav.ru/Grls_View_v2.aspx?routingGuid=bed61280-103d-4953-bd62-a42f498f24f0</t>
  </si>
  <si>
    <t>Sputnik_M</t>
  </si>
  <si>
    <t>https://grls.rosminzdrav.ru/Grls_View_v2.aspx?routingGuid=3f429426-417a-42af-8212-54d0f9b4f48a</t>
  </si>
  <si>
    <t>Спутник М</t>
  </si>
  <si>
    <t>Гам-КОВИД-Вак-М Комбинированная векторная вакцина для профилактики коронавирусной инфекции, вызываемой вирусом SARS-CoV-2</t>
  </si>
  <si>
    <t>https://grls.rosminzdrav.ru/Grls_View_v2.aspx?routingGuid=8c0994ff-cbcc-429d-b150-e0cf4404a1ac&amp;t=
https://grls.rosminzdrav.ru/Grls_View_v2.aspx?routingGuid=18926338-7c38-4ccf-b394-4d556b40c602
https://grls.rosminzdrav.ru/Grls_View_v2.aspx?routingGuid=16ad293f-7b40-4643-b107-f5c64026a321</t>
  </si>
  <si>
    <t>Convacel</t>
  </si>
  <si>
    <t>https://grls.rosminzdrav.ru/Grls_View_v2.aspx?routingGuid=f6747520-46db-401c-ac99-b006cfc89abf</t>
  </si>
  <si>
    <t>Конвасэл</t>
  </si>
  <si>
    <t>Конвасэл® Вакцина субъединичная рекомбинантная для профилактики коронавирусной инфекции, вызываемой вирусом SARS-CoV-2</t>
  </si>
  <si>
    <t>https://grls.rosminzdrav.ru/Grls_View_v2.aspx?routingGuid=78dc381a-ed0b-4ebc-a939-78b672f706f0</t>
  </si>
  <si>
    <r>
      <rPr>
        <u/>
        <sz val="10"/>
        <color rgb="FF1155CC"/>
        <rFont val="Arial"/>
      </rPr>
      <t xml:space="preserve">https://grls.rosminzdrav.ru/Grls_View_v2.aspx?routingGuid=6bd9d7fe-4357-44a0-b8c4-f2d9cbaf6176&amp;t=
https://grls.rosminzdrav.ru/Grls_View_v2.aspx?routingGuid=11d8e5d1-2320-46ec-a4aa-c2e63ff45751
https://grls.rosminzdrav.ru/Grls_View_v2.aspx?routingGuid=5d707d03-dc3f-4f67-8060-ed8d0c71bd7a
https://grls.rosminzdrav.ru/Grls_View_v2.aspx?routingGuid=8cd3c3b7-1285-4dfb-abc0-2ec53d022381
</t>
    </r>
    <r>
      <rPr>
        <u/>
        <sz val="10"/>
        <color rgb="FF1155CC"/>
        <rFont val="Arial"/>
      </rPr>
      <t xml:space="preserve">https://grls.rosminzdrav.ru/Grls_View_v2.aspx?routingGuid=78dc381a-ed0b-4ebc-a939-78b672f706f0
</t>
    </r>
  </si>
  <si>
    <t>Aurora</t>
  </si>
  <si>
    <t>https://grls.rosminzdrav.ru/Grls_View_v2.aspx?routingGuid=e674fd41-ea9d-4a0b-9f4b-7f728da76cf0</t>
  </si>
  <si>
    <t>АВРОРА-КоВ</t>
  </si>
  <si>
    <t>АВРОРА-КоВ Вакцина на основе пептидных антигенов для профилактики COVID-19</t>
  </si>
  <si>
    <t>https://grls.rosminzdrav.ru/Grls_View_v2.aspx?routingGuid=def42703-fcd2-477f-98fe-ced5a9ac0ccf</t>
  </si>
  <si>
    <t>https://grls.rosminzdrav.ru/Grls_View_v2.aspx?routingGuid=c80b2c6f-35a1-4d85-91e9-e6c699e85ddc&amp;t=
https://grls.rosminzdrav.ru/Grls_View_v2.aspx?routingGuid=73f9bb84-4526-443a-89d1-c2a821aab4b7
https://grls.rosminzdrav.ru/Grls_View_v2.aspx?routingGuid=b7a2c8d7-8717-4e34-b251-8162b605cbeb</t>
  </si>
  <si>
    <t>Rota_V_Aid</t>
  </si>
  <si>
    <t>https://grls.rosminzdrav.ru/Grls_View_v2.aspx?routingGuid=3e6a77c5-d2ae-4f34-b737-7803e65abe65</t>
  </si>
  <si>
    <t>Рота-V-Эйд</t>
  </si>
  <si>
    <t xml:space="preserve">Рота-V-Эйд® </t>
  </si>
  <si>
    <t>https://lk.regmed.ru/Register/GetPDFfromDAToken?Token=0f30d250-b996-4595-b47d-8966e076423c</t>
  </si>
  <si>
    <t>https://lk.regmed.ru/Register/GetPDFfromDAToken?Token=527e32cb-7614-4bf0-9239-1a2231d3c4c5</t>
  </si>
  <si>
    <t>https://grls.rosminzdrav.ru/Grls_View_v2.aspx?routingGuid=bd0099be-c683-4345-a633-3de57fe08bab</t>
  </si>
  <si>
    <t>https://grls.rosminzdrav.ru/Grls_View_v2.aspx?routingGuid=e0e0ca2f-5129-4f15-8c99-b6e061a95537&amp;t=
https://grls.rosminzdrav.ru/Grls_View_v2.aspx?routingGuid=1fb95f51-b428-42f2-99da-ea96433f3370
https://grls.rosminzdrav.ru/Grls_View_v2.aspx?routingGuid=50003822-e06b-471c-8291-86a8f5287124
https://grls.rosminzdrav.ru/Grls_View_v2.aspx?routingGuid=bd0099be-c683-4345-a633-3de57fe08bab
https://grls.rosminzdrav.ru/Grls_View_v2.aspx?routingGuid=24229572-2447-4089-8215-5b93b8e4c976
https://lk.regmed.ru/Register/GetPDFfromDA?ID=1641359721
https://lk.regmed.ru/Register/GetPDFfromDA?ID=1641359711</t>
  </si>
  <si>
    <t>Hib_Rostov</t>
  </si>
  <si>
    <t>https://grls.rosminzdrav.ru/Grls_View_v2.aspx?routingGuid=8790c6b6-9ab5-4df0-8084-075d18ec2595</t>
  </si>
  <si>
    <t>гемофильная (ростовский НИИ)</t>
  </si>
  <si>
    <t>Вакцина гемофильная тип b конъюгированная</t>
  </si>
  <si>
    <t>ФБУН "Ростовский научно-исследовательский институт микробиологии и паразитологии"</t>
  </si>
  <si>
    <t>HepB_Combiotech_1_0</t>
  </si>
  <si>
    <t>гепатита B (Комбиотех) взрослая</t>
  </si>
  <si>
    <t>Regevac_1_0</t>
  </si>
  <si>
    <t>Регевак взрослый</t>
  </si>
  <si>
    <r>
      <rPr>
        <u/>
        <sz val="10"/>
        <color rgb="FF1155CC"/>
        <rFont val="Arial"/>
      </rPr>
      <t>http://grls.rosminzdrav.ru/Grls_View_v2.aspx?routingGuid=accc9e6e-21d3 – 4b43-8eb4-65d0bf807a6a&amp;t=</t>
    </r>
    <r>
      <rPr>
        <u/>
        <sz val="10"/>
        <color rgb="FF1155CC"/>
        <rFont val="Arial"/>
      </rPr>
      <t xml:space="preserve">
</t>
    </r>
    <r>
      <rPr>
        <u/>
        <sz val="10"/>
        <color rgb="FF1155CC"/>
        <rFont val="Arial"/>
      </rPr>
      <t xml:space="preserve">https://grls.rosminzdrav.ru/Grls_View_v2.aspx?routingGuid=7bf6a88b-0ee8-48d7-afe3-7585739a9aaf
https://lk.regmed.ru/Register/GetPDFfromDA?ID=1520916731
https://lk.regmed.ru/Register/GetPDFfromDA?ID=1520916701
https://grls.rosminzdrav.ru/Grls_View_v2.aspx?routingGuid=14a2c7d0-b44c-4e6b-b921-dde554eca629
</t>
    </r>
    <r>
      <rPr>
        <u/>
        <sz val="10"/>
        <color rgb="FF1155CC"/>
        <rFont val="Arial"/>
      </rPr>
      <t xml:space="preserve">https://grls.rosminzdrav.ru/Grls_View_v2.aspx?routingGuid=7b2a598f-1146-475f-9678-bf4c14e2523a
</t>
    </r>
  </si>
  <si>
    <t>Priorix_Tetra</t>
  </si>
  <si>
    <t>https://grls.rosminzdrav.ru/Grls_View_v2.aspx?routingGuid=c925a572-ac44-4311-b506-0b50d1d43cf7</t>
  </si>
  <si>
    <t>Приорикс Тетра</t>
  </si>
  <si>
    <t>Приорикс-Тетра® (Вакцина против кори, эпидемического паротита, краснухи и ветряной оспы живая аттенуированная)</t>
  </si>
  <si>
    <t>https://lk.regmed.ru/Register/GetPDFfromDAToken?Token=7037708a-d472-4a50-890a-76944cf29ef7</t>
  </si>
  <si>
    <t>https://lk.regmed.ru/Register/GetPDFfromDAToken?Token=b68f5db4-a3af-4ec9-be07-b9fc4583ba4b</t>
  </si>
  <si>
    <t>https://grls.rosminzdrav.ru/Grls_View_v2.aspx?routingGuid=602ae9fc-73ba-4522-a5c6-178cc483e85f</t>
  </si>
  <si>
    <t>https://grls.rosminzdrav.ru/Grls_View_v2.aspx?routingGuid=7d9b29e8-f2f7-45c6-8ee5-2e78011e49af
https://grls.rosminzdrav.ru/Grls_View_v2.aspx?routingGuid=0113ad6d-f802-44df-b63e-195d5706a861
https://grls.rosminzdrav.ru/Grls_View_v2.aspx?routingGuid=f42c2011-78bb-43d0-aa43-e64f35767334
https://lk.regmed.ru/Register/GetPDFfromDA?ID=1596978511
https://lk.regmed.ru/Register/GetPDFfromDA?ID=1596978521</t>
  </si>
  <si>
    <t>Menveo</t>
  </si>
  <si>
    <t>https://grls.rosminzdrav.ru/Grls_View_v2.aspx?routingGuid=5e4345d6-7ca0-45c7-8f39-928c497b5e6e</t>
  </si>
  <si>
    <t>Менвео</t>
  </si>
  <si>
    <t>МЕНВЕО (Вакцина менингококковая олигосахаридная конъюгированная серогрупп ACW135Y)</t>
  </si>
  <si>
    <t>https://grls.rosminzdrav.ru/Grls_View_v2.aspx?routingGuid=4ab0ef2c-197b-47b1-b5d8-910a60b4c5d5
https://grls.rosminzdrav.ru/Grls_View_v2.aspx?routingGuid=28fca18d-4d69-42de-9184-f81010e5abb5</t>
  </si>
  <si>
    <t>Sputnik_intranasal</t>
  </si>
  <si>
    <t>https://grls.rosminzdrav.ru/Grls_View_v2.aspx?routingGuid=256ea028-eb19-4200-8221-512438fbd5ef</t>
  </si>
  <si>
    <t>Спутник V (назальные капли)</t>
  </si>
  <si>
    <t>https://grls.rosminzdrav.ru/Grls_View_v2.aspx?routingGuid=c9b0af9a-2d86-4ad1-8c53-9a0087b6c270&amp;t=
https://grls.rosminzdrav.ru/Grls_View_v2.aspx?routingGuid=5bffdc9b-1427-4380-a560-63f302604bcb</t>
  </si>
  <si>
    <t>Grippol_plus_0_25</t>
  </si>
  <si>
    <t>Гриппол плюс 0,25 мл</t>
  </si>
  <si>
    <t>Гриппол® плюс Вакцина гриппозная тривалентная инактивированная полимер-субъединичная</t>
  </si>
  <si>
    <r>
      <rPr>
        <u/>
        <sz val="10"/>
        <color rgb="FF1155CC"/>
        <rFont val="Arial"/>
      </rPr>
      <t>http://grls.rosminzdrav.ru/Grls_View_v2.aspx?routingGuid=e5e46dca-6622-4d3a-a0cd-349a012a5fc0&amp;t=
https://grls.rosminzdrav.ru/Grls_View_v2.aspx?routingGuid=85b9ac25-4fe7-4433-8cd8-f0b342dd9cf7&amp;t=
https://grls.rosminzdrav.ru/Grls_View_v2.aspx?routingGuid=4427eb1b-4f6c-42f5-9639-cb5f3a09cba2</t>
    </r>
    <r>
      <rPr>
        <u/>
        <sz val="10"/>
        <color rgb="FF1155CC"/>
        <rFont val="Arial"/>
      </rPr>
      <t xml:space="preserve">
</t>
    </r>
    <r>
      <rPr>
        <u/>
        <sz val="10"/>
        <color rgb="FF1155CC"/>
        <rFont val="Arial"/>
      </rPr>
      <t>https://grls.rosminzdrav.ru/Grls_View_v2.aspx?routingGuid=3b219e04-d778-4884-b683-c531afd10243
https://grls.rosminzdrav.ru/InstrImg/2023/09/26/1497492/e385d3ef-3918-4b5f-911b-fd418c787580.pdf
https://lk.regmed.ru/Register/GetPDFfromDA?ID=1512826451
https://lk.regmed.ru/Register/GetPDFfromDA?ID=1599002471
https://lk.regmed.ru/Register/GetPDFfromDA?ID=1599002501
https://grls.rosminzdrav.ru/Grls_View_v2.aspx?routingGuid=9f01a261-d030-46db-82a0-3ab09a958a2e
https://grls.rosminzdrav.ru/Grls_View_v2.aspx?routingGuid=3b219e04-d778-4884-b683-c531afd10243</t>
    </r>
  </si>
  <si>
    <t>Flu_M_Tetra</t>
  </si>
  <si>
    <t>https://grls.rosminzdrav.ru/Grls_View_v2.aspx?routingGuid=0fef3b4e-c5a8-46f5-86d9-dbb6b3ea7f69</t>
  </si>
  <si>
    <t>Флю-М Тетра</t>
  </si>
  <si>
    <t>Флю-М Тетра Вакцина гриппозная четырехвалентная инактивированная расщепленная</t>
  </si>
  <si>
    <t>https://lk.regmed.ru/Register/GetPDFfromDAToken?Token=562428d8-f0bf-4357-ab6b-cd21651ff559</t>
  </si>
  <si>
    <t>https://lk.regmed.ru/Register/GetPDFfromDAToken?Token=27abb41d-81e6-4bab-922d-98bfbb1f3638</t>
  </si>
  <si>
    <t>https://grls.rosminzdrav.ru/Grls_View_v2.aspx?routingGuid=917cfbd3-7c97-4096-ae7a-73075d7d8ff3</t>
  </si>
  <si>
    <t>https://grls.rosminzdrav.ru/Grls_View_v2.aspx?routingGuid=d7b9e544-3399-43a8-9434-f5b503eb14ff&amp;t=
https://grls.rosminzdrav.ru/Grls_View_v2.aspx?routingGuid=bc740984-228e-43f3-9129-5fbaf3b156ce
https://grls.rosminzdrav.ru/Grls_View_v2.aspx?routingGuid=0514a427-aaab-4324-abb3-2e3280986a64
https://grls.rosminzdrav.ru/Grls_View_v2.aspx?routingGuid=917cfbd3-7c97-4096-ae7a-73075d7d8ff3</t>
  </si>
  <si>
    <t>Vaxigrip_Tetra</t>
  </si>
  <si>
    <t>https://grls.rosminzdrav.ru/Grls_View_v2.aspx?routingGuid=9a09ed84-2913-4e23-a93a-ace308eab1dc</t>
  </si>
  <si>
    <t>Ваксигрип Тетра</t>
  </si>
  <si>
    <t>ВаксигрипТетра®</t>
  </si>
  <si>
    <t>https://lk.regmed.ru/Register/GetPDFfromDAToken?Token=2a1a1d19-5cc8-420a-9c43-043ac5ec5115</t>
  </si>
  <si>
    <t>https://lk.regmed.ru/Register/GetPDFfromDAToken?Token=6341b74a-871e-49eb-80ea-bbc454aee8a1</t>
  </si>
  <si>
    <r>
      <rPr>
        <u/>
        <sz val="10"/>
        <color rgb="FF1155CC"/>
        <rFont val="Arial"/>
      </rPr>
      <t>https://grls.rosminzdrav.ru/Grls_View_v2.aspx?routingGuid=7135d5bc-ee0d-49bc-a8ae-b99cfb0a63c7&amp;t=</t>
    </r>
    <r>
      <rPr>
        <u/>
        <sz val="10"/>
        <color rgb="FF1155CC"/>
        <rFont val="Arial"/>
      </rPr>
      <t xml:space="preserve">
</t>
    </r>
    <r>
      <rPr>
        <u/>
        <sz val="10"/>
        <color rgb="FF1155CC"/>
        <rFont val="Arial"/>
      </rPr>
      <t>https://grls.rosminzdrav.ru/Grls_View_v2.aspx?routingGuid=55c98902-e1e9-49a1-b7e9-88a5a2489d67</t>
    </r>
    <r>
      <rPr>
        <u/>
        <sz val="10"/>
        <color rgb="FF1155CC"/>
        <rFont val="Arial"/>
      </rPr>
      <t xml:space="preserve">
https://lk.regmed.ru/Register/GetPDFfromDA?ID=1545562701
https://lk.regmed.ru/Register/GetPDFfromDA?ID=1545562691</t>
    </r>
  </si>
  <si>
    <t>Ocavax</t>
  </si>
  <si>
    <t>https://grls.rosminzdrav.ru/Grls_View_v2.aspx?routingGuid=19de591c-4a02-4e30-9742-fda39270f0da</t>
  </si>
  <si>
    <t>Окавакс</t>
  </si>
  <si>
    <t>Pneumo_23</t>
  </si>
  <si>
    <t>https://grls.rosminzdrav.ru/Grls_View_v2.aspx?routingGuid=da452e8e-dbe3 – 44cd-9f81-03e8f724da4d</t>
  </si>
  <si>
    <t>Пневмо 23</t>
  </si>
  <si>
    <t>Пневмо 23 (вакцина пневмококковая поливалентная полисахаридная)</t>
  </si>
  <si>
    <t>https://grls.rosminzdrav.ru/Grls_View_v2.aspx?routingGuid=da452e8e-dbe3-44cd-9f81-03e8f724da4d</t>
  </si>
  <si>
    <t>https://grls.rosminzdrav.ru/Grls_View_v2.aspx?routingGuid=b3466e77-18e8-4684-9e21-c5cda714ed86</t>
  </si>
  <si>
    <t>Varivax</t>
  </si>
  <si>
    <t>https://grls.rosminzdrav.ru/Grls_View_v2.aspx?routingGuid=171865ce-48a4-4d02-8392-f65717356121</t>
  </si>
  <si>
    <t>Варивакс</t>
  </si>
  <si>
    <t>Варивакс®</t>
  </si>
  <si>
    <t>https://lk.regmed.ru/Register/GetPDFfromDAToken?Token=1a7b0dc3-0d55-4995-9e0a-3a9bc58544df</t>
  </si>
  <si>
    <t>https://lk.regmed.ru/Register/GetPDFfromDAToken?Token=1a0debf3-0fdb-4bcc-ab01-d33c998b1f20</t>
  </si>
  <si>
    <t>https://grls.rosminzdrav.ru/Grls_View_v2.aspx?routingGuid=8ce0c81e-8786-455c-a0df-1c368abb096e
https://lk.regmed.ru/Register/GetPDFfromDA?ID=1497046991
https://lk.regmed.ru/Register/GetPDFfromDA?ID=1497047011</t>
  </si>
  <si>
    <t>Pneumotex</t>
  </si>
  <si>
    <t>https://grls.rosminzdrav.ru/Grls_View_v2.aspx?routingGuid=04423b6b-72c2-40be-8c6c-6114c38d6f55</t>
  </si>
  <si>
    <t>Пнемотекс</t>
  </si>
  <si>
    <t>ПНЕМОТЕКС® (вакцина пневмококковая полисахаридная конъюгированная адсорбированная тринадцативалентная)</t>
  </si>
  <si>
    <t>https://lk.regmed.ru/Register/GetPDFfromDAToken?Token=875d9b63-d6c1-43e7-8c6c-921afc6c274b</t>
  </si>
  <si>
    <t>https://lk.regmed.ru/Register/GetPDFfromDAToken?Token=c868a446-4bff-498e-b019-e9905de20954</t>
  </si>
  <si>
    <t>https://grls.rosminzdrav.ru/Grls_View_v2.aspx?routingGuid=a57652f2-8fc8-4e28-be1f-da12f2505d95</t>
  </si>
  <si>
    <t>https://grls.rosminzdrav.ru/Grls_View_v2.aspx?routingGuid=c41257ee-b3d4-4a93-8763-4cdc7e70cd09
https://grls.rosminzdrav.ru/Grls_View_v2.aspx?routingGuid=95148a6c-470f-4c31-8a32-a641a80e5c6e
https://grls.rosminzdrav.ru/Grls_View_v2.aspx?routingGuid=1be2e8a9-f0a9-4fec-a0c1-dde4ba135da0</t>
  </si>
  <si>
    <t>Priorix</t>
  </si>
  <si>
    <t>https://grls.rosminzdrav.ru/Grls_View_v2.aspx?routingGuid=823b5e3f-1e4d-4be9-b7c7-6acdc77fd788</t>
  </si>
  <si>
    <t>Приорикс</t>
  </si>
  <si>
    <t>Приорикс® (Вакцина против кори, паротита и краснухи живая культуральная)</t>
  </si>
  <si>
    <t>https://grls.rosminzdrav.ru/Grls_View_v2.aspx?routingGuid=b1d7deaa-0d44-46b4-bbf6-6efcf4f8df7a
https://grls.rosminzdrav.ru/Grls_View_v2.aspx?routingGuid=e1a8f7c8-9b1c-4245-9c20-9fe8e54ba1ad</t>
  </si>
  <si>
    <t>MenQuadfi</t>
  </si>
  <si>
    <t>https://grls.rosminzdrav.ru/Grls_View_v2.aspx?routingGuid=3cf40fcb-fe6b-4f3b-aac2-300e5253d28f</t>
  </si>
  <si>
    <t>Менквадфи</t>
  </si>
  <si>
    <t>МенКвадфи®</t>
  </si>
  <si>
    <r>
      <rPr>
        <u/>
        <sz val="10"/>
        <color rgb="FF1155CC"/>
        <rFont val="&quot;Arial&quot;"/>
      </rPr>
      <t xml:space="preserve">https://grls.rosminzdrav.ru/Grls_View_v2.aspx?routingGuid=273f2134-22fe-4c67-a562-4d3da5eb7e66
https://lk.regmed.ru/Register/GetPDFfromDA?ID=1447327371
https://lk.regmed.ru/Register/GetPDFfromDA?ID=1447327351
https://grls.rosminzdrav.ru/Grls_View_v2.aspx?routingGuid=273f2134-22fe-4c67-a562-4d3da5eb7e66
</t>
    </r>
    <r>
      <rPr>
        <u/>
        <sz val="10"/>
        <color rgb="FF1155CC"/>
        <rFont val="&quot;Arial&quot;"/>
      </rPr>
      <t xml:space="preserve">https://grls.rosminzdrav.ru/Grls_View_v2.aspx?routingGuid=6f61d0d6-fe59-4d41-87d9-a5f7e14cc6cc
</t>
    </r>
  </si>
  <si>
    <t>Bexsero</t>
  </si>
  <si>
    <t>https://grls.rosminzdrav.ru/Grls_View_v2.aspx?routingGuid=bba91e7b-b9d4-4f7b-bf4d-6fde2e9956ea</t>
  </si>
  <si>
    <t>Бексеро</t>
  </si>
  <si>
    <t>&lt;p&gt;менингококки группы&amp;nbsp;B&lt;/p&gt;</t>
  </si>
  <si>
    <t>менингококки группы B</t>
  </si>
  <si>
    <t>https://lk.regmed.ru/Register/GetPDFfromDAToken?Token=a5551ce2-9a90-4746-bdaa-77d891c76946</t>
  </si>
  <si>
    <t>https://lk.regmed.ru/Register/GetPDFfromDAToken?Token=00c87575-46f0-48a2-9e3e-d1059fad0680</t>
  </si>
  <si>
    <t>https://grls.rosminzdrav.ru/Grls_View_v2.aspx?routingGuid=0cce9c7a-2004-4791-b0a5-830e1469b245
https://lk.regmed.ru/Register/GetPDFfromDA?ID=1574006211
https://lk.regmed.ru/Register/GetPDFfromDA?ID=1574006221</t>
  </si>
  <si>
    <t>Sputnik_D</t>
  </si>
  <si>
    <t>https://grls.rosminzdrav.ru/Grls_View_v2.aspx?routingGuid=831c5a30-1b96-43a6-bf67-a6dc879f33ed</t>
  </si>
  <si>
    <t>Спутник Д</t>
  </si>
  <si>
    <t>Гам-КОВИД-Вак-Д Комбинированная векторная вакцина для профилактики коронавирусной инфекции, вызываемой вирусом SARS-CoV-2</t>
  </si>
  <si>
    <t>https://grls.rosminzdrav.ru/Grls_View_v2.aspx?routingGuid=55cdead2-b88d-488a-a698-0d7df658d5c9
https://grls.rosminzdrav.ru/Grls_View_v2.aspx?routingGuid=24a1e0ee-88f4-4cb1-ae87-c3673206e575</t>
  </si>
  <si>
    <t>Encepur_0_25</t>
  </si>
  <si>
    <t>https://grls.rosminzdrav.ru/Grls_View_v2.aspx?routingGuid=4c557b4f-d993-4256-84b8-be1a3067c76b</t>
  </si>
  <si>
    <t>Энцепур детский</t>
  </si>
  <si>
    <t>Энцепур® детский (Вакцина против клещевого энцефалита культуральная инактивированная очищенная жидкая с адъювантом)</t>
  </si>
  <si>
    <t>Encepur_0_5</t>
  </si>
  <si>
    <t>https://grls.rosminzdrav.ru/Grls_View_v2.aspx?routingGuid=03b79f0e-932b-4d1b-afcc-ed70f037b9ea</t>
  </si>
  <si>
    <t>Энцепур взрослый</t>
  </si>
  <si>
    <t>Энцепур взрослый (Вакцина против клещевого энцефалита инактивированная очищенная с адъювантом)</t>
  </si>
  <si>
    <t>Poliovaccine</t>
  </si>
  <si>
    <t>https://grls.rosminzdrav.ru/Grls_View_v2.aspx?routingGuid=3415eb53-da40-4647-b1bb-659792a9c18e</t>
  </si>
  <si>
    <t>Полиоваксин</t>
  </si>
  <si>
    <t>ПолиовакСин (Вакцина полиомиелитная культуральная очищенная концентрированная инактивированная жидкая из аттенуированных штаммов Сэбина)</t>
  </si>
  <si>
    <t>https://grls.rosminzdrav.ru/Grls_View_v2.aspx?routingGuid=19c7c512-8b66-4bf9-b0c7-73fb0375bfa4
https://grls.rosminzdrav.ru/Grls_View_v2.aspx?routingGuid=e476f61b-e07a-4041-ae62-8af8a7e3c98c</t>
  </si>
  <si>
    <t>Act_Hib</t>
  </si>
  <si>
    <t>https://grls.rosminzdrav.ru/Grls_View_v2.aspx?routingGuid=09c1471e-ec8c-42ce-9ef9-0f1ded2db528</t>
  </si>
  <si>
    <t>Акт-Хиб</t>
  </si>
  <si>
    <t>АКТ-ХИБ® (вакцина для профилактики инфекции, вызываемой Haemophilus influenzae тип b, конъюгированная)</t>
  </si>
  <si>
    <t>Hiberix</t>
  </si>
  <si>
    <t>https://grls.rosminzdrav.ru/Grls_View_v2.aspx?routingGuid=5c6779c4-47b4-4c91-9642-933f4c3b11da</t>
  </si>
  <si>
    <t>Хиберикс</t>
  </si>
  <si>
    <t>Хиберикс®</t>
  </si>
  <si>
    <t>FSME_Immun_Junior</t>
  </si>
  <si>
    <t>https://grls.rosminzdrav.ru/Grls_View_v2.aspx?routingGuid=e52e38b6-79d2-41fc-b6ed-2eb372023a81</t>
  </si>
  <si>
    <t>ФСМЕ-Иммун Джуниор</t>
  </si>
  <si>
    <t>ФСМЕ-ИММУН® Джуниор (Вакцина клещевого энцефалита культуральная инактивированная очищенная сорбированная)</t>
  </si>
  <si>
    <t>FSME_Immun</t>
  </si>
  <si>
    <t>https://grls.rosminzdrav.ru/Grls_View_v2.aspx?routingGuid=dd508633-c49f-470d-8160-f9f0307f5c2a</t>
  </si>
  <si>
    <t>ФСМЕ-Иммун</t>
  </si>
  <si>
    <t>ФСМЕ-ИММУН® (Вакцина клещевого энцефалита культуральная инактивированная очищенная сорбированная)</t>
  </si>
  <si>
    <t>SciBiVac</t>
  </si>
  <si>
    <t>https://grls.rosminzdrav.ru/Grls_View_v2.aspx?routingGuid=3d3b451d-8d08-4645-a5ad-1ec5b9dbee4a</t>
  </si>
  <si>
    <t>Сай-Би-Вак</t>
  </si>
  <si>
    <t>https://grls.rosminzdrav.ru/Grls_View_v2.aspx?routingGuid=34b1bf3a-7f95-4780-a24a-a9dba2626ce7</t>
  </si>
  <si>
    <t>Pentavaccina</t>
  </si>
  <si>
    <t>https://grls.rosminzdrav.ru/Grls_View_v2.aspx?routingGuid=831b739d-0598-4fef-adaf-7038c119d3f3</t>
  </si>
  <si>
    <t>Пентавакцина</t>
  </si>
  <si>
    <t>аАКДС-Геп B+Hib (Вакцина против дифтерии, столбняка, гепатита B, коклюша бесклеточная адсорбированная, инфекции, вызываемой Haemophilus influenzae тип b, конъюгированная синтетическая)</t>
  </si>
  <si>
    <t>&lt;p&gt;DTaP-HepB-Hib&lt;/p&gt;</t>
  </si>
  <si>
    <t>DTaP-HepB-Hib</t>
  </si>
  <si>
    <t>https://lk.regmed.ru/Register/GetPDFfromDAToken?Token=e29e3046-2780-4b38-98d4-6db2916b84dd</t>
  </si>
  <si>
    <t>https://lk.regmed.ru/Register/GetPDFfromDAToken?Token=40ae3588-c6bf-4e09-8293-2297990eff80</t>
  </si>
  <si>
    <t>https://grls.rosminzdrav.ru/Grls_View_v2.aspx?routingGuid=f16f8076-1f4f-4a2f-8918-0b39da14dc94
https://lk.regmed.ru/Register/GetPDFfromDA?ID=1558408561
https://lk.regmed.ru/Register/GetPDFfromDA?ID=1558408551</t>
  </si>
  <si>
    <t>Vitagerpavac</t>
  </si>
  <si>
    <t>https://grls.rosminzdrav.ru/Grls_View_v2.aspx?routingGuid=d2ede1d8-e73f-4e5c-924d-b822f8f0e85a</t>
  </si>
  <si>
    <t>Витагерпавак</t>
  </si>
  <si>
    <t>Витагерпавак Вакцина герпетическая культуральная инактивированная</t>
  </si>
  <si>
    <t>Shingrix</t>
  </si>
  <si>
    <t>https://grls.rosminzdrav.ru/Grls_View_v2.aspx?routingGuid=31ac5c67-3971-408e-9f95-48f4368633f3</t>
  </si>
  <si>
    <t>Шингрикс</t>
  </si>
  <si>
    <t>Шингрикс (вакцина для профилактики опоясывающего герпеса рекомбинантная, адъювантная)</t>
  </si>
  <si>
    <t>https://lk.regmed.ru/Register/GetPDFfromDAToken?Token=464df451-dc26-492d-829a-c416d1e140e2</t>
  </si>
  <si>
    <t>https://lk.regmed.ru/Register/GetPDFfromDAToken?Token=1f06acab-7a62-4de1-8081-38da0a5d6105</t>
  </si>
  <si>
    <r>
      <rPr>
        <u/>
        <sz val="10"/>
        <color rgb="FF1155CC"/>
        <rFont val="&quot;Arial&quot;"/>
      </rPr>
      <t>https://lk.regmed.ru/Register/GetPDFfromDA?ID=1516404731</t>
    </r>
    <r>
      <rPr>
        <u/>
        <sz val="10"/>
        <color rgb="FF1155CC"/>
        <rFont val="&quot;Arial&quot;"/>
      </rPr>
      <t xml:space="preserve">
</t>
    </r>
    <r>
      <rPr>
        <u/>
        <sz val="10"/>
        <color rgb="FF1155CC"/>
        <rFont val="&quot;Arial&quot;"/>
      </rPr>
      <t>https://grls.rosminzdrav.ru/Grls_View_v2.aspx?routingGuid=2fb12d65-a59d-4113-9fee-e502dd373ed3
https://lk.regmed.ru/Register/GetPDFfromDA?ID=1526151981
https://lk.regmed.ru/Register/GetPDFfromDA?ID=1589687781
https://lk.regmed.ru/Register/GetPDFfromDA?ID=1589687791</t>
    </r>
  </si>
  <si>
    <t>Trivaid</t>
  </si>
  <si>
    <t>https://grls.rosminzdrav.ru/Grls_View_v2.aspx?routingGuid=c4cf7e73-cdee-4bd7-ab58-00e2bb5e6958</t>
  </si>
  <si>
    <t>Тривэйд</t>
  </si>
  <si>
    <t>ТРИВЭЙД (Вакцина против кори, паротита и краснухи живая аттенуированная)</t>
  </si>
  <si>
    <r>
      <rPr>
        <u/>
        <sz val="10"/>
        <color rgb="FF1155CC"/>
        <rFont val="&quot;Arial&quot;"/>
      </rPr>
      <t xml:space="preserve">https://grls.rosminzdrav.ru/Grls_View_v2.aspx?routingGuid=57d4c581-7e40-4990-9863-a40cdb84851b
https://grls.rosminzdrav.ru/Grls_View_v2.aspx?routingGuid=5ef48e0e-9b77-4831-86fb-898a6299dc4f
</t>
    </r>
    <r>
      <rPr>
        <u/>
        <sz val="10"/>
        <color rgb="FF1155CC"/>
        <rFont val="&quot;Arial&quot;"/>
      </rPr>
      <t xml:space="preserve">https://grls.rosminzdrav.ru/Grls_View_v2.aspx?routingGuid=2e027bb0-70a4-4267-a320-bb11a3e4904e
</t>
    </r>
  </si>
  <si>
    <t>BabyHib</t>
  </si>
  <si>
    <t>https://grls.rosminzdrav.ru/Grls_View_v2.aspx?routingGuid=09eddf8c-cba4-4468-9262-3c582b28ca1b</t>
  </si>
  <si>
    <t>Бэби-Хиб</t>
  </si>
  <si>
    <t>Вакцина для профилактики инфекции, вызываемой Haemophilus influenzae тип b конъюгированная</t>
  </si>
  <si>
    <t>https://grls.rosminzdrav.ru/Grls_View_v2.aspx?routingGuid=542d022f-3d93-49b1-9580-4241a1ec80d2</t>
  </si>
  <si>
    <r>
      <rPr>
        <u/>
        <sz val="10"/>
        <color rgb="FF1155CC"/>
        <rFont val="Arial"/>
      </rPr>
      <t>https://grls.rosminzdrav.ru/Grls_View_v2.aspx?routingGuid=d3711e78-aa94-461f-9296-486bbe9ada11
https://grls.rosminzdrav.ru/Grls_View_v2.aspx?routingGuid=de67e65c-aa10-4a69-ad0a-559510b9f0a2</t>
    </r>
    <r>
      <rPr>
        <sz val="10"/>
        <color rgb="FF000000"/>
        <rFont val="Arial"/>
        <scheme val="minor"/>
      </rPr>
      <t xml:space="preserve"> 
</t>
    </r>
  </si>
  <si>
    <t>AD_M_Biomed</t>
  </si>
  <si>
    <t>https://grls.rosminzdrav.ru/Grls_View_v2.aspx?routingGuid=1ec467a3-99d4-4109-a1e5-089702b7c177</t>
  </si>
  <si>
    <t>АД-М (Биомед)</t>
  </si>
  <si>
    <t>Анатоксин дифтерийный очищенный адсорбированный с уменьшенным содержанием антигена жидкий (АД-М анатоксин)</t>
  </si>
  <si>
    <t>https://grls.rosminzdrav.ru/Grls_View_v2.aspx?routingGuid=636522c9-19b7-4c5d-99dd-68664e22bc30</t>
  </si>
  <si>
    <t>AS_D_Microgen</t>
  </si>
  <si>
    <t>https://grls.rosminzdrav.ru/Grls_View_v2.aspx?routingGuid=e0de1bec-a881-4f57-9b47-a6152b3b9902</t>
  </si>
  <si>
    <t>АС-анатоксин для доноров</t>
  </si>
  <si>
    <t>Анатоксин столбнячный очищенный адсорбированный жидкий для доноров (АС-анатоксин для доноров)</t>
  </si>
  <si>
    <t>https://lk.regmed.ru/Register/GetPDFfromDAToken?Token=f465d04c-878b-470d-bdc4-80fe697e5668</t>
  </si>
  <si>
    <t>https://lk.regmed.ru/Register/GetPDFfromDAToken?Token=c7ac97b0-4532-4343-8e11-6cd7f223fbed</t>
  </si>
  <si>
    <r>
      <rPr>
        <u/>
        <sz val="10"/>
        <color rgb="FF1155CC"/>
        <rFont val="Arial"/>
      </rPr>
      <t>https://lk.regmed.ru/Register/GetPDFfromDA?ID=1543829851</t>
    </r>
    <r>
      <rPr>
        <sz val="10"/>
        <color rgb="FF000000"/>
        <rFont val="Arial"/>
        <scheme val="minor"/>
      </rPr>
      <t xml:space="preserve">
</t>
    </r>
    <r>
      <rPr>
        <u/>
        <sz val="10"/>
        <color rgb="FF1155CC"/>
        <rFont val="Arial"/>
      </rPr>
      <t>https://lk.regmed.ru/Register/GetPDFfromDA?ID=1543829861</t>
    </r>
  </si>
  <si>
    <t>Variola</t>
  </si>
  <si>
    <t>https://grls.rosminzdrav.ru/Grls_View_v2.aspx?routingGuid=497b8580-5439-4e70-aad4-2dd853dcf4ee</t>
  </si>
  <si>
    <t>оспенная живая</t>
  </si>
  <si>
    <t>Вакцина оспенная живая (Вакцина оспенная)</t>
  </si>
  <si>
    <t>https://lk.regmed.ru/Register/GetPDFfromDAToken?Token=0c88c29e-5431-4ce5-87c0-c05c88e9e994</t>
  </si>
  <si>
    <t>https://lk.regmed.ru/Register/GetPDFfromDAToken?Token=97738f66-2c34-48b5-a2d6-6d5ffa7ba9df</t>
  </si>
  <si>
    <r>
      <rPr>
        <u/>
        <sz val="10"/>
        <color rgb="FF1155CC"/>
        <rFont val="Arial"/>
      </rPr>
      <t>https://lk.regmed.ru/Register/GetPDFfromDA?ID=1544404631</t>
    </r>
    <r>
      <rPr>
        <sz val="10"/>
        <color rgb="FF000000"/>
        <rFont val="Arial"/>
        <scheme val="minor"/>
      </rPr>
      <t xml:space="preserve">
</t>
    </r>
    <r>
      <rPr>
        <u/>
        <sz val="10"/>
        <color rgb="FF1155CC"/>
        <rFont val="Arial"/>
      </rPr>
      <t>https://lk.regmed.ru/Register/GetPDFfromDA?ID=1544404641</t>
    </r>
  </si>
  <si>
    <t>AKDS_HepB_Microgen</t>
  </si>
  <si>
    <t>https://grls.rosminzdrav.ru/Grls_View_v2.aspx?routingGuid=85903bfa-570c-432d-aa6a-9e0d5be6ae6e</t>
  </si>
  <si>
    <t>АКДС-Геп В</t>
  </si>
  <si>
    <t>Вакцина против коклюша, дифтерии, столбняка и гепатита В адсорбированная (Вакцина АКДС-Геп В)</t>
  </si>
  <si>
    <t>https://lk.regmed.ru/Register/GetPDFfromDAToken?Token=58f1b7dc-8dab-4377-aa9c-e3b963a41705</t>
  </si>
  <si>
    <t>https://lk.regmed.ru/Register/GetPDFfromDAToken?Token=a2f73862-29c5-4053-96f1-e06e79a85db5</t>
  </si>
  <si>
    <t>https://grls.rosminzdrav.ru/Grls_View_v2.aspx?routingGuid=2e02af66-4bc2-4f7a-bb57-0c53682091f4</t>
  </si>
  <si>
    <r>
      <rPr>
        <u/>
        <sz val="10"/>
        <color rgb="FF1155CC"/>
        <rFont val="Arial"/>
      </rPr>
      <t>https://lk.regmed.ru/Register/GetPDFfromDA?ID=1501096611</t>
    </r>
    <r>
      <rPr>
        <sz val="10"/>
        <color rgb="FF000000"/>
        <rFont val="Arial"/>
        <scheme val="minor"/>
      </rPr>
      <t xml:space="preserve">
</t>
    </r>
    <r>
      <rPr>
        <u/>
        <sz val="10"/>
        <color rgb="FF1155CC"/>
        <rFont val="Arial"/>
      </rPr>
      <t>https://lk.regmed.ru/Register/GetPDFfromDA?ID=1625332841</t>
    </r>
    <r>
      <rPr>
        <sz val="10"/>
        <color rgb="FF000000"/>
        <rFont val="Arial"/>
        <scheme val="minor"/>
      </rPr>
      <t xml:space="preserve">
</t>
    </r>
    <r>
      <rPr>
        <u/>
        <sz val="10"/>
        <color rgb="FF1155CC"/>
        <rFont val="Arial"/>
      </rPr>
      <t>https://lk.regmed.ru/Register/GetPDFfromDA?ID=1625332541
https://grls.rosminzdrav.ru/Grls_View_v2.aspx?routingGuid=85903bfa-570c-432d-aa6a-9e0d5be6ae6e</t>
    </r>
  </si>
  <si>
    <t>Rickettsia</t>
  </si>
  <si>
    <t>https://grls.rosminzdrav.ru/Grls_View_v2.aspx?routingGuid=e7abb5e6-5845-4837-a7b4-3b8bbb694d86</t>
  </si>
  <si>
    <t>сыпнотифозная</t>
  </si>
  <si>
    <t>Вакцина Е сыпнотифозная комбинированная живая (ЖКСВ-Е)</t>
  </si>
  <si>
    <t>https://lk.regmed.ru/Register/GetPDFfromDAToken?Token=abaeab64-440f-46c4-8436-933583d1369f</t>
  </si>
  <si>
    <t>https://lk.regmed.ru/Register/GetPDFfromDAToken?Token=5d499ddb-5573-41bd-a3f7-d5c0ed17486e</t>
  </si>
  <si>
    <r>
      <rPr>
        <u/>
        <sz val="10"/>
        <color rgb="FF1155CC"/>
        <rFont val="Arial"/>
      </rPr>
      <t>https://lk.regmed.ru/Register/GetPDFfromDA?ID=1494836031</t>
    </r>
    <r>
      <rPr>
        <sz val="10"/>
        <color rgb="FF000000"/>
        <rFont val="Arial"/>
        <scheme val="minor"/>
      </rPr>
      <t xml:space="preserve">
</t>
    </r>
    <r>
      <rPr>
        <u/>
        <sz val="10"/>
        <color rgb="FF1155CC"/>
        <rFont val="Arial"/>
      </rPr>
      <t>https://lk.regmed.ru/Register/GetPDFfromDA?ID=1494836021</t>
    </r>
  </si>
  <si>
    <t>OspaVir</t>
  </si>
  <si>
    <t>https://grls.rosminzdrav.ru/Grls_View_v2.aspx?routingGuid=ac3504e5-0456-448c-9f1c-487b6658df60</t>
  </si>
  <si>
    <t>ОспаВир</t>
  </si>
  <si>
    <t>ОспаВир® Вакцина оспенная инактивированная</t>
  </si>
  <si>
    <t>https://lk.regmed.ru/Register/GetPDFfromDAToken?Token=5038bc46-b8c9-4ef3-8fc2-5e00da6487f4</t>
  </si>
  <si>
    <t>https://lk.regmed.ru/Register/GetPDFfromDAToken?Token=ddc422a6-d267-4dfc-bc14-9a1e8b4e0183</t>
  </si>
  <si>
    <r>
      <rPr>
        <u/>
        <sz val="10"/>
        <color rgb="FF1155CC"/>
        <rFont val="Arial"/>
      </rPr>
      <t>https://lk.regmed.ru/Register/GetPDFfromDA?ID=1485438071</t>
    </r>
    <r>
      <rPr>
        <sz val="10"/>
        <color rgb="FF000000"/>
        <rFont val="Arial"/>
        <scheme val="minor"/>
      </rPr>
      <t xml:space="preserve">
</t>
    </r>
    <r>
      <rPr>
        <u/>
        <sz val="10"/>
        <color rgb="FF1155CC"/>
        <rFont val="Arial"/>
      </rPr>
      <t>https://lk.regmed.ru/Register/GetPDFfromDA?ID=1485438061</t>
    </r>
  </si>
  <si>
    <t>Gonovaccina_therapeutic</t>
  </si>
  <si>
    <t>https://grls.rosminzdrav.ru/Grls_View_v2.aspx?routingGuid=1bbc81c1-2d8e-4e68-9b86-93278f4e989c</t>
  </si>
  <si>
    <t>Гоновакцина</t>
  </si>
  <si>
    <t>Вакцина гонококковая инактивированная (Гоновакцина)</t>
  </si>
  <si>
    <t>https://lk.regmed.ru/Register/GetPDFfromDAToken?Token=f66b51aa-040f-4b90-9f4e-cd2805b4b2ae</t>
  </si>
  <si>
    <t>https://lk.regmed.ru/Register/GetPDFfromDAToken?Token=794bbd49-799b-402d-ac63-cd915a377894</t>
  </si>
  <si>
    <r>
      <rPr>
        <u/>
        <sz val="10"/>
        <color rgb="FF1155CC"/>
        <rFont val="Arial"/>
      </rPr>
      <t>https://lk.regmed.ru/Register/GetPDFfromDA?ID=1448256521</t>
    </r>
    <r>
      <rPr>
        <sz val="10"/>
        <color rgb="FF000000"/>
        <rFont val="Arial"/>
        <scheme val="minor"/>
      </rPr>
      <t xml:space="preserve">
</t>
    </r>
    <r>
      <rPr>
        <u/>
        <sz val="10"/>
        <color rgb="FF1155CC"/>
        <rFont val="Arial"/>
      </rPr>
      <t>https://lk.regmed.ru/Register/GetPDFfromDA?ID=1448256531</t>
    </r>
  </si>
  <si>
    <t>OrtopoxVac</t>
  </si>
  <si>
    <t>https://grls.rosminzdrav.ru/Grls_View_v2.aspx?routingGuid=da624460-36a0-47be-bf46-850be407fc42</t>
  </si>
  <si>
    <t>ОртопоксВак</t>
  </si>
  <si>
    <t>ОртопоксВак Вакцина для профилактики натуральной оспы и других ортопоксвирусных инфекций на основе вируса осповакцины живая культуральная</t>
  </si>
  <si>
    <t>https://lk.regmed.ru/Register/GetPDFfromDAToken?Token=2ff88f9a-c44d-4bd1-9bf1-2e8f744c5c4d</t>
  </si>
  <si>
    <t>https://lk.regmed.ru/Register/GetPDFfromDAToken?Token=fe955df9-4f46-4423-be3a-1f83cefdf08f</t>
  </si>
  <si>
    <t>https://lk.regmed.ru/Register/GetPDFfromDA?ID=1501926911
https://lk.regmed.ru/Register/GetPDFfromDA?ID=1501926921</t>
  </si>
  <si>
    <t>FlexVac</t>
  </si>
  <si>
    <t>https://grls.rosminzdrav.ru/Grls_View_v2.aspx?routingGuid=fd2093f8-0c92-4172-bc6c-0c44d55adbfb</t>
  </si>
  <si>
    <t>Флексвак</t>
  </si>
  <si>
    <t>ФЛЕКСВАК (Вакцина дизентерийная против шигелл Флекснера липополисахаридная)</t>
  </si>
  <si>
    <t>Гритвак</t>
  </si>
  <si>
    <t>https://grls.rosminzdrav.ru/Grls_View_v2.aspx?routingGuid=b26c9259-2e10-4bdb-826b-fbfdb38594ec</t>
  </si>
  <si>
    <t>SinSaVac</t>
  </si>
  <si>
    <t>https://grls.rosminzdrav.ru/Grls_View_v2.aspx?routingGuid=e79d768f-8d1c-4d6c-b0a9-78858b83791d</t>
  </si>
  <si>
    <t>СинСаВак</t>
  </si>
  <si>
    <t>СинСаВак™ (Вакцина для профилактики желтой лихорадки живая аттенуированная)</t>
  </si>
  <si>
    <t>Смартбиотех</t>
  </si>
  <si>
    <t>https://grls.rosminzdrav.ru/Grls_View_v2.aspx?routingGuid=5dc4ccc5-a077-4b07-9b76-f5fe043cafe1</t>
  </si>
  <si>
    <t>GamEvac_Lyo</t>
  </si>
  <si>
    <t>https://grls.rosminzdrav.ru/Grls_View_v2.aspx?routingGuid=a52736b8-b1ac-408c-a2c1-3fb82c941200</t>
  </si>
  <si>
    <t>ГамЭвак-Лио</t>
  </si>
  <si>
    <t>ГамЭвак-Лио комбинированная векторная вакцина против лихорадки Эбола</t>
  </si>
  <si>
    <t>EpiVacEbola</t>
  </si>
  <si>
    <t>https://grls.rosminzdrav.ru/Grls_View_v2.aspx?routingGuid=b6e70f7d-f42b-4e97-9f68-6baa0a75ffad</t>
  </si>
  <si>
    <t>ЭпиВакЭбола</t>
  </si>
  <si>
    <t>Вакцина для профилактики лихорадки Эбола на основе пептидных антигенов ЭпиВакЭбола</t>
  </si>
  <si>
    <t>GamEvac_Combi</t>
  </si>
  <si>
    <t>https://grls.rosminzdrav.ru/Grls_View_v2.aspx?routingGuid=9196861c-6233-45be-8241-186d3f051250</t>
  </si>
  <si>
    <t>ГамЭвак-Комби</t>
  </si>
  <si>
    <t>ГамЭвак-Комби Комбинированная векторная вакцина против лихорадки Эбола</t>
  </si>
  <si>
    <t>https://grls.rosminzdrav.ru/Grls_View_v2.aspx?routingGuid=d234ce19-0767-4a41-b04d-65b1301e2070</t>
  </si>
  <si>
    <t>GamEvac</t>
  </si>
  <si>
    <t>https://grls.rosminzdrav.ru/Grls_View_v2.aspx?routingGuid=f1e09f65-6c2b-49ed-bd96-3ff58ef202d8</t>
  </si>
  <si>
    <t>ГамЭвак</t>
  </si>
  <si>
    <t>ГамЭвак Вакцина векторная против лихорадки Эбола</t>
  </si>
  <si>
    <t>Staphylococcus_therapeutic_Biomed</t>
  </si>
  <si>
    <t>https://grls.rosminzdrav.ru/Grls_View_v2.aspx?routingGuid=730b8fe6-57a9-4211-85e5-684ae4ef328f</t>
  </si>
  <si>
    <t>Антифагин стафилококковый</t>
  </si>
  <si>
    <t>Вакцина стафилококковая лечебная (Антифагин стафилококковый)</t>
  </si>
  <si>
    <t>Pseudovac</t>
  </si>
  <si>
    <t>https://grls.rosminzdrav.ru/Grls_View_v2.aspx?routingGuid=4621a0ab-0cff-40c7-afb8-63317fa41052</t>
  </si>
  <si>
    <t>Псевдовак</t>
  </si>
  <si>
    <t>Вакцина для профилактики синегнойной инфекции</t>
  </si>
  <si>
    <t>Мединторг</t>
  </si>
  <si>
    <t>SPSA_therapeutic</t>
  </si>
  <si>
    <t>https://grls.rosminzdrav.ru/Grls_View_v2.aspx?routingGuid=9cf47038-4fe5-4f9a-a02a-9fbc22151700</t>
  </si>
  <si>
    <t>СПСА-вакцина</t>
  </si>
  <si>
    <t>СПСА-вакцина® Вакцина стафило-протейно-синегнойная адсорбированная</t>
  </si>
  <si>
    <t>https://grls.rosminzdrav.ru/Grls_View_v2.aspx?routingGuid=bd9c87a6-7f47-4f8e-ba63-eccb45521fab</t>
  </si>
  <si>
    <t>HepB_Serum_India_0_5</t>
  </si>
  <si>
    <t>https://grls.rosminzdrav.ru/Grls_View_v2.aspx?routingGuid=0fcbffbf-d247-4aa3-a4df-cccf3af59785</t>
  </si>
  <si>
    <t>гепатита B (Серум Инститьют) детская</t>
  </si>
  <si>
    <t>Вакцина гепатита В рекомбинантная (рДНК)</t>
  </si>
  <si>
    <t>https://grls.rosminzdrav.ru/Grls_View_v2.aspx?routingGuid=201d602b-19f5-4518-b35b-ccaf466bd096</t>
  </si>
  <si>
    <t>Polio_1_2_3</t>
  </si>
  <si>
    <t>https://grls.rosminzdrav.ru/Grls_View_v2.aspx?routingGuid=099f97bf-1bee-4113-b6ba-1b81cb507783</t>
  </si>
  <si>
    <t>полиомиелитная 1, 2, 3 типов</t>
  </si>
  <si>
    <t>Вакцина полиомиелитная пероральная 1, 2, 3 типов</t>
  </si>
  <si>
    <t>ФГАНУ "ФНЦИРИП им. М.П. Чумакова РАН</t>
  </si>
  <si>
    <t>TEOVac_chew_tablets</t>
  </si>
  <si>
    <t>https://grls.rosminzdrav.ru/Grls_View_v2.aspx?routingGuid=440474e0-65a8-4b60-8c7b-12ac8d70b4a3</t>
  </si>
  <si>
    <t>ТЭОВак (таблетки жевательные)</t>
  </si>
  <si>
    <t>ТЭОВак (вакцина оспенная эмбриональная живая)</t>
  </si>
  <si>
    <t>ФГБУ 48 ЦНИИ МО РФ</t>
  </si>
  <si>
    <t>TEOVac_tablets</t>
  </si>
  <si>
    <t>https://grls.rosminzdrav.ru/Grls_View_v2.aspx?routingGuid=6315b2da-7738-4b6c-adb5-4d2afbfd6dcb</t>
  </si>
  <si>
    <t>ТЭОВак (таблетки п/о)</t>
  </si>
  <si>
    <t>Вакцина для профилактики оспы</t>
  </si>
  <si>
    <t>Uro_BCG_therapeutic</t>
  </si>
  <si>
    <t>https://grls.rosminzdrav.ru/Grls_View_v2.aspx?routingGuid=5e6f4da3-3813-4f0a-a8b6-7abc41c4b3de</t>
  </si>
  <si>
    <t>Уро-БЦЖ медак</t>
  </si>
  <si>
    <t>Вакцина для лечения рака мочевого пузыря БЦЖ</t>
  </si>
  <si>
    <t>Медак</t>
  </si>
  <si>
    <t>Flu_Microgen</t>
  </si>
  <si>
    <t>https://grls.rosminzdrav.ru/Grls_View_v2.aspx?routingGuid=46a21252-b40d-407d-9129-d078a310a5b2</t>
  </si>
  <si>
    <t>гриппозная (Микроген)</t>
  </si>
  <si>
    <t>Вакцина гриппозная инактивированная элюатно-центрифужная жидкая (Вакцина гриппозная)</t>
  </si>
  <si>
    <t>https://grls.rosminzdrav.ru/Grls_View_v2.aspx?routingGuid=d93b9c17-ccc5-4d89-91dd-de0740e50a51</t>
  </si>
  <si>
    <t>MonoGrippol_plus</t>
  </si>
  <si>
    <t>https://grls.rosminzdrav.ru/Grls_View_v2.aspx?routingGuid=ffbbd41c-3c7f-4e9c-a670-58300ad5f281</t>
  </si>
  <si>
    <t>МоноГриппол плюс</t>
  </si>
  <si>
    <t>МоноГриппол плюс (Вакцина гриппозная моновалентная инактивированная субъединичная адъювантная)</t>
  </si>
  <si>
    <t>MonoGrippol_Neo</t>
  </si>
  <si>
    <t>https://grls.rosminzdrav.ru/Grls_View_v2.aspx?routingGuid=bb793945-6dfc-41a3-a8da-fdd3605314ef</t>
  </si>
  <si>
    <t>МоноГриппол Нео</t>
  </si>
  <si>
    <t>МоноГриппол Нео (Вакцина гриппозная моновалентная инактивированная субъединичная адъювантная)</t>
  </si>
  <si>
    <t>MonoGrippol</t>
  </si>
  <si>
    <t>https://grls.rosminzdrav.ru/Grls_View_v2.aspx?routingGuid=633cdfdd-34a7-4e62-939f-d39c64bb2c24</t>
  </si>
  <si>
    <t>МоноГриппол</t>
  </si>
  <si>
    <t>МоноГриппол (Вакцина гриппозная моновалентная инактивированная субъединичная адьювантная)</t>
  </si>
  <si>
    <t>Influvir</t>
  </si>
  <si>
    <t>https://grls.rosminzdrav.ru/Grls_View_v2.aspx?routingGuid=0ba24732-9dc8-464f-9334-1656fb2a15d4</t>
  </si>
  <si>
    <t>Инфлювир</t>
  </si>
  <si>
    <t>ИНФЛЮВИР Вакцина гриппозная живая моновалентная</t>
  </si>
  <si>
    <t>https://lk.regmed.ru/Register/GetPDFfromDAToken?Token=f106fac2-b184-4b96-ad68-6ac1fd1325da</t>
  </si>
  <si>
    <t>https://lk.regmed.ru/Register/GetPDFfromDAToken?Token=195e9eaa-565d-4ace-86b6-60dade74e830</t>
  </si>
  <si>
    <t>https://grls.rosminzdrav.ru/Grls_View_v2.aspx?routingGuid=f97a3039-ffe8-41fb-9e1a-9776bc3c29dc</t>
  </si>
  <si>
    <t>Pandeflu</t>
  </si>
  <si>
    <t>https://grls.rosminzdrav.ru/Grls_View_v2.aspx?routingGuid=e99e15ff-e349-466b-96fc-4a1c427ba9a8</t>
  </si>
  <si>
    <t>Пандефлю</t>
  </si>
  <si>
    <t>ПАНДЕФЛЮ Вакцина гриппозная инактивированная субъединичная адсорбированная моновалентная</t>
  </si>
  <si>
    <t>https://lk.regmed.ru/Register/GetPDFfromDAToken?Token=ee5a28a1-b369-4606-bd0e-32a3981091d3</t>
  </si>
  <si>
    <t>https://lk.regmed.ru/Register/GetPDFfromDAToken?Token=b89ec8a5-8076-4611-a1f9-7510b21feab1</t>
  </si>
  <si>
    <t>https://grls.rosminzdrav.ru/Grls_View_v2.aspx?routingGuid=f4c374e9-0954-4d79-85c4-148a3b816718</t>
  </si>
  <si>
    <t>Grippol_Neo</t>
  </si>
  <si>
    <t>https://grls.rosminzdrav.ru/Grls_View_v2.aspx?routingGuid=76a79bba-d7c4-42d4-8469-ef532bed36f7</t>
  </si>
  <si>
    <t>Гриппол Нео</t>
  </si>
  <si>
    <t>Гриппол® Нео [Вакцина гриппозная тривалентная инактивированная субъединичная адъювантная]</t>
  </si>
  <si>
    <t>Ultravac</t>
  </si>
  <si>
    <t>https://grls.rosminzdrav.ru/Grls_View_v2.aspx?routingGuid=d3714db8-cea4-461c-839c-1840024120c8</t>
  </si>
  <si>
    <t>Ультравак</t>
  </si>
  <si>
    <t>Ультравак® Вакцина гриппозная аллантоисная живая</t>
  </si>
  <si>
    <t>https://lk.regmed.ru/Register/GetPDFfromDAToken?Token=52d43d70-7935-4398-9317-cc070e49481e</t>
  </si>
  <si>
    <t>https://lk.regmed.ru/Register/GetPDFfromDAToken?Token=3b97ecf2-aa81-40e7-9dc5-58dc24f5eeae</t>
  </si>
  <si>
    <t>https://grls.rosminzdrav.ru/Grls_View_v2.aspx?routingGuid=7a1fd292-7204-452f-8342-f3d724314b8d</t>
  </si>
  <si>
    <t>https://lk.regmed.ru/Register/GetPDFfromDA?ID=1634791611
https://lk.regmed.ru/Register/GetPDFfromDA?ID=1634791601</t>
  </si>
  <si>
    <t>Fluvaccin</t>
  </si>
  <si>
    <t>https://grls.rosminzdrav.ru/Grls_View_v2.aspx?routingGuid=374366a8-e413-438e-a33f-8f627a5db513</t>
  </si>
  <si>
    <t>Флюваксин</t>
  </si>
  <si>
    <t>Gerpovax_therapeutic</t>
  </si>
  <si>
    <t>https://grls.rosminzdrav.ru/Grls_View_v2.aspx?routingGuid=e670abc1-a1f0-498f-88b0-5b59c2384ae8</t>
  </si>
  <si>
    <t>Герповакс</t>
  </si>
  <si>
    <t>Герповакс® Вакцина герпетическая культуральная инактивированная</t>
  </si>
  <si>
    <t>ФГУП СПБНИИВС ФМБА РОССИИ</t>
  </si>
  <si>
    <t>Ultragrivac</t>
  </si>
  <si>
    <t>https://grls.rosminzdrav.ru/Grls_View_v2.aspx?routingGuid=f94267d3-8c60-499a-9be7-5bde70d2d7ac</t>
  </si>
  <si>
    <t>Ультрагривак</t>
  </si>
  <si>
    <t>Ультрагривак® Вакцина гриппозная живая</t>
  </si>
  <si>
    <t>&lt;p&gt;Вакцина для профилактики птичьего гриппа [живая]&lt;/p&gt;</t>
  </si>
  <si>
    <t>https://lk.regmed.ru/Register/GetPDFfromDAToken?Token=750ab89f-ffeb-4e33-bf98-b18f486693be</t>
  </si>
  <si>
    <t>https://lk.regmed.ru/Register/GetPDFfromDAToken?Token=8ad4f0f0-b346-4aa8-af10-12a900409bb3</t>
  </si>
  <si>
    <t>https://grls.rosminzdrav.ru/Grls_View_v2.aspx?routingGuid=4bb4c4f0-e8eb-4d44-94f2-5259ad424a4f</t>
  </si>
  <si>
    <t>OrniFlu</t>
  </si>
  <si>
    <t>https://grls.rosminzdrav.ru/Grls_View_v2.aspx?routingGuid=bb770bb9-3c59-44ac-9f5c-9ed0dbce6322</t>
  </si>
  <si>
    <t>ОрниФлю</t>
  </si>
  <si>
    <t>ОрниФлю® Вакцина гриппозная инактивированная субъединичная адсорбированная</t>
  </si>
  <si>
    <t>&lt;p&gt;Вакцина для профилактики птичьего гриппа [инактивированная]&lt;/p&gt;</t>
  </si>
  <si>
    <t>https://lk.regmed.ru/Register/GetPDFfromDAToken?Token=7edf99f7-7979-438f-9170-b9e3c18fcc4d</t>
  </si>
  <si>
    <t>https://lk.regmed.ru/Register/GetPDFfromDAToken?Token=f8efd728-6ef8-4826-916b-04c8b9a696ac</t>
  </si>
  <si>
    <t>https://grls.rosminzdrav.ru/Grls_View_v2.aspx?routingGuid=d6071621-5c34-4cdc-a228-7b4c80b9f422
https://grls.rosminzdrav.ru/Grls_View_v2.aspx?routingGuid=62dfa9d9-b82f-437a-a63d-fc21e3dc9e29</t>
  </si>
  <si>
    <t>rubella_Croatia</t>
  </si>
  <si>
    <t>https://grls.rosminzdrav.ru/Grls_View_v2.aspx?routingGuid=c878e337-f3b6-44d8-9ac7-c245862a4463</t>
  </si>
  <si>
    <t>краснушная (Институт оф иммунолоджи)</t>
  </si>
  <si>
    <t>Институт оф иммунолоджи</t>
  </si>
  <si>
    <t>Tetraanatoxin</t>
  </si>
  <si>
    <t>https://grls.rosminzdrav.ru/Grls_View_v2.aspx?routingGuid=67d47b58-44f8-467a-ac68-f50a5e27ec96</t>
  </si>
  <si>
    <t>Тетраанатоксин</t>
  </si>
  <si>
    <t>Тетраанатоксин очищенный адсорбированный</t>
  </si>
  <si>
    <t>https://lk.regmed.ru/Register/GetPDFfromDAToken?Token=7a5aa5a2-26ce-4b74-a18e-06cad4414c03</t>
  </si>
  <si>
    <t>https://lk.regmed.ru/Register/GetPDFfromDAToken?Token=1bfeede7-f8ba-44c7-8e8f-7f6e8dc1b9c4</t>
  </si>
  <si>
    <t>https://grls.rosminzdrav.ru/Grls_View_v2.aspx?routingGuid=45abe8b5-120c-43b9-b82e-692f1c581c57
https://lk.regmed.ru/Register/GetPDFfromDA?ID=1621040001
https://lk.regmed.ru/Register/GetPDFfromDA?ID=1611110851</t>
  </si>
  <si>
    <t>Staphylococcus_Gamaleya</t>
  </si>
  <si>
    <t>https://grls.rosminzdrav.ru/Grls_View_v2.aspx?routingGuid=96e23044-21c2-4c98-bdd9-c703f58131cb</t>
  </si>
  <si>
    <t>Анатоксин стафилококковый (профилактический)</t>
  </si>
  <si>
    <t>Анатоксин стафилококковый очищенный адсорбированный</t>
  </si>
  <si>
    <t>ФГБУ "НИЦЭМ им. Н.Ф. Гамалеи"</t>
  </si>
  <si>
    <t>https://lk.regmed.ru/Register/GetPDFfromDAToken?Token=15837a61-cde6-4017-ab21-aa0710335a9e</t>
  </si>
  <si>
    <t>https://lk.regmed.ru/Register/GetPDFfromDAToken?Token=155cbba8-cb33-4a81-b131-74b958784e9e</t>
  </si>
  <si>
    <t>https://grls.rosminzdrav.ru/Grls_View_v2.aspx?routingGuid=0a5c02f9-fc05-4f23-abda-3a0cb7ae2b6b</t>
  </si>
  <si>
    <t>Staphylococcus_therapeutic_Gamaleya</t>
  </si>
  <si>
    <t>https://grls.rosminzdrav.ru/Grls_View_v2.aspx?routingGuid=e7b7b94d-8b67-45ff-8bd0-b314a927cb05</t>
  </si>
  <si>
    <t>Анатоксин стафилококковый (лечебный)</t>
  </si>
  <si>
    <t>Анатоксин стафилококковый очищенный</t>
  </si>
  <si>
    <t>https://lk.regmed.ru/Register/GetPDFfromDAToken?Token=ea20c32d-1656-4930-81f0-a2940083f505</t>
  </si>
  <si>
    <t>https://lk.regmed.ru/Register/GetPDFfromDAToken?Token=1bcf38bd-4b35-4419-a7b2-095c8c0298a3</t>
  </si>
  <si>
    <t>https://grls.rosminzdrav.ru/Grls_View_v2.aspx?routingGuid=dbcc0b53-6439-4a7a-8b89-a97af778b07d</t>
  </si>
  <si>
    <t>Imuron_vac_therapeutic</t>
  </si>
  <si>
    <t>https://grls.rosminzdrav.ru/Grls_View_v2.aspx?routingGuid=b974d161-6689-49b1-a6f6-a825ebf5a7f2</t>
  </si>
  <si>
    <t>Имурон-вак</t>
  </si>
  <si>
    <t>Имурон-вак (Вакцина БЦЖ для иммунотерапии рака мочевого пузыря)</t>
  </si>
  <si>
    <t>https://lk.regmed.ru/Register/GetPDFfromDAToken?Token=7efc3fca-7110-41f0-adc2-f32077b43099</t>
  </si>
  <si>
    <t>https://lk.regmed.ru/Register/GetPDFfromDAToken?Token=ce5c7160-b92d-472c-8725-9250e6e5cd16</t>
  </si>
  <si>
    <t>https://grls.rosminzdrav.ru/Grls_View_v2.aspx?routingGuid=2c603cdb-8b61-4ae5-b196-689e5e8ee3ef</t>
  </si>
  <si>
    <t>HepB_Serum_India_1_0</t>
  </si>
  <si>
    <t>гепатита B (Серум Инститьют) взрослая</t>
  </si>
  <si>
    <t>Hexaxim</t>
  </si>
  <si>
    <t>https://grls.rosminzdrav.ru/Grls_View_v2.aspx?routingGuid=6d1d9760-3bab-4d35-b454-a9539b9fd9e6</t>
  </si>
  <si>
    <t>Гексаксим</t>
  </si>
  <si>
    <t>Вакцина для профилактики дифтерии, столбняка, коклюша (бесклеточная), гепатита B рекомбинантная, полиомиелита (инактивированная) и инфекций, вызываемых Haemophilus influenzae тип b, конъюгированная, адсорбированная</t>
  </si>
  <si>
    <t>https://lk.regmed.ru/Register/GetPDFfromDAToken?Token=fd521f05-a4c3-4eeb-95f5-ca5ab71cbf29</t>
  </si>
  <si>
    <t>https://lk.regmed.ru/Register/GetPDFfromDAToken?Token=b3d83643-9f4a-4180-9c6c-ef18d9a4117a</t>
  </si>
  <si>
    <t>https://lk.regmed.ru/Register/GetPDFfromDA?ID=1607301531
https://lk.regmed.ru/Register/GetPDFfromDA?ID=1607301511</t>
  </si>
  <si>
    <t>Gam_VLP_multivac</t>
  </si>
  <si>
    <t>https://grls.rosminzdrav.ru/Grls_View_v2.aspx?routingGuid=f035b599-e2f5-41c1-9ede-a7398483a6c4</t>
  </si>
  <si>
    <t>Гам-VLP-мультивак</t>
  </si>
  <si>
    <t>Гам-VLP-мультивак Вакцина на основе вирусоподобных частиц для профилактики коронавирусной инфекции, вызываемой SARS-CoV-2</t>
  </si>
  <si>
    <t>Gam_VLP_multivac_nasal</t>
  </si>
  <si>
    <t>https://grls.rosminzdrav.ru/Grls_View_v2.aspx?routingGuid=3d207bf4-c6a2-49bf-aa53-76c242f79c31</t>
  </si>
  <si>
    <t>Гам-VLP-мультивак-н</t>
  </si>
  <si>
    <t>Гам-VLP-мультивак-н Вакцина на основе вирусоподобных частиц для профилактики коронавирусной инфекции, вызываемой SARS-CoV-2</t>
  </si>
  <si>
    <t>Cegardex</t>
  </si>
  <si>
    <t>https://grls.rosminzdrav.ru/Grls_View_v2.aspx?routingGuid=89ef1c8f-42a1-41e7-9675-ad685aa41438</t>
  </si>
  <si>
    <t>Цегардекс</t>
  </si>
  <si>
    <t>Цегардекс® Вакцина против вируса папилломы человека [типов 6, 11, 16, 18], четырехвалентная (рекомбинантная, адсорбированная)</t>
  </si>
  <si>
    <t>Нанолек</t>
  </si>
  <si>
    <t>https://lk.regmed.ru/Register/GetPDFfromDAToken?Token=98aa6592-f3ff-4626-8956-8bb4c5db5255</t>
  </si>
  <si>
    <t>https://lk.regmed.ru/Register/GetPDFfromDAToken?Token=4d2e8313-f9db-4eb3-bec0-0350adb169a5</t>
  </si>
  <si>
    <t>Menvaid</t>
  </si>
  <si>
    <t>https://grls.rosminzdrav.ru/Grls_View_v2.aspx?routingGuid=1a4a48c3-a278-4283-9a32-aa920611ebe5</t>
  </si>
  <si>
    <t>Менвэйд</t>
  </si>
  <si>
    <t>МЕНВЭЙД® Вакцина для профилактики менингококковой инфекции серогрупп A, C, W, Y, X, полисахаридная, конъюгированная</t>
  </si>
  <si>
    <t>&lt;p&gt;менингококки группы&amp;nbsp;A, C, W, Y, X&lt;/p&gt;</t>
  </si>
  <si>
    <t>менингококки группы A, C, W, Y, X</t>
  </si>
  <si>
    <t>https://lk.regmed.ru/Register/GetPDFfromDAToken?Token=278aa15b-73f4-4b0e-8168-69185b2b8947</t>
  </si>
  <si>
    <t>https://lk.regmed.ru/Register/GetPDFfromDAToken?Token=6ca8ca73-36bd-4995-a21a-2728a73b9b86</t>
  </si>
  <si>
    <t>ChiroRab</t>
  </si>
  <si>
    <t>https://grls.rosminzdrav.ru/Grls_View_v2.aspx?routingGuid=286b6f36-0609-4bfe-95f0-c61e64984e57</t>
  </si>
  <si>
    <t>Хирораб</t>
  </si>
  <si>
    <t>Хирораб (Вакцина антирабическая культуральная очищенная инактивированная)</t>
  </si>
  <si>
    <t>&lt;p&gt;прежнее название — Рабипур&lt;/p&gt;</t>
  </si>
  <si>
    <t>Prevenar_20</t>
  </si>
  <si>
    <t>https://grls.rosminzdrav.ru/Grls_View_v2.aspx?routingGuid=8dc63f11-354b-4d39-ae83-7db709b7e6a3</t>
  </si>
  <si>
    <t>Превенар 20</t>
  </si>
  <si>
    <t>Вакцина для профилактики пневмококковой инфекции полисахаридная, конъюгированная (адсорбированная, двадцативалентная)</t>
  </si>
  <si>
    <t>https://lk.regmed.ru/Register/GetPDFfromDAToken?Token=71281561-3c48-48b5-adce-60fba30d5683</t>
  </si>
  <si>
    <t>https://lk.regmed.ru/Register/GetPDFfromDAToken?Token=74527abd-af79-4f2c-b524-782c1d0313c9</t>
  </si>
  <si>
    <t>aAKDS_M</t>
  </si>
  <si>
    <t>https://grls.rosminzdrav.ru/Grls_View_v2.aspx?routingGuid=28cf88b2-695f-4467-a36a-7ea401b5c0dd</t>
  </si>
  <si>
    <t>аАКДС-М</t>
  </si>
  <si>
    <t>аАКДС-М (Вакцина против дифтерии, столбняка, коклюша бесклеточная адсорбированная с уменьшенным содержанием антигенов)</t>
  </si>
  <si>
    <t>Nimenrix</t>
  </si>
  <si>
    <t>https://grls.rosminzdrav.ru/Grls_View_v2.aspx?routingGuid=f226c735-914f-4562-8e0c-88a46da41b90</t>
  </si>
  <si>
    <t>Нименрикс</t>
  </si>
  <si>
    <t>Нименрикс® конъюгированная вакцина против менингококковой инфекции серогрупп A, C, W-135, Y</t>
  </si>
  <si>
    <t>&lt;p&gt;менингококки группы A, C, W-135, Y&lt;/p&gt;</t>
  </si>
  <si>
    <t>менингококки группы A, C, W-135, Y</t>
  </si>
  <si>
    <t>vaccine_id</t>
  </si>
  <si>
    <t>ages_text</t>
  </si>
  <si>
    <t>ages_date</t>
  </si>
  <si>
    <t>ages_view_number</t>
  </si>
  <si>
    <t>ages_version</t>
  </si>
  <si>
    <t>ages_version_link</t>
  </si>
  <si>
    <t>comment</t>
  </si>
  <si>
    <t>ages_text_wo_html</t>
  </si>
  <si>
    <t>&lt;p&gt;Активная специфическая профилактика туберкулеза у детей на территориях с показателями заболеваемости туберкулезом, превышающими 80 на 100&amp;nbsp;тыс. населения, а также при наличии в окружении новорожденного больных туберкулезом.&lt;/p&gt;</t>
  </si>
  <si>
    <t>https://lk.regmed.ru/Register/GetPDFfromDA?ID=1597322951</t>
  </si>
  <si>
    <t>Активная специфическая профилактика туберкулеза у детей на территориях с показателями заболеваемости туберкулезом, превышающими 80 на 100 тыс. населения, а также при наличии в окружении новорожденного больных туберкулезом.</t>
  </si>
  <si>
    <t>&lt;p&gt;Вакцина БЦЖ-М показана к применению у детей в возрасте до 7&amp;nbsp;лет для активной специфической профилактики туберкулеза (щадящая первичная иммунизация).&lt;/p&gt;</t>
  </si>
  <si>
    <t>https://lk.regmed.ru/Register/GetPDFfromDA?ID=1597318981</t>
  </si>
  <si>
    <t>Вакцина БЦЖ-М показана к применению у детей в возрасте до 7 лет для активной специфической профилактики туберкулеза (щадящая первичная иммунизация).</t>
  </si>
  <si>
    <t>&lt;p&gt;Вакцинацию осуществляют здоровым новорожденным детям на 3—7&amp;nbsp;день жизни (как правило, в день выписки из родильного дома). [...] Ревакцинации подлежат дети в возрасте 7&amp;nbsp;лет, имеющие отрицательную реакцию на пробу Манту с 2&amp;nbsp;ТЕ ППД-Л.&lt;/p&gt;</t>
  </si>
  <si>
    <t>https://grls.rosminzdrav.ru/InstrImg/2025/05/19/1517351/3bec22d2-65bc-4a94-9482-413901e57760.pdf</t>
  </si>
  <si>
    <t>Вакцинацию осуществляют здоровым новорожденным детям на 3—7 день жизни (как правило, в день выписки из родильного дома). [...] Ревакцинации подлежат дети в возрасте 7 лет, имеющие отрицательную реакцию на пробу Манту с 2 ТЕ ППД-Л.</t>
  </si>
  <si>
    <t>&lt;p&gt;Лекарственным препаратом БЦЖ-М вакцинируют:
&lt;ul&gt;&lt;li&gt;В родильных домах всех здоровых новорожденных на 3—7&amp;nbsp;день жизни накануне или в день выписки из роддома на территориях с показателем заболеваемости туберкулезом не выше 80 на 100&amp;nbsp;000 населения.&lt;/li&gt;
&lt;li&gt;В родильных домах недоношенных новорожденных с массой тела 2000 и более граммов, при восстановлении первоначальной массы тела, накануне или в день выписки из роддома.&lt;/li&gt;
&lt;li&gt;В отделениях выхаживания недоношенных новорожденных лечебных стационаров (2-ой этап выхаживания) — детей с массой тела 2300&amp;nbsp;г и более перед выпиской из стационара.&lt;/li&gt;
&lt;li&gt;В детских поликлиниках детей, не получивших противотуберкулезную прививку в роддоме по медицинским противопоказаниям и подлежащих вакцинации в связи со снятием противопоказаний.&lt;/li&gt;&lt;/ul&gt;&lt;/p&gt;</t>
  </si>
  <si>
    <t>https://grls.rosminzdrav.ru/InstrImg/2025/06/02/1517794/d7367d9e-e745-46a7-b297-5a093bf3738a.pdf</t>
  </si>
  <si>
    <t>Лекарственным препаратом БЦЖ-М вакцинируют:
• В родильных домах всех здоровых новорожденных на 3—7 день жизни накануне или в день выписки из роддома на территориях с показателем заболеваемости туберкулезом не выше 80 на 100 000 населения.
• В родильных домах недоношенных новорожденных с массой тела 2000 и более граммов, при восстановлении первоначальной массы тела, накануне или в день выписки из роддома.
• В отделениях выхаживания недоношенных новорожденных лечебных
стационаров (2-ой этап выхаживания) — детей с массой тела 2300 г и более перед выпиской из стационара.
• В детских поликлиниках детей, не получивших противотуберкулезную прививку в роддоме по медицинским противопоказаниям и подлежащих вакцинации в связи со снятием противопоказаний.</t>
  </si>
  <si>
    <t>&lt;p&gt;Первичная вакцинация и ревакцинация детей в возрасте от 2&amp;nbsp;месяцев до 7&amp;nbsp;лет против дифтерии, столбняка и коклюша.&lt;/p&gt;</t>
  </si>
  <si>
    <t>https://lk.regmed.ru/Register/GetPDFfromDA?ID=1484709711</t>
  </si>
  <si>
    <t>Первичная вакцинация и ревакцинация детей в возрасте от 2 месяцев до 7 лет против дифтерии, столбняка и коклюша.</t>
  </si>
  <si>
    <t>&lt;p&gt;Профилактика коклюша, дифтерии и столбняка у детей в возрасте от 3&amp;nbsp;месяцев до 4&amp;nbsp;лет.&lt;br&gt;
Прививки детям, переболевшим коклюшем, проводят АДС-анатоксином.&lt;/p&gt;</t>
  </si>
  <si>
    <t>https://lk.regmed.ru/Register/GetPDFfromDA?ID=1587927891</t>
  </si>
  <si>
    <t>Профилактика коклюша, дифтерии и столбняка у детей в возрасте от 3 месяцев до 4 лет.
Прививки детям, переболевшим коклюшем, проводят АДС-анатоксином.</t>
  </si>
  <si>
    <t>&lt;p&gt;Прививки АКДС-вакциной проводят в возрасте от&amp;nbsp;3&amp;nbsp;месяцев до&amp;nbsp;достижения 4&amp;nbsp;лет.&lt;/p&gt;</t>
  </si>
  <si>
    <t>https://grls.rosminzdrav.ru/InstrImg/2017/4/26/1416322/%D0%A0_N002666_01[2013]_0.pdf</t>
  </si>
  <si>
    <t>Прививки АКДС-вакциной проводят в возрасте от 3 месяцев до достижения 4 лет.</t>
  </si>
  <si>
    <t>&lt;p&gt;Прививки вакциной "Бубо-Кок" проводят детям до достижения возраста&amp;nbsp;4&amp;nbsp;года.&lt;/p&gt;</t>
  </si>
  <si>
    <t>https://grls.rosminzdrav.ru/InstrImg/2020/05/28/10700/9d141b34-47e7-48c8-9480-616cbbc792fc.pdf</t>
  </si>
  <si>
    <t>В разделе "Способ применения и дозировка".</t>
  </si>
  <si>
    <t>Прививки вакциной "Бубо-Кок" проводят детям до достижения возраста 4 года.</t>
  </si>
  <si>
    <t>&lt;p&gt;Из инструкции: «[...] первичная вакцинация детей с возраста 2&amp;nbsp;месяцев».&lt;br&gt;
&lt;br&gt;
Из инструкции: «Возраст перехода на применение вакцин для профилактики дифтерии и столбняка с уменьшенным содержанием антигенов регламентируется национальными рекомендациями». От авторов приложения: в России вакцины от дифтерии и столбняка с уменьшенным содержанием антигенов применяют с шести&amp;nbsp;лет.&lt;br&gt;
&lt;br&gt;
Из письма ФГБУ&amp;nbsp;«Детского научно-клинического центра инфекционных болезней Федерального медико-биологического агентства» от&amp;nbsp;04.03.2019 №&amp;nbsp;01-21/240: «[...] Пентаксим [...] — у детей от 3&amp;nbsp;месяцев. Инструкции по&amp;nbsp;применению этих препаратов не содержат ограничения максимального возраста лиц, подлежащих вакцинации. При нарушении сроков иммунизации у детей возможно их использование до 6&amp;nbsp;лет. Введение этих вакцин детям старше 5&amp;nbsp;лет 11&amp;nbsp;месяцев 29&amp;nbsp;дней может быть сопряжено с развитием сильной реакции, кроме того, содержание дифтерийного и столбнячного анатоксина в&amp;nbsp;препаратах выше, чем в&amp;nbsp;АДС-М, используемой для профилактики дифтерии и столбняка у лиц старше 6&amp;nbsp;лет».&lt;/p&gt;</t>
  </si>
  <si>
    <t>https://grls.rosminzdrav.ru/InstrImg/2026/05/27/1530421/6bdc8421-6c08-4bf7-be7f-0ae5d96a478d.pdf</t>
  </si>
  <si>
    <r>
      <rPr>
        <sz val="10"/>
        <rFont val="Arial"/>
      </rPr>
      <t xml:space="preserve">Верхняя граница: 04.10.2022, электронный образ № 6, изменение № 7, </t>
    </r>
    <r>
      <rPr>
        <u/>
        <sz val="10"/>
        <color rgb="FF1155CC"/>
        <rFont val="Arial"/>
      </rPr>
      <t>https://grls.rosminzdrav.ru/InstrImg/2022/11/09/1487873/6bf8f068-876a-4fd5-9c66-cb3ecf8ae914.pdf</t>
    </r>
  </si>
  <si>
    <t>Из инструкции: «[...] первичная вакцинация детей с возраста 2 месяцев».
Из инструкции: «Возраст перехода на применение вакцин для профилактики дифтерии и столбняка с уменьшенным содержанием антигенов регламентируется национальными рекомендациями». От авторов приложения: в России вакцины от дифтерии и столбняка с уменьшенным содержанием антигенов применяют с шести лет.
Из письма ФГБУ «Детского научно-клинического центра инфекционных болезней Федерального медико-биологического агентства» от 04.03.2019 № 01-21/240: «[...] Пентаксим [...] — у детей от 3 месяцев. Инструкции по применению этих препаратов не содержат ограничения максимального возраста лиц, подлежащих вакцинации. При нарушении сроков иммунизации у детей возможно их использование до 6 лет. Введение этих вакцин детям старше 5 лет 11 месяцев 29 дней может быть сопряжено с развитием сильной реакции, кроме того, содержание дифтерийного и столбнячного анатоксина в препаратах выше, чем в АДС-М, используемой для профилактики дифтерии и столбняка у лиц старше 6 лет».</t>
  </si>
  <si>
    <r>
      <rPr>
        <sz val="10"/>
        <color theme="1"/>
        <rFont val="Arial"/>
      </rPr>
      <t xml:space="preserve">&lt;p&gt;Первичная вакцинация и ревакцинация детей в возрасте от 2&amp;nbsp;месяцев до 2&amp;nbsp;лет включительно против дифтерии, столбняка, коклюша, гепатита В, полиомиелита и инфекции, вызываемой </t>
    </r>
    <r>
      <rPr>
        <i/>
        <sz val="10"/>
        <color theme="1"/>
        <rFont val="Arial"/>
      </rPr>
      <t>&lt;i&gt;Haemophilus influenzae&lt;/i&gt;</t>
    </r>
    <r>
      <rPr>
        <sz val="10"/>
        <color theme="1"/>
        <rFont val="Arial"/>
      </rPr>
      <t xml:space="preserve"> тип &lt;i&gt;</t>
    </r>
    <r>
      <rPr>
        <i/>
        <sz val="10"/>
        <color theme="1"/>
        <rFont val="Arial"/>
      </rPr>
      <t>b</t>
    </r>
    <r>
      <rPr>
        <sz val="10"/>
        <color theme="1"/>
        <rFont val="Arial"/>
      </rPr>
      <t>&lt;/i&gt;.&lt;/p&gt;</t>
    </r>
  </si>
  <si>
    <t>https://grls.rosminzdrav.ru/InstrImg/2025/12/04/1523945/374687b9-516b-4eb9-9e34-640e88c2e1e2.pdf</t>
  </si>
  <si>
    <r>
      <rPr>
        <sz val="10"/>
        <color theme="1"/>
        <rFont val="Arial"/>
      </rPr>
      <t xml:space="preserve">Первичная вакцинация и ревакцинация детей в возрасте от 2 месяцев до 2 лет включительно против дифтерии, столбняка, коклюша, гепатита В, полиомиелита и инфекции, вызываемой </t>
    </r>
    <r>
      <rPr>
        <i/>
        <sz val="10"/>
        <color theme="1"/>
        <rFont val="Arial"/>
      </rPr>
      <t>Haemophilus influenzae</t>
    </r>
    <r>
      <rPr>
        <sz val="10"/>
        <color theme="1"/>
        <rFont val="Arial"/>
      </rPr>
      <t xml:space="preserve"> тип </t>
    </r>
    <r>
      <rPr>
        <i/>
        <sz val="10"/>
        <color theme="1"/>
        <rFont val="Arial"/>
      </rPr>
      <t>b</t>
    </r>
    <r>
      <rPr>
        <sz val="10"/>
        <color theme="1"/>
        <rFont val="Arial"/>
      </rPr>
      <t>.</t>
    </r>
  </si>
  <si>
    <t>&lt;p&gt;Вакцина Бубо-М показана к применению у взрослых и детей в возрасте от 6&amp;nbsp;лет для профилактики вирусного гепатита В, дифтерии и столбняка.&lt;/p&gt;</t>
  </si>
  <si>
    <t>https://grls.rosminzdrav.ru/InstrImg/2026/06/02/1530636/e301156c-c7d5-45d7-bf58-5346c270c493.pdf</t>
  </si>
  <si>
    <t>Вакцина Бубо-М показана к применению у взрослых и детей в возрасте от 6 лет для профилактики вирусного гепатита В, дифтерии и столбняка.</t>
  </si>
  <si>
    <t>&lt;p&gt;Профилактика дифтерии у детей старше 6&amp;nbsp;лет, подростков и взрослых. [...]
&lt;ul&gt;&lt;li&gt;При плановых возрастных ревакцинациях против дифтерии детей в возрасте 6-7&amp;nbsp;лет, подростков в возрасте 14&amp;nbsp;лет и взрослых старше 18&amp;nbsp;лет каждые 10&amp;nbsp;лет от момента последней ревакцинации, в случае введения между ревакцинациями АС-анатоксина в связи с экстренной профилактикой столбняка. [...]&lt;/li&gt;
&lt;li&gt;При первичной иммунизации против дифтерии взрослых старше 18&amp;nbsp;лет, привитых от столбняка менее 10&amp;nbsp;лет назад. [...]&lt;/li&gt;
&lt;li&gt;При экстренной иммунизации против дифтерии контактных лиц из очагов заболевания, не болевших, непривитых и не имеющих сведений о профилактических прививках против дифтерии. [...]&lt;/li&gt;&lt;/p&gt;</t>
  </si>
  <si>
    <t>https://lk.regmed.ru/Register/GetPDFfromDA?ID=1601683231</t>
  </si>
  <si>
    <t>Профилактика дифтерии у детей старше 6 лет, подростков и взрослых. [...]
• При плановых возрастных ревакцинациях против дифтерии детей в возрасте 6-7 лет, подростков в возрасте 14 лет и взрослых старше 18 лет каждые 10 лет от момента последней ревакцинации, в случае введения между ревакцинациями АС-анатоксина в связи с экстренной профилактикой столбняка. [...]
• При первичной иммунизации против дифтерии взрослых старше 18 лет, привитых от столбняка менее 10 лет назад. [...]
• При экстренной иммунизации против дифтерии контактных лиц из очагов заболевания, не болевших, непривитых и не имеющих сведений о профилактических прививках против дифтерии. [...]</t>
  </si>
  <si>
    <t>&lt;p&gt;Профилактика дифтерии и столбняка у детей с 3-х&amp;nbsp;месяцев и до 6&amp;nbsp;лет. [...]
&lt;ul&gt;&lt;li&gt;Детям, переболевшим коклюшем (с 3-х&amp;nbsp;месячного возраста до достижения 6-летнего возраста).&lt;/li&gt;
&lt;li&gt;Детям, имеющим противопоказания к введению АКДС-вакцины.&lt;/li&gt;
&lt;li&gt;Детям в возрасте 4-5&amp;nbsp;лет включительно, ранее не привитым против дифтерии и столбняка.&lt;/li&gt;&lt;/ul&gt;&lt;/p&gt;</t>
  </si>
  <si>
    <t>https://lk.regmed.ru/Register/GetPDFfromDA?ID=1605321651</t>
  </si>
  <si>
    <t>В разделе "Способ применения и дозы".</t>
  </si>
  <si>
    <t>Профилактика дифтерии и столбняка у детей с 3-х месяцев и до 6 лет. [...]
• Детям, переболевшим коклюшем (с 3-х месячного возраста до достижения 6-летнего возраста).
• Детям, имеющим противопоказания к введению АКДС-вакцины.
• Детям в возрасте 4-5 лет включительно, ранее не привитым против дифтерии и столбняка.</t>
  </si>
  <si>
    <t>&lt;p&gt;Профилактика дифтерии и столбняка у детей с 6&amp;nbsp;месяцев, подростков и взрослых. [...]
&lt;ul&gt;&lt;li&gt;Для плановых возрастных ревакцинаций в 6-7 и 14&amp;nbsp;лет, затем каждые последующие 10&amp;nbsp;лет без ограничения возраста.&lt;br&gt;
&lt;i&gt;Примечание. Взрослых, привитых столбнячным анатоксином менее 10&amp;nbsp;лет назад, прививают АД-М-анатоксином.&lt;/i&gt;&lt;/li&gt;
&lt;li&gt;Для вакцинации детей 6-7&amp;nbsp;лет и старше, ранее непривитых против дифтерии и столбняка.&lt;/li&gt;&lt;/ul&gt;&lt;/p&gt;</t>
  </si>
  <si>
    <t>https://grls.rosminzdrav.ru/InstrImg/2024/12/16/1511954/43eafc3c-33ac-4e33-969c-259e9a175ebb.pdf</t>
  </si>
  <si>
    <t>Профилактика дифтерии и столбняка у детей с 6 месяцев, подростков и взрослых. [...]
• Для плановых возрастных ревакцинаций в 6-7 и 14 лет, затем каждые последующие 10 лет без ограничения возраста.
Примечание. Взрослых, привитых столбнячным анатоксином менее 10 лет назад, прививают АД-М-анатоксином.
• Для вакцинации детей 6-7 лет и старше, ранее непривитых против дифтерии и столбняка.</t>
  </si>
  <si>
    <t>&lt;p&gt;Профилактика дифтерии и столбняка у детей с 6-летнего возраста, подростков и взрослых, в соответствии с «Национальным календарем профилактических прививок» и «Календарем профилактических прививок по эпидемиологическим показаниям».&lt;/p&gt;</t>
  </si>
  <si>
    <t>https://grls.rosminzdrav.ru/InstrImg/2018/7/19/1423955/%D0%A0_N002668_01[2012]_0.pdf</t>
  </si>
  <si>
    <t xml:space="preserve">Профилактика дифтерии и столбняка у детей с 6-летнего возраста, подростков и взрослых, в соответствии с «Национальным календарем профилактических прививок» и «Календарем профилактических прививок по эпидемиологическим показаниям». </t>
  </si>
  <si>
    <t>&lt;p&gt;Ревакцинация против столбняка, дифтерии и коклюша у лиц в возрасте от 4&amp;nbsp;лет и старше.&lt;br&gt;
Пассивная защита детей от коклюша в период младенчества за счет иммунизации беременных женщин&lt;/p&gt;</t>
  </si>
  <si>
    <t>https://lk.regmed.ru/Register/GetPDFfromDA?ID=1592320751</t>
  </si>
  <si>
    <t>Ревакцинация против столбняка, дифтерии и коклюша у лиц в возрасте от 4 лет и старше.
Пассивная защита детей от коклюша в период младенчества за счет иммунизации беременных женщин</t>
  </si>
  <si>
    <t>&lt;p&gt;Профилактика вирусного гепатита&amp;nbsp;A у взрослых и&amp;nbsp;детей с&amp;nbsp;трех&amp;nbsp;лет.&lt;/p&gt;</t>
  </si>
  <si>
    <t>https://grls.rosminzdrav.ru/InstrImg/2020/9/29/1461721/%D0%A0_N000461_01[2018]_0.pdf</t>
  </si>
  <si>
    <t>Профилактика вирусного гепатита A у взрослых и детей с трех лет.</t>
  </si>
  <si>
    <t>&lt;p&gt;Профилактика вирусного гепатита&amp;nbsp;A у&amp;nbsp;взрослых в&amp;nbsp;возрасте 18–50&amp;nbsp;лет.&lt;/p&gt;</t>
  </si>
  <si>
    <t>https://grls.rosminzdrav.ru/InstrImg/2026/05/07/1529632/54e13522-5efa-4c8c-a9b0-7ea539b4f9d1.pdf</t>
  </si>
  <si>
    <t>Профилактика вирусного гепатита A у взрослых в возрасте 18–50 лет.</t>
  </si>
  <si>
    <t>&lt;p&gt;Вакцина Хаврикс (вакцина против гепатита А инактивированная) показана к применению у взрослых и детей в возрасте от 12&amp;nbsp;месяцев для профилактики вирусного гепатита А.&lt;br&gt;
Прививочная доза вакцины Хаврикс для детей в возрасте от 12&amp;nbsp;месяцев до 16&amp;nbsp;лет составляет 0,5&amp;nbsp;мл (1&amp;nbsp;флакон, содержащий 720&amp;nbsp;ЕД вакцины).&lt;/p&gt;</t>
  </si>
  <si>
    <t>https://lk.regmed.ru/Register/GetPDFfromDA?ID=1607490831</t>
  </si>
  <si>
    <t>Вакцина Хаврикс (вакцина против гепатита А инактивированная) показана к применению у взрослых и детей в возрасте от 12 месяцев для профилактики вирусного гепатита А.
Прививочная доза вакцины Хаврикс для детей в возрасте от 12 месяцев до 16 лет составляет 0,5 мл (1 флакон, содержащий 720 ЕД вакцины).</t>
  </si>
  <si>
    <t>&lt;p&gt;Вакцина Хаврикс (вакцина против гепатита А инактивированная) показана к применению у взрослых и детей в возрасте от 12&amp;nbsp;месяцев для профилактики вирусного гепатита А.&lt;br&gt;
Прививочная доза вакцины Хаврикс для взрослых составляет 1,0&amp;nbsp;мл (1&amp;nbsp;флакон, содержащий 1440&amp;nbsp;ЕД вакцины).&lt;br&gt;
Прививочная доза вакцины Хаврикс для подростков от 16&amp;nbsp;до&amp;nbsp;18&amp;nbsp;лет составляет 1,0&amp;nbsp;мл (1&amp;nbsp;флакон, содержащий 1440&amp;nbsp;ЕД вакцины).&lt;/p&gt;</t>
  </si>
  <si>
    <t>Вакцина Хаврикс (вакцина против гепатита А инактивированная) показана к применению у взрослых и детей в возрасте от 12 месяцев для профилактики вирусного гепатита А.
Прививочная доза вакцины Хаврикс для взрослых составляет 1,0 мл (1 флакон, содержащий 1440 ЕД вакцины).
Прививочная доза вакцины Хаврикс для подростков от 16 до 18 лет составляет 1,0 мл (1 флакон, содержащий 1440 ЕД вакцины).</t>
  </si>
  <si>
    <t>&lt;p&gt;Активная иммунизация против гепатита&amp;nbsp;A у детей в возрасте от 12&amp;nbsp;месяцев до 15&amp;nbsp;лет включительно (для первичной вакцинации и для ревакцинации).&lt;/p&gt;</t>
  </si>
  <si>
    <t>https://grls.rosminzdrav.ru/InstrImg/2021/10/06/1474149/9fb37d4d-6fc7-451d-ae8b-ff2258dcae40.pdf</t>
  </si>
  <si>
    <t>Активная иммунизация против гепатита A у детей в возрасте от 12 месяцев до 15 лет включительно (для первичной вакцинации и для ревакцинации).</t>
  </si>
  <si>
    <t>&lt;p&gt;Специфическая профилактика вирусного гепатита&amp;nbsp;A у подростков в возрасте от&amp;nbsp;16&amp;nbsp;лет и взрослых.&lt;/p&gt;</t>
  </si>
  <si>
    <t>https://grls.rosminzdrav.ru/InstrImg/2021/10/06/1474147/01e6e663-0f1b-4047-bdc9-365d6ba31c8a.pdf</t>
  </si>
  <si>
    <t>Специфическая профилактика вирусного гепатита A у подростков в возрасте от 16 лет и взрослых.</t>
  </si>
  <si>
    <t>&lt;p&gt;Специфическая профилактика вирусного гепатита&amp;nbsp;B, вызванного всеми известными субтипами вируса, у детей подростков и взрослых.&lt;br&gt;
&lt;br&gt;
Разовая доза составляет:
&lt;ul&gt;&lt;li&gt;для новорожденных детей и подростков до 18&amp;nbsp;лет включительно — 0,5&amp;nbsp;мл (10&amp;nbsp;мкг&amp;nbsp;HBsAg);&lt;/li&gt;
&lt;li&gt;для пациентов отделения гемодиализа — 2,0&amp;nbsp;мл (40&amp;nbsp;мкг&amp;nbsp;HBsAg).&lt;/li&gt;&lt;ul&gt;&lt;/p&gt;</t>
  </si>
  <si>
    <t>https://grls.rosminzdrav.ru/InstrImg/2025/06/16/1518193/6df836e1-9750-4ca5-be05-590641b808ac.pdf</t>
  </si>
  <si>
    <t>Специфическая профилактика вирусного гепатита B, вызванного всеми известными субтипами вируса, у детей подростков и взрослых.
Разовая доза составляет:
— для новорожденных детей и подростков до 18 лет включительно — 0,5 мл (10 мкг HBsAg);
— для пациентов отделения гемодиализа — 2,0 мл (40 мкг HBsAg).</t>
  </si>
  <si>
    <t>&lt;p&gt;Вакцина гепатита В рекомбинантная дрожжевая показана к применению у детей в возрасте от 0 лет для активной иммунизации против инфекции, вызываемой вирусом гепатита В всех известных субтипов.&lt;br&gt;
&lt;br&gt;
Разовая доза составляет:
&lt;ul&gt;&lt;li&gt;для детей и подростков до&amp;nbsp;18&amp;nbsp;лет включительно — 0,5&amp;nbsp;мл (10&amp;nbsp;мкг&amp;nbsp;HBsAg);&lt;/li&gt;
&lt;li&gt;для пациентов отделения гемодиализа — 2,0&amp;nbsp;мл (40&amp;nbsp;мкг&amp;nbsp;HBsAg).&lt;/li&gt;&lt;/ul&gt;&lt;/p&gt;</t>
  </si>
  <si>
    <t>https://grls.rosminzdrav.ru/InstrImg/2026/03/04/1527238/fe2adafe-5094-4da2-bbba-1a640a0ceb4e.pdf</t>
  </si>
  <si>
    <t>Вакцина гепатита В рекомбинантная дрожжевая показана к применению у детей в возрасте от 0 лет для активной иммунизации против инфекции, вызываемой вирусом гепатита В всех известных субтипов.
Разовая доза составляет:
— для детей и подростков до 18 лет включительно — 0,5 мл (10 мкг HBsAg);
— для пациентов отделения гемодиализа — 2,0 мл (40 мкг HBsAg).</t>
  </si>
  <si>
    <t>&lt;p&gt;Специфическая профилактика инфекции, вызываемой всеми известными подтипами вируса гепатита&amp;nbsp;B, у детей и взрослых.&lt;br&gt;
&lt;br&gt;
Детская доза (с первого дня жизни до 15&amp;nbsp;лет (включительно)): 0,5&amp;nbsp;мл (10&amp;nbsp;мкг&amp;nbsp;HBsAg).&lt;/p&gt;</t>
  </si>
  <si>
    <t>https://grls.rosminzdrav.ru/InstrImg/2019/8/6/1445331/%D0%9F_N011073[2016]_1.pdf</t>
  </si>
  <si>
    <t>Специфическая профилактика инфекции, вызываемой всеми известными подтипами вируса гепатита B, у детей и взрослых.
Детская доза (с первого дня жизни до 15 лет (включительно)): 0,5 мл (10 мкг HBsAg).</t>
  </si>
  <si>
    <t>&lt;p&gt;Специфическая профилактика инфекции, вызываемой всеми известными подтипами вируса гепатита&amp;nbsp;B, у детей и взрослых.&lt;br&gt;
&lt;br&gt;
Взрослая доза (для&amp;nbsp;лиц с&amp;nbsp;16&amp;nbsp;лет): 1,0&amp;nbsp;мл (20&amp;nbsp;мкг&amp;nbsp;HBsAg).&lt;/p&gt;</t>
  </si>
  <si>
    <t>Специфическая профилактика инфекции, вызываемой всеми известными подтипами вируса гепатита B, у детей и взрослых.
Взрослая доза (для лиц с 16 лет): 1,0 мл (20 мкг HBsAg).</t>
  </si>
  <si>
    <t>&lt;p&gt;Вакцина Церварикс [...] показана к применению у взрослых в возрасте до 45&amp;nbsp;лет и детей в возрасте от 9&amp;nbsp;лет для профилактики персистирующей инфекции, предраковых поражений шейки матки, вульвы, влагалища и анального канала, рака шейки матки, вульвы, влагалища, анального канала (плоскоклеточного и аденокарциномы), обусловленных вирусами папилломы человека высокого онкогенного риска.&lt;/p&gt;</t>
  </si>
  <si>
    <t>https://lk.regmed.ru/Register/GetPDFfromDA?ID=1611660161</t>
  </si>
  <si>
    <t>Вакцина Церварикс [...] показана к применению у взрослых в возрасте до 45 лет и детей в возрасте от 9 лет для профилактики персистирующей инфекции, предраковых поражений шейки матки, вульвы, влагалища и анального канала, рака шейки матки, вульвы, влагалища, анального канала (плоскоклеточного и аденокарциномы), обусловленных вирусами папилломы человека высокого онкогенного риска.</t>
  </si>
  <si>
    <t>&lt;p&gt;Вакцина Гардасил показана к&amp;nbsp;применению лицам в&amp;nbsp;возрасте от&amp;nbsp;9&amp;nbsp;лет [...].&lt;/p&gt;</t>
  </si>
  <si>
    <t>https://lk.regmed.ru/Register/GetPDFfromDA?ID=1575625191</t>
  </si>
  <si>
    <t>Вакцина Гардасил показана к применению лицам в возрасте от 9 лет [...].</t>
  </si>
  <si>
    <t>&lt;p&gt;Вакцина Гам-КОВИД-Вак показана к применению у взрослых с 18&amp;nbsp;лет для профилактики COVID-19.&lt;/p&gt;</t>
  </si>
  <si>
    <t>https://grls.rosminzdrav.ru/InstrImg/2025/07/21/1519595/f7c8e9e3-baf4-4c2e-949f-a41b75a8ad7c.pdf</t>
  </si>
  <si>
    <t xml:space="preserve">Вакцина Гам-КОВИД-Вак показана к применению у взрослых с 18 лет для профилактики COVID-19. </t>
  </si>
  <si>
    <t>&lt;p&gt;Профилактика новой коронавирусной инфекции (COVID-19) у взрослых 18&amp;nbsp;–&amp;nbsp;60&amp;nbsp;лет.&lt;/p&gt;</t>
  </si>
  <si>
    <t>https://grls.rosminzdrav.ru/InstrImg/2022/03/24/1479420/3838bcfc-cc6a-448b-abf8-404668c05a34.pdf</t>
  </si>
  <si>
    <t>Профилактика новой коронавирусной инфекции (COVID-19) у взрослых 18 – 60 лет.</t>
  </si>
  <si>
    <t>&lt;p&gt;Профилактика новой коронавирусной инфекции (COVID-19) у взрослых старше 18&amp;nbsp;лет.&lt;/p&gt;</t>
  </si>
  <si>
    <t>https://grls.rosminzdrav.ru/InstrImg/2023/01/09/1490224/e76560fa-e72e-49eb-8daf-91f3d1403e22.pdf</t>
  </si>
  <si>
    <t>Профилактика новой коронавирусной инфекции (COVID-19) у взрослых старше 18 лет.</t>
  </si>
  <si>
    <r>
      <rPr>
        <sz val="10"/>
        <color theme="1"/>
        <rFont val="Arial"/>
      </rPr>
      <t>&lt;p&gt;Для специфической профилактики гриппа применяется вакцина без консерванта у детей с 6-месячного возраста, подростков и взрослых без ограничения возраста; вакцина с консервантом — у взрослых с 18&amp;nbsp;лет.&lt;br&gt;
&lt;br&gt;
Детям от 6&amp;nbsp;месяцев до 3&amp;nbsp;лет:
&lt;ul&gt;&lt;li&gt;по&amp;nbsp;0,25&amp;nbsp;мл (1/2&amp;nbsp;дозы, содержащейся в ампуле и отобранной стерильным шприцем, имеющим соответствующую градуировку) двукр</t>
    </r>
    <r>
      <rPr>
        <b/>
        <sz val="10"/>
        <color theme="1"/>
        <rFont val="Arial"/>
      </rPr>
      <t>атно с ин</t>
    </r>
    <r>
      <rPr>
        <sz val="10"/>
        <color theme="1"/>
        <rFont val="Arial"/>
      </rPr>
      <t xml:space="preserve">тервалом 4&amp;nbsp;недели (ранее не привитым);&lt;/li&gt;
&lt;li&gt;по&amp;nbsp;0,5&amp;nbsp;мл </t>
    </r>
    <r>
      <rPr>
        <b/>
        <sz val="10"/>
        <color theme="1"/>
        <rFont val="Arial"/>
      </rPr>
      <t>однократно</t>
    </r>
    <r>
      <rPr>
        <sz val="10"/>
        <color theme="1"/>
        <rFont val="Arial"/>
      </rPr>
      <t xml:space="preserve">, если ребенок в предыдущий сезон был вакцинирован против гриппа.&lt;/li&gt;&lt;/ul&gt;&lt;/p&gt;
&lt;p&gt;Детям старше 3&amp;nbsp;лет, подросткам и взрослым без ограничения возраста:
&lt;ul&gt;&lt;li&gt;по&amp;nbsp;0,5&amp;nbsp;мл </t>
    </r>
    <r>
      <rPr>
        <b/>
        <sz val="10"/>
        <color theme="1"/>
        <rFont val="Arial"/>
      </rPr>
      <t>однократно</t>
    </r>
    <r>
      <rPr>
        <sz val="10"/>
        <color theme="1"/>
        <rFont val="Arial"/>
      </rPr>
      <t>.&lt;/li&gt;&lt;/ul&gt;&lt;/p&gt;</t>
    </r>
  </si>
  <si>
    <t>https://grls.rosminzdrav.ru/InstrImg/2020/11/12/37422/bb3f3b49-b450-42cf-a999-bcc087b2eb05.pdf</t>
  </si>
  <si>
    <r>
      <rPr>
        <sz val="10"/>
        <color theme="1"/>
        <rFont val="Arial"/>
      </rPr>
      <t xml:space="preserve">Для специфической профилактики гриппа применяется вакцина без консерванта у детей с 6-месячного возраста, подростков и взрослых без ограничения возраста; вакцина с консервантом — у взрослых с 18 лет.
Детям от 6 месяцев до 3 лет:
– по 0,25 мл (1/2 дозы, содержащейся в ампуле и отобранной стерильным шприцем, имеющим соответствующую градуировку) </t>
    </r>
    <r>
      <rPr>
        <b/>
        <sz val="10"/>
        <color theme="1"/>
        <rFont val="Arial"/>
      </rPr>
      <t>двукратно</t>
    </r>
    <r>
      <rPr>
        <sz val="10"/>
        <color theme="1"/>
        <rFont val="Arial"/>
      </rPr>
      <t xml:space="preserve"> с интервалом 4 недели (ранее не привитым);
– по 0,5 мл </t>
    </r>
    <r>
      <rPr>
        <b/>
        <sz val="10"/>
        <color theme="1"/>
        <rFont val="Arial"/>
      </rPr>
      <t>однократно</t>
    </r>
    <r>
      <rPr>
        <sz val="10"/>
        <color theme="1"/>
        <rFont val="Arial"/>
      </rPr>
      <t xml:space="preserve">, если ребенок в предыдущий сезон был вакцинирован против гриппа.
Детям старше 3 лет, подросткам и взрослым без ограничения возраста:
– по 0,5 мл </t>
    </r>
    <r>
      <rPr>
        <b/>
        <sz val="10"/>
        <color theme="1"/>
        <rFont val="Arial"/>
      </rPr>
      <t>однократно</t>
    </r>
    <r>
      <rPr>
        <sz val="10"/>
        <color theme="1"/>
        <rFont val="Arial"/>
      </rPr>
      <t>.</t>
    </r>
  </si>
  <si>
    <t>&lt;p&gt;Специфическая профилактика гриппа у детей, начиная с 6-месячного возраста, подростков и взрослых без ограничения возраста.&lt;br&gt;
&lt;br&gt;
1. Детям от 6&amp;nbsp;месяцев до 3&amp;nbsp;лет:
&lt;ul&gt;&lt;li&gt;по&amp;nbsp;0,25&amp;nbsp;мл двукратно с интервалом 4&amp;nbsp;недели;&lt;/li&gt;
&lt;li&gt;по&amp;nbsp;0,5&amp;nbsp;мл однократно, если ребенок в предыдущий сезон был вакцинирован против гриппа.&lt;/li&gt;&lt;/ul&gt;&lt;/p&gt;
&lt;p&gt;2. Детям старше 3&amp;nbsp;лет и взрослым без ограничения возраста: по&amp;nbsp;0,5&amp;nbsp;мл однократно.&lt;/p&gt;</t>
  </si>
  <si>
    <t>https://grls.rosminzdrav.ru/InstrImg/2020/11/23/1413288/cb3a391e-05f5-41e6-9963-8f102193f7e0.pdf</t>
  </si>
  <si>
    <t>Специфическая профилактика гриппа у детей, начиная с 6-месячного возраста, подростков и взрослых без ограничения возраста.
1. Детям от 6 месяцев до 3 лет:
– по 0,25 мл двукратно с интервалом 4 недели;
– по 0,5 мл однократно, если ребенок в предыдущий сезон был вакцинирован против гриппа.
2. Детям старше 3 лет и взрослым без ограничения возраста: по 0,5 мл однократно.</t>
  </si>
  <si>
    <t>&lt;p&gt;Специфическая профилактика гриппа у детей, начиная с 6-месячного возраста, подростков и взрослых без ограничения возраста.&lt;br&gt;
Детям старше 36&amp;nbsp;месяцев, подросткам и взрослым вакцину вводят однократно в дозе 0,5&amp;nbsp;мл. Вакцинация проводится ежегодно в осенне-зимний период. Возможна вакцинация в начале эпидемического подъема заболеваемости гриппом.&lt;/p&gt;</t>
  </si>
  <si>
    <t>https://lk.regmed.ru/Register/GetPDFfromDA?ID=1512826451</t>
  </si>
  <si>
    <t>Специфическая профилактика гриппа у детей, начиная с 6-месячного возраста, подростков и взрослых без ограничения возраста.
Детям старше 36 месяцев, подросткам и взрослым вакцину вводят однократно в дозе 0,5 мл. Вакцинация проводится ежегодно в осенне-зимний период. Возможна вакцинация в начале эпидемического подъема заболеваемости гриппом.</t>
  </si>
  <si>
    <t>&lt;p&gt;СОВИГРИПП предназначен для активной ежегодной профилактической иммунизации против сезонного гриппа. Вакцинация проводится ежегодно в осенне-зимний период. Возможна вакцинация в течение эпидемического сезона гриппа.&lt;br&gt;
Вакцина без консерванта (без тиомерсала) показана к применению у детей с 6-месячного возраста, подростков и взрослых без ограничения возраста и у беременных женщин.&lt;br&gt;
Вакцина с консервантом (с тиомерсалом) показана к применению у взрослых с 18&amp;nbsp;лет.&lt;/p&gt;</t>
  </si>
  <si>
    <t>https://lk.regmed.ru/Register/GetPDFfromDA?ID=1633580161</t>
  </si>
  <si>
    <t>СОВИГРИПП предназначен для активной ежегодной профилактической иммунизации против сезонного гриппа. Вакцинация проводится ежегодно в осенне-зимний период. Возможна вакцинация в течение эпидемического сезона гриппа.
Вакцина без консерванта (без тиомерсала) показана к применению у детей с 6-месячного возраста, подростков и взрослых без ограничения возраста и у беременных женщин.
Вакцина с консервантом (с тиомерсалом) показана к применению у взрослых с 18 лет.</t>
  </si>
  <si>
    <t>&lt;p&gt;Активная ежегодная профилактическая иммунизация против сезонного гриппа.&lt;br&gt;
Вакцина без содержания консерванта — дети с 6-месячного возраста, подростки, взрослые без ограничения возраста, женщины на II&amp;nbsp;–&amp;nbsp;III триместрах беременности; вакцина с консервантом — взрослые с 18&amp;nbsp;лет.&lt;/p&gt;</t>
  </si>
  <si>
    <t>https://lk.regmed.ru/Register/GetPDFfromDA?ID=1523760571</t>
  </si>
  <si>
    <t>Активная ежегодная профилактическая иммунизация против сезонного гриппа. 
Вакцина без содержания консерванта — дети с 6-месячного возраста, подростки, взрослые без ограничения возраста, женщины на II – III триместрах беременности; вакцина с консервантом — взрослые с 18 лет.</t>
  </si>
  <si>
    <t>&lt;p&gt;Активная ежегодная профилактическая иммунизация против сезонного гриппа детей с&amp;nbsp;6&amp;nbsp;лет, подростков и взрослых без ограничения возраста.&lt;/p&gt;</t>
  </si>
  <si>
    <t>https://grls.rosminzdrav.ru/InstrImg/2026/02/10/1526281/07a2f661-6334-4894-8117-0ad7563ba4ef.pdf</t>
  </si>
  <si>
    <t>Активная ежегодная профилактическая иммунизация против сезонного гриппа детей с 6 лет, подростков и взрослых без ограничения возраста.</t>
  </si>
  <si>
    <t>&lt;p&gt;Вакцина Ваксигрип&amp;nbsp;® предназначена для: 
&lt;ul&gt;&lt;li&gt;активной иммунизации взрослых, включая беременных 
женщин, и детей с 6-месячного возраста [...].&lt;/li&gt;&lt;/ul&gt;&lt;/p&gt;</t>
  </si>
  <si>
    <t>https://grls.rosminzdrav.ru/InstrImg/2021/12/14/1476333/6ec3965b-4239-4718-add0-ce5ef822b7c4.pdf</t>
  </si>
  <si>
    <t>Вакцина Ваксигрип ® предназначена для: 
• активной иммунизации взрослых, включая беременных 
женщин, и детей с 6-месячного возраста [...].</t>
  </si>
  <si>
    <t>&lt;p&gt;Препарат Инфлювак показан к применению для ежегодной сезонной профилактики гриппа у взрослых и детей в возрасте от 6&amp;nbsp;месяцев до 18&amp;nbsp;лет, в особенности у пациентов с повышенным риском развития осложнений, связанных с инфицированием вирусом гриппа.&lt;/p&gt;</t>
  </si>
  <si>
    <t>https://grls.rosminzdrav.ru/InstrImg/2026/03/05/1527284/4a34f8fb-090f-4a41-bab9-0d4194977316.pdf</t>
  </si>
  <si>
    <t>Препарат Инфлювак показан к применению для ежегодной сезонной профилактики гриппа у взрослых и детей в возрасте от 6 месяцев до 18 лет, в особенности у пациентов с повышенным риском развития осложнений, связанных с инфицированием вирусом гриппа.</t>
  </si>
  <si>
    <t>&lt;p&gt;Активная ежегодная профилактическая иммунизация против сезонного гриппа детей с 6-месячного возраста, подростков и взрослых без ограничения возраста.&lt;/p&gt;</t>
  </si>
  <si>
    <t>https://lk.regmed.ru/Register/GetPDFfromDA?ID=1612604181</t>
  </si>
  <si>
    <t>Активная ежегодная профилактическая иммунизация против сезонного гриппа детей с 6-месячного возраста, подростков и взрослых без ограничения возраста.</t>
  </si>
  <si>
    <t>&lt;p&gt;Специфическая профилактика гриппа у детей, начиная с 6-месячного возраста, подростков и взрослых до 60&amp;nbsp;лет.&lt;/p&gt;</t>
  </si>
  <si>
    <t>https://grls.rosminzdrav.ru/InstrImg/2025/05/26/1517557/95b8d8b7-23f5-4e99-a4f7-efc667459b50.pdf</t>
  </si>
  <si>
    <t>Специфическая профилактика гриппа у детей, начиная с 6-месячного возраста, подростков и взрослых до 60 лет.</t>
  </si>
  <si>
    <t>&lt;p&gt;Плановые прививки проводят двукратно в&amp;nbsp;возрасте 12&amp;nbsp;месяцев и 6&amp;nbsp;лет детям, не болевшим корью.&lt;br&gt;
&lt;br&gt;
Детей, родившихся от серонегативных к&amp;nbsp;вирусу кори матерей, вакцинируют в&amp;nbsp;возрасте 8&amp;nbsp;месяцев и&amp;nbsp;далее — в&amp;nbsp;14&amp;nbsp;–&amp;nbsp;15&amp;nbsp;месяцев и&amp;nbsp;6&amp;nbsp;лет.&lt;br&gt;
[...]&lt;br&gt;
Экстренную профилактику проводят контактным лицам без ограничения возраста из очагов заболевания, ранее не болевшим, не привитым и не имеющим сведений о профилактических прививках против кори, или однократно привитым старше 6&amp;nbsp;лет. При отсутствии противопоказаний вакцину вводят не позднее, чем через 72&amp;nbsp;ч после контакта с больным.&lt;/p&gt;</t>
  </si>
  <si>
    <t>https://lk.regmed.ru/Register/GetPDFfromDA?ID=1581220991</t>
  </si>
  <si>
    <t>Плановые прививки проводят двукратно в возрасте 12 месяцев и 6 лет детям, не болевшим корью.
Детей, родившихся от серонегативных к вирусу кори матерей, вакцинируют в возрасте 8 месяцев и далее — в 14 – 15 месяцев и 6 лет.
[...]
Экстренную профилактику проводят контактным лицам без ограничения возраста из очагов заболевания, ранее не болевшим, не привитым и не имеющим сведений о профилактических прививках против кори, или однократно привитым старше 6 лет. При отсутствии противопоказаний вакцину вводят не позднее, чем через 72 ч после контакта с больным.</t>
  </si>
  <si>
    <t>&lt;p&gt;&lt;i&gt;Профилактика кори плановая&lt;/i&gt;&lt;br&gt;
В соответствии с Национальным календарем профилактических прививок РФ вакцинацию не болевших корью детей проводят в возрасте 12&amp;nbsp;мес и ревакцинацию — в 6&amp;nbsp;лет.&lt;br&gt;
Национальный календарь профилактических прививок РФ предусматривает вакцинацию:
&lt;ul&gt;&lt;li&gt;детей от 1&amp;nbsp;года до 17&amp;nbsp;лет (включительно), ранее не вакцинированных и не болевших корью;&lt;/li&gt;
&lt;li&gt;взрослых от 18 до 35&amp;nbsp;лет (включительно), не болевших, не привитых, привитых однократно, не имеющих сведений о прививках против кори;&lt;/li&gt;
&lt;li&gt;взрослых от 36 до 55&amp;nbsp;лет (включительно), относящихся к группам риска (работники медицинских и образовательных организаций, организаций торговли, транспорта, коммунальной и социальной сферы; лица, работающие вахтовым методом, и сотрудники государственных контрольных органов в пунктах пропуска через государственную границу Российской Федерации), не болевших, не привитых, привитых однократно, не имеющих сведений о прививках против кори; интервал между первой и второй прививками должен составлять не менее 3&amp;nbsp;мес.&lt;/li&gt;&lt;/ul&gt;
&lt;i&gt;Профилактика кори по эпидемическим показаниям&lt;/i&gt;&lt;br&gt;
Вакцинация контактных лиц без ограничения возраста из очагов заболевания, ранее не болевших, не привитых и не имеющих сведений о профилактических прививках против кори, или однократно привитых старше 6&amp;nbsp;лет.&lt;/p&gt;</t>
  </si>
  <si>
    <t>https://grls.rosminzdrav.ru/InstrImg/2025/12/30/1524922/f74ec015-a175-4792-8828-9d0c1f6547ab.pdf</t>
  </si>
  <si>
    <r>
      <rPr>
        <i/>
        <sz val="10"/>
        <color theme="1"/>
        <rFont val="Arial"/>
      </rPr>
      <t>Профилактика кори плановая</t>
    </r>
    <r>
      <rPr>
        <sz val="10"/>
        <color theme="1"/>
        <rFont val="Arial"/>
      </rPr>
      <t xml:space="preserve">
В соответствии с Национальным календарем профилактических прививок РФ вакцинацию не болевших корью детей проводят в возрасте 12 мес и ревакцинацию — в 6 лет.
Национальный календарь профилактических прививок РФ предусматривает вакцинацию:
• детей от 1 года до 17 лет (включительно), ранее не вакцинированных и не болевших корью;
• взрослых от 18 до 35 лет (включительно), не болевших, не привитых, привитых однократно, не имеющих сведений о прививках против кори;
• взрослых от 36 до 55 лет (включительно), относящихся к группам риска (работники медицинских и образовательных организаций, организаций торговли, транспорта, коммунальной и социальной сферы; лица, работающие вахтовым методом, и сотрудники государственных контрольных органов в пунктах пропуска через государственную границу Российской Федерации), не болевших, не привитых, привитых однократно, не имеющих сведений о прививках против кори; интервал между первой и второй прививками должен составлять не менее 3 мес.
</t>
    </r>
    <r>
      <rPr>
        <i/>
        <sz val="10"/>
        <color theme="1"/>
        <rFont val="Arial"/>
      </rPr>
      <t>Профилактика кори по эпидемическим показаниям</t>
    </r>
    <r>
      <rPr>
        <sz val="10"/>
        <color theme="1"/>
        <rFont val="Arial"/>
      </rPr>
      <t xml:space="preserve">
Вакцинация контактных лиц без ограничения возраста из очагов заболевания, ранее не болевших, не привитых и не имеющих сведений о профилактических прививках против кори, или однократно привитых старше 6 лет.</t>
    </r>
  </si>
  <si>
    <t>&lt;p&gt;Плановые прививки проводят двукратно в возрасте 12&amp;nbsp;–&amp;nbsp;15&amp;nbsp;месяцев и 6&amp;nbsp;лет детям, не болевшим корью.&lt;br&gt;
&lt;br&gt;
Детей, родившихся от серонегативных к вирусу кори матерей, вакцинируют в возрасте 8&amp;nbsp;месяцев и далее — в соответствии с календарем прививок в 14&amp;nbsp;–&amp;nbsp;15&amp;nbsp;месяцев и 6&amp;nbsp;лет.&lt;/p&gt;</t>
  </si>
  <si>
    <t>https://grls.rosminzdrav.ru/InstrImg/2020/10/15/1462300/%D0%A0_N001586_01[2007]_0.pdf</t>
  </si>
  <si>
    <t>Плановые прививки проводят двукратно в возрасте 12 – 15 месяцев и 6 лет детям, не болевшим корыо.
Детей, родившихся от серонегативных к вирусу кори матерей, вакцинируют в возрасте 8 месяцев и далее — в соответствии с календарем прививок в 14 – 15 месяцев и 6 лет.</t>
  </si>
  <si>
    <t>&lt;p&gt;Профилактика кори и эпидемического паротита, начиная с возраста 12&amp;nbsp;месяцев.&lt;/p&gt;</t>
  </si>
  <si>
    <t>https://lk.regmed.ru/Register/GetPDFfromDA?ID=1597558391</t>
  </si>
  <si>
    <t>Профилактика кори и эпидемического паротита, начиная с возраста 12 месяцев.</t>
  </si>
  <si>
    <t>&lt;p&gt;Вакцина ВАКТРИВИР показана к применению у взрослых и детей в возрасте от 12&amp;nbsp;месяцев для профилактики кори, краснухи и эпидемического паротита.&lt;/p&gt;</t>
  </si>
  <si>
    <t>https://grls.rosminzdrav.ru/InstrImg/2025/06/19/1518378/557245be-23d7-4913-9af3-4fa130d3c97f.pdf</t>
  </si>
  <si>
    <t>Вакцина ВАКТРИВИР показана к применению у взрослых и детей в возрасте от 12 месяцев для профилактики кори, краснухи и эпидемического паротита.</t>
  </si>
  <si>
    <t>&lt;p&gt;Профилактика кори, эпидемического паротита и краснухи у лиц с 12-месячного возраста и старше.&lt;/p&gt;</t>
  </si>
  <si>
    <t>https://grls.rosminzdrav.ru/InstrImg/2022/02/17/1478020/d454a4ed-f278-470c-9ca3-82a7d582e3aa.pdf</t>
  </si>
  <si>
    <t>Профилактика кори, эпидемического паротита и краснухи у лиц с 12-месячного возраста и старше.</t>
  </si>
  <si>
    <t>&lt;p&gt;Препарат Вакцина менингококковая группы А полисахаридная показан к применению
у взрослых, подростков и детей старше 1&amp;nbsp;года [...].&lt;/p&gt;</t>
  </si>
  <si>
    <t>https://lk.regmed.ru/Register/GetPDFfromDA?ID=1583272671</t>
  </si>
  <si>
    <t>Препарат Вакцина менингококковая группы А полисахаридная показан к применению
у взрослых, подростков и детей старше 1 года [...].</t>
  </si>
  <si>
    <t>&lt;p&gt;Вакцинация взрослых от&amp;nbsp;18&amp;nbsp;до&amp;nbsp;60&amp;nbsp;лет [...].&lt;/p&gt;</t>
  </si>
  <si>
    <t>Вакцинация взрослых от 18 до 60 лет [...].</t>
  </si>
  <si>
    <t>&lt;p&gt;Профилактика инвазивных форм менингококковой инфекции, вызываемой &lt;i&gt;N.&amp;nbsp;mеningitidis&lt;/i&gt; серогрупп А, С, Y и W-135, у лиц в возрасте от 9&amp;nbsp;месяцев до 55&amp;nbsp;лет.&lt;/p&gt;</t>
  </si>
  <si>
    <t>https://lk.regmed.ru/Register/GetPDFfromDA?ID=1574028031</t>
  </si>
  <si>
    <r>
      <rPr>
        <sz val="10"/>
        <color theme="1"/>
        <rFont val="Arial"/>
      </rPr>
      <t xml:space="preserve">Профилактика инвазивных форм менингококковой инфекции, вызываемой </t>
    </r>
    <r>
      <rPr>
        <i/>
        <sz val="10"/>
        <color theme="1"/>
        <rFont val="Arial"/>
      </rPr>
      <t>N. mеningitidis</t>
    </r>
    <r>
      <rPr>
        <sz val="10"/>
        <color theme="1"/>
        <rFont val="Arial"/>
      </rPr>
      <t xml:space="preserve"> серогрупп А, С, Y и W-135, у лиц в возрасте от 9 месяцев до 55 лет.</t>
    </r>
  </si>
  <si>
    <t>&lt;p&gt;Профилактика эпидемического паротита, начиная с&amp;nbsp;возраста 12&amp;nbsp;месяцев.&lt;/p&gt;</t>
  </si>
  <si>
    <t>https://lk.regmed.ru/Register/GetPDFfromDA?ID=1594767771</t>
  </si>
  <si>
    <t>Профилактика эпидемического паротита, начиная с возраста 12 месяцев.</t>
  </si>
  <si>
    <r>
      <rPr>
        <sz val="10"/>
        <color theme="1"/>
        <rFont val="Arial"/>
      </rPr>
      <t xml:space="preserve">&lt;p&gt;Активная иммунизация для профилактики пневмококковых инфекций, включая инвазивные (в том числе менингит, бактериемию, сепсис, тяжелые пневмонии) и неинвазивные (внебольничные пневмонии и средние отиты) формы заболеваний, вызываемые </t>
    </r>
    <r>
      <rPr>
        <i/>
        <sz val="10"/>
        <color theme="1"/>
        <rFont val="Arial"/>
      </rPr>
      <t>&lt;i&gt;Streptococcus pneumoniae</t>
    </r>
    <r>
      <rPr>
        <sz val="10"/>
        <color theme="1"/>
        <rFont val="Arial"/>
      </rPr>
      <t>&lt;/i&gt; серотипов 1, 3, 4, 5, 6A, 6B, 7F, 9V, 14, 18C, 19A, 19F и 23F от 6&amp;nbsp;недель жизни и далее без ограничения по возрасту [...].&lt;/p&gt;</t>
    </r>
  </si>
  <si>
    <t>https://lk.regmed.ru/Register/GetPDFfromDA?ID=1544529771</t>
  </si>
  <si>
    <r>
      <rPr>
        <sz val="10"/>
        <color theme="1"/>
        <rFont val="Arial"/>
      </rPr>
      <t xml:space="preserve">Активная иммунизация для профилактики пневмококковых инфекций, включая инвазивные (в том числе менингит, бактериемию, сепсис, тяжелые пневмонии) и неинвазивные (внебольничные пневмонии и средние отиты) формы заболеваний, вызываемые </t>
    </r>
    <r>
      <rPr>
        <i/>
        <sz val="10"/>
        <color theme="1"/>
        <rFont val="Arial"/>
      </rPr>
      <t>Streptococcus pneumoniae</t>
    </r>
    <r>
      <rPr>
        <sz val="10"/>
        <color theme="1"/>
        <rFont val="Arial"/>
      </rPr>
      <t xml:space="preserve"> серотипов 1, 3, 4, 5, 6A, 6B, 7F, 9V, 14, 18C, 19A, 19F и 23F от 6 недель жизни и далее без ограничения по возрасту [...].</t>
    </r>
  </si>
  <si>
    <t>&lt;p&gt;Активная иммунизация детей в возрасте от 6&amp;nbsp;недель до 5&amp;nbsp;лет с целью профилактики заболеваний, включая сепсис, бактериемию, пневмонию (инвазивную и неинвазивную), менингит и острый средний отит, вызываемых &lt;i&gt;Streptococcus pneumoniae&lt;/i&gt; серотипов 1, 4, 5, 6B, 7F, 9V, 14, 18C, 19F, 23F, 19A (родственный вакцинному серотипу, в отношении которого после вакцинации происходит выработка перекрестно реагирующих антител).&lt;/p&gt;</t>
  </si>
  <si>
    <t>https://grls.rosminzdrav.ru/InstrImg/2021/1/12/1464953/%D0%9B%D0%9F-001412[2019]_0.pdf</t>
  </si>
  <si>
    <r>
      <rPr>
        <sz val="10"/>
        <color theme="1"/>
        <rFont val="Arial"/>
      </rPr>
      <t xml:space="preserve">Активная иммунизация детей в возрасте от 6 недель до 5 лет с целью профилактики заболеваний, включая сепсис, бактериемию, пневмонию (инвазивную и неинвазивную), менингит и острый средний отит, вызываемых </t>
    </r>
    <r>
      <rPr>
        <i/>
        <sz val="10"/>
        <color theme="1"/>
        <rFont val="Arial"/>
      </rPr>
      <t xml:space="preserve">Streptococcus pneumoniae </t>
    </r>
    <r>
      <rPr>
        <sz val="10"/>
        <color theme="1"/>
        <rFont val="Arial"/>
      </rPr>
      <t>серотипов 1, 4, 5, 6B, 7F, 9V, 14, 18C, 19F, 23F, 19A (родственный вакцинному серотипу, в отношении которого после вакцинации происходит выработка перекрестно реагирующих антител).</t>
    </r>
  </si>
  <si>
    <t>&lt;p&gt;Вакцина вводится лицам в возрасте 50&amp;nbsp;лет и старше, а также лицам старше 2&amp;nbsp;лет с повышенным риском развития пневмококковых инфекций.&lt;/p&gt;</t>
  </si>
  <si>
    <t>https://lk.regmed.ru/Register/GetPDFfromDA?ID=1509638211</t>
  </si>
  <si>
    <t>Вакцина вводится лицам в возрасте 50 лет и старше, а также лицам старше 2 лет с повышенным риском развития пневмококковых инфекций.</t>
  </si>
  <si>
    <t>&lt;p&gt;&lt;i&gt;Инструкция не содержит ограничений по возрасту.&lt;/i&gt;&lt;/p&gt;</t>
  </si>
  <si>
    <t>https://grls.rosminzdrav.ru/InstrImg/2022/03/11/1478822/91a975c9-b5b0-4f4e-8827-f5683ed7c461.pdf</t>
  </si>
  <si>
    <t>Инструкция не содержит ограничений по возрасту.</t>
  </si>
  <si>
    <t>&lt;p&gt;Плановая профилактика полиомиелита у взрослых и детей от 20&amp;nbsp;месяцев, ранее привитых от полиомиелита инактивированной полиомиелитной вакциной (ИПВ).&lt;br&gt;
Вакцинация против полиомиелита по эпидемическим показаниям у взрослых и детей проводится в соответствии с постановлением главного государственного санитарного врача субъекта Российской Федерации, которым определяется возраст детей, подлежащих вакцинации, сроки и кратность ее проведения.&lt;/p&gt;</t>
  </si>
  <si>
    <t>https://grls.rosminzdrav.ru/InstrImg/2025/07/25/1519625/ca601e77-829c-48a9-b9b5-204e5b86aa88.pdf</t>
  </si>
  <si>
    <t>Плановая профилактика полиомиелита у взрослых и детей от 20 месяцев, ранее привитых от полиомиелита инактивированной полиомиелитной вакциной (ИПВ).
Вакцинация против полиомиелита по эпидемическим показаниям у взрослых и детей проводится в соответствии с постановлением главного государственного санитарного врача субъекта Российской Федерации, которым определяется возраст детей, подлежащих вакцинации, сроки и кратность ее проведения.</t>
  </si>
  <si>
    <t>&lt;p&gt;Активная иммунизация в целях профилактики полиомиелита у детей с 3&amp;nbsp;месяцев и взрослых.&lt;/p&gt;</t>
  </si>
  <si>
    <t>https://grls.rosminzdrav.ru/InstrImg/2024/12/19/1512043/59e764b9-60fd-455d-b6fc-d0056460286e.pdf</t>
  </si>
  <si>
    <t>Активная иммунизация в целях профилактики полиомиелита у детей с 3 месяцев и взрослых.</t>
  </si>
  <si>
    <t>https://lk.regmed.ru/Register/GetPDFfromDA?ID=1649843881</t>
  </si>
  <si>
    <t>https://grls.rosminzdrav.ru/InstrImg/2022/11/25/1488723/80c7b6fb-3d8f-4ee9-9610-da77ce371e71.pdf</t>
  </si>
  <si>
    <t>https://grls.rosminzdrav.ru/InstrImg/2017/6/22/1417297/%D0%9B%D0%A1-001296[2012]_0.pdf</t>
  </si>
  <si>
    <t>&lt;p&gt;Активная иммунизация детей в возрасте от&amp;nbsp;6&amp;nbsp;до&amp;nbsp;32&amp;nbsp;недель с целью профилактики гастроэнтерита, вызываемого ротавирусами серотипов G1, 62, 63, G4 и серотипов G, содержащих Р1A[8] (например, G9).&lt;/p&gt;</t>
  </si>
  <si>
    <t>https://grls.rosminzdrav.ru/InstrImg/2021/11/10/1475366/c97cdf1c-9f19-49af-853a-b664873cc8fb.pdf</t>
  </si>
  <si>
    <t>Активная иммунизация детей в возрасте от 6 до 32 недель с целью профилактики гастроэнтерита, вызываемого ротавирусами серотипов G1, 62, 63, G4 и серотипов G, содержащих Р1A[8] (например, G9).</t>
  </si>
  <si>
    <t>&lt;p&gt;В соответствии с Национальным календарем профилактических прививок вакцинацию проводят в возрасте 12&amp;nbsp;мес, ревакцинацию – в 6&amp;nbsp;лет.&lt;br&gt;
Национальный календарь профилактических прививок предусматривает вакцинацию детей в возрасте от 1&amp;nbsp;года до 17&amp;nbsp;лет (включительно), женщин от 18 до 25&amp;nbsp;лет (включительно), не болевших, не привитых, привитых однократно против краснухи, не имеющих сведений о прививках против краснухи.&lt;/p&gt;</t>
  </si>
  <si>
    <t>https://lk.regmed.ru/Register/GetPDFfromDA?ID=1621077341</t>
  </si>
  <si>
    <t>В соответствии с Национальным календарем профилактических прививок вакцинацию проводят в возрасте 12 мес, ревакцинацию – в 6 лет.
Национальный календарь профилактических прививок предусматривает вакцинацию детей в возрасте от 1 года до 17 лет (включительно), женщин от 18 до 25 лет (включительно), не болевших, не привитых, привитых однократно против краснухи, не имеющих сведений о прививках против краснухи.</t>
  </si>
  <si>
    <t>&lt;p&gt;В соответствии с Национальным календарем профилактических прививок вакцинацию проводят двукратно: по достижению 12-месячного возраста и в 6&amp;nbsp;лет.&lt;br&gt;
Показана также:
&lt;ul&gt;&lt;li&gt;вакцинация девочек в возрасте тринадцати&amp;nbsp;лет, ранее не привитых и не болевших краснухой или получивших к этому возрасту только одну прививку;&lt;/li&gt;
&lt;li&gt;однократная вакцинация девушек и небеременных женщин детородного возраста, не привитых и не болевших краснухой, для профилактики врожденной краснухи плода;&lt;/li&gt; 
&lt;li&gt;однократная вакцинация юношей и мужчин по эпидпоказаниям в ограниченных коллективах.&lt;/li&gt;&lt;/ul&gt;&lt;/p&gt;</t>
  </si>
  <si>
    <t>https://grls.rosminzdrav.ru/InstrImg/2016/4/4/37565/%D0%9F_N015218_01[2009]_0.pdf</t>
  </si>
  <si>
    <t>В соответствии с Национальным календарем профилактических прививок вакцинацию проводят двукратно: по достижению 12-месячного возраста и в 6 лет. 
Показана также:
• вакцинация девочек в возрасте тринадцати лет, ранее не привитых и не болевших краснухой или получивших к этому возрасту только одну прививку; 
• однократная вакцинация девушек и небеременных женщин детородного возраста, не привитых и не болевших краснухой, для профилактики врожденной краснухи плода; 
• однократная вакцинация юношей и мужчин по эпидпоказаниям в ограниченных коллективах.</t>
  </si>
  <si>
    <t>&lt;p&gt;Плановая вакцинация подростков и взрослых, ранее не привитых против столбняка.&lt;br&gt;
Экстренная профилактика столбняка детей с 6&amp;nbsp;месяцев, подростков и взрослых [...].&lt;/p&gt;</t>
  </si>
  <si>
    <t>https://grls.rosminzdrav.ru/InstrImg/2024/12/05/1511721/ee78b171-6cf3-474c-9f58-0391a7a5b91f.pdf</t>
  </si>
  <si>
    <t>Плановая вакцинация подростков и взрослых, ранее не привитых против столбняка.
Экстренная профилактика столбняка детей с 6 месяцев, подростков и взрослых [...].</t>
  </si>
  <si>
    <t>&lt;p&gt;Инструкция не содержит ограничений по возрасту, однако при проведении экстренной профилактики столбняка детям до шести месяцев оптимально использовать АКДС-вакцины, а не столбнячный анатоксин.&lt;/p&gt;</t>
  </si>
  <si>
    <t>https://grls.rosminzdrav.ru/InstrImg/2017/4/26/1416345/%D0%A0_N002667_01[2012]_0.pdf</t>
  </si>
  <si>
    <t>Инструкция не содержит ограничений по возрасту, однако при проведении экстренной профилактики столбняка детям до шести месяцев оптимально использовать АКДС-вакцины, а не столбнячный анатоксин.</t>
  </si>
  <si>
    <t>&lt;p&gt;Профилактика вирусного гепатита&amp;nbsp;A у взрослых и детей с 12&amp;nbsp;месяцев.&lt;br&gt;
&lt;br&gt;
Детям и подросткам в возрасте 12&amp;nbsp;месяцев – 17&amp;nbsp;лет в выбранный день вакцина вводится однократно в дозе 0,5&amp;nbsp;мл (~25&amp;nbsp;ЕД); повторная вакцинация в дозе 0,5&amp;nbsp;мл (~25&amp;nbsp;ЕД) проводится через 6&amp;nbsp;–&amp;nbsp;18&amp;nbsp;месяцев.&lt;/p&gt;</t>
  </si>
  <si>
    <t>https://grls.rosminzdrav.ru/InstrImg/2021/1/19/1465274/%D0%9F_N012585_01[2014]_0.pdf</t>
  </si>
  <si>
    <t>Профилактика вирусного гепатита A у взрослых и детей с 12 месяцев.
Детям и подросткам в возрасте 12 месяцев – 17 лет в выбранный день вакцина вводится однократно в дозе 0,5 мл (~25 ЕД); повторная вакцинация в дозе 0,5 мл (~25 ЕД) проводится через 6 – 18 месяцев.</t>
  </si>
  <si>
    <t>&lt;p&gt;Профилактика вирусного гепатита&amp;nbsp;A у взрослых и детей с 12&amp;nbsp;месяцев.
Лицам в возрасте 18&amp;nbsp;лет и старше в выбранный день вакцина вводится однократно в дозе 1,0&amp;nbsp;мл (~50&amp;nbsp;ЕД); повторная вакцинация проводится через 6&amp;nbsp;–&amp;nbsp;18&amp;nbsp;месяцев в дозе 1,0&amp;nbsp;мл (~50&amp;nbsp;ЕД).&lt;/p&gt;</t>
  </si>
  <si>
    <t>Профилактика вирусного гепатита A у взрослых и детей с 12 месяцев.
Лицам в возрасте 18 лет и старше в выбранный день вакцина вводится однократно в дозе 1,0 мл (~50 ЕД); повторная вакцинация проводится через 6 – 18 месяцев в дозе 1,0 мл (~50 ЕД).</t>
  </si>
  <si>
    <t>&lt;p&gt;Cпецифическая профилактика клещевого энцефалита для лиц от 16&amp;nbsp;лет и старше в дозе 0,5&amp;nbsp;мл [...].&lt;/p&gt;</t>
  </si>
  <si>
    <t>https://grls.rosminzdrav.ru/InstrImg/2025/09/15/1521458/990be5c7-4178-4812-a999-fd00eaeb3d60.pdf</t>
  </si>
  <si>
    <t>Cпецифическая профилактика клещевого энцефалита для лиц от 16 лет и старше в дозе 0,5 мл [...].</t>
  </si>
  <si>
    <t>&lt;p&gt;Cпецифическая профилактика клещевого энцефалита [...] для детей от 1&amp;nbsp;года до 16&amp;nbsp;лет в дозе 0,25&amp;nbsp;мл.&lt;/p&gt;</t>
  </si>
  <si>
    <t>Cпецифическая профилактика клещевого энцефалита [...] для детей от 1 года до 16 лет в дозе 0,25 мл.</t>
  </si>
  <si>
    <t>&lt;p&gt;Препарат ЭнцеВир предназначен для специфической профилактики клещевого энцефалита у взрослых в возрасте от 18&amp;nbsp;лет и старше.&lt;/p&gt;</t>
  </si>
  <si>
    <t>https://lk.regmed.ru/Register/GetPDFfromDA?ID=1607784571</t>
  </si>
  <si>
    <t>Препарат ЭнцеВир предназначен для специфической профилактики клещевого энцефалита у взрослых в возрасте от 18 лет и старше.</t>
  </si>
  <si>
    <t>&lt;p&gt;Препарат ЭнцеВир Нео детский предназначен для специфической профилактики клещевого энцефалита у детей с 3 до 17&amp;nbsp;лет (включительно).&lt;/p&gt;</t>
  </si>
  <si>
    <t>https://lk.regmed.ru/Register/GetPDFfromDA?ID=1609919901</t>
  </si>
  <si>
    <t>Препарат ЭнцеВир Нео детский предназначен для специфической профилактики клещевого энцефалита у детей с 3 до 17 лет (включительно).</t>
  </si>
  <si>
    <t>&lt;p&gt;Специфическая профилактика клещевого энцефалита у детей с 3&amp;nbsp;лет и взрослых.&lt;/p&gt;</t>
  </si>
  <si>
    <t>https://grls.rosminzdrav.ru/InstrImg/2025/03/28/1515433/7cb66dc6-27dc-4004-ae84-1159c993bc84.pdf</t>
  </si>
  <si>
    <t>Специфическая профилактика клещевого энцефалита у детей с 3 лет и взрослых.</t>
  </si>
  <si>
    <t>&lt;p&gt;Показана к применению у взрослых и детей в возрасте от 9&amp;nbsp;месяцев, не болевших ветряной оспой и не привитых ранее, для профилактики ветряной оспы [...]&lt;p&gt;</t>
  </si>
  <si>
    <t>https://grls.rosminzdrav.ru/InstrImg/2025/06/10/1518039/2f088da7-8272-4666-bcb6-a2e0826808b5.pdf</t>
  </si>
  <si>
    <t>Показана к применению у взрослых и детей в возрасте от 9 месяцев, не болевших ветряной оспой и не привитых ранее, для профилактики ветряной оспы [...]</t>
  </si>
  <si>
    <t>&lt;p&gt;Профилактика желтой лихорадки у детей с 9-месячного возраста и взрослых [...].&lt;/p&gt;</t>
  </si>
  <si>
    <t>https://grls.rosminzdrav.ru/InstrImg/2022/03/30/1479615/e0b55ee6-f6b6-4a34-8719-972e455bb957.pdf</t>
  </si>
  <si>
    <t>03.09.2022</t>
  </si>
  <si>
    <t>Профилактика желтой лихорадки у детей с 9-месячного возраста и взрослых [...].</t>
  </si>
  <si>
    <t>&lt;p&gt;Профилактика туляремии с 7-летнего возраста (с 14&amp;nbsp;лет — в очагах полевого типа).&lt;/p&gt;</t>
  </si>
  <si>
    <t>https://lk.regmed.ru/Register/GetPDFfromDA?ID=1626767261</t>
  </si>
  <si>
    <t>Профилактика туляремии с 7-летнего возраста (с 14 лет — в очагах полевого типа).</t>
  </si>
  <si>
    <t>&lt;p&gt;Вакцина показана для профилактики чумы лицам в возрасте от&amp;nbsp;18&amp;nbsp;до&amp;nbsp;58&amp;nbsp;лет военнослужащим спецподразделений РХБ защиты ВС&amp;nbsp;РФ (Войска радиационной, химической и биологической защиты Вооружённых Сил Российской Федерации).&lt;/p&gt;</t>
  </si>
  <si>
    <t>https://grls.rosminzdrav.ru/InstrImg/2021/10/22/1474770/84220d47 – 9ed2-44e3-a2d3-89170a0f96d8.pdf</t>
  </si>
  <si>
    <t>30.08.2022</t>
  </si>
  <si>
    <t>Вакцина показана для профилактики чумы лицам в возрасте от 18 до 58 лет военнослужащим спецподразделений РХБ защиты ВС РФ (Войска радиационной, химической и биологической защиты Вооружённых Сил Российской Федерации).</t>
  </si>
  <si>
    <t>&lt;p&gt;Прививкам подлежат дети с 2&amp;nbsp;лет и взрослые, проживающие на энзоотичных по чуме территориях, а также лица, работающие с живыми культурами возбудителя чумы.&lt;/p&gt;</t>
  </si>
  <si>
    <t>https://grls.rosminzdrav.ru/InstrImg/2021/07/22/86490/fa07de3f-3b07-40e8-b027-068e2a19359f.pdf</t>
  </si>
  <si>
    <t>Прививкам подлежат дети с 2 лет и взрослые, проживающие на энзоотичных по чуме территориях, а также лица, работающие с живыми культурами возбудителя чумы.</t>
  </si>
  <si>
    <t>&lt;p&gt;Прививкам подлежит население с 14-летнего возраста, проживающее на энзоотичных по чуме территориях; лица, работающие с живыми культурами возбудителя чумы, зараженными лабораторными животными, проводящие исследование материала, подозрительного на зараженность возбудителем чумы.&lt;/p&gt;</t>
  </si>
  <si>
    <t>https://grls.rosminzdrav.ru/InstrImg/2020/06/13/86486/607fd14a-da55-42fe-8db7-52767fd34cc2.pdf</t>
  </si>
  <si>
    <t>Прививкам подлежит население с 14-летнего возраста, проживающее на энзоотичных по чуме территориях; лица, работающие с живыми культурами возбудителя чумы, зараженными лабораторными животными, проводящие исследование материала, подозрительного на зараженность возбудителем чумы.</t>
  </si>
  <si>
    <t>&lt;p&gt;Прививкам подлежат дети с 2&amp;nbsp;лет и взрослые, проживающие на энзоотичных по чуме территориях, а также лица, 
работающие с живыми культурами возбудителя чумы.&lt;/p&gt;</t>
  </si>
  <si>
    <t>https://grls.rosminzdrav.ru/InstrImg/2021/7/6/1470535/%D0%9B%D0%A1%D0%A0-005759_08[2020]_0.pdf</t>
  </si>
  <si>
    <t>Прививкам подлежат дети с 2 лет и взрослые, проживающие на энзоотичных по чуме территориях, а также лица, 
работающие с живыми культурами возбудителя чумы.</t>
  </si>
  <si>
    <t>&lt;p&gt;Противопоказания: [...] возраст до 3&amp;nbsp;лет и более 60&amp;nbsp;лет.&lt;/p&gt;</t>
  </si>
  <si>
    <t>https://grls.rosminzdrav.ru/InstrImg/2020/06/08/86489/f8c71c84-d7eb-4cba-990a-8c9e218ca432.pdf</t>
  </si>
  <si>
    <t>Противопоказания: [...] возраст до 3 лет и более 60 лет.</t>
  </si>
  <si>
    <t>&lt;p&gt;Вакцина бруцеллезная живая показана к применению у взрослых с 18&amp;nbsp;лет.&lt;/p&gt;</t>
  </si>
  <si>
    <t>https://grls.rosminzdrav.ru/InstrImg/2025/04/08/1515924/2cb5904f-0eb6-4463-9e6d-a2aa95a7192c.pdf</t>
  </si>
  <si>
    <t>Вакцина бруцеллезная живая показана к применению у взрослых с 18 лет.</t>
  </si>
  <si>
    <t>&lt;p&gt;Профилактика сибирской язвы у взрослых и детей старше 14&amp;nbsp;лет [...].&lt;/p&gt;</t>
  </si>
  <si>
    <t>https://grls.rosminzdrav.ru/InstrImg/2019/10/25/1448929/%D0%A0_N001273_01[2019]_0.pdf</t>
  </si>
  <si>
    <t>Профилактика сибирской язвы у взрослых и детей старше 14 лет [...].</t>
  </si>
  <si>
    <t>&lt;p&gt;Специфическая профилактика сибирской язвы у людей с 14&amp;nbsp;летнего возраста [...].&lt;/p&gt;</t>
  </si>
  <si>
    <t>https://grls.rosminzdrav.ru/InstrImg/2020/08/24/86488/1ed689ab-55e8-4379-9b04-687068382c27.pdf</t>
  </si>
  <si>
    <t>Специфическая профилактика сибирской язвы у людей с 14 летнего возраста [...].</t>
  </si>
  <si>
    <t>https://grls.rosminzdrav.ru/InstrImg/2021/09/20/1473405/41395d1f-d6e8-41d5-88fe-a1a29b28be83.pdf</t>
  </si>
  <si>
    <t>&lt;p&gt;Профилактика лептоспироза с 7-летнего возраста [...].&lt;/p&gt;</t>
  </si>
  <si>
    <t>https://grls.rosminzdrav.ru/InstrImg/2020/11/27/1463688/%D0%A0_N002481_01[2020]_0.pdf</t>
  </si>
  <si>
    <t>04.09.2022</t>
  </si>
  <si>
    <t>Профилактика лептоспироза с 7-летнего возраста [...].</t>
  </si>
  <si>
    <t>&lt;p&gt;Специфическая профилактика Ку-лихорадки у взрослых и подростков в возрасте от 14&amp;nbsp;лет.&lt;/p&gt;</t>
  </si>
  <si>
    <t>https://grls.rosminzdrav.ru/InstrImg/2025/02/06/1513573/c7fd0ba6-d018-4726-b9e2-1ae791edec76.pdf</t>
  </si>
  <si>
    <t>Специфическая профилактика Ку-лихорадки у взрослых и подростков в возрасте от 14 лет.</t>
  </si>
  <si>
    <t>&lt;p&gt;Профилактика холеры у взрослых, подростков и детей с 2-летнего возраста [...].&lt;/p&gt;</t>
  </si>
  <si>
    <t>https://grls.rosminzdrav.ru/InstrImg/2022/07/21/1483204/281290ac-8b7f-4930-a191-7eff9a7cb147.pdf</t>
  </si>
  <si>
    <t>Профилактика холеры у взрослых, подростков и детей с 2-летнего возраста [...].</t>
  </si>
  <si>
    <t>&lt;p&gt;Препарат ВИАНВАК показан к применению у детей в возрасте от 3 до 18&amp;nbsp;лет и взрослых для профилактики брюшного тифа.&lt;/p&gt;</t>
  </si>
  <si>
    <t>https://grls.rosminzdrav.ru/InstrImg/2026/02/06/1526184/204c2bdf-4b3b-45c5-b641-f7ce1ae753b3.pdf</t>
  </si>
  <si>
    <t>Препарат ВИАНВАК показан к применению у детей в возрасте от 3 до 18 лет и взрослых для профилактики брюшного тифа.</t>
  </si>
  <si>
    <t>&lt;p&gt;Профилактика брюшного тифа с 18-летнего возраста [...].&lt;/p&gt;</t>
  </si>
  <si>
    <t>https://grls.rosminzdrav.ru/InstrImg/2021/6/4/1469733/%D0%A0_N000661_01[2017]_0.pdf</t>
  </si>
  <si>
    <t xml:space="preserve">Профилактика брюшного тифа с 18-летнего возраста [...]. </t>
  </si>
  <si>
    <t>&lt;p&gt;Препарат Шигеллвак показан к применению у детей в возрасте от 3 до 18 лет и взрослых для профилактики дизентерии Зонне.&lt;/p&gt;</t>
  </si>
  <si>
    <t>https://grls.rosminzdrav.ru/InstrImg/2026/02/03/1525996/748a2896-887a-40f1-82c0-510ac345461d.pdf</t>
  </si>
  <si>
    <t>Препарат Шигеллвак показан к применению у детей в возрасте от 3 до 18 лет и взрослых для профилактики дизентерии Зонне.</t>
  </si>
  <si>
    <t>https://grls.rosminzdrav.ru/InstrImg/2022/10/26/1488382/d3310d71-dc13 – 4eb4-a37b-97a6f6b392bc.pdf</t>
  </si>
  <si>
    <t>&lt;p&gt;Вакцина Спутник Лайт показана к применению у взрослых с 18&amp;nbsp;лет для профилактики COVID-19.&lt;/p&gt;</t>
  </si>
  <si>
    <t>https://grls.rosminzdrav.ru/InstrImg/2025/06/20/1518412/cd0f3dff-5242-4a3d-b71e-22447afe0e73.pdf</t>
  </si>
  <si>
    <t>Вакцина Спутник Лайт показана к применению у взрослых с 18 лет для профилактики COVID-19.</t>
  </si>
  <si>
    <t>&lt;p&gt;Профилактика COVID-19 у подростков в возрасте от&amp;nbsp;12&amp;nbsp;до&amp;nbsp;17&amp;nbsp;лет (включительно).&lt;/p&gt;</t>
  </si>
  <si>
    <t>https://grls.rosminzdrav.ru/InstrImg/2022/07/01/1482554/5f33ae33-eaa6-4ca5-aed1-e39900dc85a6.pdf</t>
  </si>
  <si>
    <t>01.09.2022</t>
  </si>
  <si>
    <t>Профилактика COVID-19 у подростков в возрасте от 12 до 17 лет (включительно).</t>
  </si>
  <si>
    <t>&lt;p&gt;Вакцина Конвасэл показана к применению у взрослых в возрасте от 18&amp;nbsp;лет для профилактики COVID-19.&lt;/p&gt;</t>
  </si>
  <si>
    <t>https://grls.rosminzdrav.ru/InstrImg/2026/01/22/1525392/c4730a97-f7f4-406f-954c-6a6bed44be35.pdf</t>
  </si>
  <si>
    <t>Вакцина Конвасэл показана к применению у взрослых в возрасте от 18 лет для профилактики COVID-19.</t>
  </si>
  <si>
    <t>&lt;p&gt;Профилактика новой коронавирусной инфекции (COVID-19) у взрослых в возрасте 18&amp;nbsp;–&amp;nbsp;60&amp;nbsp;лет.&lt;/p&gt;</t>
  </si>
  <si>
    <t>https://grls.rosminzdrav.ru/InstrImg/2022/10/03/1487483/694362c9-a313 – 47c6-ae62-e3f825ace5a7.pdf</t>
  </si>
  <si>
    <t>Профилактика новой коронавирусной инфекции (COVID-19) у взрослых в возрасте 18 – 60 лет.</t>
  </si>
  <si>
    <t>&lt;p&gt;[...] предназначена для активной иммунизации здоровых детей в возрасте от 6&amp;nbsp;недель с целью профилактики гастроэнтерита, вызванного ротавирусами серотипов G1, G2, G3, G4, G9.&lt;br&gt;
[...] применение вакцины Рота-V-Эйд у детей старше 24&amp;nbsp;месяцев не рекомендовано.&lt;/p&gt;</t>
  </si>
  <si>
    <t>https://lk.regmed.ru/Register/GetPDFfromDA?ID=1641359721</t>
  </si>
  <si>
    <t>[...] предназначена для активной иммунизации здоровых детей в возрасте от 6 недель с целью профилактики гастроэнтерита, вызванного ротавирусами серотипов G1, G2, G3, G4, G9.
[...] применение вакцины Рота-V-Эйд у детей старше 24 месяцев не рекомендовано.</t>
  </si>
  <si>
    <t>&lt;p&gt;Профилактика гнойно-септических заболеваний (менингит, септицемия, эпиглотит и&amp;nbsp;др.), вызываемых &lt;i&gt;Haemophilus influenzae типа&amp;nbsp;b&lt;/i&gt;, у детей с 3-месячного возраста до 5&amp;nbsp;лет.&lt;/p&gt;</t>
  </si>
  <si>
    <t>https://grls.rosminzdrav.ru/InstrImg/2020/11/27/1463649/%D0%9B%D0%9F-000499[2016]_0.pdf</t>
  </si>
  <si>
    <r>
      <rPr>
        <sz val="10"/>
        <color theme="1"/>
        <rFont val="Arial"/>
      </rPr>
      <t xml:space="preserve">Профилактика гнойно-септических заболеваний (менингит, септицемия, эпиглотит и др.), вызываемых </t>
    </r>
    <r>
      <rPr>
        <i/>
        <sz val="10"/>
        <color theme="1"/>
        <rFont val="Arial"/>
      </rPr>
      <t>Haemophilus influenzae типа b</t>
    </r>
    <r>
      <rPr>
        <sz val="10"/>
        <color theme="1"/>
        <rFont val="Arial"/>
      </rPr>
      <t>, у детей с 3-месячного возраста до 5 лет.</t>
    </r>
  </si>
  <si>
    <t>&lt;p&gt;Вакцина гепатита В рекомбинантная дрожжевая показана к применению у взрослых для активной иммунизации против инфекции, вызываемой вирусом гепатита В всех известных субтипов&lt;br&gt;
&lt;br&gt;
Разовая доза составляет:
&lt;ul&gt;&lt;li&gt;для лиц старше 18&amp;nbsp;лет — 1,0&amp;nbsp;мл (20&amp;nbsp;мкг&amp;nbsp;HBsAg);&lt;/li&gt;
&lt;li&gt;для пациентов отделения гемодиализа — 2,0&amp;nbsp;мл (40&amp;nbsp;мкг&amp;nbsp;HBsAg).&lt;/li&gt;&lt;/ul&gt;&lt;/p&gt;</t>
  </si>
  <si>
    <t>Вакцина гепатита В рекомбинантная дрожжевая показана к применению у взрослых для активной иммунизации против инфекции, вызываемой вирусом гепатита В всех известных субтипов.
Разовая доза составляет:
• для лиц старше 18 лет — 1,0 мл (20 мкг HBsAg);
• для пациентов отделения гемодиализа — 2,0 мл (40 мкг HBsAg).</t>
  </si>
  <si>
    <t>&lt;p&gt;Специфическая профилактика вирусного гепатита&amp;nbsp;B, вызванного всеми известными субтипами вируса, у взрослых.&lt;br&gt;
&lt;br&gt;
Разовая доза составляет:
&lt;ul&gt;&lt;li&gt;для лиц старше 18&amp;nbsp;лет — 1,0&amp;nbsp;мл (20&amp;nbsp;мкг&amp;nbsp;HBsAg);&lt;/li&gt;
&lt;li&gt;для пациентов отделения гемодиализа — 2,0&amp;nbsp;мл (40&amp;nbsp;мкг&amp;nbsp;HBsAg).&lt;/li&gt;&lt;/ul&gt;&lt;/p&gt;</t>
  </si>
  <si>
    <t>Специфическая профилактика вирусного гепатита B, вызванного всеми известными субтипами вируса, у взрослых.
Разовая доза составляет:
• для лиц старше 18 лет — 1,0 мл (20 мкг HBsAg);
• для пациентов отделения гемодиализа — 2,0 мл (40 мкг HBsAg).</t>
  </si>
  <si>
    <r>
      <rPr>
        <sz val="10"/>
        <color theme="1"/>
        <rFont val="Arial"/>
      </rPr>
      <t xml:space="preserve">&lt;p&gt;Вакцина Приорикс-Тетра (вакцина против кори, эпидемического паротита, краснухи и ветряной оспы живая аттенуированная) показана к применению у взрослых и детей в возрасте от 12&amp;nbsp;месяцев для профилактики кори, эпидемического паротита, краснухи и ветряной оспы.&lt;br&gt;
Применение вакцины Приорикс-Тетра у детей в возрасте от 9 до 12&amp;nbsp;месяцев может быть рассмотрено при определенных обстоятельствах (см. раздел&amp;nbsp;4.2).&lt;/p&gt;
</t>
    </r>
    <r>
      <rPr>
        <b/>
        <sz val="10"/>
        <color theme="1"/>
        <rFont val="Arial"/>
      </rPr>
      <t>&lt;p&gt;&lt;b&gt;4.2. Режим дозирования и способ применения</t>
    </r>
    <r>
      <rPr>
        <sz val="10"/>
        <color theme="1"/>
        <rFont val="Arial"/>
      </rPr>
      <t>&lt;/b&gt;&lt;br&gt;
[...] Дети от 9 до 12&amp;nbsp;месяцев&lt;br&gt;
При необходимости вакцинации детей в возрасте младше 12&amp;nbsp;месяцев по эпидемическим показаниям, первую дозу вакцины Приорикс-Тетра следует вводить в возрасте не ранее 9&amp;nbsp;месяцев. Вторую дозу вакцины Приорикс-Тетра следует вводить через 3&amp;nbsp;месяца после первой дозы.&lt;br&gt;
Вакцина Приорикс-Тетра не должна применяться у детей младше 9&amp;nbsp;месяцев. Данные отсутствуют.&lt;/p&gt;</t>
    </r>
  </si>
  <si>
    <t>https://lk.regmed.ru/Register/GetPDFfromDA?ID=1596978511</t>
  </si>
  <si>
    <r>
      <rPr>
        <sz val="10"/>
        <color theme="1"/>
        <rFont val="Arial"/>
      </rPr>
      <t xml:space="preserve">Вакцина Приорикс-Тетра (вакцина против кори, эпидемического паротита, краснухи и ветряной оспы живая аттенуированная) показана к применению у взрослых и детей в возрасте от 12 месяцев для профилактики кори, эпидемического паротита, краснухи и ветряной оспы.
Применение вакцины Приорикс-Тетра у детей в возрасте от 9 до 12 месяцев может быть рассмотрено при определенных обстоятельствах (см. раздел 4.2).
</t>
    </r>
    <r>
      <rPr>
        <b/>
        <sz val="10"/>
        <color theme="1"/>
        <rFont val="Arial"/>
      </rPr>
      <t>4.2. Режим дозирования и способ применения</t>
    </r>
    <r>
      <rPr>
        <sz val="10"/>
        <color theme="1"/>
        <rFont val="Arial"/>
      </rPr>
      <t xml:space="preserve">
[...] Дети от 9 до 12 месяцев
При необходимости вакцинации детей в возрасте младше 12 месяцев по эпидемическим показаниям, первую дозу вакцины Приорикс-Тетра следует вводить в возрасте не ранее 9 месяцев. Вторую дозу вакцины Приорикс-Тетра следует вводить через 3 месяца после первой дозы.
Вакцина Приорикс-Тетра не должна применяться у детей младше 9 месяцев. Данные отсутствуют.</t>
    </r>
  </si>
  <si>
    <t>&lt;p&gt;Профилактика инвазивных форм менингококковой инфекции, вызванных &lt;i&gt;Neisseria meningitidis&lt;/i&gt; cepогрупп А, С, W135 и Y у детей с 2&amp;nbsp;месяцев, подростков и взрослых.&lt;/p&gt;</t>
  </si>
  <si>
    <t>https://grls.rosminzdrav.ru/InstrImg/2023/04/13/1492490/b02b0c0a-7a26-4b3a-8e0b-7f5d8e8e4ef1.pdf</t>
  </si>
  <si>
    <r>
      <rPr>
        <sz val="10"/>
        <color theme="1"/>
        <rFont val="Arial"/>
      </rPr>
      <t xml:space="preserve">Профилактика инвазивных форм менингококковой инфекции, вызванных </t>
    </r>
    <r>
      <rPr>
        <i/>
        <sz val="10"/>
        <color theme="1"/>
        <rFont val="Arial"/>
      </rPr>
      <t>Neisseria meningitidis</t>
    </r>
    <r>
      <rPr>
        <sz val="10"/>
        <color theme="1"/>
        <rFont val="Arial"/>
      </rPr>
      <t xml:space="preserve"> cepогрупп А, С, W135 и Y у детей с 2 месяцев, подростков и взрослых.</t>
    </r>
  </si>
  <si>
    <t>&lt;p&gt;Профилактика коронавирусной инфекции (COVID-19) у взрослых старше 18&amp;nbsp;лет.&lt;/p&gt;</t>
  </si>
  <si>
    <t>https://grls.rosminzdrav.ru/InstrImg/2022/09/09/1485745/6205a5ae-4bbb-42bf-84d2-93c4042be1cb.pdf</t>
  </si>
  <si>
    <t>Профилактика коронавирусной инфекции (COVID-19) у взрослых старше 18 лет.</t>
  </si>
  <si>
    <t>&lt;p&gt;Специфическая профилактика гриппа у&amp;nbsp;детей с&amp;nbsp;6&amp;nbsp;месяцев до&amp;nbsp;35&amp;nbsp;месяцев включительно.&lt;br&gt;
Вакцинация проводится ежегодно в осенне-зимний период. Возможна вакцинация в начале эпидемического подъема заболеваемости гриппом.&lt;/p&gt;</t>
  </si>
  <si>
    <t>Специфическая профилактика гриппа у детей с 6 месяцев до 35 месяцев включительно.
Вакцинация проводится ежегодно в осенне-зимний период. Возможна вакцинация в начале эпидемического подъема заболеваемости гриппом.</t>
  </si>
  <si>
    <t>&lt;p&gt;Активная ежегодная профилактическая иммунизация против сезонного гриппа детей с 6&amp;nbsp;месяцев, подростков и взрослых без ограничения возраста.&lt;br&gt;
Для вакцинации детей от 6&amp;nbsp;месяцев до 18&amp;nbsp;лет применяется вакцина без консерванта.&lt;/p&gt;</t>
  </si>
  <si>
    <t>https://grls.rosminzdrav.ru/InstrImg/2025/04/07/1515838/1b86346c-ace0-4de8-a757-2d3e7e4604e4.pdf</t>
  </si>
  <si>
    <t>Активная ежегодная профилактическая иммунизация против сезонного гриппа детей с 6 месяцев, подростков и взрослых без ограничения возраста.
Для вакцинации детей от 6 месяцев до 18 лет применяется вакцина без консерванта.</t>
  </si>
  <si>
    <t>&lt;p&gt;Вакцина ВаксигрипТетра показана для:
&lt;ul&gt;&lt;li&gt;активной иммунизации взрослых, включая беременных женщин, и детей с 6-месячного возраста;&lt;/li&gt;
&lt;li&gt;пассивной защиты детей с рождения и до 6-месячного возраста за счет вакцинации беременных женщин.&lt;/li&gt;&lt;/ul&gt;&lt;/p&gt;</t>
  </si>
  <si>
    <t>https://lk.regmed.ru/Register/GetPDFfromDA?ID=1545562701</t>
  </si>
  <si>
    <t>Вакцина ВаксигрипТетра показана для:
• активной иммунизации взрослых, включая беременных женщин, и детей с 6-месячного возраста;
• пассивной защиты детей с рождения и до 6-месячного возраста за счет вакцинации беременных женщин.</t>
  </si>
  <si>
    <t>&lt;p&gt;Профилактика ветряной оспы с 12-месячного возраста у лиц, не болевших ветряной оспой и не привитых ранее.&lt;/p&gt;</t>
  </si>
  <si>
    <t>https://grls.rosminzdrav.ru/InstrImg/2020/12/02/1423524/629a6384-1db2-499f-afb1-e87dac723b9a.pdf</t>
  </si>
  <si>
    <t xml:space="preserve">Профилактика ветряной оспы с 12-месячного возраста у лиц, не болевших ветряной оспой и не привитых ранее. </t>
  </si>
  <si>
    <t>&lt;p&gt;Специфическая профилактика пневмококковой пневмонии и генерализованных пневмококковых инфекций, вызванных серотипами &lt;i&gt;Streptococcus pneumoniae&lt;/i&gt;, представленными в вакцине, у лиц группы риска с двухлетнего возраста.&lt;/p&gt;</t>
  </si>
  <si>
    <t>https://grls.rosminzdrav.ru/InstrImg/2019/06/29/1424317/a2b80c77-0857-4a1d-a948-36a987511e54.pdf</t>
  </si>
  <si>
    <r>
      <rPr>
        <sz val="10"/>
        <color theme="1"/>
        <rFont val="Arial"/>
      </rPr>
      <t xml:space="preserve">Специфическая профилактика пневмококковой пневмонии и генерализованных пневмококковых инфекций, вызванных серотипами </t>
    </r>
    <r>
      <rPr>
        <i/>
        <sz val="10"/>
        <color theme="1"/>
        <rFont val="Arial"/>
      </rPr>
      <t>Streptococcus pneumoniae</t>
    </r>
    <r>
      <rPr>
        <sz val="10"/>
        <color theme="1"/>
        <rFont val="Arial"/>
      </rPr>
      <t>, представленными в вакцине, у лиц группы риска с двухлетнего возраста.</t>
    </r>
  </si>
  <si>
    <t>&lt;p&gt;&lt;ul&gt;&lt;li&gt;Для плановой профилактики ветряной оспы у взрослых и детей с 12&amp;nbsp;месяцев.&lt;/li&gt;
&lt;li&gt;Для экстренной профилактики ветряной оспы у взрослых и детей с 12&amp;nbsp;месяцев, не болевших ветряной оспой и не привитых ранее, находившихся в тесном контакте с больными ветряной оспой.&lt;/li&gt;&lt;/ul&gt;&lt;/p&gt;</t>
  </si>
  <si>
    <t>https://lk.regmed.ru/Register/GetPDFfromDA?ID=1497046991</t>
  </si>
  <si>
    <t>• Для плановой профилактики ветряной оспы у взрослых и детей с 12 месяцев.
• Для экстренной профилактики ветряной оспы у взрослых и детей с 12 месяцев, не болевших ветряной оспой и не привитых ранее, находившихся в тесном контакте с больными ветряной оспой.</t>
  </si>
  <si>
    <t>&lt;p&gt;Препарат ПНЕМОТЕКС показан к применению у взрослых и детей в возрасте от 2&amp;nbsp;месяцев [...].&lt;/p&gt;</t>
  </si>
  <si>
    <t>https://grls.rosminzdrav.ru/InstrImg/2025/06/02/1517806/3c9102ff-eafa-47bc-b83f-eb05cfac1092.pdf</t>
  </si>
  <si>
    <t>Препарат ПНЕМОТЕКС показан к применению у взрослых и детей в возрасте от 2 месяцев [...].</t>
  </si>
  <si>
    <t>&lt;p&gt;Профилактика кори, эпидемического паротита и краснухи с 12-месячного возраста.&lt;/p&gt;</t>
  </si>
  <si>
    <t>https://grls.rosminzdrav.ru/InstrImg/2021/1/14/1465042/%D0%9F_N015888_01[2015]_5.pdf</t>
  </si>
  <si>
    <t>Профилактика кори, эпидемического паротита и краснухи с 12-месячного возраста.</t>
  </si>
  <si>
    <t>&lt;p&gt;Первичная вакцинация и ревакцинация для профилактики инвазивных форм менингококковой инфекции, вызываемой &lt;i&gt;Neisseria meningitidis&lt;/i&gt; серогрупп A, C, W и Y, у лиц в возрасте от 6&amp;nbsp;недель и старше.&lt;/p&gt;</t>
  </si>
  <si>
    <t>https://grls.rosminzdrav.ru/InstrImg/2026/01/16/1525169/a5f21ff0-2d7c-4ab8-8025-1ccbc0cf7cc6.pdf</t>
  </si>
  <si>
    <r>
      <rPr>
        <sz val="10"/>
        <color theme="1"/>
        <rFont val="Arial"/>
      </rPr>
      <t xml:space="preserve">Первичная вакцинация и ревакцинация для профилактики инвазивных форм менингококковой инфекции, вызываемой </t>
    </r>
    <r>
      <rPr>
        <i/>
        <sz val="10"/>
        <color theme="1"/>
        <rFont val="Arial"/>
      </rPr>
      <t>Neisseria meningitidis</t>
    </r>
    <r>
      <rPr>
        <sz val="10"/>
        <color theme="1"/>
        <rFont val="Arial"/>
      </rPr>
      <t xml:space="preserve"> серогрупп A, C, W и Y, у лиц в возрасте от 6 недель и старше.</t>
    </r>
  </si>
  <si>
    <t>&lt;p&gt;Вакцина Бексеро показана для активной иммунизации детей с 2&amp;nbsp;месяцев, подростков и взрослых с целью профилактики инвазивной менингококковой инфекции, вызываемой &lt;i&gt;Neisseria meningitidis&lt;/i&gt; серогруппы B.&lt;/p&gt;</t>
  </si>
  <si>
    <t>https://lk.regmed.ru/Register/GetPDFfromDA?ID=1574006211</t>
  </si>
  <si>
    <r>
      <rPr>
        <sz val="10"/>
        <color theme="1"/>
        <rFont val="Arial"/>
      </rPr>
      <t xml:space="preserve">Вакцина Бексеро показана для активной иммунизации детей с 2 месяцев, подростков и взрослых с целью профилактики инвазивной менингококковой инфекции, вызываемой </t>
    </r>
    <r>
      <rPr>
        <i/>
        <sz val="10"/>
        <color theme="1"/>
        <rFont val="Arial"/>
      </rPr>
      <t>Neisseria meningitidis</t>
    </r>
    <r>
      <rPr>
        <sz val="10"/>
        <color theme="1"/>
        <rFont val="Arial"/>
      </rPr>
      <t xml:space="preserve"> серогруппы B.</t>
    </r>
  </si>
  <si>
    <t>&lt;p&gt;Профилактика COVID-19 у детей в возрасте от&amp;nbsp;6&amp;nbsp;до&amp;nbsp;11&amp;nbsp;лет (включительно).&lt;/p&gt;</t>
  </si>
  <si>
    <t>https://grls.rosminzdrav.ru/InstrImg/2023/04/17/1492662/d8440e50-44f6-4e4b-a50d-64608384e586.pdf</t>
  </si>
  <si>
    <t>Профилактика COVID-19 у детей в возрасте от 6 до 11 лет (включительно).</t>
  </si>
  <si>
    <t>&lt;p&gt;Активная профилактика клещевого энцефалита (КЭ) для детей в возрасте от 1&amp;nbsp;года до 11&amp;nbsp;лет включительно. Для детей с 12-летнего возраста применяют вакцину, предназначенную для иммунизации взрослых.&lt;/p&gt;</t>
  </si>
  <si>
    <t>https://grls.rosminzdrav.ru/InstrImg/2019/8/15/1445618/%D0%9F_N015312_01[2010]_0.pdf</t>
  </si>
  <si>
    <t>Активная профилактика клещевого энцефалита (КЭ) для детей в возрасте от 1 года до 11 лет включительно. Для детей с 12-летнего возраста применяют вакцину, предназначенную для иммунизации взрослых.</t>
  </si>
  <si>
    <t>&lt;p&gt;Активная профилактика клещевого энцефалита (КЭ) у взрослых и подростков с 12-летнего возраста.&lt;/p&gt;</t>
  </si>
  <si>
    <t>https://grls.rosminzdrav.ru/InstrImg/2019/8/14/1445562/%D0%9F_N013657_01[2009]_0.pdf</t>
  </si>
  <si>
    <t>Активная профилактика клещевого энцефалита (КЭ) у взрослых и подростков с 12-летнего возраста.</t>
  </si>
  <si>
    <t>https://grls.rosminzdrav.ru/InstrImg/2022/11/21/1488014/8a2ba9a0-eb39-4368-9a0d-f81451183bb0.pdf</t>
  </si>
  <si>
    <t>&lt;p&gt;Профилактика гнойно-септических заболеваний (менингит, сепсис, артриты, эпиглоттиты, пневмонии и&amp;nbsp;др.), вызываемых &lt;i&gt;Haemophilus influenzae&lt;/i&gt; типа&amp;nbsp;b (ХИБ-инфекции), у детей с трехмесячного возраста.&lt;/p&gt;
&lt;p&gt;&lt;i&gt;В разделе "Способ применения и дозы" указаны схемы вакцинации, где последним доспустимым возрастом указан возраст пяти&amp;nbsp;лет.&lt;/i&gt;&lt;/p&gt;</t>
  </si>
  <si>
    <t>https://grls.rosminzdrav.ru/InstrImg/2020/4/29/1456610/%D0%9F_N013850_01[2014]_0.pdf</t>
  </si>
  <si>
    <r>
      <rPr>
        <sz val="10"/>
        <color theme="1"/>
        <rFont val="Arial"/>
      </rPr>
      <t xml:space="preserve">Профилактика гнойно-септических заболеваний (менингит, сепсис, артриты, эпиглоттиты, пневмонии и др.), вызываемых </t>
    </r>
    <r>
      <rPr>
        <i/>
        <sz val="10"/>
        <color theme="1"/>
        <rFont val="Arial"/>
      </rPr>
      <t>Haemophilus influenzae</t>
    </r>
    <r>
      <rPr>
        <sz val="10"/>
        <color theme="1"/>
        <rFont val="Arial"/>
      </rPr>
      <t xml:space="preserve"> типа b (ХИБ-инфекции), у детей с трехмесячного возраста.
</t>
    </r>
    <r>
      <rPr>
        <i/>
        <sz val="10"/>
        <color theme="1"/>
        <rFont val="Arial"/>
      </rPr>
      <t>В разделе "Способ применения и дозы" указаны схемы вакцинации, где последним доспустимым возрастом указан возраст пяти лет.</t>
    </r>
  </si>
  <si>
    <t>&lt;p&gt;Профилактика инфекции, вызываемой &lt;i&gt;Haemophilus influenzae&lt;/i&gt; типа&amp;nbsp;b, у детей в возрасте от 3&amp;nbsp;месяцев.&lt;/p&gt;
&lt;p&gt;&lt;i&gt;В разделе "Способ применения и дозы" указаны схемы вакцинации, где последним доспустимым возрастом указан возраст пяти&amp;nbsp;лет.&lt;/i&gt;&lt;/p&gt;</t>
  </si>
  <si>
    <t>https://grls.rosminzdrav.ru/InstrImg/2020/12/15/1464278/%D0%9F_N015829_01[2012]_0.pdf</t>
  </si>
  <si>
    <r>
      <rPr>
        <sz val="10"/>
        <color theme="1"/>
        <rFont val="Arial"/>
      </rPr>
      <t xml:space="preserve">Профилактика инфекции, вызываемой </t>
    </r>
    <r>
      <rPr>
        <i/>
        <sz val="10"/>
        <color theme="1"/>
        <rFont val="Arial"/>
      </rPr>
      <t>Haemophilus influenzae</t>
    </r>
    <r>
      <rPr>
        <sz val="10"/>
        <color theme="1"/>
        <rFont val="Arial"/>
      </rPr>
      <t xml:space="preserve"> типа b, у детей в возрасте от 3 месяцев.
</t>
    </r>
    <r>
      <rPr>
        <i/>
        <sz val="10"/>
        <color theme="1"/>
        <rFont val="Arial"/>
      </rPr>
      <t>В разделе "Способ применения и дозы" указаны схемы вакцинации, где последним доспустимым возрастом указан возраст пяти лет.</t>
    </r>
  </si>
  <si>
    <t>&lt;p&gt;Профилактика клещевого энцефалита (КЭ) у детей и подростков в возрасте от&amp;nbsp;1&amp;nbsp;до&amp;nbsp;15&amp;nbsp;лет включительно в&amp;nbsp;дозе 0,25&amp;nbsp;мл.&lt;/p&gt;</t>
  </si>
  <si>
    <t>https://grls.rosminzdrav.ru/InstrImg/2016/6/9/1308974/%D0%9B%D0%A1%D0%A0-003210_07[2018]_0.pdf</t>
  </si>
  <si>
    <t>Профилактика клещевого энцефалита (КЭ) у детей и подростков в возрасте от 1 до 15 лет включительно в дозе 0,25 мл.</t>
  </si>
  <si>
    <t>&lt;p&gt;Вакцина ФСМЕ-ИММУН показана для активной (профилактической) иммунизации против вируса клещевого энцефалита европейского, сибирского и дальневосточного подтипов у лиц в возрасте от&amp;nbsp;16&amp;nbsp;лет и старше.&lt;/p&gt;</t>
  </si>
  <si>
    <t>https://grls.rosminzdrav.ru/InstrImg/2020/12/18/1464410/%D0%9F_N014361_01[2020]_0.pdf</t>
  </si>
  <si>
    <t>Вакцина ФСМЕ-ИММУН показана для активной (профилактической) иммунизации против вируса клещевого энцефалита европейского, сибирского и дальневосточного подтипов у лиц в возрасте от 16 лет и старше.</t>
  </si>
  <si>
    <t>&lt;p&gt;Активная профилактика инфекции, вызываемой вирусом гепатита&amp;nbsp;B (ВГВ), у взрослых старше 18&amp;nbsp;лет.&lt;/p&gt;</t>
  </si>
  <si>
    <t>https://grls.rosminzdrav.ru/InstrImg/2023/02/09/1490961/74e94624-eabc-450e-bf32-2c1ddaca2be5.pdf</t>
  </si>
  <si>
    <t>Активная профилактика инфекции, вызываемой вирусом гепатита B (ВГВ), у взрослых старше 18 лет.</t>
  </si>
  <si>
    <r>
      <rPr>
        <sz val="10"/>
        <color theme="1"/>
        <rFont val="Arial"/>
      </rPr>
      <t>&lt;p&gt;Вакцина для профилактики дифтерии, столбняка, коклюша (бесклеточная), гепатита&amp;nbsp;B и инфекции, вызываемой &lt;i&gt;</t>
    </r>
    <r>
      <rPr>
        <i/>
        <sz val="10"/>
        <color theme="1"/>
        <rFont val="Arial"/>
      </rPr>
      <t>Haemophilus influenzae&lt;/i&gt;</t>
    </r>
    <r>
      <rPr>
        <sz val="10"/>
        <color theme="1"/>
        <rFont val="Arial"/>
      </rPr>
      <t xml:space="preserve"> типа&amp;nbsp;b, показана здоровым детям в возрасте 6&amp;nbsp;месяцев для профилактики дифтерии, столбняка, коклюша и гепатита&amp;nbsp;B и для профилактики гемофильной инфекции у детей, не привитых ранее против данной инфекции, в рамках Национального календаря профилактических прививок Российской Федерации.&lt;/p&gt;</t>
    </r>
  </si>
  <si>
    <t>https://lk.regmed.ru/Register/GetPDFfromDA?ID=1558408561</t>
  </si>
  <si>
    <r>
      <rPr>
        <sz val="10"/>
        <color theme="1"/>
        <rFont val="Arial"/>
      </rPr>
      <t xml:space="preserve">Вакцина для профилактики дифтерии, столбняка, коклюша (бесклеточная), гепатита B и инфекции, вызываемой </t>
    </r>
    <r>
      <rPr>
        <i/>
        <sz val="10"/>
        <color theme="1"/>
        <rFont val="Arial"/>
      </rPr>
      <t>Haemophilus influenzae</t>
    </r>
    <r>
      <rPr>
        <sz val="10"/>
        <color theme="1"/>
        <rFont val="Arial"/>
      </rPr>
      <t xml:space="preserve"> типа b, показана здоровым детям в возрасте 6 месяцев для профилактики дифтерии, столбняка, коклюша и гепатита B и для профилактики гемофильной инфекции у детей, не привитых ранее против данной инфекции, в рамках Национального календаря профилактических прививок Российской Федерации.</t>
    </r>
  </si>
  <si>
    <t>&lt;p&gt;&lt;i&gt;Инструкция не содержит информации о допустимом возрасте, однако в действительности вакцина не применяется у детей. В распоряжении АНО «Коллективный иммунитет» есть официальные письма от разработчика вакцины, а также от ФГБУ «Научный центр экспертизы средств медицинского применения», где разъясняется, что вакцина применяется с 18 лет.&lt;/i&gt;&lt;/p&gt;</t>
  </si>
  <si>
    <t>https://grls.rosminzdrav.ru/InstrImg/2023/03/14/1491812/20189f0f-07b3-427e-9a8a-d8006843c2d6.pdf</t>
  </si>
  <si>
    <t>Инструкция не содержит информации о допустимом возрасте, однако в действительности вакцина не применяется у детей. В распоряжении АНО «Коллективный иммунитет» есть официальные письма от разработчика вакцины, а также от ФГБУ «Научный центр экспертизы средств медицинского применения», где разъясняется, что вакцина применяется с 18 лет.</t>
  </si>
  <si>
    <t>&lt;p&gt;Вакцина «Шингрикс» показана для профилактики опоясывающего герпеса и связанных с ним
осложнений, таких как постгерпетическая невралгия:
&lt;ul&gt;&lt;li&gt;у взрослых с 50&amp;nbsp;лет и старше,&lt;/li&gt;
&lt;li&gt;у взрослых с 18&amp;nbsp;лет и старше с повышенным риском развития опоясывающего герпеса.&lt;/li&gt;&lt;/ul&gt;
Вакцину «Шингрикс» следует применять в соответствии с официальными рекомендациями.&lt;/p&gt;</t>
  </si>
  <si>
    <t>https://lk.regmed.ru/Register/GetPDFfromDA?ID=1589687781</t>
  </si>
  <si>
    <t>Вакцина «Шингрикс» показана для профилактики опоясывающего герпеса и связанных с ним
осложнений, таких как постгерпетическая невралгия:
• у взрослых с 50 лет и старше,
• у взрослых с 18 лет и старше с повышенным риском развития опоясывающего герпеса.
Вакцину «Шингрикс» следует применять в соответствии с официальными рекомендациями.</t>
  </si>
  <si>
    <t>&lt;p&gt;Вакцина ТРИВЭЙД показана к применению у взрослых и детей в возрасте от 12&amp;nbsp;месяцев для профилактики кори, краснухи и эпидемического паротита.&lt;/p&gt;</t>
  </si>
  <si>
    <t>https://grls.rosminzdrav.ru/InstrImg/2026/01/22/1525402/07c3adec-cd5e-49f6-9bc3-7a3e029cd98c.pdf</t>
  </si>
  <si>
    <t>Вакцина ТРИВЭЙД показана к применению у взрослых и детей в возрасте от 12 месяцев для профилактики кори, краснухи и эпидемического паротита.</t>
  </si>
  <si>
    <t>&lt;p&gt;Вакцина Бэби-Хиб показана к применению у детей в возрасте от 3&amp;nbsp;месяцев до 5&amp;nbsp;лет для профилактики инфекций, вызванных &lt;i&gt;Haemophilus influenzae&lt;/i&gt; тип &lt;i&gt;b&lt;/i&gt; (менингита, септицемии, пневмонии, эпиглоттита и других)&lt;/p&gt;</t>
  </si>
  <si>
    <t>https://grls.rosminzdrav.ru/InstrImg/2025/10/30/1523008/59dd5156-957b-4de5-86c8-83d284b70f65.pdf</t>
  </si>
  <si>
    <r>
      <rPr>
        <sz val="10"/>
        <color theme="1"/>
        <rFont val="Arial"/>
      </rPr>
      <t xml:space="preserve">Вакцина Бэби-Хиб показана к применению у детей в возрасте от 3 месяцев до 5 лет для профилактики инфекций, вызванных </t>
    </r>
    <r>
      <rPr>
        <i/>
        <sz val="10"/>
        <color theme="1"/>
        <rFont val="Arial"/>
      </rPr>
      <t>Haemophilus influenzae</t>
    </r>
    <r>
      <rPr>
        <sz val="10"/>
        <color theme="1"/>
        <rFont val="Arial"/>
      </rPr>
      <t xml:space="preserve"> тип </t>
    </r>
    <r>
      <rPr>
        <i/>
        <sz val="10"/>
        <color theme="1"/>
        <rFont val="Arial"/>
      </rPr>
      <t>b</t>
    </r>
    <r>
      <rPr>
        <sz val="10"/>
        <color theme="1"/>
        <rFont val="Arial"/>
      </rPr>
      <t xml:space="preserve"> (менингита, септицемии, пневмонии, эпиглоттита и других)</t>
    </r>
  </si>
  <si>
    <t>&lt;p&gt;Профилактика дифтерии у детей с 6-летнего возраста, подростков и взрослых.&lt;/p&gt;</t>
  </si>
  <si>
    <t>https://grls.rosminzdrav.ru/InstrImg/2020/06/16/1416543/cc00d61d-e7e3-4d66-bfd4-02dc184c0de6.pdf</t>
  </si>
  <si>
    <t>Профилактика дифтерии у детей с 6-летнего возраста, подростков и взрослых.</t>
  </si>
  <si>
    <t>&lt;p&gt;Иммунизация доноров с 18&amp;nbsp;лет с целью получения противостолбнячной плазмы и противостолбнячного иммуноглобулина.&lt;/p&gt;</t>
  </si>
  <si>
    <t>https://lk.regmed.ru/Register/GetPDFfromDA?ID=1543829851</t>
  </si>
  <si>
    <t>Иммунизация доноров с 18 лет с целью получения противостолбнячной плазмы и противостолбнячного иммуноглобулина.</t>
  </si>
  <si>
    <t>&lt;p&gt;Вакцинации (ревакцинации) подлежат взрослые в возрасте от 18&amp;nbsp;лет и старше [...].&lt;/p&gt;</t>
  </si>
  <si>
    <t>https://lk.regmed.ru/Register/GetPDFfromDA?ID=1544404631</t>
  </si>
  <si>
    <t>Вакцинации (ревакцинации) подлежат взрослые в возрасте от 18 лет и старше [...].</t>
  </si>
  <si>
    <t>&lt;p&gt;Профилактика коклюша, дифтерии, столбняка и гепатита В у детей в возрасте от 3&amp;nbsp;месяцев до достижения возраста 3&amp;nbsp;года 11&amp;nbsp;месяцев 29&amp;nbsp;дней.&lt;/p&gt;</t>
  </si>
  <si>
    <t>https://lk.regmed.ru/Register/GetPDFfromDA?ID=1501096611</t>
  </si>
  <si>
    <t>Профилактика коклюша, дифтерии, столбняка и гепатита В у детей в возрасте от 3 месяцев до достижения возраста 3 года 11 месяцев 29 дней.</t>
  </si>
  <si>
    <t>&lt;p&gt;Специфическая профилактика сыпного тифа у лиц в возрасте от 18 до 60&amp;nbsp;лет. Вакцина применяется по эпидемиологическим показаниям в ситуациях, представляющих для населения угрозу заражения сыпным тифом, а также для защиты персонала, работающего с риккетсиями Провачека.&lt;/p&gt;</t>
  </si>
  <si>
    <t>https://lk.regmed.ru/Register/GetPDFfromDA?ID=1494836031</t>
  </si>
  <si>
    <t>Специфическая профилактика сыпного тифа у лиц в возрасте от 18 до 60 лет. Вакцина применяется по эпидемиологическим показаниям в ситуациях, представляющих для населения угрозу заражения сыпным тифом, а также для защиты персонала, работающего с риккетсиями Провачека.</t>
  </si>
  <si>
    <t>&lt;p&gt;Первичная вакцинация детей с двухлетнего возраста, подростков и взрослых при двух-этапном методе вакцинации против оспы.&lt;/p&gt;</t>
  </si>
  <si>
    <t>https://lk.regmed.ru/Register/GetPDFfromDA?ID=1485438071</t>
  </si>
  <si>
    <t>Первичная вакцинация детей с двухлетнего возраста, подростков и взрослых при двух-этапном методе вакцинации против оспы.</t>
  </si>
  <si>
    <t>&lt;p&gt;Лечение гонореи в составе комплексной терапии у взрослых и детей старше 3-х&amp;nbsp;лет:
&lt;ul&gt;&lt;li&gt;рецидивирующей, хронической и торпидной форм заболевания;&lt;/li&gt;
&lt;li&gt;осложненной гонореи у мужчин и восходящей гонореи у женщин (после стихания острых воспалительных явлений).&lt;/li&gt;&lt;/ul&gt;
Диагностика гонореи у взрослых и детей старше 3-х&amp;nbsp;лет:
&lt;ul&gt;&lt;li&gt;диагностика больных с хроническими заболеваниями мочеполовых органов;&lt;/li&gt;
&lt;li&gt;установление излеченности гонореи.&lt;/ul&gt;&lt;/li&gt;&lt;/p&gt;</t>
  </si>
  <si>
    <t>https://lk.regmed.ru/Register/GetPDFfromDA?ID=1448256521</t>
  </si>
  <si>
    <t>Лечение гонореи в составе комплексной терапии у взрослых и детей старше 3-х лет:
• рецидивирующей, хронической и торпидной форм заболевания;
• осложненной гонореи у мужчин и восходящей гонореи у женщин (после стихания острых воспалительных явлений).
Диагностика гонореи у взрослых и детей старше 3-х лет:
• диагностика больных с хроническими заболеваниями мочеполовых органов;
• установление излеченности гонореи.</t>
  </si>
  <si>
    <t>&lt;p&gt;Профилактика натуральной оспы и других ортопоксвирусных инфекций по эпидемическим показаниям у лиц в возрасте от 18&amp;nbsp;лет до 60&amp;nbsp;лет. [...]&lt;/p&gt;</t>
  </si>
  <si>
    <t>https://lk.regmed.ru/Register/GetPDFfromDA?ID=1501926911</t>
  </si>
  <si>
    <t>Профилактика натуральной оспы и других ортопоксвирусных инфекций по эпидемическим показаниям у лиц в возрасте от 18 лет до 60 лет. [...]</t>
  </si>
  <si>
    <t>&lt;p&gt;Препарат ФЛЕКСВАК показан к применению у взрослых в возрасте от 18&amp;nbsp;лет для профилактики дизентерии Флекснера.&lt;/p&gt;</t>
  </si>
  <si>
    <t>https://grls.rosminzdrav.ru/InstrImg/2026/05/19/1529992/3e4bff0f-b904-49bd-8f8c-cf901c4749df.pdf</t>
  </si>
  <si>
    <t>Препарат ФЛЕКСВАК показан к применению у взрослых в возрасте от 18 лет для профилактики дизентерии Флекснера.</t>
  </si>
  <si>
    <t>&lt;p&gt;Профилактика желтой лихорадки: 
&lt;ul&gt;&lt;li&gt;у детей с 9-ти&amp;nbsp;месячного возраста и взрослых, направляющихся, проезжающих, или проживающих в регионах, в которых регистрируется заболеваемость желтой лихорадкой;&lt;/li&gt;
&lt;li&gt;у лиц, направляющихся в страну, въезд в которую требует наличия международного свидетельства о вакцинации;&lt;/li&gt;
&lt;li&gt;у лиц, работающих с живыми культурами возбудителя желтой лихорадки.&lt;/li&gt;&lt;/ul&gt;&lt;/p&gt;</t>
  </si>
  <si>
    <t>https://grls.rosminzdrav.ru/InstrImg/2024/02/12/1501815/32f958db-a12b-4c41-9b5b-e1707a1b19ee.pdf</t>
  </si>
  <si>
    <t>Профилактика желтой лихорадки: 
• у детей с 9-ти месячного возраста и взрослых, направляющихся, проезжающих, или проживающих в регионах, в которых регистрируется заболеваемость желтой лихорадкой;
• у лиц, направляющихся в страну, въезд в которую требует наличия международного свидетельства о вакцинации;
• у лиц, работающих с живыми культурами возбудителя желтой лихорадки.</t>
  </si>
  <si>
    <t>&lt;p&gt;Активная профилактика лихорадки Эбола:
&lt;ul&gt;&lt;li&gt;у взрослых, проживающих в странах энзоотичных по данному заболеванию;&lt;/li&gt;
&lt;li&gt;у лиц, работающих с возбудителем лихорадки;&lt;/li&gt;
&lt;li&gt;у медицинских работников, имеющих контакт с кровью, выделениями, другими жидкостями и органами инфицированного человека;&lt;/li&gt;
&lt;li&gt;у лиц, выезжающих за рубеж в страны энзоотичные по данному заболеванию.&lt;/li&gt;&lt;/ul&gt;&lt;/p&gt;</t>
  </si>
  <si>
    <t>https://grls.rosminzdrav.ru/InstrImg/2023/11/15/1499083/aedb6c35-3db8-494a-a41e-8ffc737dc35b.pdf</t>
  </si>
  <si>
    <t>Активная профилактика лихорадки Эбола:
• у взрослых, проживающих в странах энзоотичных по данному заболеванию;
• у лиц, работающих с возбудителем лихорадки;
• у медицинских работников, имеющих контакт с кровью, выделениями, другими жидкостями и органами инфицированного человека;
• у лиц, выезжающих за рубеж в страны энзоотичные по данному заболеванию.</t>
  </si>
  <si>
    <t>&lt;p&gt;Профилактика лихорадки Эбола у взрослых с 18&amp;nbsp;лет, не менее чем за 28&amp;nbsp;дней до предполагаемого контакта с возбудителем.&lt;/p&gt;</t>
  </si>
  <si>
    <t>https://grls.rosminzdrav.ru/InstrImg/2026/04/08/1528373/3fb2f386-4fb1-4866-bc9c-0268096bb4fc.pdf</t>
  </si>
  <si>
    <t>Профилактика лихорадки Эбола у взрослых с 18 лет, не менее чем за 28 дней до предполагаемого контакта с возбудителем.</t>
  </si>
  <si>
    <t>&lt;p&gt;Лечение гнойно-воспалительных заболеваний стафилококковой этиологии у взрослых и детей старше 6&amp;nbsp;месяцев:
&lt;ul&gt;&lt;li&gt;абсцессов, фурункулов и карбункулов кожи;&lt;/li&gt;
&lt;li&gt;гордеолума и других глубоких воспалений век;&lt;/li&gt;
&lt;li&gt;пиодермии.&lt;/li&gt;&lt;/ul&gt;&lt;/p&gt;</t>
  </si>
  <si>
    <t>https://grls.rosminzdrav.ru/InstrImg/2018/11/10/1426168/%D0%A0_N000460_01[2018]_0.pdf</t>
  </si>
  <si>
    <t>Лечение гнойно-воспалительных заболеваний стафилококковой этиологии у взрослых и детей старше 6 месяцев:
• абсцессов, фурункулов и карбункулов кожи;
• гордеолума и других глубоких воспалений век;
• пиодермии.</t>
  </si>
  <si>
    <t>&lt;p&gt;Вакцина Псевдовак применяется с целью формирования активного иммунитета к синегнойным инфекциям и может использоваться при любых состояниях, сопровождающихся повышенным риском синегнойных инфекций или сепсиса [...] у детей с 1&amp;nbsp;месяца и взрослых.&lt;/p&gt;</t>
  </si>
  <si>
    <t>https://grls.rosminzdrav.ru/InstrImg/2019/10/17/1448631/%D0%9B%D0%9F-001290[2017]_0.pdf</t>
  </si>
  <si>
    <t>Вакцина Псевдовак применяется с целью формирования активного иммунитета к синегнойным инфекциям и может использоваться при любых состояниях, сопровождающихся повышенным риском синегнойных инфекций или сепсиса [...] у детей с 1 месяца и взрослых.</t>
  </si>
  <si>
    <t>&lt;p&gt;Профилактика инфекций, вызываемых условно-патогенными микроорганизмами (стафилококк, протей, синегнойная палочка), у лиц в возрасте 18-60&amp;nbsp;лет с высоким риском развития гнойно-септических осложнений.&lt;/p&gt;</t>
  </si>
  <si>
    <t>https://grls.rosminzdrav.ru/InstrImg/2020/06/03/37799/c7a7977e-fea0-4451-80db-bfd751ccf3f6.pdf</t>
  </si>
  <si>
    <t>Профилактика инфекций, вызываемых условно-патогенными микроорганизмами (стафилококк, протей, синегнойная палочка), у лиц в возрасте 18-60 лет с высоким риском развития гнойно-септических осложнений.</t>
  </si>
  <si>
    <t>&lt;p&gt;Вакцина гепатита В рекомбинантная (рДНК) показана к применению у детей, подростков и лиц в возрасте от 1&amp;nbsp;года до 19&amp;nbsp;лет для активной иммунизации против инфекции, вызываемой вирусом гепатита В.&lt;/p&gt;</t>
  </si>
  <si>
    <t>https://grls.rosminzdrav.ru/InstrImg/2025/12/30/1524963/862ae1b6-e8bc-417c-8173-0fa0ff6a6e52.pdf</t>
  </si>
  <si>
    <t>Вакцина гепатита В рекомбинантная (рДНК) показана к применению у детей, подростков и лиц в возрасте от 1 года до 19 лет для активной иммунизации против инфекции, вызываемой вирусом гепатита В.</t>
  </si>
  <si>
    <t>&lt;p&gt;Активная профилактика полиомиелита по эпидемическим показаниям.&lt;/p&gt;
&lt;p&gt;Вакцинацию проводят контактным лицам в очагах полиомиелита, в том числе, вызванным диким полиовирусом (или при подозрении на заболевание) в соответствии с действующим календарем профилактических прививок по эпидемическим показаниям. Дополнительные массовые иммунизации в виде организованных кампаний проводятся в соответствии с постановлением Главного государственного санитарного врача Российской Федерации, в котором определяются возраст подлежащих иммунизации против полиомиелита, сроки, порядок и кратность ее проведения.&lt;/p&gt;</t>
  </si>
  <si>
    <t>https://grls.rosminzdrav.ru/InstrImg/2024/01/23/1501030/43ed9d31-44e7-403a-a977-d714a002b9c6.pdf</t>
  </si>
  <si>
    <t>Активная профилактика полиомиелита по эпидемическим показаниям.
Вакцинацию проводят контактным лицам в очагах полиомиелита, в том числе, вызванным диким полиовирусом (или при подозрении на заболевание) в соответствии с действующим календарем профилактических прививок по эпидемическим показаниям. Дополнительные массовые иммунизации в виде организованных кампаний проводятся в соответствии с постановлением Главного государственного санитарного врача Российской Федерации, в котором определяются возраст подлежащих иммунизации против полиомиелита, сроки, порядок и кратность ее проведения.</t>
  </si>
  <si>
    <t>&lt;p&gt;Препарат предназначен для ревакцинации взрослых против натуральной оспы по эпидемическим показаниям и плановой ревакцинации лиц, работающих с вирусами натуральной оспы, вакцины и оспы животных, патогенными для человека.&lt;/p&gt;</t>
  </si>
  <si>
    <t>https://grls.rosminzdrav.ru/InstrImg/2020/06/11/1206428/53252686-7415-4f30-bdba-632b434439f9.pdf</t>
  </si>
  <si>
    <t>Препарат предназначен для ревакцинации взрослых против натуральной оспы по эпидемическим показаниям и плановой ревакцинации лиц, работающих с вирусами натуральной оспы, вакцины и оспы животных, патогенными для человека.</t>
  </si>
  <si>
    <t>https://grls.rosminzdrav.ru/InstrImg/2019/06/30/739/1fca1237-4a6a-4bdd-b176-7ef01c56c1bf.pdf</t>
  </si>
  <si>
    <t>&lt;p&gt;Иммунотерапия неинвазивного рака мочевого пузыря у взрослых [...].&lt;/p&gt;</t>
  </si>
  <si>
    <t>https://grls.rosminzdrav.ru/InstrImg/2020/06/01/1422432/8314c8e6-25f4-4bd2-97f0-1a3b881e7dcb.pdf</t>
  </si>
  <si>
    <t>Иммунотерапия неинвазивного рака мочевого пузыря у взрослых [...].</t>
  </si>
  <si>
    <t>&lt;p&gt;Профилактика гриппа у взрослых старше 18&amp;nbsp;лет.&lt;/p&gt;</t>
  </si>
  <si>
    <t>https://grls.rosminzdrav.ru/InstrImg/2020/05/28/37407/eca15fe8-8706-4bd3-9148-1f54c5ab52ed.pdf</t>
  </si>
  <si>
    <t>Профилактика гриппа у взрослых старше 18 лет.</t>
  </si>
  <si>
    <t>&lt;p&gt;Специфическая профилактика пандемического гриппа у детей, начиная с 6&amp;nbsp;месячного возраста, подростков и взрослых без ограничения возраста.&lt;/p&gt;</t>
  </si>
  <si>
    <t>https://grls.rosminzdrav.ru/InstrImg/2020/11/20/1414272/ad633910-6fd8-473c-8c81-dc945f343f42.pdf</t>
  </si>
  <si>
    <t>Специфическая профилактика пандемического гриппа у детей, начиная с 6 месячного возраста, подростков и взрослых без ограничения возраста.</t>
  </si>
  <si>
    <t>&lt;p&gt;Специфическая профилактика пандемического гриппа с 18&amp;nbsp;лет.&lt;/p&gt;</t>
  </si>
  <si>
    <t>https://grls.rosminzdrav.ru/InstrImg/2020/11/25/146561/742bfd83-5da9-4e9c-bbb5-b9de800c21fa.pdf</t>
  </si>
  <si>
    <t>Специфическая профилактика пандемического гриппа с 18 лет.</t>
  </si>
  <si>
    <t>https://grls.rosminzdrav.ru/InstrImg/2020/11/23/146563/3780d7de-b3a2-42ee-b652-ae7a04722a90.pdf</t>
  </si>
  <si>
    <t>&lt;p&gt;Специфическая профилактика гриппа подтипа A(H₁N₁) у людей в возрасте от 18 до 60&amp;nbsp;лет.&lt;/p&gt;</t>
  </si>
  <si>
    <t>https://grls.rosminzdrav.ru/InstrImg/2025/02/28/1514525/002c6594-b19d-4b5a-a79c-60853ca8612c.pdf</t>
  </si>
  <si>
    <t>Специфическая профилактика гриппа подтипа A(H₁N₁) у людей в возрасте от 18 до 60 лет.</t>
  </si>
  <si>
    <t>&lt;p&gt;Специфическая профилактика гриппа типа A(H₁N₁v) у взрослых без ограничения возраста.&lt;/p&gt;</t>
  </si>
  <si>
    <t>https://grls.rosminzdrav.ru/InstrImg/2025/03/27/1515398/ec0df501-9186-4e20-ae68-c07f28302f7b.pdf</t>
  </si>
  <si>
    <t>Специфическая профилактика гриппа типа A(H₁N₁v) у взрослых без ограничения возраста.</t>
  </si>
  <si>
    <t>&lt;p&gt;Специфическая профилактика гриппа у детей с 3&amp;nbsp;лет, подростков и взрослых без ограничения возраста.&lt;/p&gt;</t>
  </si>
  <si>
    <t>https://grls.rosminzdrav.ru/InstrImg/2020/11/25/140879/f4484511-f351-42f9-8a7a-85a995f31517.pdf</t>
  </si>
  <si>
    <t>Специфическая профилактика гриппа у детей с 3 лет, подростков и взрослых без ограничения возраста.</t>
  </si>
  <si>
    <t>&lt;p&gt;Активная профилактика гриппа у взрослых без ограничения возраста и у детей с 3&amp;nbsp;лет.&lt;/p&gt;</t>
  </si>
  <si>
    <t>https://lk.regmed.ru/Register/GetPDFfromDA?ID=1634791611</t>
  </si>
  <si>
    <t>Активная профилактика гриппа у взрослых без ограничения возраста и у детей с 3 лет.</t>
  </si>
  <si>
    <t>&lt;p&gt;Лечение пациентов с герпетической инфекцией с поражениями кожи и слизистых различной локализации. Вакцина применяется для лечения взрослого населения.&lt;/p&gt;</t>
  </si>
  <si>
    <t>https://grls.rosminzdrav.ru/InstrImg/2020/06/18/1452053/3993efd1-cdd7-4127-88ae-330ac7a6d1c1.pdf</t>
  </si>
  <si>
    <t>Лечение пациентов с герпетической инфекцией с поражениями кожи и слизистых различной локализации. Вакцина применяется для лечения взрослого населения.</t>
  </si>
  <si>
    <t>&lt;p&gt;Специфическая профилактика гриппа птиц у взрослых в возрасте от 18 до 60&amp;nbsp;лет по эпидемическим показаниям.&lt;/p&gt;</t>
  </si>
  <si>
    <t>https://grls.rosminzdrav.ru/InstrImg/2025/06/02/1517810/7b7b0a6f-2d36-481e-a964-4e8d04031cd7.pdf</t>
  </si>
  <si>
    <t>Специфическая профилактика гриппа птиц у взрослых в возрасте от 18 до 60 лет по эпидемическим показаниям.</t>
  </si>
  <si>
    <t>&lt;p&gt;Специфическая профилактика гриппа птиц у людей в возрасте 18-60&amp;nbsp;лет по эпидемическим показаниям.&lt;/p&gt;</t>
  </si>
  <si>
    <t>https://grls.rosminzdrav.ru/InstrImg/2025/03/25/1515266/f7896710-fb4c-49f0-9e20-d6272771ab13.pdf</t>
  </si>
  <si>
    <t>Специфическая профилактика гриппа птиц у людей в возрасте 18-60 лет по эпидемическим показаниям.</t>
  </si>
  <si>
    <t>&lt;p&gt;Вакцинацию осуществляют в соответствии с Национальным календарем профилактических прививок России: первая вакцинация в возрасте 12&amp;nbsp;месяцев, вторая вакцинация - в возрасте 6&amp;nbsp;лет, девочек в возрасте 13&amp;nbsp;лет не привитых, и не болевших краснухой или однократно привитых.
Рекомендуется однократная вакцинация женщин детородного возраста не привитых, и не болевших краснухой.&lt;/p&gt;</t>
  </si>
  <si>
    <t>https://grls.rosminzdrav.ru/InstrImg/2019/6/10/1440397/%D0%9F_N014879_01-2003[2003]_0.pdf</t>
  </si>
  <si>
    <t>Вакцинацию осуществляют в соответствии с Национальным календарем профилактических прививок России: первая вакцинация в возрасте 12 месяцев, вторая вакцинация - в возрасте 6 лет, девочек в возрасте 13 лет не привитых, и не болевших краснухой или однократно привитых.
Рекомендуется однократная вакцинация женщин детородного возраста не привитых, и не болевших краснухой.</t>
  </si>
  <si>
    <t>Профилактика ботулизма и столбняка у лиц в возрасте от 16 до 60&amp;nbsp;лет (женщины до 55&amp;nbsp;лет).</t>
  </si>
  <si>
    <t>https://lk.regmed.ru/Register/GetPDFfromDA?ID=1621040001</t>
  </si>
  <si>
    <t>Профилактика ботулизма и столбняка у лиц в возрасте от 16 до 60 лет (женщины до 55 лет).</t>
  </si>
  <si>
    <t>&lt;p&gt;Лекарственный препарат применяется у взрослых [...]&lt;/p&gt;</t>
  </si>
  <si>
    <t>https://grls.rosminzdrav.ru/InstrImg/2025/06/20/1518413/41c4a162-9126-495b-93df-fc2894a8a11f.pdf</t>
  </si>
  <si>
    <t>Лекарственный препарат применяется у взрослых [...]</t>
  </si>
  <si>
    <t>&lt;p&gt;Специфическая иммунотерапия острой и хронической (в стадии обострения) стафилококковой инфекции у взрослых.&lt;/p&gt;</t>
  </si>
  <si>
    <t>https://grls.rosminzdrav.ru/InstrImg/2025/06/16/1518163/105870c5-93ab-426a-9043-b14a77b3a9e1.pdf</t>
  </si>
  <si>
    <t>Специфическая иммунотерапия острой и хронической (в стадии обострения) стафилококковой инфекции у взрослых.</t>
  </si>
  <si>
    <t>&lt;p&gt;Лекарственный препарат Имурон-вак предназначен для иммунотерапии поверхностного (Т&lt;sub&gt;а&lt;/sub&gt;, T₁, T&lt;sub&gt;is&lt;/sub&gt;) рака мочевого пузыря или профилактики его рецидивов после трансуретрального удаления опухолей у взрослых.&lt;/p&gt;</t>
  </si>
  <si>
    <t>https://grls.rosminzdrav.ru/InstrImg/2025/07/09/1519029/0d8fd7ae-7b89-4160-9ecd-4b0646f6482f.pdf</t>
  </si>
  <si>
    <r>
      <rPr>
        <sz val="10"/>
        <color theme="1"/>
        <rFont val="Arial"/>
      </rPr>
      <t>Лекарственный препарат Имурон-вак предназначен для иммунотерапии поверхностного (Т</t>
    </r>
    <r>
      <rPr>
        <sz val="6"/>
        <color theme="1"/>
        <rFont val="Arial"/>
      </rPr>
      <t>а</t>
    </r>
    <r>
      <rPr>
        <sz val="10"/>
        <color theme="1"/>
        <rFont val="Arial"/>
      </rPr>
      <t>, T₁, T</t>
    </r>
    <r>
      <rPr>
        <sz val="6"/>
        <color theme="1"/>
        <rFont val="Arial"/>
      </rPr>
      <t>is</t>
    </r>
    <r>
      <rPr>
        <sz val="10"/>
        <color theme="1"/>
        <rFont val="Arial"/>
      </rPr>
      <t>) рака мочевого пузыря или профилактики его рецидивов после трансуретрального удаления опухолей у взрослых.</t>
    </r>
  </si>
  <si>
    <t>&lt;p&gt;Вакцина гепатита В рекомбинантная (рДНК) показана к применению у взрослых старше 19&amp;nbsp;лет для активной иммунизации против инфекции, вызываемой вирусом гепатита В.&lt;/p&gt;</t>
  </si>
  <si>
    <t>Вакцина гепатита В рекомбинантная (рДНК) показана к применению у взрослых старше 19 лет для активной иммунизации против инфекции, вызываемой вирусом гепатита В.</t>
  </si>
  <si>
    <t>&lt;p&gt;Для первичной вакцинации и ревакцинации детей в возрасте от 6&amp;nbsp;недель против дифтерии, столбняка, коклюша, гепатита В, полиомиелита и инвазивной инфекции, вызываемой &lt;i&gt;Haemophilus influenzae&lt;/i&gt; тип &lt;i&gt;b&lt;/i&gt; (менингит, септицемия, гнойное воспаление подкожно-жировой клетчатки, артрит, эпиглоттит, пневмония, остеомиелит).&lt;br&gt;&lt;br&gt;
Безопасность и эффективность вакцины Гексаксим у детей в возрасте младше 6&amp;nbsp;недель не установлена.&lt;br&gt;
Нет данных о применении вакцины Гексаксим у детей старше 5&amp;nbsp;лет.&lt;p&gt;</t>
  </si>
  <si>
    <t>https://lk.regmed.ru/Register/GetPDFfromDA?ID=1607301531</t>
  </si>
  <si>
    <r>
      <rPr>
        <sz val="10"/>
        <color theme="1"/>
        <rFont val="Arial"/>
      </rPr>
      <t xml:space="preserve">Для первичной вакцинации и ревакцинации детей в возрасте от 6 недель против дифтерии, столбняка, коклюша, гепатита В, полиомиелита и инвазивной инфекции, вызываемой </t>
    </r>
    <r>
      <rPr>
        <i/>
        <sz val="10"/>
        <color theme="1"/>
        <rFont val="Arial"/>
      </rPr>
      <t>Haemophilus influenzae</t>
    </r>
    <r>
      <rPr>
        <sz val="10"/>
        <color theme="1"/>
        <rFont val="Arial"/>
      </rPr>
      <t xml:space="preserve"> тип </t>
    </r>
    <r>
      <rPr>
        <i/>
        <sz val="10"/>
        <color theme="1"/>
        <rFont val="Arial"/>
      </rPr>
      <t xml:space="preserve">b </t>
    </r>
    <r>
      <rPr>
        <sz val="10"/>
        <color theme="1"/>
        <rFont val="Arial"/>
      </rPr>
      <t>(менингит, септицемия, гнойное воспаление подкожно-жировой клетчатки, артрит, эпиглоттит, пневмония, остеомиелит).
Безопасность и эффективность вакцины Гексаксим у детей в возрасте младше 6 недель не установлена.
Нет данных о применении вакцины Гексаксим у детей старше 5 лет.</t>
    </r>
  </si>
  <si>
    <t>&lt;p&gt;Профилактика коронавирусной инфекции (COVID-19) у взрослых от 18 до 55&amp;nbsp;лет.&lt;/p&gt;</t>
  </si>
  <si>
    <t>https://grls.rosminzdrav.ru/InstrImg/2024/12/09/1511749/a4738d52-4ff6-4599-a566-530f55491e76.pdf</t>
  </si>
  <si>
    <t>Профилактика коронавирусной инфекции (COVID-19) у взрослых от 18 до 55 лет.</t>
  </si>
  <si>
    <t>https://grls.rosminzdrav.ru/InstrImg/2025/03/25/1515160/e4c206af-2701-4f99-a45f-09d998ef0935.pdf</t>
  </si>
  <si>
    <t>&lt;p&gt;Вакцина Цегардекс показана к применению у взрослых в возрасте от 18&amp;nbsp;лет [...].&lt;br&gt;
Эффективность вакцины Цегардекс у лиц в возрасте старше 45&amp;nbsp;лет на данный момент не установлена.&lt;/p&gt;</t>
  </si>
  <si>
    <t>https://grls.rosminzdrav.ru/InstrImg/2025/03/14/1514899/44c72a47-2cd3-4a92-b136-0902c17fafb6.pdf</t>
  </si>
  <si>
    <t>Вакцина Цегардекс показана к применению у взрослых в возрасте от 18 лет [...].
Эффективность вакцины Цегардекс у лиц в возрасте старше 45 лет на данный момент не установлена.</t>
  </si>
  <si>
    <t>&lt;p&gt;Вакцина МЕНВЭЙД предназначена для активной иммунизации лиц в возрасте от 9&amp;nbsp;месяцев до 85&amp;nbsp;лет [...].&lt;/p&gt;</t>
  </si>
  <si>
    <t>https://grls.rosminzdrav.ru/InstrImg/2025/04/04/1515791/731944c3-c908-4ee4-8479-026ab476fc4b.pdf</t>
  </si>
  <si>
    <t>Вакцина МЕНВЭЙД предназначена для активной иммунизации лиц в возрасте от 9 месяцев до 85 лет [...].</t>
  </si>
  <si>
    <t>Информация из инструкции к вакцине Рабипур</t>
  </si>
  <si>
    <t>&lt;p&gt;Препарат Превенар&amp;nbsp;20 применяется по следующим показаниям:
&lt;ul&gt;&lt;li&gt;Активная иммунизация для профилактики инвазивной инфекции, пневмонии и острого среднего отита, вызванных &lt;i&gt;Streptococcus pneumoniae&lt;/i&gt;, у младенцев, детей и подростков в возрасте от 6&amp;nbsp;недель и до 18&amp;nbsp;лет.&lt;/li&gt;
&lt;li&gt;Активная иммунизация для профилактики инвазивной инфекции и пневмонии, вызванных &lt;i&gt;Streptococcus pneumoniae&lt;/i&gt;, у лиц в возрасте 18&amp;nbsp;лет и старше.&lt;/li&gt;&lt;/ul&gt;&lt;/p&gt;</t>
  </si>
  <si>
    <t>https://grls.rosminzdrav.ru/InstrImg/2025/07/15/1519302/c7dac0d8-df0c-484e-99a0-d7b6422ab318.pdf</t>
  </si>
  <si>
    <t>Препарат Превенар 20 применяется по следующим показаниям:
• Активная иммунизация для профилактики инвазивной инфекции, пневмонии и острого среднего отита, вызванных Streptococcus pneumoniae, у младенцев, детей и подростков в возрасте от 6 недель и до 18 лет.
• Активная иммунизация для профилактики инвазивной инфекции и пневмонии, вызванных Streptococcus pneumoniae, у лиц в возрасте 18 лет и старше.</t>
  </si>
  <si>
    <t>&lt;p&gt;Вакцина аАКДС-М показана к применению у взрослых в возрасте от 18&amp;nbsp;лет для ревакцинации против дифтерии, столбняка и коклюша.&lt;/p&gt;</t>
  </si>
  <si>
    <t>https://grls.rosminzdrav.ru/InstrImg/2026/04/13/1528563/1136dc5f-fe53-46a4-ba36-20995e399a16.pdf</t>
  </si>
  <si>
    <t>Вакцина аАКДС-М показана к применению у взрослых в возрасте от 18 лет для ревакцинации против дифтерии, столбняка и коклюша.</t>
  </si>
  <si>
    <t>&lt;p&gt;Препарат Нименрикс показан для активной иммунизации против инвазивных менингококковых инфекций, вызываемых &lt;i&gt;Neisseria meningitidis&lt;/i&gt; серогрупп А, С, W-135 и Y, лиц с 6&amp;nbsp;недель и далее без ограничения по возрасту.&lt;/p&gt;</t>
  </si>
  <si>
    <t>https://grls.rosminzdrav.ru/InstrImg/2026/04/13/1528638/81dbfeae-d02c-4909-ae9d-1b3092cc89e9.pdf</t>
  </si>
  <si>
    <t>Препарат Нименрикс показан для активной иммунизации против инвазивных менингококковых инфекций, вызываемых Neisseria meningitidis серогрупп А, С, W-135 и Y, лиц с 6 недель и далее без ограничения по возрасту.</t>
  </si>
  <si>
    <t>contraindications_text</t>
  </si>
  <si>
    <t>contraindications_date</t>
  </si>
  <si>
    <t>contraindications_view_number</t>
  </si>
  <si>
    <t>contraindications_version</t>
  </si>
  <si>
    <t>contraindications_version_link</t>
  </si>
  <si>
    <t>contraindications_text_wo_html</t>
  </si>
  <si>
    <r>
      <rPr>
        <sz val="10"/>
        <color theme="1"/>
        <rFont val="Roboto, Arial"/>
      </rPr>
      <t xml:space="preserve">&lt;p&gt;&lt;ul&gt;&lt;li&gt;Гиперчувствительность к действующему веществу или к любому из вспомогательных веществ [...].&lt;/li&gt;&lt;/ul&gt;
</t>
    </r>
    <r>
      <rPr>
        <b/>
        <i/>
        <sz val="10"/>
        <color theme="1"/>
        <rFont val="Roboto, Arial"/>
      </rPr>
      <t>&lt;b&gt;&lt;i&gt;Вакцинация</t>
    </r>
    <r>
      <rPr>
        <sz val="10"/>
        <color theme="1"/>
        <rFont val="Roboto, Arial"/>
      </rPr>
      <t xml:space="preserve">&lt;/i&gt;&lt;/b&gt;
&lt;ul&gt;&lt;li&gt;Недоношенность, масса тела при рождении менее 2500&amp;nbsp;г.&lt;/li&gt;
&lt;li&gt;Внутриутробная гипотрофия III-IV&amp;nbsp;степени.&lt;/li&gt;
&lt;li&gt;Острые заболевания и обострение хронических заболеваний. Вакцинация откладывается до окончания острых проявлений заболевания и обострения хронических заболеваний (внутриутробная инфекция, гнойно-септические заболевания, гемолитическая болезнь новорожденных среднетяжелой и тяжелой формы, тяжелые поражения нервной системы с выраженной неврологической симптоматикой, генерализованные кожные поражения и т.п.).&lt;/li&gt;
&lt;li&gt;Детям, рожденным матерями, необследованными на ВИЧ во время беременности и родов, а также детям, рожденным ВИЧ-инфицированными матерями, не получавших трехэтапную химиопрофилактику передачи ВИЧ от матери ребенку, вакцинация не проводится до установления ВИЧ-статуса ребенка в возрасте 18&amp;nbsp;месяцев.&lt;/li&gt;
&lt;li&gt;Иммунокомпрометированные состояния:&lt;br&gt;
—&amp;nbsp;первичные иммунодефициты;&lt;br&gt;
—&amp;nbsp;вторичные иммунодефициты вследствие назначения ребенку иммуносупрессивных препаратов, ВИЧ-инфекция;&lt;br&gt;
—&amp;nbsp;онкогематологические заболевания, приводящие к нарушению работы иммунной системы;&lt;br&gt;
—&amp;nbsp;прием матерью иммунобиологических лекарственных препаратов с иммуносупрессивными свойствами, пересекающими плацентарный барьер, во второй половине беременности (может приводить к временному иммунодефициту у ребенка). Вакцинацию проводят не ранее, чем через 6&amp;nbsp;месяцев после рождения. Если иммунобиологический препарат не пересекает плацентарный барьер, его применение на любом сроке беременности не влияет на решение о вакцинации ребенка.&lt;/li&gt;&lt;/ul&gt;
Генерализованная БЦЖ-инфекция у других детей в семье или у родителей, а также наследственные иммунодефициты у других членов семьи могут служить поводом для временного противопоказания к вакцинации против туберкулеза (до момента исключения первичного иммунодефицита). Если диагноз подтверждается, то вакцинация не проводится. При назначении иммунодепрессантов и лучевой терапии прививку проводят не ранее, чем через 6&amp;nbsp;месяцев после окончания лечения.&lt;br&gt;&lt;br&gt;
Вакцинация против туберкулеза детей, рожденных от матерей с ВИЧ-инфекцией и получавших трехэтапную химиопрофилактику передачи ВИЧ от матери ребенку (во время беременности, родов и в период новорожденности), проводится в родильном доме вакциной туберкулезной для щадящей первичной иммунизации (БЦЖ-М).&lt;br&gt;&lt;br&gt;
Дети, имеющие противопоказания к иммунизации туберкулезной вакциной БЦЖ, прививаются вакциной БЦЖ-М с соблюдением инструкции к этой вакцине.&lt;/p&gt;
</t>
    </r>
    <r>
      <rPr>
        <b/>
        <i/>
        <sz val="10"/>
        <color theme="1"/>
        <rFont val="Roboto, Arial"/>
      </rPr>
      <t>&lt;p&gt;&lt;b&gt;&lt;i&gt;Ревакцинация&lt;/i&gt;&lt;/b&gt;</t>
    </r>
    <r>
      <rPr>
        <sz val="10"/>
        <color theme="1"/>
        <rFont val="Roboto, Arial"/>
      </rPr>
      <t xml:space="preserve">
&lt;ul&gt;&lt;li&gt;Острые инфекционные и неинфекционные заболевания, обострение хронических заболеваний, в том числе аллергических. Прививку проводят через 1&amp;nbsp;мес. после выздоровления или наступления ремиссии.&lt;/li&gt;
&lt;li&gt;Иммунодефицитные состояния, злокачественные заболевания крови и новообразования. При назначении иммунодепрессантов и лучевой терапии прививку проводят не ранее, чем через 6&amp;nbsp;мес. после окончания лечения.&lt;/li&gt;
&lt;li&gt;Больные туберкулезом, лица, перенесшие туберкулез и инфицированные микобактериями.&lt;/li&gt;
&lt;li&gt;Положительная и сомнительная реакция на пробу Манту с 2&amp;nbsp;ТЕ ППД-Л.&lt;/li&gt;
&lt;li&gt;Осложненные реакции на предыдущее введение вакцины БЦЖ (келоидный рубец, лимфаденит и др.).&lt;/li&gt;
&lt;li&gt;ВИЧ-инфекция, обнаружение нуклеиновых кислот ВИЧ молекулярными методами.&lt;/li&gt;&lt;/ul&gt;
При контакте с инфекционными больными в семье, детском учреждении и т.д. прививки проводят по окончании срока карантина или максимального срока инкубационного периода для данного заболевания.&lt;br&gt;&lt;br&gt;
Лица, временно освобожденные от прививок, должны быть взяты под наблюдение и учет, и привиты после снятия противопоказаний. В случае необходимости проводят соответствующие клинико-лабораторные обследования.&lt;p&gt;</t>
    </r>
  </si>
  <si>
    <r>
      <rPr>
        <sz val="10"/>
        <color theme="1"/>
        <rFont val="Roboto, Arial"/>
      </rPr>
      <t xml:space="preserve">• Гиперчувствительность к действующему веществу или к любому из вспомогательных веществ [...].
</t>
    </r>
    <r>
      <rPr>
        <b/>
        <i/>
        <sz val="10"/>
        <color theme="1"/>
        <rFont val="Roboto, Arial"/>
      </rPr>
      <t>Вакцинация</t>
    </r>
    <r>
      <rPr>
        <sz val="10"/>
        <color theme="1"/>
        <rFont val="Roboto, Arial"/>
      </rPr>
      <t xml:space="preserve">
• Недоношенность, масса тела при рождении менее 2500 г.
• Внутриутробная гипотрофия III-IV степени.
• Острые заболевания и обострение хронических заболеваний. Вакцинация откладывается до окончания острых проявлений заболевания и обострения хронических заболеваний (внутриутробная инфекция, гнойно-септические заболевания, гемолитическая болезнь новорожденных среднетяжелой и тяжелой формы, тяжелые поражения нервной системы с выраженной неврологической симптоматикой, генерализованные кожные поражения и т.п.).
• Детям, рожденным матерями, необследованными на ВИЧ во время беременности и родов, а также детям, рожденным ВИЧ-инфицированными матерями, не получавших трехэтапную химиопрофилактику передачи ВИЧ от матери ребенку, вакцинация не проводится до установления ВИЧ-статуса ребенка в возрасте 18 месяцев.
• Иммунокомпрометированные состояния:
— первичные иммунодефициты;
— вторичные иммунодефициты вследствие назначения ребенку иммуносупрессивных препаратов, ВИЧ-инфекция;
— онкогематологические заболевания, приводящие к нарушению работы иммунной системы;
— прием матерью иммунобиологических лекарственных препаратов с иммуносупрессивными свойствами, пересекающими плацентарный барьер, во второй половине беременности (может приводить к временному иммунодефициту у ребенка). Вакцинацию проводят не ранее, чем через 6 месяцев после рождения. Если иммунобиологический препарат не пересекает плацентарный барьер, его применение на любом сроке беременности не влияет на решение о вакцинации ребенка.
Генерализованная БЦЖ-инфекция у других детей в семье или у родителей, а также наследственные иммунодефициты у других членов семьи могут служить поводом для временного противопоказания к вакцинации против туберкулеза (до момента исключения первичного иммунодефицита). Если диагноз подтверждается, то вакцинация не проводится. При назначении иммунодепрессантов и лучевой терапии прививку проводят не ранее, чем через 6 месяцев после окончания лечения.
Вакцинация против туберкулеза детей, рожденных от матерей с ВИЧ-инфекцией и получавших трехэтапную химиопрофилактику передачи ВИЧ от матери ребенку (во время беременности, родов и в период новорожденности), проводится в родильном доме вакциной туберкулезной для щадящей первичной иммунизации (БЦЖ-М).
Дети, имеющие противопоказания к иммунизации туберкулезной вакциной БЦЖ, прививаются вакциной БЦЖ-М с соблюдением инструкции к этой вакцине.
</t>
    </r>
    <r>
      <rPr>
        <b/>
        <i/>
        <sz val="10"/>
        <color theme="1"/>
        <rFont val="Roboto, Arial"/>
      </rPr>
      <t>Ревакцинация</t>
    </r>
    <r>
      <rPr>
        <sz val="10"/>
        <color theme="1"/>
        <rFont val="Roboto, Arial"/>
      </rPr>
      <t xml:space="preserve">
• Острые инфекционные и неинфекционные заболевания, обострение хронических заболеваний, в том числе аллергических. Прививку проводят через 1 мес. после выздоровления или наступления ремиссии.
• Иммунодефицитные состояния, злокачественные заболевания крови и новообразования. При назначении иммунодепрессантов и лучевой терапии прививку проводят не ранее, чем через 6 мес. после окончания лечения.
• Больные туберкулезом, лица, перенесшие туберкулез и инфицированные микобактериями.
• Положительная и сомнительная реакция на пробу Манту с 2 ТЕ ППД-Л.
• Осложненные реакции на предыдущее введение вакцины БЦЖ (келоидный рубец, лимфаденит и др.).
• ВИЧ-инфекция, обнаружение нуклеиновых кислот ВИЧ молекулярными методами.
При контакте с инфекционными больными в семье, детском учреждении и т.д. прививки проводят по окончании срока карантина или максимального срока инкубационного периода для данного заболевания.
Лица, временно освобожденные от прививок, должны быть взяты под наблюдение и учет, и привиты после снятия противопоказаний. В случае необходимости проводят соответствующие клинико-лабораторные обследования.</t>
    </r>
  </si>
  <si>
    <t>&lt;p&gt;&lt;ul&gt;&lt;li&gt;Гиперчувствительность к действующему веществу или к любому из вспомогательных веществ [...].&lt;/li&gt;
&lt;li&gt;Масса тела менее 2000&amp;nbsp;граммов. Вакцинация проводится после того, как вес ребенка достигнет 2000&amp;nbsp;граммов.&lt;/li&gt;
&lt;li&gt;Острые заболевания и обострение хронических заболеваний. Вакцинация откладывается до исчезновения клинических проявлений острых заболеваний и обострений хронических заболеваний (внутриутробная инфекция, гнойно-септические заболевания, гемолитическая болезнь новорожденных среднетяжелой и тяжелой формы, тяжелые поражения нервной системы с выраженной неврологической симптоматикой, генерализованные кожные поражения и т.п.).&lt;/li&gt;
&lt;li&gt;Иммунокомпрометированные состояния:&lt;br&gt;
—&amp;nbsp;первичные иммунодефициты;&lt;br&gt;
—&amp;nbsp;вторичные иммунодефициты вследствие назначения ребенку иммуносупрессивных препаратов;&lt;br&gt;
—&amp;nbsp;онкогематологические заболевания, приводящие к нарушению работы иммунной системы;&lt;br&gt;
—&amp;nbsp;прием матерью иммунобиологических лекарственных препаратов с иммуносупрессивными свойствами, пересекающими плацентарный барьер, во второй половине беременности (может приводить к временному иммунодефициту у ребенка). Вакцинацию проводят не ранее, чем через 6&amp;nbsp;месяцев после рождения. Если иммунобиологический препарат не пересекает плацентарный барьер, его применение на любом сроке беременности не влияет на решение о вакцинации ребенка.&lt;br&gt;
—&amp;nbsp;генерализованная БЦЖ-инфекция у других детей в семье или у родителей, а также наследственные иммунодефициты у других членов семьи могут служить поводом для временного противопоказания к вакцинации против туберкулеза (до момента исключения первичного иммунодефицита). Если диагноз подтверждается, то вакцинация не проводится. При назначении иммунодепрессантов и лучевой терапии прививку проводят не ранее, чем через 6&amp;nbsp;месяцев после окончания лечения.&lt;/li&gt;
&lt;li&gt;ВИЧ инфекция, обнаружение нуклеиновых кислот ВИЧ молекулярными методами.&lt;/li&gt;
&lt;li&gt;Детям, рожденным матерями, необследованными на ВИЧ во время беременности и родов, а также детям, рожденным ВИЧ-инфицированными матерями, не получавшими трехэтапную химиопрофилактику передачи ВИЧ от матери ребенку, вакцинация не проводится до установления ВИЧ-статуса ребенка.&lt;/li&gt;&lt;/ul&gt;
Лица, временно освобожденные от прививок, должны быть взяты под наблюдение и учет, и привиты после снятия противопоказаний. В случае необходимости проводят соответствующие клинико-лабораторные обследования.&lt;/p&gt;</t>
  </si>
  <si>
    <t>• Гиперчувствительность к действующему веществу или к любому из вспомогательных веществ [...].
• Масса тела менее 2000 граммов. Вакцинация проводится после того, как вес ребенка достигнет 2000 граммов.
• Острые заболевания и обострение хронических заболеваний. Вакцинация откладывается до исчезновения клинических проявлений острых заболеваний и обострений хронических заболеваний (внутриутробная инфекция, гнойно-септические заболевания, гемолитическая болезнь новорожденных среднетяжелой и тяжелой формы, тяжелые поражения нервной системы с выраженной неврологической симптоматикой, генерализованные кожные поражения и т.п.).
• Иммунокомпрометированные состояния:
— первичные иммунодефициты;
— вторичные иммунодефициты вследствие назначения ребенку иммуносупрессивных препаратов;
— онкогематологические заболевания, приводящие к нарушению работы иммунной системы;
— прием матерью иммунобиологических лекарственных препаратов с иммуносупрессивными свойствами, пересекающими плацентарный барьер, во второй половине беременности (может приводить к временному иммунодефициту у ребенка). Вакцинацию проводят не ранее, чем через 6 месяцев после рождения. Если иммунобиологический препарат не пересекает плацентарный барьер, его применение на любом сроке беременности не влияет на решение о вакцинации ребенка.
— генерализованная БЦЖ-инфекция у других детей в семье или у родителей, а также наследственные иммунодефициты у других членов семьи могут служить поводом для временного противопоказания к вакцинации против туберкулеза (до момента исключения первичного иммунодефицита). Если диагноз подтверждается, то вакцинация не проводится. При назначении иммунодепрессантов и лучевой терапии прививку проводят не ранее, чем через 6 месяцев после окончания лечения.
• ВИЧ инфекция, обнаружение нуклеиновых кислот ВИЧ молекулярными методами.
• Детям, рожденным матерями, необследованными на ВИЧ во время беременности и родов, а также детям, рожденным ВИЧ-инфицированными матерями, не получавшими трехэтапную химиопрофилактику передачи ВИЧ от матери ребенку, вакцинация не проводится до установления ВИЧ-статуса ребенка.
Лица, временно освобожденные от прививок, должны быть взяты под наблюдение и учет, и привиты после снятия противопоказаний. В случае необходимости проводят соответствующие клинико-лабораторные обследования.</t>
  </si>
  <si>
    <t>&lt;p&gt;&lt;i&gt;Вакцинация:&lt;/i&gt;
&lt;ul&gt;&lt;li&gt;Недоношенность — масса тела при рождении менее 2500&amp;nbsp;г.&lt;/li&gt;
&lt;li&gt;Внутриутробная гипотрофия III–IV&amp;nbsp;степени.&lt;/li&gt;
&lt;li&gt;Острые заболевания. Вакцинация откладывается до окончания острых проявлений заболевания и обострения хронических заболеваний (внутриутробная инфекция, гнойно-септические заболевания, гемолитическая болезнь новорожденных среднетяжелой и тяжелой формы, тяжелые поражения нервной системы с выраженной неврологической симптоматикой, генерализованные кожные поражения и т.п.).&lt;/li&gt;
&lt;li&gt;Иммунодефицитное состояние (первичное), злокачественные новообразования.&lt;br&gt;
При назначении иммунодепрессантов и лучевой терапии вакцинацию проводят не ранее чем через 6&amp;nbsp;месяцев после окончания лечения.&lt;/li&gt;
&lt;li&gt;Генерализованная инфекция БЦЖ, выявленная у других детей в семье.&lt;/li&gt;
&lt;li&gt;Детям, рожденным матерями, необследованными на ВИЧ во время беременности и родов, а также детям, рожденным ВИЧ-инфицированными матерями, не получавшими трехэтапную химиопрофилактику передачи ВИЧ от матери к ребенку, вакцинация не проводится до установления ВИЧ-статуса ребенка в возрасте 18&amp;nbsp;месяцев.&lt;br&gt;
Вакцинация против туберкулеза детей, рожденных от матерей с ВИЧ-инфекцией и получавших трехэтапную химиопрофилактику передачи ВИЧ от матери к ребенку (во время беременности, родов и в период новорожденности), проводится в родильном доме вакциной туберкулезной для щадящей первичной иммунизации (БЦЖ-М).&lt;/li&gt;&lt;/ul&gt;
Дети, имеющие противопоказания к иммунизации вакциной БЦЖ, прививаются вакциной БЦЖ-М с соблюдением инструкции к этому лекарственному препарату.&lt;br&gt;&lt;br&gt;
&lt;i&gt;Ревакцинация:&lt;/i&gt;
&lt;ul&gt;&lt;li&gt;Острые инфекционные и неинфекционные заболевания, обострение хронических заболеваний, в том числе аллергических. Вакцинацию проводят через 1&amp;nbsp;месяц после выздоровления или наступления ремиссии.&lt;/li&gt;
&lt;li&gt;Иммунодефицитные состояния, злокачественные заболевания крови и новообразования.&lt;br&gt;
При назначении иммунодепрессантов и лучевой терапии вакцинацию проводят не ранее чем через 6&amp;nbsp;мес. после окончания лечения.&lt;/li&gt;
&lt;li&gt;ВИЧ-инфекция, обнаружение нуклеиновых кислот ВИЧ молекулярными методами.&lt;/li&gt;
&lt;li&gt;Больные туберкулезом, лица, перенесшие туберкулез и инфицированные микобактериями.&lt;/li&gt;
&lt;li&gt;Положительная и сомнительная реакция на пробу Манту с 2&amp;nbsp;ТЕ&amp;nbsp;ППД-Л.&lt;/li&gt;
&lt;li&gt;Осложнения на предыдущее введение лекарственного препарата БЦЖ.&lt;/li&gt;&lt;/ul&gt;
При контакте с инфекционными больными в семье, детском учреждении и т.д. вакцинацию проводят по окончании срока карантина или максимального срока инкубационного периода для данного заболевания.&lt;/p&gt;</t>
  </si>
  <si>
    <r>
      <rPr>
        <i/>
        <sz val="10"/>
        <color theme="1"/>
        <rFont val="Roboto, Arial"/>
      </rPr>
      <t xml:space="preserve">Вакцинация:
</t>
    </r>
    <r>
      <rPr>
        <sz val="10"/>
        <color theme="1"/>
        <rFont val="Roboto, Arial"/>
      </rPr>
      <t xml:space="preserve">• Недоношенность — масса тела при рождении менее 2500 г.
• Внутриутробная гипотрофия III–IV степени.
• Острые заболевания. Вакцинация откладывается до окончания острых проявлений заболевания и обострения хронических заболеваний (внутриутробная инфекция, гнойно-септические заболевания, гемолитическая болезнь новорожденных среднетяжелой и тяжелой формы, тяжелые поражения нервной системы с выраженной неврологической симптоматикой, генерализованные кожные поражения и т.п.).
• Иммунодефицитное состояние (первичное), злокачественные новообразования.
При назначении иммунодепрессантов и лучевой терапии вакцинацию проводят не ранее чем через 6 месяцев после окончания лечения.
• Генерализованная инфекция БЦЖ, выявленная у других детей в семье.
• Детям, рожденным матерями, необследованными на ВИЧ во время беременности и родов, а также детям, рожденным ВИЧ-инфицированными матерями, не получавшими трехэтапную химиопрофилактику передачи ВИЧ от матери к ребенку, вакцинация не проводится до установления ВИЧ-статуса ребенка в возрасте 18 месяцев.
Вакцинация против туберкулеза детей, рожденных от матерей с ВИЧ-инфекцией и получавших трехэтапную химиопрофилактику передачи ВИЧ от матери к ребенку (во время беременности, родов и в период новорожденности), проводится в родильном доме вакциной туберкулезной для щадящей первичной иммунизации (БЦЖ-М).
Дети, имеющие противопоказания к иммунизации вакциной БЦЖ, прививаются вакциной БЦЖ-М с соблюдением инструкции к этому лекарственному препарату.
</t>
    </r>
    <r>
      <rPr>
        <i/>
        <sz val="10"/>
        <color theme="1"/>
        <rFont val="Roboto, Arial"/>
      </rPr>
      <t>Ревакцинация:</t>
    </r>
    <r>
      <rPr>
        <sz val="10"/>
        <color theme="1"/>
        <rFont val="Roboto, Arial"/>
      </rPr>
      <t xml:space="preserve">
• Острые инфекционные и неинфекционные заболевания, обострение хронических заболеваний, в том числе аллергических. Вакцинацию проводят через 1 месяц после выздоровления или наступления ремиссии.
• Иммунодефицитные состояния, злокачественные заболевания крови и новообразования.
При назначении иммунодепрессантов и лучевой терапии вакцинацию проводят не ранее чем через 6 мес. после окончания лечения.
• ВИЧ-инфекция, обнаружение нуклеиновых кислот ВИЧ молекулярными методами.
• Больные туберкулезом, лица, перенесшие туберкулез и инфицированные микобактериями.
• Положительная и сомнительная реакция на пробу Манту с 2 ТЕ ППД-Л.
• Осложнения на предыдущее введение лекарственного препарата БЦЖ.
При контакте с инфекционными больными в семье, детском учреждении и т.д. вакцинацию проводят по окончании срока карантина или максимального срока инкубационного периода для данного заболевания.</t>
    </r>
  </si>
  <si>
    <t>&lt;p&gt;&lt;ul&gt;&lt;li&gt;Недоношенность — масса тела при рождении менее 2000&amp;nbsp;г.&lt;/li&gt;
&lt;li&gt;Острые заболевания. Вакцинация откладывается до окончания острых проявлений заболевания и обострения хронических заболеваний (внутриутробная инфекция, гнойно-септические заболевания, гемолитическая болезнь новорожденных среднетяжелой и тяжелой формы, тяжелые поражения нервной системы с выраженной неврологической симптоматикой, генерализованные кожные поражения и т. п.).&lt;/li&gt;
&lt;li&gt;Иммунодефицитное состояние (первичное), злокачественные новообразования. При назначении иммунодепрессантов и лучевой терапии вакцинацию проводят не ранее чем через 6&amp;nbsp;месяцев после окончания лечения.&lt;/li&gt;
&lt;li&gt;Генерализованная инфекция БЦЖ, выявленная у других детей в семье.&lt;/li&gt;
&lt;li&gt;ВИЧ-инфекция, обнаружение нуклеиновых кислот ВИЧ молекулярными методами.&lt;/li&gt;
&lt;li&gt;ВИЧ-инфекция у матери, не получавшей трехэтапную химиопрофилактику передачи ВИЧ от матери ребенку (во время беременности, родов и в период новорожденности).&lt;/li&gt;&lt;/ul&gt;
Дети, временно освобожденные от вакцинации, должны быть взяты под наблюдение и учет, и привиты после полного выздоровления или снятия противопоказаний. В случае необходимости проводят соответствующие клинико-лабораторные обследования.&lt;br&gt;
Дети, не вакцинированные в период новорожденности, прививаются лекарственным препаратом БЦЖ-М после отмены противопоказаний.&lt;/p&gt;</t>
  </si>
  <si>
    <t>• Недоношенность — масса тела при рождении менее 2000 г.
• Острые заболевания. Вакцинация откладывается до окончания острых проявлений заболевания и обострения хронических заболеваний (внутриутробная инфекция, гнойно-септические заболевания, гемолитическая болезнь новорожденных среднетяжелой и тяжелой формы, тяжелые поражения нервной системы с выраженной неврологической симптоматикой, генерализованные кожные поражения и т. п.).
• Иммунодефицитное состояние (первичное), злокачественные новообразования. При назначении иммунодепрессантов и лучевой терапии вакцинацию проводят не ранее чем через 6 месяцев после окончания лечения.
• Генерализованная инфекция БЦЖ, выявленная у других детей в семье.
• ВИЧ-инфекция, обнаружение нуклеиновых кислот ВИЧ молекулярными методами.
• ВИЧ-инфекция у матери, не получавшей трехэтапную химиопрофилактику передачи ВИЧ от матери ребенку (во время беременности, родов и в период новорожденности).
Дети, временно освобожденные от вакцинации, должны быть взяты под наблюдение и учет, и привиты после полного выздоровления или снятия противопоказаний. В случае необходимости проводят соответствующие клинико-лабораторные обследования.
Дети, не вакцинированные в период новорожденности, прививаются лекарственным препаратом БЦЖ-М после отмены противопоказаний.</t>
  </si>
  <si>
    <t>&lt;p&gt;&lt;ul&gt;&lt;li&gt;Известная гиперчувствительность к любому компоненту вакцины Инфанрикс, а также в случае, если у пациента возникли симптомы гиперчувствительности после предыдущего введения вакцины Инфанрикс, вакцины для профилактики дифтерии и столбняка и комбинированной вакцины для профилактики дифтерии, столбняка и коклюша (цельноклеточной).&lt;/li&gt;
&lt;li&gt;Энцефалопатия неясной этиологии, развившаяся в течение 7&amp;nbsp;дней после предыдущего введения вакцины, содержащей коклюшный компонент. В этом случае курс вакцинации следует продолжать дифтерийно-столбнячной вакциной.&lt;/li&gt;
&lt;li&gt;Острые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2&amp;nbsp;–&amp;nbsp;4&amp;nbsp;недели после выздоровления или в период реконвалесценции или ремиссии. При нетяжелых ОРВИ, острых кишечных заболеваниях и других нетяжелых инфекционных заболеваниях прививки проводят сразу после нормализации температуры&lt;/li&gt;
&lt;li&gt;Возраст старше 7&amp;nbsp;лет.&lt;/li&gt;&lt;/ul&gt;&lt;/p&gt;</t>
  </si>
  <si>
    <t xml:space="preserve">• Известная гиперчувствительность к любому компоненту вакцины Инфанрикс, а также в случае, если у пациента возникли симптомы гиперчувствительности после предыдущего введения вакцины Инфанрикс, вакцины для профилактики дифтерии и столбняка и комбинированной вакцины для профилактики дифтерии, столбняка и коклюша (цельноклеточной). 
• Энцефалопатия неясной этиологии, развившаяся в течение 7 дней после предыдущего введения вакцины, содержащей коклюшный компонент. В этом случае курс вакцинации следует продолжать дифтерийно-столбнячной вакциной. 
•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 – 4 недели после выздоровления или в период реконвалесценции или ремиссии. При нетяжелых ОРВИ, острых кишечных заболеваниях и других нетяжелых инфекционных заболеваниях прививки проводят сразу после нормализации температуры. 
• Возраст старше 7 лет. </t>
  </si>
  <si>
    <t>&lt;p&gt;&lt;ul&gt;&lt;li&gt;Гиперчувствительность к действующим веществам и к любому из вспомогательных
веществ.&lt;/li&gt;
&lt;li&gt;Прогрессирующие заболевания нервной системы.&lt;/li&gt;
&lt;li&gt;Афебрильные судороги в анамнезе.&lt;/li&gt;
&lt;li&gt;Сильная реакция, развившаяся на предыдущее введение АКДС-вакцины (повышение температуры в первые двое суток до 40&amp;nbsp;°С и выше, появление в месте введения отека и гиперемии свыше 8&amp;nbsp;см в диаметре, при условии соблюдения техники инъекции или осложнение на предыдущее введение АКДС-вакцины.&lt;/li&gt;&lt;/ul&gt;
Подобно другим вакцинам, введение Вакцины коклюшно-дифтерийно-столбнячной (АКДС-вакцины) лицам с острыми тяжелыми лихорадочными заболеваниями следует отложить.&lt;/p&gt;
&lt;p&gt;Особые указания&lt;br&gt;
&lt;br&gt;Детей, перенесших острые заболевания, прививают не ранее, чем через 4&amp;nbsp;недели после выздоровления; при легких формах респираторных заболеваний (ринит, легкая гиперемия зева и т.д.) прививка допускается через 2&amp;nbsp;недели после выздоровления. Больных хроническими заболеваниями прививают по достижении стойкой ремиссии (не менее 4&amp;nbsp;недель).&lt;br&gt;
&lt;br&gt;Стабильные проявления аллергического заболевания (локализованные кожные проявления, скрытый бронхоспазм и т.п.) не являются противопоказанием к вакцинации, которая может быть проведена на фоне соответствующей терапии.&lt;br&gt;
&lt;br&gt;Детей, родившихся с весом менее 2&amp;nbsp;кг, прививают при нормальном физическом и психомоторном развитии; отставание в весе не является основанием к отсрочке вакцинации.&lt;br&gt;
&lt;br&gt;Дети с противопоказаниями к применению вакцины могут быть привиты АДС-анатоксином в соответствии с инструкцией по его применению.&lt;br&gt;
Если ребенок привит двукратно, курс вакцинации против дифтерии и столбняка считают законченным; если ребенок получил одну прививку, вакцинация может быть продолжена АДС-М-анатоксином, который вводят однократно, не ранее, чем через три месяца. В обоих случаях первую ревакцинацию проводят АДС-М-анатоксином через 9-12&amp;nbsp;месяцев после последней прививки. Если осложнение развилось после третьей вакцинации АКДС-вакциной, первую ревакцинацию проводят АДС-М-анатоксином через 12-18&amp;nbsp;месяцев. Последующие ревакцинации проводят в 7, в 14 и каждые последующие 10&amp;nbsp;лет АДС-М анатоксином.&lt;/p&gt;</t>
  </si>
  <si>
    <t>• Гиперчувствительность к действующим веществам и к любому из вспомогательных
веществ.
• Прогрессирующие заболевания нервной системы.
• Афебрильные судороги в анамнезе.
• Сильная реакция, развившаяся на предыдущее введение АКДС-вакцины (повышение температуры в первые двое суток до 40 °С и выше, появление в месте введения отека и гиперемии свыше 8 см в диаметре, при условии соблюдения техники инъекции или осложнение на предыдущее введение АКДС-вакцины.
Подобно другим вакцинам, введение Вакцины коклюшно-дифтерийно-столбнячной (АКДС-вакцины) лицам с острыми тяжелыми лихорадочными заболеваниями следует отложить.
Особые указания
Детей, перенесших острые заболевания, прививают не ранее, чем через 4 недели после выздоровления; при легких формах респираторных заболеваний (ринит, легкая гиперемия зева и т.д.) прививка допускается через 2 недели после выздоровления. Больных хроническими заболеваниями прививают по достижении стойкой ремиссии (не менее 4 недель).
Стабильные проявления аллергического заболевания (локализованные кожные проявления, скрытый бронхоспазм и т.п.) не являются противопоказанием к вакцинации, которая может быть проведена на фоне соответствующей терапии.
Детей, родившихся с весом менее 2 кг, прививают при нормальном физическом и психомоторном развитии; отставание в весе не является основанием к отсрочке вакцинации.
Дети с противопоказаниями к применению вакцины могут быть привиты АДС-анатоксином в соответствии с инструкцией по его применению.
Если ребенок привит двукратно, курс вакцинации против дифтерии и столбняка считают законченным; если ребенок получил одну прививку, вакцинация может быть продолжена АДС-М-анатоксином, который вводят однократно, не ранее, чем через три месяца. В обоих случаях первую ревакцинацию проводят АДС-М-анатоксином через 9-12 месяцев после последней прививки. Если осложнение развилось после третьей вакцинации АКДС-вакциной, первую ревакцинацию проводят АДС-М-анатоксином через 12-18 месяцев. Последующие ревакцинации проводят в 7, в 14 и каждые последующие 10 лет АДС-М анатоксином.</t>
  </si>
  <si>
    <r>
      <rPr>
        <sz val="10"/>
        <color theme="1"/>
        <rFont val="Arial"/>
      </rPr>
      <t xml:space="preserve">&lt;p&gt;Противопоказаниями к вакцинации являются прогрессирующие заболевания нервной системы, афебрильные судороги в анамнезе, гиперчувствительность к компонентам препарата, развитие на предшествующее введение АКДС-вакцины сильной общей (повышение температуры в первые двое суток до 40&amp;nbsp;°С и выше) или местной (отека и гиперемии свыше 3&amp;nbsp;см в диаметре) реакции.&lt;br&gt;
&lt;br&gt;
</t>
    </r>
    <r>
      <rPr>
        <b/>
        <sz val="10"/>
        <color theme="1"/>
        <rFont val="Arial"/>
      </rPr>
      <t>Особые указания</t>
    </r>
    <r>
      <rPr>
        <sz val="10"/>
        <color theme="1"/>
        <rFont val="Arial"/>
      </rPr>
      <t>&lt;br&gt;
&lt;br&gt;
Лиц, перенесших острые инфекционные заболевания, прививают не ранее чем через 1&amp;nbsp;месяц после клинического выздоровления. При легких формах респираторных заболеваний (ринит, легкая гиперемия зева и&amp;nbsp;т.&amp;nbsp;д.) прививки допускаются через 2&amp;nbsp;недели после выздоровления.&lt;br&gt;
&lt;br&gt;
Больных хроническими заболеваниями прививают не ранее чем через 1&amp;nbsp;месяц после достижения стойкой ремиссии.&lt;br&gt;
&lt;br&gt;
Больным аллергическими заболеваниями прививки проводят через 2&amp;nbsp;–&amp;nbsp;4&amp;nbsp;недели после окончания обострения, при этом стабильные проявления заболевания (локализованные кожные явления, скрытый бронхоспазм и&amp;nbsp;т.&amp;nbsp;п.) не являются противопоказанием к вакцинации, которая может быть проведена на фоне соответствующей терапии.&lt;br&gt;
&lt;br&gt;
Детей, родившихся с весом менее 2&amp;nbsp;кг, прививают при нормальном физическом и психомоторном развитии; отставание в весе не является основанием к отсрочке вакцинации.&lt;br&gt;
&lt;br&gt;
Иммунодефициты, ВИЧ-инфекция, а также поддерживающая курсовая терапия, в том числе стероидными гормонами и психофармацевтическими препаратами, также не являются противопоказаниями к прививке.&lt;/p&gt;</t>
    </r>
  </si>
  <si>
    <r>
      <rPr>
        <sz val="10"/>
        <color theme="1"/>
        <rFont val="Arial"/>
      </rPr>
      <t xml:space="preserve">Противопоказаниями к вакцинации являются прогрессирующие заболевания нервной системы, афебрильные судороги в анамнезе, гиперчувствительность к компонентам препарата, развитие на предшествующее введение АКДС-вакцины сильной общей (повышение температуры в первые двое суток до 40 °С и выше) или местной (отека и гиперемии свыше 3 см в диаметре) реакции.
</t>
    </r>
    <r>
      <rPr>
        <b/>
        <sz val="10"/>
        <color theme="1"/>
        <rFont val="Arial"/>
      </rPr>
      <t>Особые указания</t>
    </r>
    <r>
      <rPr>
        <sz val="10"/>
        <color theme="1"/>
        <rFont val="Arial"/>
      </rPr>
      <t xml:space="preserve">
Лиц, перенесших острые инфекционные заболевания, прививают не ранее чем через 1 месяц после клинического выздоровления. При легких формах респираторных заболеваний (ринит, легкая гиперемия зева и т. д.) прививки допускаются через 2 недели после выздоровления.
Больных хроническими заболеваниями прививают не ранее чем через 1 месяц после достижения стойкой ремиссии. 
Больным аллергическими заболеваниями прививки проводят через 2 – 4 недели после окончания обострения, при этом стабильные проявления заболевания (локализованные кожные явления, скрытый бронхоспазм и т. п.) не являются противопоказанием к вакцинации, которая может быть проведена на фоне соответствующей терапии. 
Детей, родившихся с весом менее 2 кг, прививают при нормальном физическом и психомоторном развитии; отставание в весе не является основанием к отсрочке вакцинации. 
Иммунодефициты, ВИЧ-инфекция, а также поддерживающая курсовая терапия, в том числе стероидными гормонами и психофармацевтическими препаратами, также не являются противопоказаниями к прививке.  </t>
    </r>
  </si>
  <si>
    <t>&lt;p&gt;Прогрессирующие заболевания нервной системы, афебрильные судороги в анамнезе, аллергические реакции на дрожжи, сильные реакции и поствакцинальные осложнения на введение предыдущей дозы АКДС-вакцины, вакцины против гепатита&amp;nbsp;B, вакцины Бубо-Кок.&lt;br&gt;
&lt;br&gt;
Наличие фебрильных судорог при введении предыдущей дозы вакцины не является противопоказанием к введению Бубо-Кок, после ее введения целесообразно назначение парацетамола (10&amp;nbsp;–&amp;nbsp;15&amp;nbsp;мг/кг 3&amp;nbsp;–&amp;nbsp;4 раза в день) в течение 1&amp;nbsp;–&amp;nbsp;2 суток.&lt;br&gt;
&lt;br&gt;
Детей, перенесших острые заболевания, прививают не ранее чем через четыре&amp;nbsp;недели после выздоровления, при легких формах респираторных заболеваний (ринит, легкая гиперемия зева и&amp;nbsp;т.&amp;nbsp;д.) прививка допускается через 2&amp;nbsp;недели после выздоровления.&lt;br&gt;
&lt;br&gt;
Больных хроническими заболеваниями прививают не ранее чем через четыре&amp;nbsp;недели после достижения стойкой ремиссии.&lt;br&gt;
&lt;br&gt;
Стабильные проявления аллергического заболевания (локализованные кожные проявления, скрытый бронхоспазм и&amp;nbsp;т.&amp;nbsp;д.) не являются противопоказаниями к вакцинации, которая может быть проведена на фоне соответствующей терапии.&lt;br&gt;
&lt;br&gt;
С целью выявления противопоказаний врач (фельдшер на ФАП) в день прививки проводит опрос родителей и осмотр ребенка с обязательной термометрией. Дети, временно освобожденные от прививки, должны быть взяты под наблюдение и учет и своевременно привиты.&lt;/p&gt;</t>
  </si>
  <si>
    <t>Прогрессирующие заболевания нервной системы, афебрильные судороги в анамнезе, аллергические реакции на дрожжи, сильные реакции и поствакцинальные осложнения на введение предыдущей дозы АКДС-вакцины, вакцины против гепатита B, вакцины Бубо-Кок.
Наличие фебрильных судорог при введении предыдущей дозы вакцины не является противопоказанием к введению Бубо-Кок, после ее введения целесообразно назначение парацетамола (10 – 15 мг/кг 3 – 4 раза в день) в течение 1 – 2 суток.
Детей, перенесших острые заболевания, прививают не ранее чем через четыре недели после выздоровления, при легких формах респираторных заболеваний (ринит, легкая гиперемия зева и т. д.) прививка допускается через 2 недели после выздоровления.
Больных хроническими заболеваниями прививают не ранее чем через четыре недели после достижения стойкой ремиссии.
Стабильные проявления аллергического заболевания (локализованные кожные проявления, скрытый бронхоспазм и т. д.) не являются противопоказаниями к вакцинации, которая может быть проведена на фоне соответствующей терапии.
С целью выявления противопоказаний врач (фельдшер на ФАП) в день прививки проводит опрос родителей и осмотр ребенка с обязательной термометрией. Дети, временно освобожденные от прививки, должны быть взяты под наблюдение и учет и своевременно привиты.</t>
  </si>
  <si>
    <t>&lt;p&gt;&lt;ol&gt;&lt;li&gt;Установленная системная реакция гиперчувствительности:&lt;/li&gt;
&lt;ul&gt;&lt;li&gt;к одному из действующих веществ вакцины «Пентаксим»;&lt;/li&gt;
&lt;li&gt;к любому из вспомогательных веществ вакцины [...];&lt;/li&gt;
&lt;li&gt;к глутаральдегиду, неомицину, стрептомицину и полимиксину&amp;nbsp;B (используемым в производстве и присутствующих в следовых количествах);&lt;/li&gt;
&lt;li&gt;к коклюшной вакцине (ацеллюлярной или цельноклеточной).&lt;/li&gt;&lt;/ul&gt;
&lt;li&gt;Угрожающая жизни реакция после предыдущего введения этой же вакцины или вакцины, содержащей такие же вещества.&lt;/li&gt;
&lt;li&gt;Заболевания, сопровождающиеся повышением температуры тела, острое инфекционное или хроническое заболевание в стадии обострения. Вакцинацию проводят через 2&amp;nbsp;–&amp;nbsp;4 недели после выздоровления или в период реконвалесценции или ремиссии. При нетяжелых заболеваниях вакцинацию проводят сразу после нормализации температуры.&lt;/li&gt;
&lt;li&gt;Прогрессирующая энцефалопатия.&lt;/li&gt;
&lt;li&gt;Энцефалопатия, развившаяся в течение 7&amp;nbsp;дней после введения любой вакцины (ацеллюлярной или цельноклеточной), содержащей коклюшные антигены.&lt;/li&gt;&lt;/ol&gt;&lt;/p&gt;</t>
  </si>
  <si>
    <t>• Установленная системная реакция гиперчувствительности:
- к одному из действующих веществ вакцины «Пентаксим»;
- к любому из вспомогательных веществ вакцины [...];
- к глутаральдегиду, неомицину, стрептомицину и полимиксину B (используемым в производстве и присутствующих в следовых количествах);
- к коклюшной вакцине (ацеллюлярной или цельноклеточной).
• Угрожающая жизни реакция после предыдущего введения этой же вакцины или вакцины, содержащей такие же вещества.
• Заболевания, сопровождающиеся повышением температуры тела, острое инфекционное или хроническое заболевание в стадии обострения. Вакцинацию проводят через 2 – 4 недели после выздоровления или в период реконвалесценции или ремиссии. При нетяжелых заболеваниях вакцинацию проводят сразу после нормализации температуры.
• Прогрессирующая энцефалопатия.
• Энцефалопатия, развившаяся в течение 7 дней после введения любой вакцины (ацеллюлярной или цельноклеточной), содержащей коклюшные антигены.</t>
  </si>
  <si>
    <t>&lt;p&gt;&lt;ul&gt;&lt;li&gt;Гиперчувствительность к действующим веществам или к любому из вспомогательных веществ [...], или к формальдегиду, неомицину или полимиксину.&lt;/li&gt;
&lt;li&gt;Гиперчувствительность на предыдущее введение дифтерийной, столбнячной, коклюшной вакцин, вакцин против гепатита B, полиомиелита или инфекции, вызываемой &lt;i&gt;Haemophilus influenzae&lt;/i&gt; типа &lt;i&gt;b&lt;/i&gt;.&lt;/li&gt;
&lt;li&gt;Энцефалопатия неясной этиологии, развившаяся в течение 7&amp;nbsp;дней после предшествующего введения вакцины, содержащей коклюшный компонент. В этом случае введение вакцины против коклюша следует отменить и продолжать вакцинацию только дифтерийно-столбячной вакциной, а также вакцинами против гепатита B, полиомиелита и инфекции, вызываемой &lt;i&gt;Haemophilus influenzae&lt;/i&gt; типа &lt;i&gt;b&lt;/i&gt;.&lt;/li&gt;
&lt;li&gt;Острые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2—4&amp;nbsp;недели после выздоровления или в период реконвалесценции или ремиссии. При нетяжелых ОРВИ, острых кишечных заболеваниях и др. прививки проводятся сразу после нормализации температуры. Подобно другим вакцинам, введение Инфанрикс Гекса лицам с острыми тяжелыми лихорадочными заболеваниями следует отложить.&lt;/li&gt;&lt;/ul&gt;&lt;/p&gt;</t>
  </si>
  <si>
    <r>
      <rPr>
        <sz val="10"/>
        <color theme="1"/>
        <rFont val="Arial"/>
      </rPr>
      <t xml:space="preserve">• Гиперчувствительность к действующим веществам или к любому из вспомогательных веществ [...], или к формальдегиду, неомицину или полимиксину. 
• Гиперчувствительность на предыдущее введение дифтерийной, столбнячной, коклюшной вакцин, вакцин против гепатита B, полиомиелита или инфекции, вызываемой </t>
    </r>
    <r>
      <rPr>
        <i/>
        <sz val="10"/>
        <color theme="1"/>
        <rFont val="Arial"/>
      </rPr>
      <t>Haemophilus influenzae</t>
    </r>
    <r>
      <rPr>
        <sz val="10"/>
        <color theme="1"/>
        <rFont val="Arial"/>
      </rPr>
      <t xml:space="preserve"> типа </t>
    </r>
    <r>
      <rPr>
        <i/>
        <sz val="10"/>
        <color theme="1"/>
        <rFont val="Arial"/>
      </rPr>
      <t>b</t>
    </r>
    <r>
      <rPr>
        <sz val="10"/>
        <color theme="1"/>
        <rFont val="Arial"/>
      </rPr>
      <t xml:space="preserve">.
• Энцефалопатия неясной этиологии, развившаяся в течение 7 дней после предшествующего введения вакцины, содержащей коклюшный компонент. В этом случае введение вакцины против коклюша следует отменить и продолжать вакцинацию только дифтерийно-столбячной вакциной, а также вакцинами против гепатита B, полиомиелита и инфекции, вызываемой </t>
    </r>
    <r>
      <rPr>
        <i/>
        <sz val="10"/>
        <color theme="1"/>
        <rFont val="Arial"/>
      </rPr>
      <t>Haemophilus influenzae</t>
    </r>
    <r>
      <rPr>
        <sz val="10"/>
        <color theme="1"/>
        <rFont val="Arial"/>
      </rPr>
      <t xml:space="preserve"> типа </t>
    </r>
    <r>
      <rPr>
        <i/>
        <sz val="10"/>
        <color theme="1"/>
        <rFont val="Arial"/>
      </rPr>
      <t>b</t>
    </r>
    <r>
      <rPr>
        <sz val="10"/>
        <color theme="1"/>
        <rFont val="Arial"/>
      </rPr>
      <t xml:space="preserve">.
•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2—4 недели после выздоровления или в период реконвалесценции или ремиссии. При нетяжелых ОРВИ, острых кишечных заболеваниях и др. прививки проводятся сразу после нормализации температуры. Подобно другим вакцинам, введение Инфанрикс Гекса лицам с острыми тяжелыми лихорадочными заболеваниями следует отложить. </t>
    </r>
  </si>
  <si>
    <t>&lt;p&gt;&lt;ul&gt;&lt;li&gt;Гиперчувствительность к любому из действующих веществ вакцины Бубо-М, или к любому из вспомогательных веществ [...], или к алюминия гидроксиду, или на предшествующее введение вакцины;&lt;/li&gt;
&lt;li&gt;Подобно другим вакцинам, введение вакцины Бубо-М лицам с острыми тяжелыми лихорадочными заболеваниями следует отложить.&lt;/li&gt;&lt;/ul&gt;&lt;/p&gt;</t>
  </si>
  <si>
    <t>• Гиперчувствительность к любому из действующих веществ вакцины Бубо-М, или к любому из вспомогательных веществ [...], или к алюминия гидроксиду, или на предшествующее введение вакцины;
• Подобно другим вакцинам, введение вакцины Бубо-М лицам с острыми тяжелыми лихорадочными заболеваниями следует отложить.</t>
  </si>
  <si>
    <t>&lt;p&gt;&lt;ul&gt;&lt;li&gt;Гиперчувствительность к действующему веществу или к любому из вспомогательных веществ [...] или к формальдегиду.&lt;/li&gt;
&lt;li&gt;Анафилактический шок на предыдущее введение препарата, содержащего дифтерийный анатоксин.&lt;/li&gt;
&lt;li&gt;Сильная реакция или поствакцинальное осложнение на предыдущее введение препарата АД-М-анатоксин.&lt;/li&gt;
&lt;li&gt;Подобно другим вакцинам, введение АД-М-анатоксина лицам с острыми тяжелыми лихорадочными заболеваниями следует отложить.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2—4&amp;nbsp;недели после выздоровления или в период реконвалесценции или ремиссии. При нетяжелых ОРВИ, острых кишечных заболеваниях прививки проводятся сразу после нормализации температуры.&lt;/li&gt;
&lt;li&gt;Хронические заболевания – прививки проводят по достижении полной или частичной ремиссии, в том числе на фоне поддерживающего лечения (кроме иммуносупрессивного).&lt;/li&gt;
&lt;li&gt;Прогрессирующие заболевания нервной системы, афебрильные судороги в анамнезе — прививают после исключения прогрессирования процесса.&lt;/li&gt;&lt;/ul&gt;
При аллергических заболеваниях прививки проводят через 2—4&amp;nbsp;недели после окончания обострения, при этом стабильные проявления заболевания (локализованные кожные явления, скрытый бронхоспазм и т.п.) не являются противопоказаниями к вакцинации, которая может быть проведена на фоне соответствующей терапии.&lt;br&gt;&lt;br&gt;
Прививки по эпидпоказаниям: неиммунные лица с вышеперечисленными заболеваниями, находящиеся в непосредственном контакте с больными дифтерией (семья, класс, комната общежития и т.п.), могут быть привиты по заключению специалиста до наступления выздоровления (ремиссии) на фоне соответствующей терапии.&lt;/p&gt;</t>
  </si>
  <si>
    <t>• Гиперчувствительность к действующему веществу или к любому из вспомогательных веществ [...] или к формальдегиду.
• Анафилактический шок на предыдущее введение препарата, содержащего дифтерийный анатоксин.
• Сильная реакция или поствакцинальное осложнение на предыдущее введение препарата АД-М-анатоксин.
• Подобно другим вакцинам, введение АД-М-анатоксина лицам с острыми тяжелыми лихорадочными заболеваниями следует отложить.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2—4 недели после выздоровления или в период реконвалесценции или ремиссии. При нетяжелых ОРВИ, острых кишечных заболеваниях прививки проводятся сразу после нормализации температуры.
• Хронические заболевания – прививки проводят по достижении полной или частичной ремиссии, в том числе на фоне поддерживающего лечения (кроме иммуносупрессивного).
• Прогрессирующие заболевания нервной системы, афебрильные судороги в анамнезе — прививают после исключения прогрессирования процесса.
При аллергических заболеваниях прививки проводят через 2—4 недели после окончания обострения, при этом стабильные проявления заболевания (локализованные кожные явления, скрытый бронхоспазм и т.п.) не являются противопоказаниями к вакцинации, которая может быть проведена на фоне соответствующей терапии.
Прививки по эпидпоказаниям: неиммунные лица с вышеперечисленными заболеваниями, находящиеся в непосредственном контакте с больными дифтерией (семья, класс, комната общежития и т.п.), могут быть привиты по заключению специалиста до наступления выздоровления (ремиссии) на фоне соответствующей терапии.</t>
  </si>
  <si>
    <t>&lt;p&gt;&lt;ul&gt;&lt;li&gt;Гиперчувствительность к действующему веществу или к любому из вспомогательных веществ [...] или к формальдегиду.&lt;/li&gt;
&lt;li&gt;Сильная реакция или поствакцинальное осложнение на предыдущее введение препарата.&lt;/li&gt;
&lt;li&gt;Подобно другим вакцинам, введение АДС-анатоксина лицам с острыми тяжелыми лихорадочными заболеваниями следует отложить.&lt;/li&gt;
&lt;li&gt;Острые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2—4&amp;nbsp;недели после выздоровления или в период реконвалесценции или ремиссии. При нетяжелых ОРВИ, острых кишечных заболеваниях прививки проводятся сразу после нормализации температуры.&lt;/li&gt;
&lt;li&gt;Хронические заболевания – прививки проводят по достижении полной или частичной ремиссии, в том числе на фоне поддерживающего лечения (кроме иммуносупрессивного).&lt;/li&gt;
&lt;li&gt;Прогрессирующие заболевания нервной системы, афебрильные судороги в анамнезе — прививают после исключения прогрессирования процесса.&lt;/li&gt;&lt;/ul&gt;
При аллергических заболеваниях прививки проводят через 2—4&amp;nbsp;недели после окончания обострения, при этом стабильные проявления заболевания (локализованные кожные явления, скрытый бронхоспазм и т.п.) не являются противопоказаниями к вакцинации, которая может быть проведена на фоне соответствующей терапии.&lt;br&gt;&lt;br&gt;
Прививки по эпидпоказаниям: неиммунные лица с заболеваниями, указанными в разделе «Противопоказания», находящиеся в непосредственном контакте с больными дифтерией (семья, класс, комната общежития и т.п.), могут быть привиты по заключению специалиста до наступления выздоровления (ремиссии) на фоне соответствующей терапии.&lt;/p&gt;</t>
  </si>
  <si>
    <t>• Гиперчувствительность к действующему веществу или к любому из вспомогательных веществ [...] или к формальдегиду.
• Сильная реакция или поствакцинальное осложнение на предыдущее введение препарата.
• Подобно другим вакцинам, введение АДС-анатоксина лицам с острыми тяжелыми лихорадочными заболеваниями следует отложить.
•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2—4 недели после выздоровления или в период реконвалесценции или ремиссии. При нетяжелых ОРВИ, острых кишечных заболеваниях прививки проводятся сразу после нормализации температуры.
• Хронические заболевания – прививки проводят по достижении полной или частичной ремиссии, в том числе на фоне поддерживающего лечения (кроме иммуносупрессивного).
• Прогрессирующие заболевания нервной системы, афебрильные судороги в анамнезе — прививают после исключения прогрессирования процесса.
При аллергических заболеваниях прививки проводят через 2—4 недели после окончания обострения, при этом стабильные проявления заболевания (локализованные кожные явления, скрытый бронхоспазм и т.п.) не являются противопоказаниями к вакцинации, которая может быть проведена на фоне соответствующей терапии.
Прививки по эпидпоказаниям: неиммунные лица с заболеваниями, указанными в разделе "Противопоказания", находящиеся в непосредственном контакте с больными дифтерией (семья, класс, комната общежития и т.п.), могут быть привиты по заключению специалиста до наступления выздоровления (ремиссии) на фоне соответствующей терапии.</t>
  </si>
  <si>
    <t>&lt;p&gt;&lt;ul&gt;&lt;li&gt;Гиперчувствительность к действующему веществу и к любому из вспомогательных веществ [...] или к формальдегиду.&lt;/li&gt;
&lt;li&gt;Сильная реакция (температура выше 40&amp;nbsp;°С, отек и гиперемия свыше 8&amp;nbsp;см в диаметре в месте введения) или поствакцинальные осложнения (энцефалит или энцефалопатия, судорожный синдром и т.д.) на предыдущее введение препарата.&lt;/li&gt;
&lt;li&gt;Острые инфекционные или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2—4&amp;nbsp;недели после выздоровления или в период реконвалисценции или ремиссии. При нетяжелых ОРВИ, острых кишечных заболеваниях прививки проводят сразу после нормализации температуры.&lt;/li&gt;
&lt;li&gt;Неврологические изменения — прививают после исключения прогрессирования процесса.&lt;/li&gt;
&lt;li&gt;Аллергические заболевания — прививки проводят через 2—4&amp;nbsp;недели после окончания обострения, при этом стабильные проявления заболевания (локализованные кожные явления, скрытый бронхоспазм и т.п.) не являются противопоказаниями к вакцинации, которая может быть проведена на фоне соответствующей терапии.&lt;/li&gt;&lt;/ul&gt;
Прививки по эпидпоказаниям: неиммунные лица с заболеваниями, указанными в разделе «Противопоказания», находящиеся в непосредственном контакте с больными дифтерией (семья, класс, комната общежития и т.п.), могут быть привиты по заключению специалиста до наступления выздоровления (ремиссии) на фоне соответствующей терапии.&lt;/p&gt;</t>
  </si>
  <si>
    <t>• Гиперчувствительность к действующему веществу и к любому из вспомогательных веществ [...] или к формальдегиду.
• Сильная реакция (температура выше 40 °С, отек и гиперемия свыше 8 см в диаметре в месте введения) или поствакцинальные осложнения (энцефалит или энцефалопатия, судорожный синдром и т.д.) на предыдущее введение препарата.
• Острые инфекционные или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2—4 недели после выздоровления или в период реконвалисценции или ремиссии. При нетяжелых ОРВИ, острых кишечных заболеваниях прививки проводят сразу после нормализации температуры.
• Неврологические изменения — прививают после исключения прогрессирования процесса.
• Аллергические заболевания — прививки проводят через 2—4 недели после окончания обострения, при этом стабильные проявления заболевания (локализованные кожные явления, скрытый бронхоспазм и т.п.) не являются противопоказаниями к вакцинации, которая может быть проведена на фоне соответствующей терапии.
Прививки по эпидпоказаниям: неиммунные лица с заболеваниями, указанными в разделе «Противопоказания», находящиеся в непосредственном контакте с больными дифтерией (семья, класс, комната общежития и т.п.), могут быть привиты по заключению специалиста до наступления выздоровления (ремиссии) на фоне соответствующей терапии.</t>
  </si>
  <si>
    <t>&lt;p&gt;Постоянными противопоказаниями являются сильная реакция или поствакцинальное осложнение на предыдущее введение АДС-М анатоксин.&lt;br&gt;
&lt;br&gt;
Лиц, перенесших острые заболевания, прививают не ранее чем через 1&amp;nbsp;месяц после клинического выздоровления.&lt;br&gt;
&lt;br&gt;
Больных хроническими заболеваниями прививают не ранее чем через 1&amp;nbsp;месяц после достижения ремиссии. Детей с неврологическими нарушениями (рефлекторная ригидность мышц, асимметрия тела, тремор рук, невралгия) прививают после исключения прогрессирования процесса. Больным аллергическими заболеваниями прививки проводят через 2&amp;nbsp;–&amp;nbsp;4&amp;nbsp;недели после окончания обострения, при этом стабильные проявления заболевания (локализованные кожные явления, скрытый бронхоспазм и&amp;nbsp;т.&amp;nbsp;п.) не являются противопоказаниями к вакцинации, которая может быть проведена на фоне соответствующей терапии.&lt;br&gt;
&lt;br&gt;
Иммунодефициты, ВИЧ-инфекция, а также поддерживающая курсовая терапия, в том числе стероидными гормонами и противосудорожными препаратами, не являются противопоказаниями к прививке.&lt;br&gt;
&lt;br&gt;
С целью выявления противопоказаний врач (фельдшер фельдшерско-акушерского пункта) в день прививки проводит опрос родителей и осмотр прививаемых с обязательной термометрией. При вакцинации взрослых допускается предварительный отбор лиц, подлежащих прививке, с их опросом медицинским работником в день прививки, проводящим вакцинацию. Лица, временно освобожденные от прививки, должны быть взяты под наблюдение и учет и своевременно привиты.&lt;/p&gt;</t>
  </si>
  <si>
    <t xml:space="preserve">Постоянными противопоказаниями являются сильная реакция или поствакцинальное осложнение на предыдущее введение АДС-М анатоксин.
Лиц, перенесших острые заболевания, прививают не ранее чем через 1 месяц после клинического выздоровления.
Больных хроническими заболеваниями прививают не ранее чем через 1 месяц после достижения ремиссии. Детей с неврологическими нарушениями (рефлекторная ригидность мышц, асимметрия тела, тремор рук, невралгия) прививают после исключения прогрессирования процесса. Больным аллергическими заболеваниями прививки проводят через 2 – 4 недели после окончания обострения, при этом стабильные проявления заболевания (локализованные кожные явления, скрытый бронхоспазм и т. п.) не являются противопоказаниями к вакцинации, которая может быть проведена на фоне соответствующей терапии.
Иммунодефициты, ВИЧ-инфекция, а также поддерживающая курсовая терапия, в том числе стероидными гормонами и противосудорожными препаратами, не являются противопоказаниями к прививке.
С целью выявления противопоказаний врач (фельдшер фельдшерско-акушерского пункта) в день прививки проводит опрос родителей и осмотр прививаемых с обязательной термометрией. При вакцинации взрослых допускается предварительный отбор лиц, подлежащих прививке, с их опросом медицинским работником в день прививки, проводящим вакцинацию. Лица, временно освобожденные от прививки, должны быть взяты под наблюдение и учет и своевременно привиты. </t>
  </si>
  <si>
    <t>&lt;p&gt;&lt;ul&gt;&lt;li&gt;Тяжелые аллергические реакции:&lt;br&gt;
-&amp;nbsp;на любое из действующих веществ вакцины Адасель;&lt;br&gt;
-&amp;nbsp;на любое из вспомогательных веществ вакцины;&lt;br&gt;
-&amp;nbsp;после предыдущего введения этой же вакцины или вакцины, содержащей такие же вещества.&lt;/li&gt;
&lt;li&gt;Прогрессирующие неврологические заболевания, неконтролируемая эпилепсия или прогрессирующая энцефалопатия.&lt;/li&gt;
&lt;li&gt;Энцефалопатия (например, кома, нарушение сознания, повторные судороги), развившаяся в течение 7&amp;nbsp;дней после введения вакцины, содержащей коклюшные антигены, если не установлена другая причина.&lt;/li&gt;
&lt;li&gt;При заболеваниях, сопровождающихся повышением температуры тела, а также при остром заболевании или обострении хронического заболевания, вакцинацию следует отложить до выздоровления или ремиссии.&lt;/li&gt;&lt;/ul&gt;&lt;/p&gt;</t>
  </si>
  <si>
    <t>• Тяжелые аллергические реакции:
- на любое из действующих веществ вакцины Адасель;
- на любое из вспомогательных веществ вакцины;
- после предыдущего введения этой же вакцины или вакцины, содержащей такие же вещества.
• Прогрессирующие неврологические заболевания, неконтролируемая эпилепсия или прогрессирующая энцефалопатия.
• Энцефалопатия (например, кома, нарушение сознания, повторные судороги), развившаяся в течение 7 дней после введения вакцины, содержащей коклюшные антигены, если не установлена другая причина.
• При заболеваниях, сопровождающихся повышением температуры тела, а также при остром заболевании или обострении хронического заболевания, вакцинацию следует отложить до выздоровления или ремиссии.</t>
  </si>
  <si>
    <t>&lt;p&gt;&lt;ul&gt;&lt;li&gt;Сильная реакция (температура выше 40&amp;nbsp;°С, в месте введения вакцины — отек и гиперемия свыше 8&amp;nbsp;см в диаметре) или гиперчувствительность на предыдущее введение вакцины АЛЬГАВАК&amp;nbsp;®&amp;nbsp;М;&lt;/li&gt;
&lt;li&gt;повышенная чувствительность к любому из компонентов вакцины;&lt;/li&gt;
&lt;li&gt;острые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 через 2—4&amp;nbsp;недели после выздоровления или в период реконвалесценции или ремиссии. При нетяжелых ОРВИ, острых кишечных заболеваниях прививки проводят после нормализации температуры;&lt;/li&gt;
&lt;li&gt;детский возраст до 3&amp;nbsp;лет.&lt;/li&gt;&lt;/ul&gt;&lt;/p&gt;</t>
  </si>
  <si>
    <t>• Сильная реакция (температура выше 40 °С, в месте введения вакцины — отек и гиперемия свыше 8 см в диаметре) или гиперчувствительность на предыдущее введение вакцины АЛЬГАВАК ® М;
• повышенная чувствительность к любому из компонентов вакцины;
•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 через 2—4 недели после выздоровления или в период реконвалесценции или ремиссии. При нетяжелых ОРВИ, острых кишечных заболеваниях прививки проводят после нормализации температуры; 
• детский возраст до 3 лет.</t>
  </si>
  <si>
    <t>&lt;p&gt;&lt;ul&gt;&lt;li&gt;Гиперчувствительность к действующему веществу или любому из вспомогательных веществ [...].&lt;/li&gt;
&lt;li&gt;Острые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 через 2—4&amp;nbsp;недели после выздоровления или в период реконвалесценции или ремиссии. При нетяжелых ОРВИ, острых кишечных заболеваниях прививку проводят после нормализации температуры.&lt;/li&gt;&lt;/ul&gt;&lt;/p&gt;</t>
  </si>
  <si>
    <t>• Гиперчувствительность к действующему веществу или любому из вспомогательных веществ [...].
•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 через 2—4 недели после выздоровления или в период реконвалесценции или ремиссии. При нетяжелых ОРВИ, острых кишечных заболеваниях прививку проводят после нормализации температуры.</t>
  </si>
  <si>
    <t>&lt;p&gt;&lt;ul&gt;&lt;li&gt;Гиперчувствительность к действующему веществу, неомицину или любому из вспомогательных веществ [...].&lt;/li&gt;
&lt;li&gt;Симптомы гиперчувствительности на предыдущее введение вакцины Хаврикс.&lt;/li&gt;
&lt;li&gt;Острые инфекционные и неинфекционные заболевания, обострение хронических заболеваний являются временными противопоказаниями для проведения прививок.&lt;/li&gt;
&lt;li&gt;При нетяжелых ОРВИ, острых кишечных заболеваниях вакцинацию проводят сразу после нормализации температуры.&lt;/li&gt;&lt;/ul&gt;
Серопозитивность к гепатиту А не является противопоказанием к вакцинации.&lt;br&gt;&lt;br&gt;
Данная вакцина содержит фенилаланин. Может оказаться вредным для людей с фенилкетонурией.&lt;/p&gt;</t>
  </si>
  <si>
    <t>• Гиперчувствительность к действующему веществу, неомицину или любому из вспомогательных веществ [...].
• Симптомы гиперчувствительности на предыдущее введение вакцины Хаврикс.
•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 При нетяжелых ОРВИ, острых кишечных заболеваниях вакцинацию проводят сразу после нормализации температуры.
Серопозитивность к гепатиту А не является противопоказанием к вакцинации.
Данная вакцина содержит фенилаланин. Может оказаться вредным для людей с фенилкетонурией.</t>
  </si>
  <si>
    <t>&lt;ul&gt;&lt;li&gt;Аллергия к активному компоненту или к одному из вспомогательных веществ, входящих в состав вакцины;&lt;/li&gt;
&lt;li&gt;системная реакция гиперчувствительности или жизнеугрожающая реакция на предшествующее введение вакцины "Аваксим&amp;nbsp;80" или вакцины, содержащей аналогичные компоненты;&lt;/li&gt;
&lt;li&gt;заболевание, сопровождающееся лихорадкой, острое или хроническое инфекционное заболевание в стадии обострения. Вакцинацию проводят через 2&amp;nbsp;–&amp;nbsp;4&amp;nbsp;недели после выздоровления или в период реконвалесценции или ремиссии. При нетяжелых ОРВИ, острых кишечных инфекциях и&amp;nbsp;др. прививки проводят сразу после нормализации температуры.&lt;/li&gt;&lt;/ul&gt;</t>
  </si>
  <si>
    <t>https://grls.rosminzdrav.ru/InstrImg/2021/10/06/1474149/b0b90cab-c4b4-46cc-966d-af929ca7275c.pdf</t>
  </si>
  <si>
    <t>• Аллергия к активному компоненту или к одному из вспомогательных веществ, входящих в состав вакцины;
• системная реакция гиперчувствительности или жизнеугрожающая реакция на предшествующее введение вакцины "Аваксим 80" или вакцины, содержащей аналогичные компоненты;
• заболевание, сопровождающееся лихорадкой, острое или хроническое инфекционное заболевание в стадии обострения. Вакцинацию проводят через 2 – 4 недели после выздоровления или в период реконвалесценции или ремиссии. При нетяжелых ОРВИ, острых кишечных инфекциях и др. прививки проводят сразу после нормализации температуры.</t>
  </si>
  <si>
    <t>&lt;ul&gt;&lt;li&gt;Аллергия к активному компоненту или к одному из вспомогательных веществ, входящих в состав вакцины;&lt;/li&gt;
&lt;li&gt;системная реакция гиперчувствительности или жизнеугрожающая реакция на предшествующее введение вакцины "Аваксим&amp;nbsp;160" или вакцины, содержащей аналогичные компоненты;&lt;/li&gt;
&lt;li&gt;заболевание, сопровождающееся лихорадкой, острое или хроническое инфекционное заболевание в стадии обострения. Вакцинацию проводят через 2&amp;nbsp;–&amp;nbsp;4&amp;nbsp;недели после выздоровления или в период реконвалесценции или ремиссии. При нетяжелых ОРВИ, острых кишечных инфекциях и&amp;nbsp;др. прививки проводят сразу после нормализации температуры.&lt;/li&gt;&lt;/ul&gt;</t>
  </si>
  <si>
    <t>• Аллергия к активному компоненту или к одному из вспомогательных веществ, входящих в состав вакцины;
• системная реакция гиперчувствительности или жизнеугрожающая реакция на предшествующее введение вакцины "Аваксим 160" или вакцины, содержащей аналогичные компоненты;
• заболевание, сопровождающееся лихорадкой, острое или хроническое инфекционное заболевание в стадии обострения. Вакцинацию проводят через 2 – 4 недели после выздоровления или в период реконвалесценции или ремиссии. При нетяжелых ОРВИ, острых кишечных инфекциях и др. прививки проводят сразу после нормализации температуры.</t>
  </si>
  <si>
    <t>&lt;p&gt;&lt;ul&gt;&lt;li&gt;Повышенная чувствительность к дрожжам и другим компонентам вакцины;&lt;/li&gt;
&lt;li&gt;выраженная реакция (температура выше 40&amp;nbsp;°C, отёк, гиперемия более 8&amp;nbsp;см в диаметре в месте введения) или осложнение на предшествовавшее введение вакцины против гепатита&amp;nbsp;B;&lt;/li&gt;
&lt;li&gt;острые инфекционные и неинфекционные заболевания, хронические заболевания в стадии обострения – иммунизацию проводят не ранее чем через 1&amp;nbsp;месяц после выздоровления (ремиссии). При нетяжёлых формах ОРВИ и острых кишечных инфекциях прививки можно проводить после нормализации температуры.&lt;/li&gt;&lt;/ul&gt;&lt;/p&gt;</t>
  </si>
  <si>
    <t>• Повышенная чувствительность к дрожжам и другим компонентам вакцины;
• выраженная реакция (температура выше 40 °C, отёк, гиперемия более 8 см в диаметре в месте введения) или осложнение на предшествовавшее введение вакцины против гепатита B;
• острые инфекционные и неинфекционные заболевания, хронические заболевания в стадии обострения – иммунизацию проводят не ранее чем через 1 месяц после выздоровления (ремиссии). При нетяжёлых формах ОРВИ и острых кишечных инфекциях прививки можно проводить после нормализации температуры.</t>
  </si>
  <si>
    <t>&lt;p&gt;&lt;ul&gt;&lt;li&gt;Гиперчувствительность к действующему веществу или к любому из вспомогательных веществ [...], или к пекарским дрожжам.&lt;/li&gt;
&lt;li&gt;Сильная реакция (температура выше 40&amp;nbsp;°С, отек, гиперемия 8&amp;nbsp;см в диаметре в месте введения) или осложнение (обострения хронических заболеваний) на предшествовавшее введение препарата.&lt;/li&gt;
&lt;li&gt;Подобно другим вакцинам, введение Вакцины гепатита В рекомбинантной дрожжевой лицам с острыми тяжелыми лихорадочными заболеваниями следует отложить.&lt;/li&gt;&lt;/ul&gt;&lt;/p&gt;</t>
  </si>
  <si>
    <t>• Гиперчувствительность к действующему веществу или к любому из вспомогательных веществ [...], или к пекарским дрожжам.
• Сильная реакция (температура выше 40 °С, отек, гиперемия 8 см в диаметре в месте введения) или осложнение (обострения хронических заболеваний) на предшествовавшее введение препарата.
• Подобно другим вакцинам, введение Вакцины гепатита В рекомбинантной дрожжевой лицам с острыми тяжелыми лихорадочными заболеваниями следует отложить.</t>
  </si>
  <si>
    <t>&lt;p&gt;&lt;ul&gt;&lt;li&gt;Гиперчувствительность к пекарным дрожжам, а также к любому компоненту вакцины; аллергическая реакция, наблюдавшаяся при предыдущем введении препарата;&lt;/li&gt;
&lt;li&gt;cильная реакция (температура выше 40&amp;nbsp;°С, отек и гиперемия в месте введения свыше 8&amp;nbsp;см в диаметре) или поствакцинальные осложнения на предыдущее введение препарата, острые инфекционные или неинфекционные заболевания, обострение хронических заболеваний — прививки проводят через 2&amp;nbsp;–&amp;nbsp;4&amp;nbsp;недели после выздоровления или ремиссии. При нетяжелых ОРВИ, острых кишечных заболеваниях и&amp;nbsp;др. прививки проводят после нормализации температуры.&lt;/li&gt;&lt;/ul&gt;&lt;/p&gt;</t>
  </si>
  <si>
    <t>https://grls.rosminzdrav.ru/InstrImg/2019/8/6/1445331/%D0%9F_N011073[2014]_0.pdf</t>
  </si>
  <si>
    <t>• Гиперчувствительность к пекарным дрожжам, а также к любому компоненту вакцины; аллергическая реакция, наблюдавшаяся при предыдущем введении препарата;
• cильная реакция (температура выше 40 °С, отек и гиперемия в месте введения свыше 8 см в диаметре) или поствакцинальные осложнения на предыдущее введение препарата, острые инфекционные или неинфекционные заболевания, обострение хронических заболеваний — прививки проводят через 2 – 4 недели после выздоровления или ремиссии. При нетяжелых ОРВИ, острых кишечных заболеваниях и др. прививки проводят после нормализации температуры.</t>
  </si>
  <si>
    <r>
      <rPr>
        <sz val="10"/>
        <color theme="1"/>
        <rFont val="Arial"/>
      </rPr>
      <t xml:space="preserve">&lt;p&gt;&lt;ul&gt;&lt;li&gt;Гиперчувствительность к действующим веществам или любому из вспомогательных веществ.&lt;/li&gt;
&lt;li&gt;Реакции гиперчувствительности, сильная реакция (температура выше 40&amp;nbsp;°С, отек и гиперемия в месте введения свыше 8&amp;nbsp;см в диаметре) или осложнение на предыдущее введение вакцины Церварикс.&lt;/li&gt;
&lt;li&gt;Острые инфекционные или неинфекционные заболевания, обострение хронических заболеваний являются временными противопоказаниями для проведения вакцинации. Прививки проводятся через 2–4&amp;nbsp;недели после выздоровления или в период реконвалесценции или ремиссии. При нетяжелых ОРВИ, острых кишечных заболеваниях вакцинацию проводят после нормализации температуры.&lt;/li&gt;&lt;/ul&gt;
Маловероятно, что вакцина Церварикс может вызвать регрессию поражений, а также предотвратить прогрессирование заболевания, вызванного ВПЧ-16 и/или ВПЧ-18, имевшегося до начала вакцинации, </t>
    </r>
    <r>
      <rPr>
        <b/>
        <sz val="10"/>
        <color theme="1"/>
        <rFont val="Arial"/>
      </rPr>
      <t>&lt;b&gt;в связи с чем применение вакцины с этой целью не показано.</t>
    </r>
    <r>
      <rPr>
        <sz val="10"/>
        <color theme="1"/>
        <rFont val="Arial"/>
      </rPr>
      <t>&lt;/b&gt;&lt;/p&gt;</t>
    </r>
  </si>
  <si>
    <r>
      <rPr>
        <sz val="10"/>
        <color theme="1"/>
        <rFont val="Arial"/>
      </rPr>
      <t xml:space="preserve">• Гиперчувствительность к действующим веществам или любому из вспомогательных веществ.
• Реакции гиперчувствительности, сильная реакция (температура выше 40 °С, отек и гиперемия в месте введения свыше 8 см в диаметре) или осложнение на предыдущее введение вакцины Церварикс.
• Острые инфекционные или неинфекционные заболевания, обострение хронических заболеваний являются временными противопоказаниями для проведения вакцинации. Прививки проводятся через 2–4 недели после выздоровления или в период реконвалесценции или ремиссии. При нетяжелых ОРВИ, острых кишечных заболеваниях вакцинацию проводят после нормализации температуры.
Маловероятно, что вакцина Церварикс может вызвать регрессию поражений, а также предотвратить прогрессирование заболевания, вызванного ВПЧ-16 и/или ВПЧ-18, имевшегося до начала вакцинации, </t>
    </r>
    <r>
      <rPr>
        <b/>
        <sz val="10"/>
        <color theme="1"/>
        <rFont val="Arial"/>
      </rPr>
      <t>в связи с чем применение вакцины с этой целью не показано.</t>
    </r>
  </si>
  <si>
    <t>&lt;p&gt;Гиперчувствительность к фармацевтической субстанции или к любым вспомогательным веществам вакцины.&lt;br&gt;
При возникновении симптомов гиперчувствительности после введения вакцины Гардасил введение последующей дозы вакцины противопоказано.&lt;br&gt;&lt;br&gt;
Гемофилия, тромбоцитопения или любые нарушения свертываемости крови являются относительным противопоказанием к внутримышечному введению вакцины Гардасил, если только потенциальные преимущества вакцинации не превышают в значительной мере сопряженные с ней риски. Если выбор сделан в пользу вакцинации, необходимо принять меры по снижению риска образования постинъекционной гематомы.&lt;br&gt;&lt;br&gt;
Если у пациента отмечается острое тяжелое лихорадочное заболевание, то введение вакцины Гардасил следует отложить. Вместе с тем, наличие легкой инфекции или небольшого подъема температуры тела не является противопоказанием к вакцинации.&lt;/p&gt;</t>
  </si>
  <si>
    <t>Гиперчувствительность к фармацевтической субстанции или к любым вспомогательным веществам вакцины.
При возникновении симптомов гиперчувствительности после введения вакцины Гардасил введение последующей дозы вакцины противопоказано.
Гемофилия, тромбоцитопения или любые нарушения свертываемости крови являются относительным противопоказанием к внутримышечному введению вакцины Гардасил, если только потенциальные преимущества вакцинации не превышают в значительной мере сопряженные с ней риски. Если выбор сделан в пользу вакцинации, необходимо принять меры по снижению риска образования постинъекционной гематомы.
Если у пациента отмечается острое тяжелое лихорадочное заболевание, то введение вакцины Гардасил следует отложить. Вместе с тем, наличие легкой инфекции или небольшого подъема температуры тела не является противопоказанием к вакцинации.</t>
  </si>
  <si>
    <t>&lt;p&gt;&lt;ul&gt;&lt;li&gt;Гиперчувствительность к действующим веществам или к любому из вспомогательных веществ [...];&lt;/li&gt;
&lt;li&gt;подобно другим вакцинам, введение вакцины Гам-КОВИД-Вак лицам с острыми тяжелыми лихорадочными заболеваниями следует отложить, обострение хронических заболеваний — вакцинацию проводят через 2—4&amp;nbsp;недели после выздоровления или ремиссии. При нетяжелых ОРВИ, острых инфекционных заболеваниях ЖКТ — вакцинацию проводят после нормализации температуры;&lt;/li&gt;
&lt;li&gt;возраст до 18&amp;nbsp;лет (в связи с отсутствием данных об эффективности и безопасности).&lt;/li&gt;
&lt;li&gt;тяжелые поствакцинальные осложнения (анафилактический шок, тяжелые генерализованные аллергические реакции, судорожный синдром, температура тела выше 40&amp;nbsp;°С и т.п.) на предыдущее введение лекарственного препарата.&lt;/li&gt;&lt;/ul&gt;&lt;/p&gt;</t>
  </si>
  <si>
    <t>• Гиперчувствительность к действующим веществам или к любому из вспомогательных веществ [...];
• подобно другим вакцинам, введение вакцины Гам-КОВИД-Вак лицам с острыми тяжелыми лихорадочными заболеваниями следует отложить, обострение хронических заболеваний — вакцинацию проводят через 2—4 недели после выздоровления или ремиссии. При нетяжелых ОРВИ, острых инфекционных заболеваниях ЖКТ — вакцинацию проводят после нормализации температуры;
• возраст до 18 лет (в связи с отсутствием данных об эффективности и безопасности).
• тяжелые поствакцинальные осложнения (анафилактический шок, тяжелые генерализованные аллергические реакции, судорожный синдром, температура тела выше 40 °С и т.п.) на предыдущее введение лекарственного препарата.</t>
  </si>
  <si>
    <t>&lt;p&gt;&lt;ul&gt;&lt;li&gt;Гиперчувствительность к к какому-либо компоненту вакцины или вакцины, содержащей аналогичные компоненты;&lt;/li&gt;
&lt;li&gt;тяжелые аллергические реакции в анамнезе;&lt;/li&gt;
&lt;li&gt;острые инфекционные и неинфекционные заболевания, обострение хронических заболеваний — вакцинацию проводят через 2–4&amp;nbsp;недели после выздоровления или ремиссии. При нетяжелых ОРВИ, &lt;li&gt;острых инфекционных заболеваниях желудочно-кишечного тракта — вакцинацию проводят после нормализации температуры;&lt;/li&gt;
&lt;li&gt;беременность и период грудного вскармливания;&lt;/li&gt;
&lt;li&gt;возраст до 18&amp;nbsp;лет (в связи с отсутствием данных об эффективности и безопасности).&lt;/li&gt;&lt;/ul&gt;&lt;/p&gt;
&lt;p&gt;Противопоказания для введения компонента&amp;nbsp;II вакцины:
&lt;ul&gt;&lt;li&gt;тяжелые поствакцинальные осложнения (анафилактический шок, тяжелые генерализованные аллергические реакции, судорожный синдром, температура выше 40&amp;nbsp;°C и&amp;nbsp;т.&amp;nbsp;д.) на введение компонента&amp;nbsp;I вакцины.&lt;/li&gt;&lt;/ul&gt;&lt;/p&gt;</t>
  </si>
  <si>
    <t>• Гиперчувствительность к к какому-либо компоненту вакцины или вакцины, содержащей аналогичные компоненты; 
• тяжелые аллергические реакции в анамнезе;
• острые инфекционные и неинфекционные заболевания, обострение хронических заболеваний — вакцинацию проводят через 2–4 недели после выздоровления или ремиссии. При нетяжелых ОРВИ, острых инфекционных заболеваниях желудочно-кишечного тракта — вакцинацию проводят после нормализации температуры;
• беременность и период грудного вскармливания;
• возраст до 18 лет (в связи с отсутствием данных об эффективности и безопасности).
Противопоказания для введения компонента II вакцины:
• тяжелые поствакцинальные осложнения (анафилактический шок, тяжелые генерализованные аллергические реакции, судорожный синдром, температура выше 40 °C и т. д.) на введение компонента I вакцины.</t>
  </si>
  <si>
    <t>&lt;p&gt;&lt;ul&gt;&lt;li&gt;Гиперчувствительность к компонентам препарата (гидроокиси алюминия и другим);&lt;/li&gt;
&lt;li&gt;тяжелые формы аллергических заболеваний;&lt;/li&gt;
&lt;li&gt;реакция или поствакцинальное осложнение на предыдущее введение вакцины;&lt;/li&gt;
&lt;li&gt;острые инфекционные и неинфекционные заболевания, хронические заболевания в стадии обострения — прививки проводят не ранее чем через месяц после выздоровления или ремиссии. При нетяжелых ОРВИ, острых инфекционных заболеваниях ЖКТ вакцинацию проводят после нормализации температуры;&lt;/li&gt;
&lt;li&gt;иммунодефицит (первичный);&lt;/li&gt;
&lt;li&gt;злокачественные заболевания крови и новообразования;&lt;/li&gt;
&lt;li&gt;беременность и период грудного вскармливания;&lt;/li&gt;
&lt;li&gt;дети до 18&amp;nbsp;лет (в связи с отсутствием данных об эффективности и безопасности).&lt;/li&gt;&lt;/ul&gt;&lt;/p&gt;</t>
  </si>
  <si>
    <t>• Гиперчувствительность к компонентам препарата (гидроокиси алюминия и другим);
• тяжелые формы аллергических заболеваний;
• реакция или поствакцинальное осложнение на предыдущее введение вакцины;
• острые инфекционные и неинфекционные заболевания, хронические заболевания в стадии обострения — прививки проводят не ранее чем через месяц после выздоровления или ремиссии. При нетяжелых ОРВИ, острых инфекционных заболеваниях ЖКТ вакцинацию проводят после нормализации температуры;
• имммунодефицит (первичный);
• злокачественные заболевания крови и новообразования;
• беременность и период грудного вскармливания;
• дети до 18 лет (в связи с отсутствием данных об эффективности и безопасности).</t>
  </si>
  <si>
    <t>&lt;ol&gt;&lt;li&gt;Аллергические реакции на куриные белки и компоненты вакцины.&lt;/li&gt;
&lt;li&gt;Острые лихорадочные состояния или обострение хронического заболевания (вакцинацию проводят после выздоровления или в период ремиссии). При нетяжелых ОРВИ, острых кишечных заболеваниях вакцинацию проводят после нормализации температуры.&lt;/li&gt;
&lt;li&gt;Поствакцинальные осложнения на предшествующую вакцинацию: повышение температуры выше 39,5&amp;nbsp;°С, отек и гиперемия в месте введения свыше 8&amp;nbsp;см в диаметре.&lt;/li&gt;
&lt;li&gt;Возраст до 6&amp;nbsp;мес. (при применении вакцины без консерванта).&lt;/li&gt;
&lt;li&gt;Возраст до 18&amp;nbsp;лет (при применении вакцины с консервантом).&lt;/li&gt;&lt;/ol&gt;</t>
  </si>
  <si>
    <t>1. Аллергические реакции на куриные белки и компоненты вакцины.
2. Острые лихорадочные состояния или обострение хронического заболевания (вакцинацию проводят после выздоровления или в период ремиссии). При нетяжелых ОРВИ, острых кишечных заболеваниях вакцинацию проводят после нормализации температуры.
3. Поствакцинальные осложнения на предшествующую вакцинацию: повышение температуры выше 39,5 °С, отек и гиперемия в месте введения свыше 8 см в диаметре.
4. Возраст до 6 мес. (при применении вакцины без консерванта).
5. Возраст до 18 лет (при применении вакцины с консервантом).</t>
  </si>
  <si>
    <t>&lt;ul&gt;&lt;li&gt;Аллергические реакции на куриный белок и компоненты вакцины;&lt;/li&gt;
&lt;li&gt;острые лихорадочные состояния или обострение хронического заболевания
(вакцинацию проводят через 2&amp;nbsp;–&amp;nbsp;4&amp;nbsp;недели после выздоровления или в период ремиссии);&lt;/li&gt;
&lt;li&gt;лицам, имевшим ранее аллергические реакции на введение гриппозных вакцин;&lt;/li&gt;
&lt;li&gt;при нетяжелых ОРВИ, острых кишечных заболеваниях вакцинацию проводят после 
нормализации температуры.&lt;/li&gt;&lt;/ul&gt;</t>
  </si>
  <si>
    <t>• Аллергические реакции на куриный белок и компоненты вакцины;
• острые лихорадочные состояния или обострение хронического заболевания
(вакцинацию проводят через 2 – 4 недели после выздоровления или в период ремиссии);
• лицам, имевшим ранее аллергические реакции на введение гриппозных вакцин;
• при нетяжелых ОРВИ, острых кишечных заболеваниях вакцинацию проводят после 
нормализации температуры.</t>
  </si>
  <si>
    <t>&lt;p&gt;&lt;ul&gt;&lt;li&gt;Известная гиперчувствительность к действующим веществам, к любому из вспомогательных веществ вакцины [...], а также к куриным или яичным белкам;&lt;/li&gt;
&lt;li&gt;Тяжелые аллергические реакции после предшествующего введения данной вакцины или вакцины, содержащей те же компоненты;&lt;/li&gt;
&lt;li&gt;При заболеваниях, сопровождающихся повышением температуры тела, а также при остром заболевании или обострении хронического заболевания, вакцинацию следует отложить до выздоровления или ремиссии.&lt;/li&gt;&lt;/ul&gt;&lt;/p&gt;</t>
  </si>
  <si>
    <t>• Известная гиперчувствительность к действующим веществам, к любому из вспомогательных веществ вакцины [...], а также к куриным или яичным белкам;
• Тяжелые аллергические реакции после предшествующего введения данной вакцины или вакцины, содержащей те же компоненты;
• При заболеваниях, сопровождающихся повышением температуры тела, а также при остром заболевании или обострении хронического заболевания, вакцинацию следует отложить до выздоровления или ремиссии.</t>
  </si>
  <si>
    <t>&lt;p&gt;&lt;ul&gt;&lt;li&gt;Гиперчувствительность к действующим веществам или другим компонентам вакцины, перечисленным в разделе&amp;nbsp;6.1; анафилактические реакции на белок куриного яйца.&lt;/li&gt;
&lt;li&gt;Сильные поствакцинальные реакции (температура выше 40&amp;nbsp;°С, появление в месте введения вакцины отека, гиперемии свыше 8&amp;nbsp;см в диаметре) или серьезные нежелательные реакции после иммунизации (анафилаксия) на предыдущее введение вакцины гриппозной.&lt;/li&gt;
&lt;li&gt;Беременность (при применении вакцины с консервантом).&lt;/li&gt;
&lt;li&gt;Возраст до 18&amp;nbsp;лет (при применении вакцины с консервантом).&lt;/li&gt;
&lt;li&gt;Дети в возрасте до 6&amp;nbsp;месяцев.&lt;/li&gt;&lt;/ul&gt;
&lt;i&gt;Временные противопоказания:&lt;/i&gt;&lt;br&gt;
Подобно другим вакцинам, введение вакцины СОВИГРИПП лицам с острыми тяжелыми лихорадочными заболеваниями следует отложить.&lt;br&gt;&lt;br&gt;
&lt;b&gt;6.1.&amp;nbsp;Перечень вспомогательных веществ.&lt;/b&gt;&lt;br&gt;
&lt;i&gt;Вакцина с консервантом:&lt;/i&gt;
&lt;ul&gt;&lt;li&gt;Сополимер 2-метил-5-винилпиридина и N-винилпирролидона (адъювант).&lt;/li&gt;
&lt;li&gt;Тиомерсал (консервант).&lt;/li&gt;
&lt;li&gt;Фосфатно-солевой буферный раствор (натрия хлорид, динатрия гидрофосфат додекагидрат, калия дигидрофосфат, тиомерсал, вода для инъекций).&lt;/li&gt;&lt;/ul&gt;
&lt;i&gt;Вакцина без консерванта:&lt;/i&gt;
&lt;ul&gt;&lt;li&gt;Сополимер 2-метил-5-винилпиридина и N-винилпирролидона (адъювант).&lt;/li&gt;
&lt;li&gt;Фосфатно-солевой буферный раствор (натрия хлорид, динатрия гидрофосфат додекагидрат, калия дигидрофосфат, вода для инъекций).&lt;/li&gt;&lt;/ul&gt;&lt;/p&gt;</t>
  </si>
  <si>
    <r>
      <rPr>
        <sz val="10"/>
        <color theme="1"/>
        <rFont val="Arial"/>
      </rPr>
      <t xml:space="preserve">• Гиперчувствительность к действующим веществам или другим компонентам вакцины, перечисленным в разделе 6.1; анафилактические реакции на белок куриного яйца.
• Сильные поствакцинальные реакции (температура выше 40 °С, появление в месте введения вакцины отека, гиперемии свыше 8 см в диаметре) или серьезные нежелательные реакции после иммунизации (анафилаксия) на предыдущее введение вакцины гриппозной.
• Беременность (при применении вакцины с консервантом).
• Возраст до 18 лет (при применении вакцины с консервантом).
• Дети в возрасте до 6 месяцев.
</t>
    </r>
    <r>
      <rPr>
        <i/>
        <sz val="10"/>
        <color theme="1"/>
        <rFont val="Arial"/>
      </rPr>
      <t>Временные противопоказания:</t>
    </r>
    <r>
      <rPr>
        <sz val="10"/>
        <color theme="1"/>
        <rFont val="Arial"/>
      </rPr>
      <t xml:space="preserve">
Подобно другим вакцинам, введение вакцины СОВИГРИПП лицам с острыми тяжелыми лихорадочными заболеваниями следует отложить.
</t>
    </r>
    <r>
      <rPr>
        <b/>
        <sz val="10"/>
        <color theme="1"/>
        <rFont val="Arial"/>
      </rPr>
      <t>6.1. Перечень вспомогательных веществ.</t>
    </r>
    <r>
      <rPr>
        <sz val="10"/>
        <color theme="1"/>
        <rFont val="Arial"/>
      </rPr>
      <t xml:space="preserve">
</t>
    </r>
    <r>
      <rPr>
        <i/>
        <sz val="10"/>
        <color theme="1"/>
        <rFont val="Arial"/>
      </rPr>
      <t>Вакцина с консервантом:</t>
    </r>
    <r>
      <rPr>
        <sz val="10"/>
        <color theme="1"/>
        <rFont val="Arial"/>
      </rPr>
      <t xml:space="preserve">
• Сополимер 2-метил-5-винилпиридина и N-винилпирролидона (адъювант).
• Тиомерсал (консервант).
• Фосфатно-солевой буферный раствор (натрия хлорид, динатрия гидрофосфат додекагидрат, калия дигидрофосфат, тиомерсал, вода для инъекций).
</t>
    </r>
    <r>
      <rPr>
        <i/>
        <sz val="10"/>
        <color theme="1"/>
        <rFont val="Arial"/>
      </rPr>
      <t>Вакцина без консерванта:</t>
    </r>
    <r>
      <rPr>
        <sz val="10"/>
        <color theme="1"/>
        <rFont val="Arial"/>
      </rPr>
      <t xml:space="preserve">
• Сополимер 2-метил-5-винилпиридина и N-винилпирролидона (адъювант).
• Фосфатно-солевой буферный раствор (натрия хлорид, динатрия гидрофосфат додекагидрат, калия дигидрофосфат, вода для инъекций).</t>
    </r>
  </si>
  <si>
    <t>&lt;p&gt;&lt;ul&gt;&lt;li&gt;Аллергические реакции на предшествующие прививки гриппозными вакцинами;&lt;/li&gt;
&lt;li&gt;аллергические реакции на куриный белок и компоненты вакцины;&lt;/li&gt;
&lt;li&gt;сильная реакция (температура выше 40&amp;nbsp;°C, отек и гиперемия вместе введения свыше 8&amp;nbsp;см в диаметре) или поствакцинальное осложнение на предыдущее введение вакцин для профилактики гриппа;&lt;/li&gt;
&lt;li&gt;острые инфекционные или неинфекционные заболевания, обострение хронических заболеваний — прививки проводят через 2&amp;nbsp;–&amp;nbsp;4&amp;nbsp;недели после выздоровления или в период реконвалесценции или ремиссии. При нетяжелых ОРВИ, острых кишечных заболеваниях прививки проводят после нормализации температуры;&lt;/li&gt;
&lt;li&gt;период беременности (при применении вакцины с консервантом);&lt;/li&gt;
&lt;li&gt;возраст до 18&amp;nbsp;лет (при применении вакцины с консервантом);&lt;/li&gt;
&lt;li&gt;возраст до 6&amp;nbsp;мес.&lt;/li&gt;&lt;/ul&gt;&lt;/p&gt;</t>
  </si>
  <si>
    <t>• Аллергические реакции на предшествующие прививки гриппозными вакцинами; 
• аллергические реакции на куриный белок и компоненты вакцины; 
• сильная реакция (температура выше 40 °C, отек и гиперемия вместе введения свыше 8 см в диаметре) или поствакцинальное осложнение на предыдущее введение вакцин для профилактики гриппа; 
• острые инфекционные или неинфекционные заболевания, обострение хронических заболеваний — прививки проводят через 2 – 4 недели после выздоровления или в период реконвалесценции или ремиссии. При нетяжелых ОРВИ, острых кишечных заболеваниях прививки проводят после нормализации температуры; 
• период беременности (при применении вакцины с консервантом); 
• возраст до 18 лет (при применении вакцины с консервантом);
• возраст до 6 мес.</t>
  </si>
  <si>
    <t>&lt;p&gt;&lt;ul&gt;&lt;li&gt;Гиперчувствительность к действующим веществам или другим компонентам вакцины [...];&lt;/li&gt;
&lt;li&gt;Анафилактические реакции на белок куриного яйца и компоненты вакцины;&lt;/li&gt;
&lt;li&gt;Анафилактические реакции на ранее вводимые гриппозные вакцины;&lt;/li&gt;
&lt;li&gt;Сильная реакция (температура выше 40&amp;nbsp;°C, отек и гиперемия в месте введения свыше 8&amp;nbsp;см в диаметре) или осложнение на предыдущее введение препарата;&lt;/li&gt;
&lt;li&gt;Подобно другим вакцинам, введение вакцины Флю-М лицам с острыми тяжелыми лихорадочными заболеваниями следует отложить;&lt;/li&gt;
&lt;li&gt;Беременность (при применении вакцины с консервантом);&lt;/li&gt;
&lt;li&gt;Возраст до 18&amp;nbsp;лет (при применении вакцины с консервантом);&lt;/li&gt;
&lt;li&gt;Дети в возрасте до 6&amp;nbsp;месяцев.&lt;/li&gt;&lt;/ul&gt;&lt;/p&gt;</t>
  </si>
  <si>
    <t>• Гиперчувствительность к действующим веществам или другим компонентам вакцины [...];
• Анафилактические реакции на белок куриного яйца и компоненты вакцины;
• Анафилактические реакции на ранее вводимые гриппозные вакцины;
• Сильная реакция (температура выше 40 °C, отек и гиперемия в месте введения свыше 8 см в диаметре) или осложнение на предыдущее введение препарата;
• Подобно другим вакцинам, введение вакцины Флю-М лицам с острыми тяжелыми лихорадочными заболеваниями следует отложить;
• Беременность (при применении вакцины с консервантом);
• Возраст до 18 лет (при применении вакцины с консервантом);
• Дети в возрасте до 6 месяцев.</t>
  </si>
  <si>
    <t>&lt;ul&gt;&lt;li&gt;Гиперчувствительность к какому-либо из компонентов вакцины, а также к куриным или яичным белкам, неомицину, формальдегиду и октоксинолу-9;&lt;/li&gt;
&lt;li&gt;тяжелые аллергические реакции после предшествующего введения данной вакцины или вакцины, содержащей те же компоненты;&lt;/li&gt;
&lt;li&gt;сильная реакция (температура выше 40&amp;nbsp;°С, отек и гиперемия в месте введения свыше 8&amp;nbsp;см в диаметре) или осложнение на предыдущее введение препарата;&lt;/li&gt;
&lt;li&gt;острые инфекционные или неинфекционные заболевания, обострение хронических заболеваний вакцинацию проводят через 2&amp;nbsp;–&amp;nbsp;4&amp;nbsp;недели после выздоровления или в период ремиссии. При нетяжелых ОРВИ, острых кишечных заболеваниях вакцинацию проводят после нормализации температуры.&lt;/li&gt;&lt;/ul&gt;</t>
  </si>
  <si>
    <t>https://grls.rosminzdrav.ru/InstrImg/2021/12/14/1476333/f3799188-0d95-48db-a0ce-bb1396d44765.pdf</t>
  </si>
  <si>
    <t>• Гиперчувствительность к какому-либо из компонентов вакцины, а также к куриным или яичным белкам, неомицину, формальдегиду и октоксинолу-9;
• тяжелые аллергические реакции после предшествующего введения данной вакцины или вакцины, содержащей те же компоненты;
• сильная реакция (температура выше 40 °С, отек и гиперемия в месте введения свыше 8 см в диаметре) или осложнение на предыдущее введение препарата;
• острые инфекционные или неинфекционные заболевания, обострение хронических заболеваний вакцинацию проводят через 2 – 4 недели после выздоровления или в период ремиссии. При нетяжелых ОРВИ, острых кишечных заболеваниях вакцинацию проводят после нормализации температуры.</t>
  </si>
  <si>
    <t>&lt;p&gt;&lt;ul&gt;&lt;li&gt;Гиперчувствительность к действующим веществам, или к любому из вспомогательных веществ, входящих в состав препарата, или к веществам, которые могут содержаться в остаточных количествах: белкам куриного яйца (в том числе овальбумину), формальдегиду, цетилтриметиламмония бромиду, полисорбату&amp;nbsp;80 или гентамицину;&lt;/li&gt;
&lt;li&gt;Сильная реакция (температура выше 40&amp;nbsp;°C, отек и гиперемия в месте введения свыше 8&amp;nbsp;см в диаметре) или осложнение (например, тяжелые аллергические реакции) на предыдущее введение вакцины.&lt;/li&gt;
&lt;li&gt;Возраст до 6&amp;nbsp;месяцев (эффективность и безопасность не установлены).&lt;/li&gt;
&lt;li&gt;Вакцинация должна быть отложена до окончания острых проявлений заболевания и обострения хронических заболеваний. При нетяжелых ОРВИ, острых кишечных заболеваниях и&amp;nbsp;др. вакцинацию проводят сразу же после нормализации температуры.&lt;/li&gt;&lt;/ul&gt;&lt;/p&gt;</t>
  </si>
  <si>
    <t>• Гиперчувствительность к действующим веществам, или к любому из вспомогательных веществ, входящих в состав препарата, или к веществам, которые могут содержаться в остаточных количествах: белкам куриного яйца (в том числе овальбумину), формальдегиду, цетилтриметиламмония бромиду, полисорбату 80 или гентамицину;
• Сильная реакция (температура выше 40 °C, отек и гиперемия в месте введения свыше 8 см в диаметре) или осложнение (например, тяжелые аллергические реакции) на предыдущее введение вакцины. 
• Возраст до 6 месяцев (эффективность и безопасность не установлены).
• Вакцинация должна быть отложена до окончания острых проявлений заболевания и обострения хронических заболеваний. При нетяжелых ОРВИ, острых кишечных заболеваниях и др. вакцинацию проводят сразу же после нормализации температуры.</t>
  </si>
  <si>
    <t>&lt;p&gt;&lt;ul&gt;&lt;li&gt;Аллергические реакции на предшествующие прививки гриппозными вакцинами;&lt;/li&gt;
&lt;li&gt;аллергические реакции на куриный белок и другие компоненты вакцины;&lt;/li&gt;
&lt;li&gt;сильная реакция (температура выше 40&amp;nbsp;°C, отек и гиперемия в месте введения свыше 8&amp;nbsp;см в диаметре) или осложнение на предыдущее введение гриппозных вакцин в анамнезе;&lt;/li&gt;
&lt;li&gt;острые инфекционные и неинфекционные заболевания, обострение хронических заболеваний — прививки проводят через 2-4&amp;nbsp;недели после выздоровления или в период реконвалесценции или ремиссии;&lt;/li&gt;
&lt;li&gt;при нетяжелых ОРВИ, острых кишечных заболеваниях вакцинацию проводят после нормализации температуры;&lt;/li&gt;
&lt;li&gt;детский возраст до 6&amp;nbsp;месяцев.&lt;/li&gt;&lt;/ul&gt;&lt;/p&gt;</t>
  </si>
  <si>
    <t>• Аллергические реакции на предшествующие прививки гриппозными вакцинами;
• аллергические реакции на куриный белок и другие компоненты вакцины;
• сильная реакция (температура выше 40 °C, отек и гиперемия в месте введения свыше 8 см в диаметре) или осложнение на предыдущее введение гриппозных вакцин в анамнезе;
• острые инфекционные и неинфекционные заболевания, обострение хронических заболеваний — прививки проводят через 2-4 недели после выздоровления или в период реконвалесценции или ремиссии;
• при нетяжелых ОРВИ, острых кишечных заболеваниях вакцинацию проводят после нормализации температуры;
• детский возраст до 6 месяцев.</t>
  </si>
  <si>
    <t>&lt;p&gt;&lt;ul&gt;&lt;li&gt;Известная гиперчувствительность к действующим веществам, к любому из вспомогательных веществ вакцины [...], а также к куриным или яичным белкам;&lt;/li&gt;
&lt;li&gt;Тяжелые аллергические реакции после предшествующего введения данной вакцины или вакцины, содержащей те же компоненты;&lt;/li&gt;
&lt;li&gt;Сильная реакция (температура выше 40&amp;nbsp;°С, отек и гиперемия в месте введения свыше 8&amp;nbsp;см в диаметре);&lt;/li&gt;
&lt;li&gt;Острые инфекционные или неинфекционные заболевания, обострения хронических заболеваний — прививки проводят через 2—4&amp;nbsp;недели после выздоровления или в период реконвалесценции или ремиссии;&lt;/li&gt;
&lt;li&gt;При нетяжелых ОРВИ, острых кишечных заболеваниях вакцинацию проводят после нормализации температуры;&lt;/li&gt;
&lt;li&gt;Детский возраст до 6&amp;nbsp;месяцев.&lt;/li&gt;&lt;/ul&gt;&lt;/p&gt;</t>
  </si>
  <si>
    <t>• Известная гиперчувствительность к действующим веществам, к любому из вспомогательных веществ вакцины [...], а также к куриным или яичным белкам;
• Тяжелые аллергические реакции после предшествующего введения данной вакцины или вакцины, содержащей те же компоненты;
• Сильная реакция (температура выше 40 °С, отек и гиперемия в месте введения свыше 8 см в диаметре);
• Острые инфекционные или неинфекционные заболевания, обострения хронических заболеваний — прививки проводят через 2—4 недели после выздоровления или в период реконвалесценции или ремиссии;
• При нетяжелых ОРВИ, острых кишечных заболеваниях вакцинацию проводят после нормализации температуры;
• Детский возраст до 6 месяцев.</t>
  </si>
  <si>
    <t>&lt;p&gt;&lt;ul&gt;&lt;li&gt;Гиперчувствительность к фармацевтической субстанции или к любым вспомогательным веществам [...] или аминогликозидам (гентамицину сульфату и др.), или куриным и/или перепелиным яйцам.&lt;/li&gt;
&lt;li&gt;Первичные иммунодефицитные состояния, злокачественные болезни крови и новообразования.&lt;/li&gt;
&lt;li&gt;Сильная реакция (подъем температуры выше 40&amp;nbsp;°С, отек, гиперемия более 8&amp;nbsp;см в диаметре в месте введения) или осложнение на предыдущее введение коревой или паротитно-коревой вакцин.&lt;/li&gt;
&lt;li&gt;Беременность.&lt;/li&gt;&lt;/ul&gt;
Вакцинацию проводят:
&lt;ul&gt;&lt;li&gt;после острых инфекционных и неинфекционных заболеваний, при обострении хронических заболеваний — по окончании острых проявлений заболевания;&lt;/li&gt;
&lt;li&gt;при нетяжелых формах ОРВИ, острых кишечных заболеваниях и др. — сразу после нормализации температуры.&lt;/li&gt;&lt;/ul&gt;
Примечание:&lt;br&gt;
При наличии ВИЧ-инфекции допускается вакцинация лиц с 1 и 2&amp;nbsp;иммунными категориями (отсутствие или умеренный иммунодефицит).&lt;/p&gt;</t>
  </si>
  <si>
    <t>• Гиперчувствительность к фармацевтической субстанции или к любым вспомогательным веществам [...] или аминогликозидам (гентамицину сульфату и др.), или куриным и/или перепелиным яйцам.
• Первичные иммунодефицитные состояния, злокачественные болезни крови и новообразования.
• Сильная реакция (подъем температуры выше 40 °С, отек, гиперемия более 8 см в диаметре в месте введения) или осложнение на предыдущее введение коревой или паротитно-коревой вакцин.
• Беременность.
Вакцинацию проводят:
• после острых инфекционных и неинфекционных заболеваний, при обострении хронических заболеваний — по окончании острых проявлений заболевания;
• при нетяжелых формах ОРВИ, острых кишечных заболеваниях и др. — сразу после нормализации температуры.
Примечание:
При наличии ВИЧ-инфекции допускается вакцинация лиц с 1 и 2 иммунными категориями (отсутствие или умеренный иммунодефицит).</t>
  </si>
  <si>
    <t>&lt;p&gt;&lt;ul&gt;&lt;li&gt;Гиперчувствительность к действующему веществу или к любым вспомогательным веществам [...].&lt;/li&gt;
&lt;li&gt;Подобно другим вакцинам, введение Вакцины против кори живой аттенуированной лицам с острыми тяжелыми лихорадочными заболеваниями следует отложить.&lt;/li&gt;
&lt;li&gt;Острые инфекционные и неинфекционные заболевания, обострение хронических заболеваний. После острых инфекционных и неинфекционных заболеваний, после обострения хронических заболеваний прививки проводят не раньше, чем через 1&amp;nbsp;мес после выздоровления.&lt;/li&gt;
&lt;li&gt;При нетяжелых формах ОРВИ, острых кишечных заболеваниях и др. прививки проводят сразу после нормализации температуры.&lt;/li&gt;
&lt;li&gt;Сильная реакция (подъем температуры выше 40&amp;nbsp;°С, гиперемия и/или отек более 8&amp;nbsp;см в диаметре в месте введения) или поствакцинальное осложнение на предыдущее введение препарата.&lt;/li&gt;
&lt;li&gt;Лейкемия, тяжелая анемия (с гемоглобином менее 70&amp;nbsp;г/л) и другие серьезные заболевания крови.&lt;/li&gt;
&lt;li&gt;Заболевания сердца в стадии декомпенсации.&lt;/li&gt;
&lt;li&gt;Почечная недостаточность.&lt;/li&gt;
&lt;li&gt;Введение иммуноглобулинов человека или переливание крови. После введения препаратов иммуноглобулина человека прививки против кори проводят не ранее, чем через 3&amp;nbsp;мес.&lt;/li&gt;
&lt;li&gt;Тяжелый гуморальный или клеточный иммунодефицит (первичный или приобретенный), иммунодефицит в результате прогрессирующей лейкемии или лимфомы, злокачественного заболевания или лечения большими дозами кортикостероидов, алкилирующими агентами или антиметаболитами. Вакцинация не противопоказана у лиц, получающих топические или низкодозированные парентеральные кортикостероиды (например, для профилактики астмы или заместительной терапии). После проведения иммуносупрессивной терапии вакцинацию против кори можно проводить через 3—6&amp;nbsp;мес после окончания лечения.&lt;/li&gt;
&lt;li&gt;Иммуносупрессивная радиотерапия — вакцинация возможна через 12&amp;nbsp;мес после завершения облучения.&lt;/li&gt;
&lt;li&gt;Беременность.&lt;/li&gt;&lt;/ul&gt;&lt;/p&gt;</t>
  </si>
  <si>
    <t>• Гиперчувствительность к действующему веществу или к любым вспомогательным веществам [...].
• Подобно другим вакцинам, введение Вакцины против кори живой аттенуированной лицам с острыми тяжелыми лихорадочными заболеваниями следует отложить.
• Острые инфекционные и неинфекционные заболевания, обострение хронических заболеваний. После острых инфекционных и неинфекционных заболеваний, после обострения хронических заболеваний прививки проводят не раньше, чем через 1 мес после выздоровления.
• При нетяжелых формах ОРВИ, острых кишечных заболеваниях и др. прививки проводят сразу после нормализации температуры.
• Сильная реакция (подъем температуры выше 40 °С, гиперемия и/или отек более 8 см в диаметре в месте введения) или поствакцинальное осложнение на предыдущее введение препарата.
• Лейкемия, тяжелая анемия (с гемоглобином менее 70 г/л) и другие серьезные заболевания крови.
• Заболевания сердца в стадии декомпенсации.
• Почечная недостаточность.
• Введение иммуноглобулинов человека или переливание крови. После введения препаратов иммуноглобулина человека прививки против кори проводят не ранее, чем через 3 мес.
• Тяжелый гуморальный или клеточный иммунодефицит (первичный или приобретенный), иммунодефицит в результате прогрессирующей лейкемии или лимфомы, злокачественного заболевания или лечения большими дозами кортикостероидов, алкилирующими агентами или антиметаболитами. Вакцинация не противопоказана у лиц, получающих топические или низкодозированные парентеральные кортикостероиды (например, для профилактики астмы или заместительной терапии). После проведения иммуносупрессивной терапии вакцинацию против кори можно проводить через 3—6 мес после окончания лечения.
• Иммуносупрессивная радиотерапия — вакцинация возможна через 12 мес после завершения облучения.
• Беременность.</t>
  </si>
  <si>
    <t>&lt;p&gt;&lt;ul&gt;&lt;li&gt;Тяжелые формы аллергических реакций на аминогликозиды (гентамицина сульфат) и куриные яйца;&lt;/li&gt;
&lt;li&gt;первичные иммунодефицитные состояния, злокачественные болезни крови и новообразования;&lt;/li&gt;
&lt;li&gt;сильная реакция (подъем температуры выше 40&amp;nbsp;°C, отек, гиперемия &gt;8&amp;nbsp;см в диаметре в месте введения вакцины) или осложнение на предыдущее введение вакцины;&lt;/li&gt;
&lt;li&gt;беременность.&lt;/li&gt;&lt;/ul&gt;&lt;/p&gt;</t>
  </si>
  <si>
    <t>• Тяжелые формы аллергических реакций на аминогликозиды (гентамицина сульфат) и куриные яйца; 
• первичные иммунодефицитные состояния, злокачественные болезни крови и новообразования; 
• сильная реакция (подъем температуры выше 40 °C, отек, гиперемия &gt;8 см в диаметре в месте введения вакцины) или осложнение на предыдущее введение вакцины;
• беременность.</t>
  </si>
  <si>
    <t>&lt;p&gt;&lt;ul&gt;&lt;li&gt;Гиперчувствительность к фармацевтической субстанции или к любым вспомогательным веществам [...] или аминогликозидам (гентамицина сульфату и др.), или куриным и/или перепелиным яйцам.&lt;/li&gt;
&lt;li&gt;Первичные иммунодефицитные состояния, злокачественные заболевания крови и новообразования;&lt;/li&gt;
&lt;li&gt;Сильная реакция (подъем температуры выше 40&amp;nbsp;°С, гиперемия и/или отек более 8&amp;nbsp;см в диаметре в месте введения вакцины) или осложнение на предыдущее введение паротитной или коревой вакцин;&lt;/li&gt;
&lt;li&gt;Беременность и период грудного вскармливания;&lt;/li&gt;
&lt;li&gt;Острые заболевания или обострение хронических заболеваний.&lt;/li&gt;&lt;/ul&gt;
Вакцинацию проводят:
&lt;ul&gt;&lt;li&gt;после острых инфекционных и неинфекционных заболеваний, после обострения хронических заболеваний — по окончании острых проявлений заболевания;&lt;/li&gt;
&lt;li&gt;при нетяжелых ОРВИ, острых кишечных заболеваниях и др. — сразу же после нормализации температуры;&lt;/li&gt;
&lt;li&gt;после проведения иммунодепрессивной терапии прививку проводят через 3-6&amp;nbsp;мес после окончания лечения.&lt;/li&gt;&lt;/ul&gt;
Вакцинацию паротитно-коревой вакциной не рекомендуется проводить в период подъема заболеваемости серозными менингитами.&lt;br&gt;&lt;br&gt;
Примечание: ВИЧ-инфицирование не является противопоказанием к вакцинации.&lt;/p&gt;</t>
  </si>
  <si>
    <t>• Гиперчувствительность к фармацевтической субстанции или к любым вспомогательным веществам [...] или аминогликозидам (гентамицина сульфату и др.), или куриным и/или перепелиным яйцам.
• Первичные иммунодефицитные состояния, злокачественные заболевания крови и новообразования;
• Сильная реакция (подъем температуры выше 40 °С, гиперемия и/или отек более 8 см в диаметре в месте введения вакцины) или осложнение на предыдущее введение паротитной или коревой вакцин;
• Беременность и период грудного вскармливания;
• Острые заболевания или обострение хронических заболеваний.
Вакцинацию проводят:
• после острых инфекционных и неинфекционных заболеваний, после обострения хронических заболеваний — по окончании острых проявлений заболевания;
• при нетяжелых ОРВИ, острых кишечных заболеваниях и др. — сразу же после нормализации температуры;
• после проведения иммунодепрессивной терапии прививку проводят через 3-6 мес после окончания лечения.
Вакцинацию паротитно-коревой вакциной не рекомендуется проводить в период подъема заболеваемости серозными менингитами.
Примечание: ВИЧ-инфицирование не является противопоказанием к вакцинации.</t>
  </si>
  <si>
    <t>&lt;p&gt;&lt;ul&gt;&lt;li&gt;Гиперчувствительность к действующему веществу и к любому из вспомогательных веществ [...];&lt;/li&gt;
&lt;li&gt;анафилактические реакции или тяжелые формы аллергических реакций на аминогликозиды (гентамицина сульфат и др.), куриные и/или перепелиные яйца;&lt;/li&gt;
&lt;li&gt;выраженный гуморальный или клеточный иммунодефицит (первичный или приобретенный), в том числе синдром приобретенного иммунодефицита человека (СПИД) или симптоматическая ВИЧ-инфекция; при этом само по себе ВИЧ-инфицирование не является противопоказанием к вакцинации;&lt;/li&gt;
&lt;li&gt;онкогематологические заболевания (например, лейкемия, лимфома любого типа или любые другие неоплазии, затрагивающие гематопоэтическую и лимфатические системы);&lt;/li&gt;
&lt;li&gt;сильная реакция (подъем температуры выше 40&amp;nbsp;°С, гиперемия и/или отек более 8&amp;nbsp;см в диаметре в месте введения вакцины) или осложнение на предыдущее введение вакцин для профилактики кори, паротита, краснухи;&lt;/li&gt;
&lt;li&gt;беременность, в том числе планируемая беременность в течение 1&amp;nbsp;месяца после вакцинации и период грудного вскармливания;&lt;/li&gt;
&lt;li&gt;подобно другим вакцинам, введение вакцины ВАКТРИВИР лицам с острыми тяжелыми лихорадочными заболеваниями следует отложить;&lt;/li&gt;
&lt;li&gt;иммуносупрессивная терапия при злокачественных новообразованиях (включая высокие дозы кортикостероидов), химиотерапия, радиотерапия; не является противопоказанием к вакцинации применение топических кортикостероидов или парентеральных кортикостероидов в низких дозах (например, для профилактики астмы или при гормональной заместительной терапии).&lt;/li&gt;&lt;/ul&gt;&lt;/p&gt;</t>
  </si>
  <si>
    <t>• Гиперчувствительность к действующему веществу и к любому из вспомогательных веществ [...];
• анафилактические реакции или тяжелые формы аллергических реакций на аминогликозиды (гентамицина сульфат и др.), куриные и/или перепелиные яйца;
• выраженный гуморальный или клеточный иммунодефицит (первичный или приобретенный), в том числе синдром приобретенного иммунодефицита человека (СПИД) или симптоматическая ВИЧ-инфекция; при этом само по себе ВИЧ-инфицирование не является противопоказанием к вакцинации;
• онкогематологические заболевания (например, лейкемия, лимфома любого типа или любые другие неоплазии, затрагивающие гематопоэтическую и лимфатические системы);
• сильная реакция (подъем температуры выше 40 °С, гиперемия и/или отек более 8 см в диаметре в месте введения вакцины) или осложнение на предыдущее введение вакцин для профилактики кори, паротита, краснухи;
• беременность, в том числе планируемая беременность в течение 1 месяца после вакцинации и период грудного вскармливания;
• подобно другим вакцинам, введение вакцины ВАКТРИВИР лицам с острыми тяжелыми лихорадочными заболеваниями следует отложить;
• иммуносупрессивная терапия при злокачественных новообразованиях (включая высокие дозы кортикостероидов), химиотерапия, радиотерапия; не является противопоказанием к вакцинации применение топических кортикостероидов или парентеральных кортикостероидов в низких дозах (например, для профилактики астмы или при гормональной заместительной терапии).</t>
  </si>
  <si>
    <t>&lt;p&gt;&lt;ul&gt;&lt;li&gt;Гиперчувствительность к любому компоненту вакцины.&lt;/li&gt;
&lt;li&gt;Беременность [...].&lt;/li&gt;
&lt;li&gt;Анафилактические и анафилактоидные реакции на неомицин (каждая доза восстановленного раствора вакцины содержит около 25&amp;nbsp;мкг неомицина).&lt;/li&gt;
&lt;li&gt;Лихорадочные заболевания дыхательной системы или другие острые инфекции, сопровождающиеся лихорадкой.&lt;/li&gt;
&lt;li&gt;Острый нелеченый туберкулез.&lt;/li&gt;
&lt;li&gt;Пациенты, получающие иммуносупрессивную терапию. Данное противопоказание не распространяется на пациентов, получающих заместительную терапию кортикостероидами, например, по поводу Аддисоновой болезни.&lt;/li&gt;
&lt;li&gt;Болезни крови, лейкозы, лимфомы всех типов, другие злокачественные новообразования, поражающие костный мозг или лимфатическую систему.&lt;/li&gt;
&lt;li&gt;Первичные и вторичные иммунодефициты, включая пациентов с иммуносупрессией в результате СПИДа или с другими клиническими проявлениями инфицирования вирусом иммунодефицита человека; нарушения клеточного иммунитета; гипогаммаглобулинемия и дисгаммаглобулинемия. Имеются сообщения, что у лиц с тяжелым состоянием иммунодефицита непреднамеренное введение коревой вакцины приводило к коревому энцефалиту (с включением телец), пневмониту или&amp;nbsp;летальному исходу.&lt;/li&gt;
&lt;li&gt;Наличие врожденных или наследственных иммунодефицитов у родственников (до тех пор, пока не будет доказана достаточная иммунокомпетентность пациента).&lt;/li&gt;
&lt;li&gt;Анафилактические или анафилактоидные реакции на куриные яйца в анамнезе.&lt;/li&gt;&lt;/ul&gt;&lt;/p&gt;</t>
  </si>
  <si>
    <t>• Гиперчувствительность к любому компоненту вакцины. 
• Беременность [...]. 
• Анафилактические и анафилактоидные реакции на неомицин (каждая доза восстановленного раствора вакцины содержит около 25 мкг неомицина). 
• Лихорадочные заболевания дыхательной системы или другие острые инфекции, 
сопровождающиеся лихорадкой. 
• Острый нелеченый туберкулез. 
• Пациенты, получающие иммуносупрессивную терапию. Данное противопоказание не распространяется на пациентов, получающих заместительную терапию кортикостероидами, например, по поводу Аддисоновой болезни. 
• Болезни крови, лейкозы, лимфомы всех типов, другие злокачественные новообразования, поражающие костный мозг или лимфатическую систему. 
• Первичные и вторичные иммунодефициты, включая пациентов с иммуносупрессией в результате СПИДа или с другими клиническими проявлениями инфицирования вирусом иммунодефицита человека; нарушения клеточного иммунитета; гипогаммаглобулинемия и дисгаммаглобулинемия. Имеются сообщения, что у лиц с тяжелым состоянием иммунодефицита непреднамеренное введение коревой вакцины приводило к коревому энцефалиту (с включением телец), пневмониту или летальному исходу. 
• Наличие врожденных или наследственных иммунодефицитов у родственников (до тех пор, пока не будет доказана достаточная иммунокомпетентность пациента). 
• Анафилактические или анафилактоидные реакции на куриные яйца в анамнезе.</t>
  </si>
  <si>
    <t>&lt;p&gt;&lt;ul&gt;&lt;li&gt;Гиперчувствительность к действующему веществу и к вспомогательному веществу, аллергическая реакция на предыдущее введение менингококковой вакцины.&lt;/li&gt;
&lt;li&gt;Сильная реакция (температура выше 40&amp;nbsp;°С, отек и гиперемия более 8&amp;nbsp;см в диаметре в месте введения вакцины) или поствакцинальное осложнение на предыдущее введение менингококковой вакцины.&lt;/li&gt;
&lt;li&gt;Острые заболевания (инфекционные и неинфекционные); обострение хронических заболеваний (в этих случаях вакцинацию проводят через 2-4&amp;nbsp;недели после выздоровления или в стадии ремиссии). При нетяжелых острых респираторных вирусных инфекциях, острых кишечных заболеваниях, а также в очагах менингококковой инфекции вакцинация допускается после нормализации температуры.&lt;/li&gt;
&lt;li&gt;Хронические заболевания в стадии декомпенсации.&lt;/li&gt;
&lt;li&gt;Злокачественные новообразования, болезни крови.&lt;/li&gt;
&lt;li&gt;Беременность и период грудного вскармливания.&lt;/li&gt;&lt;/ul&gt;&lt;/p&gt;</t>
  </si>
  <si>
    <t>• Гиперчувствительность к действующему веществу и к вспомогательному веществу, аллергическая реакция на предыдущее введение менингококковой вакцины.
• Сильная реакция (температура выше 40 °С, отек и гиперемия более 8 см в диаметре в месте введения вакцины) или поствакцинальное осложнение на предыдущее введение менингококковой вакцины.
• Острые заболевания (инфекционные и неинфекционные); обострение хронических заболеваний (в этих случаях вакцинацию проводят через 2-4 недели после выздоровления или в стадии ремиссии). При нетяжелых острых респираторных вирусных инфекциях, острых кишечных заболеваниях, а также в очагах менингококковой инфекции вакцинация допускается после нормализации температуры.
• Хронические заболевания в стадии декомпенсации.
• Злокачественные новообразования, болезни крови.
• Беременность и период грудного вскармливания.</t>
  </si>
  <si>
    <t>&lt;p&gt;&lt;ul&gt;&lt;li&gt;Гиперчувствительность к действующим веществам и к вспомогательному веществу (лактозы моногидрат), аллергическая реакция на предыдущее введение менингококковой вакцины.&lt;/li&gt;
&lt;li&gt;Детский возраст до 18&amp;nbsp;лет (в связи с отсутствием данных клинических исследований в других возрастных группах).&lt;/li&gt;
&lt;li&gt;Сильная реакция (температура выше 40&amp;nbsp;°С, отек и гиперемия в месте введения вакцины свыше 8&amp;nbsp;см в диаметре) или поствакцинальное осложнение на предыдущее введение.&lt;/li&gt;
&lt;li&gt;Острые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2-4&amp;nbsp;недели после выздоровления или в период реконвалесценции или ремиссии. Если полная ремиссия невозможна, вакцинация проводится в период максимально достижимой ремиссии на фоне поддерживающей терапии. При нетяжелых острых респираторных вирусных заболеваниях, острых кишечных заболеваниях прививки проводятся сразу после нормализации температуры. Вакцинация контактных лиц в очагах менингококковой инфекции допускается после нормализации температуры.&lt;/li&gt;&lt;/ul&gt;
&lt;i&gt;С осторожностью&lt;/i&gt;
&lt;ul&gt;&lt;li&gt;Злокачественные новообразования, болезни крови.&lt;/li&gt;&lt;/ul&gt;&lt;/p&gt;</t>
  </si>
  <si>
    <t>https://lk.regmed.ru/Register/GetPDFfromDA?ID=1581523381</t>
  </si>
  <si>
    <r>
      <rPr>
        <sz val="10"/>
        <color theme="1"/>
        <rFont val="Arial"/>
      </rPr>
      <t xml:space="preserve">• Гиперчувствительность к действующим веществам и к вспомогательному веществу (лактозы моногидрат), аллергическая реакция на предыдущее введение менингококковой вакцины.
• Детский возраст до 18 лет (в связи с отсутствием данных клинических исследований в других возрастных группах).
• Сильная реакция (температура выше 40 °С, отек и гиперемия в месте введения вакцины свыше 8 см в диаметре) или поствакцинальное осложнение на предыдущее введение.
•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2-4 недели после выздоровления или в период реконвалесценции или ремиссии. Если полная ремиссия невозможна, вакцинация проводится в период максимально достижимой ремиссии на фоне поддерживающей терапии. При нетяжелых острых респираторных вирусных заболеваниях, острых кишечных заболеваниях прививки проводятся сразу после нормализации температуры. Вакцинация контактных лиц в очагах менингококковой инфекции допускается после нормализации температуры.
</t>
    </r>
    <r>
      <rPr>
        <i/>
        <sz val="10"/>
        <color theme="1"/>
        <rFont val="Arial"/>
      </rPr>
      <t>С осторожностью</t>
    </r>
    <r>
      <rPr>
        <sz val="10"/>
        <color theme="1"/>
        <rFont val="Arial"/>
      </rPr>
      <t xml:space="preserve">
• Злокачественные новообразования, болезни крови.</t>
    </r>
  </si>
  <si>
    <t>&lt;p&gt;&lt;ul&gt;&lt;li&gt;Известная гиперчувствительность к действующим веществам, к любому из вспомогательных веществ вакцины [...] или аллергические реакции после предшествующего введения данной вакцины или вакцины, содержащей те же компоненты.&lt;/li&gt;
&lt;li&gt;Острые инфекционные и неинфекционные заболевания, обострение хронических заболеваний (в этих случаях вакцинацию проводят после выздоровления или в стадии ремиссии).&lt;/li&gt;&lt;/ul&gt;&lt;/p&gt;</t>
  </si>
  <si>
    <t>• Известная гиперчувствительность к действующим веществам, к любому из вспомогательных веществ вакцины [...] или аллергические реакции после предшествующего введения данной вакцины или вакцины, содержащей те же компоненты.
• Острые инфекционные и неинфекционные заболевания, обострение хронических заболеваний (в этих случаях вакцинацию проводят после выздоровления или в стадии ремиссии).</t>
  </si>
  <si>
    <t>&lt;p&gt;&lt;ul&gt;&lt;li&gt;Гиперчувствительность к фармацевтической субстанции или к любым вспомогательным веществам, [...] или аминогликозидам (гентамицина сульфату и др.), или куриным и/или перепелиным яйцам;&lt;/li&gt;
&lt;li&gt;первичные иммунодефицитные состояния, злокачественные болезни крови и новообразования;&lt;/li&gt;
&lt;li&gt;сильная реакция (подъем температуры выше 40&amp;nbsp;°С, гиперемия и/или отек более 8&amp;nbsp;см в диаметре в месте введения вакцины) или осложнение на предыдущее введение паротитной или паротитно-коревой вакцин;&lt;/li&gt;
&lt;li&gt;беременность и период грудного вскармливания;&lt;/li&gt;
&lt;li&gt;острые заболевания или обострение хронических заболеваний.&lt;/li&gt;&lt;/ul&gt;&lt;/p&gt;
&lt;p&gt;Примечание. ВИЧ-инфицирование не&amp;nbsp;является противопоказанием к вакцинации.&lt;/p&gt;</t>
  </si>
  <si>
    <t>• Гиперчувствительность к фармацевтической субстанции или к любым вспомогательным веществам, [...] или аминогликозидам (гентамицина сульфату и др.), или куриным и/или перепелиным яйцам;
• первичные иммунодефицитные состояния, злокачественные болезни крови и новообразования; 
• сильная реакция (подъем температуры выше 40 °С, гиперемия и/или отек более 8 см в диаметре в месте введения вакцины) или осложнение на предыдущее введение паротитной или паротитно-коревой вакцин;  
• беременность и период грудного вскармливания; 
• острые заболевания или обострение хронических заболеваний.
Примечание. ВИЧ-инфицирование не является противопоказанием к вакцинации.</t>
  </si>
  <si>
    <t>&lt;p&gt;&lt;ul&gt;&lt;li&gt;Гиперчувствительность к действующим веществам, любому из вспомогательных веществ [...] или дифтерийному анатоксину.&lt;/li&gt;
&lt;li&gt;Применение препарата Превенар&amp;nbsp;13, как и других вакцин, следует отложить у лиц с острыми тяжелыми фебрильными заболеваниями. Однако наличие легкой инфекции, такой как простуда, не требует откладывания срока вакцинации.&lt;/li&gt;&lt;/ul&gt;&lt;/p&gt;</t>
  </si>
  <si>
    <t>• Гиперчувствительность к действующим веществам, любому из вспомогательных веществ [...] или дифтерийному анатоксину.
• Применение препарата Превенар 13, как и других вакцин, следует отложить у лиц с острыми тяжелыми фебрильными заболеваниями. Однако наличие легкой инфекции, такой как простуда, не требует откладывания срока вакцинации.</t>
  </si>
  <si>
    <t>&lt;p&gt;&lt;ul&gt;&lt;li&gt;Гиперчувствительность к любому компоненту вакцины.&lt;/li&gt;
&lt;li&gt;Острые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Прививки проводятся через 2&amp;nbsp;–&amp;nbsp;4&amp;nbsp;недели после выздоровления или в период реконвалесценции или ремиссии. При нетяжелых ОРВИ, острых кишечных заболеваниях и&amp;nbsp;др. прививки проводятся сразу после нормализации температуры. При наличии слабовыраженных симптомов простуды не следует откладывать вакцинацию.&lt;/li&gt;&lt;/ul&gt;&lt;/p&gt;</t>
  </si>
  <si>
    <t xml:space="preserve">• Гиперчувствительность к любому компоненту вакцины.
•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Прививки проводятся через 2 – 4 недели после выздоровления или в период реконвалесценции или ремиссии. При нетяжелых ОРВИ, острых кишечных заболеваниях и др. прививки проводятся сразу после нормализации температуры. При наличии слабовыраженных симптомов простуды не следует откладывать вакцинацию. </t>
  </si>
  <si>
    <t>&lt;p&gt;&lt;ul&gt;&lt;li&gt;Гиперчувствительность к любому компоненту вакцины. На случай развития острой анафилактоидной реакции на какой-либо компонент введенной вакцины, наготове должен иметься раствор эпинефрина (1:1000) для немедленного введения.&lt;/li&gt;
&lt;li&gt;Сильная реакция или поствакцинальное осложнение на предыдущее введение.&lt;/li&gt;
&lt;li&gt;Острые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2&amp;nbsp;–&amp;nbsp;4&amp;nbsp;недели после выздоровления или в период реконвалесценции или ремиссии. При нетяжелых острых респираторных вирусных инфекциях, острых кишечных заболеваниях и других заболеваниях, сопровождающихся повешением температуры, прививки проводятся сразу после нормализации температуры.&lt;/li&gt;
&lt;li&gt;Любое лихорадочное респираторное заболевание или другие острые инфекции являются причиной для того, чтобы отложить вакцинацию препаратом Пневмовакс&amp;nbsp;®&amp;nbsp;23, кроме случаев, когда по мнению врача подобная задержка влечет за собой еще больший риск.&lt;/li&gt;&lt;/ul&gt;&lt;/p&gt;</t>
  </si>
  <si>
    <t>• Гиперчувствительность к любому компоненту вакцины. На случай развития острой анафилактоидной реакции на какой-либо компонент введенной вакцины, наготове должен иметься раствор эпинефрина (1:1000) для немедленного введения. 
• Сильная реакция или поствакцинальное осложнение на предыдущее введение. 
•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 – 4 недели после выздоровления или в период реконвалесценции или ремиссии. При нетяжелых острых респираторных вирусных инфекциях, острых кишечных заболеваниях и других заболеваниях, сопровождающихся повешением температуры, прививки проводятся сразу после нормализации температуры. 
• Любое лихорадочное респираторное заболевание или другие острые инфекции являются причиной для того, чтобы отложить вакцинацию препаратом Пневмовакс ® 23, кроме случаев, когда по мнению врача подобная задержка влечет за собой еще больший риск.</t>
  </si>
  <si>
    <t>&lt;p&gt;&lt;ul&gt;&lt;li&gt;Неврологические расстройства, сопровождавшие предыдущую вакцинацию пероральной полиомиелитной вакциной;&lt;/li&gt;
&lt;li&gt;иммунодефицитное состояние (первичное), злокачественные новообразования, иммуносупрессия (прививки проводят не ранее чем через 3 мес. после окончания курса терапии);&lt;/li&gt;
&lt;li&gt;беременность;&lt;/li&gt;
&lt;li&gt;гиперчувствительность к любому компоненту вакцины;&lt;/li&gt;
&lt;li&gt;сильная реакция (температура выше 40&amp;nbsp;°С) или осложнение на предыдущее введение препарата;&lt;/li&gt;
&lt;li&gt;острые инфекционные или неинфекционные заболевания, обострение хронических заболеваний (прививки проводят через 2&amp;nbsp;–&amp;nbsp;4&amp;nbsp;недели после выздоровления или ремиссии). При нетяжелых ОРВИ, острых кишечных заболеваниях прививки проводят после нормализации температуры.&lt;/li&gt;&lt;/ul&gt;&lt;/p&gt;</t>
  </si>
  <si>
    <t>• Неврологические расстройства, сопровождавшие предыдущую вакцинацию пероральной полиомиелитной вакциной; 
• иммунодефицитное состояние (первичное), злокачественные новообразования, иммуносупрессия (прививки проводят не ранее чем через 3 мес. после окончания курса терапии);
• беременность; 
• гиперчувствительность к любому компоненту вакцины; 
• сильная реакция (температура выше 40 °С) или осложнение на предыдущее введение препарата; 
• острые инфекционные или неинфекционные заболевания, обострение хронических заболеваний (прививки проводят через 2 – 4 недели после выздоровления или ремиссии). При нетяжелых ОРВИ, острых кишечных заболеваниях прививки проводят после нормализации температуры.</t>
  </si>
  <si>
    <t>&lt;p&gt;&lt;ul&gt;&lt;li&gt;Гиперчувствительность к любому компоненту препарата;&lt;/li&gt;
&lt;li&gt;сильная реакция (температура выше 40&amp;nbsp;°С) или осложнения, в т.ч. неврологические, на предыдущее введение пероральной полиомиелитной вакцины (ОПВ);&lt;/li&gt;
&lt;li&gt;иммунодефицитное состояние: первичные и вторичные иммунодефициты, в том числе вследствие лекарственной иммуносупрессии при лечении аутоиммунных и онкологических заболеваний (вакцинацию пероральной полиомиелитной вакциной проводят не ранее, чем через 3&amp;nbsp;месяца после окончания курса лечения);&lt;/li&gt;
&lt;li&gt;беременность;&lt;/li&gt;
&lt;li&gt;острые инфекционные или неинфекционные заболевания, обострения хронических заболеваний: вакцинацию проводят через 2–4&amp;nbsp;недели после выздоровления или ремиссии. При нетяжелых острых респираторных вирусных инфекциях (ОРВИ) или острых кишечных заболеваниях вакцинацию пероральной полиомиелитной вакциной проводят после нормализации температуры;&lt;/li&gt;
&lt;li&gt;принадлежность к группе риска согласно национальному календарю профилактических прививок: дети с болезнями нервной системы, иммунодефицитными состояниями или анатомическими дефектами, приводящими к резко повышенной опасности заболевания гемофильной инфекцией; с аномалиями развития кишечника; с онкологическими заболеваниями и/или длительно получающим иммуносупрессивную терапию; дети, рожденные от матерей с ВИЧ-инфекцией; дети с ВИЧ-инфекцией; недоношенные и маловесные дети; дети, находящиеся в домах ребенка.&lt;/li&gt;&lt;/ul&gt;&lt;/p&gt;</t>
  </si>
  <si>
    <t>• Гиперчувствительность к любому компоненту препарата;
• сильная реакция (температура выше 40 °С) или осложнения, в т.ч. неврологические, на предыдущее введение пероральной полиомиелитной вакцины (ОПВ);
• иммунодефицитное состояние: первичные и вторичные иммунодефициты, в том числе вследствие лекарственной иммуносупрессии при лечении аутоиммунных и онкологических заболеваний (вакцинацию пероральной полиомиелитной вакциной проводят не ранее, чем через 3 месяца после окончания курса лечения);
• беременность;
• острые инфекционные или неинфекционные заболевания, обострения хронических заболеваний: вакцинацию проводят через 2–4 недели после выздоровления или ремиссии. При нетяжелых острых респираторных вирусных инфекциях (ОРВИ) или острых кишечных заболеваниях вакцинацию пероральной полиомиелитной вакциной проводят после нормализации температуры;
• принадлежность к группе риска согласно национальному календарю профилактических прививок: дети с болезнями нервной системы, иммунодефицитными состояниями или анатомическими дефектами, приводящими к резко повышенной опасности заболевания гемофильной инфекцией; с аномалиями развития кишечника; с онкологическими заболеваниями и/или длительно получающим иммуносупрессивную терапию; дети, рожденные от матерей с ВИЧ-инфекцией; дети с ВИЧ-инфекцией; недоношенные и маловесные дети; дети, находящиеся в домах ребенка.</t>
  </si>
  <si>
    <t>&lt;p&gt;&lt;ul&gt;&lt;li&gt;Тяжелая реакция на предшествующее введение вакцины ПОЛИМИЛЕКС®.&lt;/li&gt;
&lt;li&gt;Известная гиперчувствительность к одному или нескольким компонентам вакцины ПОЛИМИЛЕКС®.&lt;/li&gt;
&lt;li&gt;Заболевание, сопровождающееся лихорадкой, острое инфекционное или хроническое заболевание в стадии обострения. Вакцинацию проводят через 2&amp;nbsp;–&amp;nbsp;4&amp;nbsp;недели после выздоровления или в период реконвалесценции или ремиссии. При нетяжелых ОРВИ, острых кишечных заболеваниях и&amp;nbsp;др. прививки проводят сразу после нормализации температуры.&lt;/li&gt;
&lt;li&gt;Сильная реакция (температура выше 40&amp;nbsp;°C, отек и гиперемия вместе введения свыше 8&amp;nbsp;см в диаметре) или осложнение на предыдущее введение препарата.&lt;/li&gt;&lt;/ul&gt;&lt;/p&gt;</t>
  </si>
  <si>
    <t>• Тяжелая реакция на предшествующее введение вакцины ПОЛИМИЛЕКС®. 
• Известная гиперчувствительность к одному или нескольким компонентам вакцины ПОЛИМИЛЕКС®. 
• Заболевание, сопровождающееся лихорадкой, острое инфекционное или хроническое заболевание в стадии обострения. Вакцинацию проводят через 2 – 4 недели после выздоровления или в период реконвалесценции или ремиссии. При нетяжелых ОРВИ, острых кишечных заболеваниях и др. прививки проводят сразу после нормализации температуры.
• Сильная реакция (температура выше 40 °C, отек и гиперемия вместе введения свыше 8 см в диаметре) или осложнение на предыдущее введение препарата.</t>
  </si>
  <si>
    <r>
      <rPr>
        <i/>
        <sz val="10"/>
        <color theme="1"/>
        <rFont val="Arial"/>
      </rPr>
      <t>&lt;p&gt;&lt;i&gt;Лечебно-профилактическая иммунизация</t>
    </r>
    <r>
      <rPr>
        <sz val="10"/>
        <color theme="1"/>
        <rFont val="Arial"/>
      </rPr>
      <t xml:space="preserve">&lt;/i&gt;&lt;br&gt;&lt;br&gt;
Противопоказания отсутствуют.&lt;br&gt;
Беременность не является противопоказанием.&lt;br&gt;&lt;br&gt;
</t>
    </r>
    <r>
      <rPr>
        <i/>
        <sz val="10"/>
        <color theme="1"/>
        <rFont val="Arial"/>
      </rPr>
      <t>&lt;i&gt;Профилактическая иммунизация&lt;/i&gt;</t>
    </r>
    <r>
      <rPr>
        <sz val="10"/>
        <color theme="1"/>
        <rFont val="Arial"/>
      </rPr>
      <t xml:space="preserve">
&lt;ul&gt;&lt;li&gt;Гиперчувствительность к действующему веществу и к любому из вспомогательных веществ [...].&lt;/li&gt;
&lt;li&gt;Острые инфекционные и неинфекционные заболевания, хронические заболевания в стадии обострения или декомпенсации — прививки проводят не ранее одного месяца после выздоровления (ремиссии).&lt;/li&gt;
&lt;li&gt;Системные аллергические реакции на предшествовавшее введение вакцины КОКАВ (генерализованная сыпь, отек Квинке и др.).&lt;/li&gt;
&lt;li&gt;Сильная реакция (температура выше 40&amp;nbsp;°С, отек и гиперемия в месте введения свыше 8&amp;nbsp;см в диаметре) или осложнение на предыдущее введение препарата.&lt;/li&gt;
&lt;li&gt;Беременность.&lt;/li&gt;&lt;/ul&gt;&lt;/p&gt;</t>
    </r>
  </si>
  <si>
    <r>
      <rPr>
        <i/>
        <sz val="10"/>
        <color theme="1"/>
        <rFont val="Arial"/>
      </rPr>
      <t>Лечебно-профилактическая иммунизация</t>
    </r>
    <r>
      <rPr>
        <sz val="10"/>
        <color theme="1"/>
        <rFont val="Arial"/>
      </rPr>
      <t xml:space="preserve">
Противопоказания отсутствуют.
Беременность не является противопоказанием.
</t>
    </r>
    <r>
      <rPr>
        <i/>
        <sz val="10"/>
        <color theme="1"/>
        <rFont val="Arial"/>
      </rPr>
      <t>Профилактическая иммунизация</t>
    </r>
    <r>
      <rPr>
        <sz val="10"/>
        <color theme="1"/>
        <rFont val="Arial"/>
      </rPr>
      <t xml:space="preserve">
• Гиперчувствительность к действующему веществу и к любому из вспомогательных веществ [...].
• Острые инфекционные и неинфекционные заболевания, хронические заболевания в стадии обострения или декомпенсации — прививки проводят не ранее одного месяца после выздоровления (ремиссии).
• Системные аллергические реакции на предшествовавшее введение вакцины КОКАВ (генерализованная сыпь, отек Квинке и др.).
• Сильная реакция (температура выше 40 °С, отек и гиперемия в месте введения свыше 8 см в диаметре) или осложнение на предыдущее введение препарата.
• Беременность.</t>
    </r>
  </si>
  <si>
    <t>&lt;p&gt;Для лечебно-профилактической иммунизации: отсутствуют.&lt;br&gt;
&lt;br&gt;
Для профилактической иммунизации:
&lt;ul&gt;&lt;li&gt;острые инфекционные и неинфекционные заболевания, хронические заболевания в стадии обострения или декомпенсации — прививки проводят не ранее одного месяца после выздоровления (ремиссии);&lt;/li&gt;
&lt;li&gt;аллергические реакции на предшествующее введение антирабической вакцины;&lt;/li&gt;
&lt;li&gt;сильная реакция (температура выше 40&amp;nbsp;°C, отек и гиперемия в месте введения свыше 8&amp;nbsp;см в диаметре) или осложнение на предыдущее введение препарата;&lt;/li&gt;
&lt;li&gt;беременность.&lt;/li&gt;&lt;/ul&gt;&lt;/p&gt;</t>
  </si>
  <si>
    <t>Для лечебно-профилактической иммунизации:
отсутствуют.
Для профилактической иммунизации 
• острые инфекционные и неинфекционные заболевания, хронические заболевания в стадии обострения или декомпенсации — прививки проводят не ранее одного месяца после выздоровления (ремиссии); 
• аллергические реакции на предшествующее введение антирабической вакцины; 
• сильная реакция (температура выше 40 °C, отек и гиперемия в месте введения свыше 8 см в диаметре) или осложнение на предыдущее введение препарата; 
• беременность.</t>
  </si>
  <si>
    <t>&lt;p&gt;Противопоказаний для лечебно-профилактической иммунизации нет, так как иммунизация проводится по жизненным показаниям.&lt;br&gt;
&lt;br&gt;
Профилактическая иммунизация. Противопоказаниями для профилактической иммунизации являются: 
&lt;ol&gt;&lt;li&gt;острое инфекционное и неинфекционное заболевание, прививки проводят после выздоровления;&lt;/li&gt;
&lt;li&gt;сердечно-сосудистая недостаточность 2-й и 3-й степени;&lt;/li&gt;
&lt;li&gt;хронические заболевания почек, печени, эндокринной системы;&lt;/li&gt; 
&lt;li&gt;системные заболевания соединительной ткани и аллергические реакции на предшествующее введение препарата (отек Квинке, генерализованная сыпь, бронхиальная астма и&amp;nbsp;др.);&lt;/li&gt; 
&lt;li&gt;гиперчувствительность к антибиотикам в анамнезе;&lt;/li&gt;
&lt;li&gt;беременность.&lt;/li&gt;&lt;/ol&gt;&lt;/p&gt;</t>
  </si>
  <si>
    <t>Противопоказаний для лечебно-профилактической иммунизации нет, так как иммунизация проводится по жизненным показаниям. 
Профилактическая иммунизация. Противопоказаниями для профилактической иммунизации являются: 
1) острое инфекционное и неинфекционное заболевание, прививки проводят после выздоровления; 
2) сердечно-сосудистая недостаточность 2-й и 3-й степени; 
3) хронические заболевания почек, печени, эндокринной системы; 
4) системные заболевания соединительной ткани и аллергические реакции на предшествующее введение препарата (отек Квинке, генерализованная сыпь, бронхиальная астма и др.); 
5) гиперчувствительность к антибиотикам в анамнезе; 
6) беременность.</t>
  </si>
  <si>
    <t>&lt;p&gt;&lt;ul&gt;&lt;li&gt;Повышенная чувствительность к любому компоненту вакцины РотаТек®, а также на введение вакцины РотаТек® в анамнезе.&lt;/li&gt;
&lt;li&gt;Инвагинация кишечника в анамнезе.&lt;/li&gt;
&lt;li&gt;Врожденные пороки развития желудочно-кишечного тракта, предрасполагающие к инвагинации кишечника.&lt;/li&gt;
&lt;li&gt;Иммунодефицит, подозрение на иммунодефицит (см. ОСОБЫЕ УКАЗАНИЯ и ПОБОЧНОЕ ДЕЙСТВИЕ).&lt;/li&gt;
&lt;li&gt;Острые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 через 2&amp;nbsp;–&amp;nbsp;4&amp;nbsp;недели после выздоровления или в период реконвалесценции или ремиссии. При нетяжелых острых вирусных респираторных инфекциях, острых кишечных заболеваниях и других заболеваниях прививки проводятся сразу после нормализации температуры.&lt;/li&gt;
&lt;li&gt;Острая форма диареи или рвоты (в этих случаях вакцинацию проводят на стадии ремиссии).&lt;/li&gt;
&lt;li&gt;Непереносимость фруктозы, нарушение всасывания глюкозо-галактозного комплекса, недостаточность ферментов сахаразы и/или изомальтазы.&lt;/li&gt;&lt;/ul&gt;&lt;/p&gt;</t>
  </si>
  <si>
    <t>• Повышенная чувствительность к любому компоненту вакцины РотаТек®, а также на введение вакцины РотаТек® в анамнезе. 
• Инвагинация кишечника в анамнезе. 
• Врожденные пороки развития желудочно-кишечного тракта, предрасполагающие к инвагинации кишечника. 
• Иммунодефицит, подозрение на иммунодефицит (см. ОСОБЫЕ УКАЗАНИЯ и ПОБОЧНОЕ ДЕЙСТВИЕ). 
•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 через 2 – 4 недели после выздоровления или в период реконвалесценции или ремиссии. При нетяжелых острых вирусных респираторных инфекциях, острых кишечных заболеваниях и других заболеваниях прививки проводятся сразу после нормализации температуры. 
• Острая форма диареи или рвоты (в этих случаях вакцинацию проводят на стадии ремиссии). 
• Непереносимость фруктозы, нарушение всасывания глюкозо-галактозного комплекса, недостаточность ферментов сахаразы и/или изомальтазы.</t>
  </si>
  <si>
    <t>&lt;p&gt;&lt;ul&gt;&lt;li&gt;Аллергические реакции на компоненты вакцины;&lt;/li&gt;
&lt;li&gt;острые инфекционные и неинфекционные заболевания, обострение хронических заболеваний;&lt;/li&gt;
&lt;li&gt;иммунодефицитные состояния; злокачественные заболевания крови и новообразования;&lt;/li&gt;
&lt;li&gt;беременность и период грудного вскармливания;&lt;/li&gt;
&lt;li&gt;сильная реакция (подъем температуры выше 40&amp;nbsp;°C, отек, гиперемия более 8&amp;nbsp;см в диаметре в месте введения вакцины) или осложнение на предыдущую дозу. 
Примечание. При наличии ВИЧ-инфекции допускается вакцинация лиц с 1-й и 2-й иммунными категориями (отсутствие или умеренный иммунодефицит).&lt;/li&gt;&lt;/ul&gt;&lt;/p&gt;</t>
  </si>
  <si>
    <t>• Аллергические реакции на компоненты вакцины; 
• острые инфекционные и неинфекционные заболевания, обострение хронических заболеваний; 
• иммунодефицитные состояния; злокачественные заболевания крови и новообразования;
• беременность и период грудного вскармливания; 
• сильная реакция (подъем температуры выше 40 °C, отек, гиперемия более 8 см в диаметре в месте введения вакцины) или осложнение на предыдущую дозу. 
Примечание. При наличии ВИЧ-инфекции допускается вакцинация лиц с 1-й и 2-й иммунными категориями (отсутствие или умеренный иммунодефицит).</t>
  </si>
  <si>
    <t>&lt;ol&gt;&lt;li&gt;Беременность.&lt;/li&gt;
&lt;li&gt;Острые инфекционные и неинфекционные заболевания, обострение хронических заболеваний.&lt;/li&gt;
&lt;li&gt;Иммунодефицитные состояния, злокачественные заболевания крови и новообразования.&lt;/li&gt;
&lt;li&gt;Сильная реакция (подъем температуры выше 40&amp;nbsp;°С, гиперемия и/или отек более 8&amp;nbsp;см в диаметре в месте введения вакцины) или осложнение на предыдущее введение вакцины.&lt;/li&gt;&lt;/ol&gt;
&lt;p&gt;Примечание: ВИЧ-инфицирование не является противопоказанием к вакцинации.&lt;/p&gt;</t>
  </si>
  <si>
    <t>1. Беременность.
2. Острые инфекционные и неинфекционные заболевания, обострение хронических заболеваний.
3. Иммунодефицитные состояния, злокачественные заболевания крови и новообразования.
4. Сильная реакция (подъем температуры выше 40 °С, гиперемия и/или отек более 8 см в диаметре в месте введения вакцины) или осложнение на предыдущее введение вакцины.
Примечание: ВИЧ-инфицирование не является противопоказанием к вакцинации.</t>
  </si>
  <si>
    <t>&lt;p&gt;&lt;ul&gt;&lt;li&gt;Гиперчувствительность к действующему веществу или к любому из вспомогательных веществ [...] или к формальдегиду.&lt;/li&gt;
&lt;li&gt;Сильная реакция или поствакцинальное осложнение на предыдущее введение препарата АС-анатоксин.&lt;/li&gt;
&lt;li&gt;Беременность:&lt;br&gt;
—&amp;nbsp;в первой половине противопоказано введение АС-анатоксина (АДС-М-анатоксина) и ПСС;&lt;br&gt;
—&amp;nbsp;во второй половине противопоказано введение ПСС.&lt;/li&gt;
&lt;li&gt;Острые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2—4&amp;nbsp;недели после выздоровления или в период реконвалесценции или ремиссии. При нетяжелых ОРВИ, острых кишечных заболеваниях прививки проводятся сразу после нормализации температуры.&lt;/li&gt;
&lt;li&gt;Неврологические изменения — прививают после исключения прогрессирования процесса.&lt;/li&gt;
&lt;li&gt;Аллергические заболевания — прививки проводят через 2—4&amp;nbsp;недели ремиссии, при этом стабильные проявления заболевания (локализованные кожные явления, скрытый бронхоспазм и т.п.) не являются противопоказаниями к вакцинации, которая может быть проведена на фоне соответствующей терапии.&lt;/li&gt;&lt;/ul&gt;&lt;/p&gt;</t>
  </si>
  <si>
    <t>• Гиперчувствительность к действующему веществу или к любому из вспомогательных веществ [...] или к формальдегиду.
• Сильная реакция или поствакцинальное осложнение на предыдущее введение препарата АС-анатоксин.
• Беременность:
— в первой половине противопоказано введение АС-анатоксина (АДС-М-анатоксина) и ПСС;
— во второй половине противопоказано введение ПСС.
•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2—4 недели после выздоровления или в период реконвалесценции или ремиссии. При нетяжелых ОРВИ, острых кишечных заболеваниях прививки проводятся сразу после нормализации температуры.
• Неврологические изменения — прививают после исключения прогрессирования процесса.
• Аллергические заболевания — прививки проводят через 2—4 недели ремиссии, при этом стабильные проявления заболевания (локализованные кожные явления, скрытый бронхоспазм и т.п.) не являются противопоказаниями к вакцинации, которая может быть проведена на фоне соответствующей терапии.</t>
  </si>
  <si>
    <t>&lt;p&gt;Постоянными противопоказаниями являются сильная реакция или поствакцинальное осложнение на предыдущее введение AC-анатоксина. Не рекомендуется применение плановых прививок беременным и в период грудного вскармливания.&lt;br&gt;
&lt;br&gt;
Лиц, перенесших острые заболевания, прививают не ранее чем через 1&amp;nbsp;месяц после клинического выздоровления.&lt;br&gt;
&lt;br&gt;
Больных хроническими заболеваниями прививают не ранее чем через 1&amp;nbsp;месяц после достижения ремиссии. Детей с неврологическими нарушениями (рефлекторная ригидность мышц, асимметрия лица, тремор рук, невралгия) прививают после исключения прогрессирования процесса. Больным аллергическими заболеваниями прививки проводят через 2&amp;nbsp;–&amp;nbsp;4&amp;nbsp;недели после окончания обострения, при этом стабильные проявления заболевания (локализованные кожные явления, скрытый бронхоспазм и&amp;nbsp;т.&amp;nbsp;п.) не являются противопоказаниями к вакцинации, которая может быть проведена на фоне соответствующей терапии.&lt;br&gt;
&lt;br&gt;
Иммунодефициты, ВИЧ-инфекция, а также поддерживающая курсовая терапия, в том числе стероидными гормонами и противосудорожными препаратами, не являются противопоказаниями к прививке.&lt;br&gt;
&lt;br&gt;
С целью выявления противопоказаний врач (фельдшер в фельдшерско-акушерском пункте) в день прививки проводит опрос родителей и осмотр прививаемых с обязательной термометрией. При вакцинации взрослых допускается предварительный отбор лиц, подлежащих прививке, с их опросом медицинским работником в день прививки, проводящим вакцинацию. Лица, временно освобожденные от прививки, должны быть взяты под наблюдение и учет и своевременно привиты.&lt;/p&gt;</t>
  </si>
  <si>
    <t>Постоянными противопоказаниями являются сильная реакция или поствакцинальное осложнение на предыдущее введение AC-анатоксина. Не рекомендуется применение плановых прививок беременным и в период грудного вскармливания. 
Лиц, перенесших острые заболевания, прививают не ранее чем через 1 месяц после клинического выздоровления. 
Больных хроническими заболеваниями прививают не ранее чем через 1 месяц после достижения ремиссии. Детей с неврологическими нарушениями (рефлекторная ригидность мышц, асимметрия лица, тремор рук, невралгия) прививают после исключения прогрессирования процесса. Больным аллергическими заболеваниями прививки проводят через 2 – 4 недели после окончания обострения, при этом стабильные проявления заболевания (локализованные кожные явления, скрытый бронхоспазм и т. п.) не являются противопоказаниями к вакцинации, которая может быть проведена на фоне соответствующей терапии.
Иммунодефициты, ВИЧ-инфекция, а также поддерживающая курсовая терапия, в том числе стероидными гормонами и противосудорожными препаратами, не являются противопоказаниями к прививке.
С целью выявления противопоказаний врач (фельдшер в фельдшерско-акушерском пункте) в день прививки проводит опрос родителей и осмотр прививаемых с обязательной термометрией. При вакцинации взрослых допускается предварительный отбор лиц, подлежащих прививке, с их опросом медицинским работником в день прививки, проводящим вакцинацию. Лица, временно освобожденные от прививки, должны быть взяты под наблюдение и учет и своевременно привиты.</t>
  </si>
  <si>
    <t>&lt;p&gt;Аллергические реакции или реакции гиперчувствительности (например, анафилаксия) в анамнезе на предыдущее введение любого из компонентов вакцины, включая неомицин.&lt;/p&gt;</t>
  </si>
  <si>
    <t>Аллергические реакции или реакции гиперчувствительности (например, анафилаксия) в анамнезе на предыдущее введение любого из компонентов вакцины, включая неомицин.</t>
  </si>
  <si>
    <t>&lt;p&gt;&lt;ul&gt;&lt;li&gt;Гиперчувствительность к действующему веществу или к любому из вспомогательных веществ [...].&lt;/li&gt;
&lt;li&gt;Острые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2—4&amp;nbsp;недели после выздоровления или в период реконвалесценции или ремиссии. Если полная ремиссия невозможна, вакцинация проводится в период максимально достижимой ремиссии на фоне поддерживающей терапии. При нетяжелых ОРВИ, острых кишечных заболеваниях прививки проводятся сразу после нормализации температуры.&lt;/li&gt;
&lt;li&gt;Тяжелая реакция (повышение температуры выше 40&amp;nbsp;°С; в месте введения вакцины — отек, гиперемия более 8&amp;nbsp;см в диаметре) или осложнения на предыдущую дозу вакцины.&lt;/li&gt;
&lt;li&gt;Дети до 1&amp;nbsp;года.&lt;/li&gt;&lt;/ul&gt;
В каждом случае заболевания, не содержащегося в настоящем перечне противопоказаний, вакцинация проводится по разрешению врача, исходя из состояния здоровья вакцинируемого и риска заражения клещевым энцефалитом.&lt;/p&gt;</t>
  </si>
  <si>
    <t>• Гиперчувствительность к действующему веществу или к любому из вспомогательных веществ [...].
•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2—4 недели после выздоровления или в период реконвалесценции или ремиссии. Если полная ремиссия невозможна, вакцинация проводится в период максимально достижимой ремиссии на фоне поддерживающей терапии. При нетяжелых ОРВИ, острых кишечных заболеваниях прививки проводятся сразу после нормализации температуры.
• Тяжелая реакция (повышение температуры выше 40 °С; в месте введения вакцины — отек, гиперемия более 8 см в диаметре) или осложнения на предыдущую дозу вакцины.
• Дети до 1 года.
В каждом случае заболевания, не содержащегося в настоящем перечне противопоказаний, вакцинация проводится по разрешению врача, исходя из состояния здоровья вакцинируемого и риска заражения клещевым энцефалитом.</t>
  </si>
  <si>
    <t>&lt;p&gt;&lt;ul&gt;&lt;li&gt;Гиперчувствительность к действующему веществу или к любому из вспомогательных веществ.&lt;/li&gt;
&lt;li&gt;Осложнения или сильная реакция на предыдущую дозу вакцины — повышение температуры выше 40&amp;nbsp;°С, отек, гиперемия более 8&amp;nbsp;см в диаметре в месте введения.&lt;/li&gt;
&lt;li&gt;Подобно другим вакцинам, введение препарата ЭнцеВир лицам с острыми тяжелыми лихорадочными заболеваниями следует отложить.&lt;/li&gt;&lt;/ul&gt;
В каждом случае заболевания, не содержащегося в настоящем перечне противопоказаний, вакцинация проводится по разрешению врача, исходя из состояния здоровья вакцинируемого и риска заражения клещевым энцефалитом.&lt;/p&gt;</t>
  </si>
  <si>
    <t>• Гиперчувствительность к действующему веществу или к любому из вспомогательных веществ.
• Осложнения или сильная реакция на предыдущую дозу вакцины — повышение температуры выше 40 °С, отек, гиперемия более 8 см в диаметре в месте введения.
• Подобно другим вакцинам, введение препарата ЭнцеВир лицам с острыми тяжелыми лихорадочными заболеваниями следует отложить.
В каждом случае заболевания, не содержащегося в настоящем перечне противопоказаний, вакцинация проводится по разрешению врача, исходя из состояния здоровья вакцинируемого и риска заражения клещевым энцефалитом.</t>
  </si>
  <si>
    <t>&lt;p&gt;&lt;ul&gt;&lt;li&gt;Гиперчувствительность к действующему веществу или к любому из вспомогательных веществ.&lt;/li&gt;
&lt;li&gt;Осложнения или сильная реакция на предыдущую дозу вакцины — повышение температуры выше 40&amp;nbsp;°С, отек, гиперемия более 8&amp;nbsp;см в диаметре в месте введения.&lt;/li&gt;
&lt;li&gt;Подобно другим вакцинам, введение препарата ЭнцеВир Нео детский лицам с острыми тяжелыми лихорадочными заболеваниями следует отложить.&lt;/li&gt;
&lt;li&gt;Детский возраст до 3&amp;nbsp;лет.&lt;/li&gt;&lt;/ul&gt;
В каждом случае заболевания, не содержащегося в настоящем перечне противопоказаний, вакцинация проводится по разрешению врача, исходя из состояния здоровья вакцинируемого и риска заражения клещевым энцефалитом.&lt;/p&gt;</t>
  </si>
  <si>
    <t>• Гиперчувствительность к действующему веществу или к любому из вспомогательных веществ.
• Осложнения или сильная реакция на предыдущую дозу вакцины — повышение температуры выше 40 °С, отек, гиперемия более 8 см в диаметре в месте введения.
• Подобно другим вакцинам, введение препарата ЭнцеВир Нео детский лицам с острыми тяжелыми лихорадочными заболеваниями следует отложить.
• Детский возраст до 3 лет.
В каждом случае заболевания, не содержащегося в настоящем перечне противопоказаний, вакцинация проводится по разрешению врача, исходя из состояния здоровья вакцинируемого и риска заражения клещевым энцефалитом.</t>
  </si>
  <si>
    <t>&lt;p&gt;&lt;ul&gt;&lt;li&gt;Гиперчувствительность к действующему веществу или к любому из вспомогательных веществ [...].&lt;/li&gt;
&lt;li&gt;Подобно другим вакцинам, введение Вакцины для профилактики клещевого энцефалита лицам с острыми тяжелыми лихорадочными заболеваниями следует отложить.&lt;/li&gt;
&lt;li&gt;Сильная реакция или поствакцинальное осложнение на предыдущее введение вакцины.&lt;/li&gt;
&lt;li&gt;Дети до 3-х&amp;nbsp;лет.&lt;/li&gt;&lt;/ul&gt;
При вакцинации доноров следует учитывать также противопоказания, относящиеся к отбору доноров.&lt;br&gt;
В каждом случае заболевания, не содержащегося в настоящем перечне противопоказаний, вакцинация проводится по разрешению врача, исходя из состояния здоровья вакцинируемого и риска заражения клещевым энцефалитом. С целью выявления противопоказаний врач (фельдшер) проводит в день прививки опрос и осмотр прививаемого с обязательной термометрией.&lt;/p&gt;</t>
  </si>
  <si>
    <t>• Гиперчувствительность к действующему веществу или к любому из вспомогательных веществ [...].
• Подобно другим вакцинам, введение Вакцины для профилактики клещевого энцефалита лицам с острыми тяжелыми лихорадочными заболеваниями следует отложить.
• Сильная реакция или поствакцинальное осложнение на предыдущее введение вакцины.
• Дети до 3-х лет.
При вакцинации доноров следует учитывать также противопоказания, относящиеся к отбору доноров.
В каждом случае заболевания, не содержащегося в настоящем перечне противопоказаний, вакцинация проводится по разрешению врача, исходя из состояния здоровья вакцинируемого и риска заражения клещевым энцефалитом. С целью выявления противопоказаний врач (фельдшер) проводит в день прививки опрос и осмотр прививаемого с обязательной термометрией.</t>
  </si>
  <si>
    <t>&lt;p&gt;&lt;ul&gt;&lt;li&gt;Гиперчувствительность к действующему веществу, неомицину или любому из вспомогательных веществ [...]. Симптомы гиперчувствительности на предыдущее введение вакцины для профилактики ветряной оспы.&lt;/li&gt;
&lt;li&gt;Тяжелый гуморальный или клеточный иммунодефициты, такие как: первичный или приобретенный иммунодефицит (развившийся вследствие лейкоза, лимфомы, дискразии крови, клинических проявлений ВИЧ-инфекции, применения иммунодепрессантов, включая высокодозную терапию кортикостероидами), определяемый по количеству лимфоцитов — менее&amp;nbsp;1200/мм³, а также при наличии других признаков клеточного иммунодефицита.&lt;/li&gt;
&lt;li&gt;Острые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при нетяжелых ОРВИ, острых кишечных заболеваниях вакцинацию проводят сразу после нормализации температуры.&lt;/li&gt;
&lt;li&gt;Беременность или планируемая беременность в течение 1&amp;nbsp;месяца после вакцинации.&lt;/li&gt;
&lt;li&gt;Период грудного вскармливания.&lt;/li&gt;&lt;/ul&gt;&lt;/p&gt;</t>
  </si>
  <si>
    <t>• Гиперчувствительность к действующему веществу, неомицину или любому из вспомогательных веществ [...]. Симптомы гиперчувствительности на предыдущее введение вакцины для профилактики ветряной оспы.
• Тяжелый гуморальный или клеточный иммунодефициты, такие как: первичный или приобретенный иммунодефицит (развившийся вследствие лейкоза, лимфомы, дискразии крови, клинических проявлений ВИЧ-инфекции, применения иммунодепрессантов, включая высокодозную терапию кортикостероидами), определяемый по количеству лимфоцитов — менее 1200/мм³, а также при наличии других признаков клеточного иммунодефицита.
•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при нетяжелых ОРВИ, острых кишечных заболеваниях вакцинацию проводят сразу после нормализации температуры.
• Беременность или планируемая беременность в течение 1 месяца после вакцинации.
• Период грудного вскармливания.</t>
  </si>
  <si>
    <t>&lt;p&gt;&lt;ul&gt;&lt;li&gt;Аллергия (гиперчувствительность) к компонентам вакцины, куриному белку.&lt;/li&gt;
&lt;li&gt;Серьезные нежелательные реакции после предшествующего введения какой-либо вакцины против желтой лихорадки (температура выше 40&amp;nbsp;°C, отек и гиперемия в месте введения свыше 8&amp;nbsp;см в диаметре).&lt;/li&gt;
&lt;li&gt;Острые инфекционные и неинфекционные заболевания, хронические заболевания в стадии обострения или декомпенсации – прививки проводят не ранее одного месяца после выздоровления (ремиссии).&lt;/li&gt;
&lt;li&gt;Заболевания вилочковой железы (тяжелая миастения, синдром Ди Георга, тимома), состояние после удаления тимуса.&lt;/li&gt;
&lt;li&gt;Первичные (врожденные) иммунодефициты.&lt;/li&gt;
&lt;li&gt;Вторичные (приобретенные) иммунодефициты (прививки проводят не ранее чем через 12&amp;nbsp;мес. после выздоровления/окончания лечения).&lt;/li&gt;
&lt;li&gt;Врожденная непереносимость фруктозы.&lt;/li&gt;
&lt;li&gt;Беременность и период грудного вскармливания.&lt;/li&gt;
&lt;li&gt;Дети в возрасте до 9&amp;nbsp;месяцев.&lt;/li&gt;&lt;/ul&gt;&lt;/p&gt;</t>
  </si>
  <si>
    <t>• Аллергия (гиперчувствительность) к компонентам вакцины, куриному белку.
• Серьезные нежелательные реакции после предшествующего введения какой-либо вакцины против желтой лихорадки (температура выше 40 °C, отек и гиперемия в месте введения свыше 8 см в диаметре).
• Острые инфекционные и неинфекционные заболевания, хронические заболевания в стадии обострения или декомпенсации – прививки проводят не ранее одного месяца после выздоровления (ремиссии).
• Заболевания вилочковой железы (тяжелая миастения, синдром Ди Георга, тимома), состояние после удаления тимуса.
• Первичные (врожденные) иммунодефициты.
• Вторичные (приобретенные) иммунодефициты (прививки проводят не ранее чем через 12 мес. после выздоровления/окончания лечения).
• Врожденная непереносимость фруктозы.
• Беременность и период грудного вскармливания.
• Дети в возрасте до 9 месяцев.</t>
  </si>
  <si>
    <t>&lt;p&gt;&lt;ul&gt;&lt;li&gt;Гиперчувствительность к действующему веществу и к любому из вспомогательных веществ.&lt;/li&gt;
&lt;li&gt;Аллергические заболевания (бронхиальная астма, анафилактический шок, отек Квинке в анамнезе).&lt;/li&gt;
&lt;li&gt;Сильная реакция (повышение температуры выше 40&amp;nbsp;°С, отек и гиперемия более 8&amp;nbsp;см в диметре в месте введения вакцины) или осложнение на предыдущее введение вакцины.&lt;/li&gt;
&lt;li&gt;Перенесенная туляремия в анамнезе. Положительная серологическая или кожно-аллергическая реакция на туляремию.&lt;/li&gt;
&lt;li&gt;Острые инфекционные и неинфекционные заболевания, обострение хронических заболеваний являются временным противопоказанием, прививки проводят через 1&amp;nbsp;мес после выздоровления (ремиссии).&lt;/li&gt;
&lt;li&gt;Первичные и вторичные иммунодефициты. При лечении стероидами, антиметаболитами, химио- и рентгенотерапии прививки проводят не ранее, чем через 6&amp;nbsp;мес после окончания лечения.&lt;/li&gt;
&lt;li&gt;Системные заболевания соединительной ткани.&lt;/li&gt;
&lt;li&gt;Злокачественные новообразования и злокачественные болезни крови.&lt;/li&gt;
&lt;li&gt;Распространенные рецидивирующие заболевания кожи.&lt;/li&gt;
&lt;li&gt;Беременность и период грудного вскармливания.&lt;/li&gt;
&lt;li&gt;Возраст до 7&amp;nbsp;лет.&lt;/li&gt;&lt;/ul&gt;&lt;/p&gt;</t>
  </si>
  <si>
    <t>• Гиперчувствительность к действующему веществу и к любому из вспомогательных веществ.
• Аллергические заболевания (бронхиальная астма, анафилактический шок, отек Квинке в анамнезе).
• Сильная реакция (повышение температуры выше 40 °С, отек и гиперемия более 8 см в диметре в месте введения вакцины) или осложнение на предыдущее введение вакцины.
• Перенесенная туляремия в анамнезе. Положительная серологическая или кожно-аллергическая реакция на туляремию.
• Острые инфекционные и неинфекционные заболевания, обострение хронических заболеваний являются временным противопоказанием, прививки проводят через 1 мес после выздоровления (ремиссии).
• Первичные и вторичные иммунодефициты. При лечении стероидами, антиметаболитами, химио- и рентгенотерапии прививки проводят не ранее, чем через 6 мес после окончания лечения.
• Системные заболевания соединительной ткани.
• Злокачественные новообразования и злокачественные болезни крови.
• Распространенные рецидивирующие заболевания кожи.
• Беременность и период грудного вскармливания.
• Возраст до 7 лет.</t>
  </si>
  <si>
    <t>&lt;p&gt;&lt;ul&gt;&lt;li&gt;Повышенная чувствительность ко всем компонентам, входящим в состав препарата;&lt;/li&gt;
&lt;li&gt;острые инфекционные и неинфекционные заболевания, хронические заболевания в стадии обострения – прививки проводят не ранее чем через один месяц после выздоровления (ремиссии).&lt;/li&gt;
&lt;li&gt;первичные и вторичные иммунодефицитные состояния, подтверждённые документально иммунологическими исследованиями;&lt;/li&gt;
&lt;li&gt;аллергические заболевания (отек Квинке, бронхиальная астма, крапивница, экзематозные проявления и другие аллергические заболевания);&lt;/li&gt;
&lt;li&gt;системные заболевания соединительной ткани;&lt;/li&gt;
&lt;li&gt;злокачественные новообразования и злокачественные болезни крови;&lt;/li&gt;
&lt;li&gt;болезни эндокринной системы.&lt;/li&gt;&lt;/ul&gt;&lt;/p&gt;</t>
  </si>
  <si>
    <t>https://grls.rosminzdrav.ru/InstrImg/2021/10/22/1474770/84220d47 – 9ed2 – 44e3-a2d3-89170a0f96d8.pdf</t>
  </si>
  <si>
    <t>• Повышенная чувствительность ко всем компонентам, входящим в состав препарата;
• острые инфекционные и неинфекционные заболевания, хронические заболевания в стадии обострения – прививки проводят не ранее чем через один месяц после выздоровления (ремиссии).
• первичные и вторичные иммунодефицитные состояния, подтверждённые документально иммунологическими исследованиями;
• аллергические заболевания (отек Квинке, бронхиальная астма, крапивница, экзематозные проявления и другие аллергические заболевания);
• системные заболевания соединительной ткани;
• злокачественные новообразования и злокачественные болезни крови;
• болезни эндокринной системы.</t>
  </si>
  <si>
    <t>&lt;p&gt;&lt;ul&gt;&lt;li&gt;Острые инфекционные и неинфекционные заболевания, хронические заболевания в стадии обострения — прививки проводят не ранее чем через 1&amp;nbsp;месяц после выздоровления (ремиссии).&lt;/li&gt;
&lt;li&gt;Первичные и вторичные иммунодефициты. При лечении стероидными препаратами, антиметаболитами, химио- и рентгенотерапии — прививки проводят не ранее чем через 6&amp;nbsp;мес. после окончания лечения.&lt;/li&gt;
&lt;li&gt;Системные заболевания соединительной ткани.&lt;/li&gt;
&lt;li&gt;Злокачественные новообразования и злокачественные болезни крови.&lt;/li&gt;
&lt;li&gt;Распространенные рецидивирующие заболевания кожи (при нaкoжнoй иммунизации).&lt;/li&gt;
&lt;li&gt;Хронические заболевания органов дыхания (при ингаляционной иммунизации).&lt;/li&gt;
&lt;li&gt;Аллергические заболевания (бронхиальная астма, анафилактический шок, отек Квинке в анамнезе).&lt;/li&gt;
&lt;li&gt;Беременность и период лактации.&lt;/li&gt;&lt;/ul&gt;&lt;/p&gt;</t>
  </si>
  <si>
    <t>• Острые инфекционные и неинфекционные заболевания, хронические заболевания в стадии обострения — прививки проводят не ранее чем через 1 месяц после выздоровления (ремиссии). 
• Первичные и вторичные иммунодефициты. При лечении стероидными препаратами, антиметаболитами, химио- и рентгенотерапии — прививки проводят не ранее чем через 6 мес. после окончания лечения.
• Системные заболевания соединительной ткани.
• Злокачественные новообразования и злокачественные болезни крови.
• Распространенные рецидивирующие заболевания кожи (при нaкoжнoй иммунизации).
• Хронические заболевания органов дыхания (при ингаляционной иммунизации). 
• Аллергические заболевания (бронхиальная астма, анафилактический шок, отек Квинке в анамнезе).
• Беременность и период лактации.</t>
  </si>
  <si>
    <t>&lt;p&gt;&lt;ul&gt;&lt;li&gt;Острые инфекционные и неинфекционные заболевания, хронические заболевания в стадии обострения – прививки проводят не ранее чем через 1&amp;nbsp;месяц после выздоровления (ремиссии).&lt;/li&gt;
&lt;li&gt;Первичные и вторичные иммунодефициты. При лечении стероидами, антиметаболитами, химио- и рентгенотерапии – прививки проводят не ранее чем через 6&amp;nbsp;мес. после окончания лечения.&lt;/li&gt;
&lt;li&gt;Системные заболевания соединительной ткани.&lt;/li&gt;
&lt;li&gt;Злокачественные новообразования и злокачественные болезни крови.&lt;/li&gt;
&lt;li&gt;Болезни эндокринной системы.&lt;/li&gt;
&lt;li&gt;Аллергические заболевания (бронхиальная астма, анафилактический шок, отек Квинке в анамнезе).&lt;/li&gt;
&lt;li&gt;Беременность и период лактации.&lt;/li&gt;&lt;/ul&gt;&lt;/p&gt;</t>
  </si>
  <si>
    <t>• Острые инфекционные и неинфекционные заболевания, хронические заболевания в стадии обострения – прививки проводят не ранее чем через 1 месяц после выздоровления (ремиссии).
• Первичные и вторичные иммунодефициты. При лечении стероидами, антиметаболитами, химио- и рентгенотерапии – прививки проводят не ранее чем через 6 мес. после окончания лечения.
• Системные заболевания соединительной ткани.
• Злокачественные новообразования и злокачественные болезни крови.
• Болезни эндокринной системы.
• Аллергические заболевания (бронхиальная астма, анафилактический шок, отек Квинке в анамнезе).
• Беременность и период лактации.</t>
  </si>
  <si>
    <t>&lt;p&gt;&lt;ul&gt;&lt;li&gt;Детский возраст до 2&amp;nbsp;лет.&lt;/li&gt;
&lt;li&gt;Острые инфекционные и неинфекционные заболевания, хронические заболевания в стадии обострения — прививки проводят не ранее чем через 1&amp;nbsp;месяц после выздоровления (ремиссии).&lt;/li&gt;
&lt;li&gt;Первичные и вторичные иммунодефициты. При лечении кортикостероидными препаратами, антиметаболитами, химио- и рентгенотерапии — прививки проводят не ранее чем через 6&amp;nbsp;месяцев после окончания лечения.&lt;/li&gt;
&lt;li&gt;Системные заболевания соединительной ткани.&lt;/li&gt;
&lt;li&gt;Злокачественные новообразования и злокачественные болезни крови.&lt;/li&gt;
&lt;li&gt;Распространенные рецидивирующие заболевания кожи (при накожной иммунизации).&lt;/li&gt;
&lt;li&gt;Хронические заболевания органов дыхания (при ингаляционной иммунизации).&lt;/li&gt;
&lt;li&gt;Аллергические заболевания (бронхиальная астма, анафилактический шок, отек Квинке в анамнезе).&lt;/li&gt;
&lt;li&gt;Беременность и период грудного вскармливания.&lt;/li&gt;&lt;/ul&gt;&lt;/p&gt;</t>
  </si>
  <si>
    <t>• Детский возраст до 2 лет.
• Острые инфекционные и неинфекционные заболевания, хронические заболевания в стадии обострения — прививки проводят не ранее чем через 1 месяц после выздоровления (ремиссии).
• Первичные и вторичные иммунодефициты. При лечении кортикостероидными препаратами, антиметаболитами, химио- и рентгенотерапии — прививки проводят не ранее чем через 6 месяцев после окончания лечения.
• Системные заболевания соединительной ткани.
• Злокачественные новообразования и злокачественные болезни крови.
• Распространенные рецидивирующие заболевания кожи (при накожной иммунизации).
• Хронические заболевания органов дыхания (при ингаляционной иммунизации).
• Аллергические заболевания (бронхиальная астма, анафилактический шок, отек Квинке в анамнезе).
• Беременность и период грудного вскармливания.</t>
  </si>
  <si>
    <t>&lt;p&gt;&lt;ul&gt;&lt;li&gt;Декомпенсированные заболевания сердечно-сосудистой системы.&lt;/li&gt;
&lt;li&gt;Выраженный геморрагический диатез.&lt;/li&gt;
&lt;li&gt;Органические поражения центральной нервной системы.&lt;/li&gt;
&lt;li&gt;Неврит слухового и зрительного нервов.&lt;/li&gt;
&lt;li&gt;Воспалительные изменения печени, почек.&lt;/li&gt;
&lt;li&gt;Активный туберкулез легких.&lt;/li&gt;
&lt;li&gt;Беременность.&lt;/li&gt;
&lt;li&gt;Возраст до 3&amp;nbsp;лет и более 60&amp;nbsp;лет.&lt;/li&gt;&lt;/ul&gt;&lt;/p&gt;</t>
  </si>
  <si>
    <t>• Декомпенсированные заболевания сердечно-сосудистой системы.
• Выраженный геморрагический диатез.
• Органические поражения центральной нервной системы.
• Неврит слухового и зрительного нервов.
• Воспалительные изменения печени, почек.
• Активный туберкулез легких.
• Беременность.
• Возраст до 3 лет и более 60 лет.</t>
  </si>
  <si>
    <t>&lt;p&gt;&lt;ul&gt;&lt;li&gt;Гиперчувствительность к действующему веществу и к любому из вспомогательных веществ [...].&lt;/li&gt;
&lt;li&gt;Аллергические заболевания (бронхиальная астма, анафилактический шок, отек Квинке в анамнезе).&lt;/li&gt;
&lt;li&gt;Перенесенный бруцеллез в анамнезе. Положительная серологическая или кожно-аллергическая реакция на бруцеллез.&lt;/li&gt;
&lt;li&gt;Острые инфекционные и неинфекционные заболевания, обострение хронических заболеваний являются временным противопоказанием, прививки проводят не ранее, чем через 1&amp;nbsp;мес. после выздоровления (ремиссии).&lt;/li&gt;
&lt;li&gt;Первичные и вторичные иммунодефициты. При лечении стероидами, антиметаболитами, химио- и рентгенотерапии прививки проводят не ранее, чем через 6&amp;nbsp;мес. после окончания лечения.&lt;/li&gt;
&lt;li&gt;Системные заболевания соединительной ткани.&lt;/li&gt;
&lt;li&gt;Злокачественные новообразования и злокачественные болезни крови.&lt;/li&gt;
&lt;li&gt;Распространенные рецидивирующие заболевания кожи.&lt;/li&gt;
&lt;li&gt;Беременность и период грудного вскармливания.&lt;/li&gt;
&lt;li&gt;Возраст до 18&amp;nbsp;лет.&lt;/li&gt;&lt;/ul&gt;&lt;/p&gt;</t>
  </si>
  <si>
    <t>• Гиперчувствительность к действующему веществу и к любому из вспомогательных веществ [...].
• Аллергические заболевания (бронхиальная астма, анафилактический шок, отек Квинке в анамнезе).
• Перенесенный бруцеллез в анамнезе. Положительная серологическая или кожно-аллергическая реакция на бруцеллез.
• Острые инфекционные и неинфекционные заболевания, обострение хронических заболеваний являются временным противопоказанием, прививки проводят не ранее, чем через 1 мес. после выздоровления (ремиссии).
• Первичные и вторичные иммунодефициты. При лечении стероидами, антиметаболитами, химио- и рентгенотерапии прививки проводят не ранее, чем через 6 мес. после окончания лечения.
• Системные заболевания соединительной ткани.
• Злокачественные новообразования и злокачественные болезни крови.
• Распространенные рецидивирующие заболевания кожи.
• Беременность и период грудного вскармливания.
• Возраст до 18 лет.</t>
  </si>
  <si>
    <t>&lt;p&gt;&lt;ul&gt;&lt;li&gt;Повышенная чувствительность к любому из компонентов вакцины.&lt;/li&gt;
&lt;li&gt;Тяжелая реакция или осложнения на предыдущее введение вакцины.&lt;/li&gt;
&lt;li&gt;Возраст до 14&amp;nbsp;лет.&lt;/li&gt;
&lt;li&gt;Острые инфекционные и неинфекционные заболевания, хронические заболевания в стадии обострения — прививки проводят не ранее чем через 1&amp;nbsp;месяц после выздоровления.&lt;/li&gt;
&lt;li&gt;Первичные и вторичные иммунодефициты. При лечении стероидами, антиметаболитами, химио- и рентгенотерапии вакцинацию проводят не ранее чем через 6&amp;nbsp;месяцев после окончания лечения.&lt;/li&gt;
&lt;li&gt;Злокачественные новообразования и злокачественные болезни крови.&lt;/li&gt;
&lt;li&gt;Системные заболевания соединительной ткани.&lt;/li&gt;
&lt;li&gt;Распространенные рецидивирующие заболевания кожи.&lt;/li&gt;
&lt;li&gt;Заболевания эндокринной системы.&lt;/li&gt;
&lt;li&gt;Беременность и период грудного вскармливания.&lt;/li&gt;&lt;/ul&gt;&lt;/p&gt;</t>
  </si>
  <si>
    <t>• Повышенная чувствительность к любому из компонентов вакцины.
• Тяжелая реакция или осложнения на предыдущее введение вакцины.
• Возраст до 14 лет.
• Острые инфекционные и неинфекционные заболевания, хронические заболевания в стадии обострения — прививки проводят не ранее чем через 1 месяц после выздоровления.
• Первичные и вторичные иммунодефициты. При лечении стероидами, антиметаболитами, химио- и рентгенотерапии вакцинацию проводят не ранее чем через 6 месяцев после окончания лечения.
• Злокачественные новообразования и злокачественные болезни крови.
• Системные заболевания соединительной ткани.
• Распространенные рецидивирующие заболевания кожи.
• Заболевания эндокринной системы.
• Беременность и период грудного вскармливания.</t>
  </si>
  <si>
    <t>&lt;p&gt;&lt;ul&gt;&lt;li&gt;Острые инфекционные и неинфекционные заболевания — прививки проводят не ранее 1&amp;nbsp;месяца после выздоровления (ремиссии).&lt;/li&gt;
&lt;li&gt;Первичные и вторичные иммунодефициты. При лечении стероидами, антиметаболитами, рентгенотерапией прививки проводят не ранее чем через 6&amp;nbsp;месяцев после окончания терапии.&lt;/li&gt;
&lt;li&gt;Злокачественные новообразования и злокачественные болезни крови.&lt;/li&gt;
&lt;li&gt;Системные заболевания соединительной ткани.&lt;/li&gt;
&lt;li&gt;Распространенные рецидивирующие болезни кожи.&lt;/li&gt;
&lt;li&gt;Болезни эндокринной системы.&lt;/li&gt;
&lt;li&gt;Беременность и период лактации.&lt;/li&gt;&lt;/ul&gt;&lt;/p&gt;</t>
  </si>
  <si>
    <t>• Острые инфекционные и неинфекционные заболевания — прививки проводят не ранее 1 месяца после выздоровления (ремиссии).
• Первичные и вторичные иммунодефициты. При лечении стероидами, антиметаболитами, рентгенотерапией прививки проводят не ранее чем через 6 месяцев после окончания терапии.
• Злокачественные новообразования и злокачественные болезни крови.
• Системные заболевания соединительной ткани.
• Распространенные рецидивирующие болезни кожи.
• Болезни эндокринной системы.
• Беременность и период лактации.</t>
  </si>
  <si>
    <r>
      <rPr>
        <sz val="10"/>
        <color theme="1"/>
        <rFont val="Arial"/>
      </rPr>
      <t>&lt;p&gt;</t>
    </r>
    <r>
      <rPr>
        <b/>
        <sz val="10"/>
        <color theme="1"/>
        <rFont val="Arial"/>
      </rPr>
      <t xml:space="preserve">&lt;b&gt;При предэкспозиционной иммунизации:&lt;/b&gt;
</t>
    </r>
    <r>
      <rPr>
        <sz val="10"/>
        <color theme="1"/>
        <rFont val="Arial"/>
      </rPr>
      <t>&lt;ul&gt;&lt;li&gt;Острые инфекционные заболевания или обострение хронических заболеваний (вакцинация проводится не ранее чем через 2&amp;nbsp;недели после выздоровления).&lt;/li&gt;
&lt;li&gt;Тяжелые реакции гиперчувствительности на антибиотики (неомицин, хлортетрациклин и амфотерицин B) и компоненты, входящие в состав вакцины Рабипур&amp;nbsp;®, в анамнезе.&lt;/li&gt;
&lt;li&gt;Осложнения, в том числе системные аллергические реакции, развившиеся после предшествующего введения вакцины Рабипур&amp;nbsp;®, в анамнезе.&lt;/li&gt;
&lt;li&gt;Беременность.&lt;/li&gt;&lt;/ul&gt;&lt;br&gt;&lt;br&gt;</t>
    </r>
    <r>
      <rPr>
        <b/>
        <sz val="10"/>
        <color theme="1"/>
        <rFont val="Arial"/>
      </rPr>
      <t xml:space="preserve">
&lt;b&gt;При постэкспозиционной иммунизации:</t>
    </r>
    <r>
      <rPr>
        <sz val="10"/>
        <color theme="1"/>
        <rFont val="Arial"/>
      </rPr>
      <t>&lt;/b&gt;&lt;br&gt;</t>
    </r>
    <r>
      <rPr>
        <b/>
        <sz val="10"/>
        <color theme="1"/>
        <rFont val="Arial"/>
      </rPr>
      <t xml:space="preserve">
</t>
    </r>
    <r>
      <rPr>
        <sz val="10"/>
        <color theme="1"/>
        <rFont val="Arial"/>
      </rPr>
      <t>Поскольку заболевание бешенством приводит к&amp;nbsp;летальному исходу, противопоказания для постэкспозиционной иммунизации отсутствуют. [...] Беременность и грудное вскармливание не являются противопоказанием для постэкспозиционной иммунизации.&lt;/p&gt;</t>
    </r>
  </si>
  <si>
    <r>
      <rPr>
        <b/>
        <sz val="10"/>
        <color theme="1"/>
        <rFont val="Arial"/>
      </rPr>
      <t xml:space="preserve">При предэкспозиционной иммунизации:
</t>
    </r>
    <r>
      <rPr>
        <sz val="10"/>
        <color theme="1"/>
        <rFont val="Arial"/>
      </rPr>
      <t xml:space="preserve">• Острые инфекционные заболевания или обострение хронических заболеваний (вакцинация проводится не ранее чем через 2 недели после выздоровления).
• Тяжелые реакции гиперчувствительности на антибиотики (неомицин, хлортетрациклин и амфотерицин B) и компоненты, входящие в состав вакцины Рабипур ®, в анамнезе.
• Осложнения, в том числе системные аллергические реакции, развившиеся после предшествующего введения вакцины Рабипур ®, в анамнезе.
• Беременность.
</t>
    </r>
    <r>
      <rPr>
        <b/>
        <sz val="10"/>
        <color theme="1"/>
        <rFont val="Arial"/>
      </rPr>
      <t xml:space="preserve">
При постэкспозиционной иммунизации: 
</t>
    </r>
    <r>
      <rPr>
        <sz val="10"/>
        <color theme="1"/>
        <rFont val="Arial"/>
      </rPr>
      <t>Поскольку заболевание бешенством приводит к летальному исходу, противопоказания для постэкспозиционной иммунизации отсутствуют. [...] Беременность и грудное вскармливание не являются противопоказанием для постэкспозиционной иммунизации.</t>
    </r>
  </si>
  <si>
    <t>&lt;p&gt;&lt;ul&gt;&lt;li&gt;Острые инфекционные и неинфекционные заболевания, хронические заболевания в стадии обострения — прививки проводят не ранее чем через 1&amp;nbsp;месяц после выздоровления (ремиссии).&lt;/li&gt;
&lt;li&gt;Сильная реакция на предыдущее введение лептоспирозной вакцины (температура выше 40&amp;nbsp;°С, гиперемия, инфильтрат диаметром более 8&amp;nbsp;см).&lt;/li&gt;
&lt;li&gt;Бронхиальная астма, выраженные аллергические реакции в анамнезе на пищевые, медикаментозные и другие препараты.&lt;/li&gt;
&lt;li&gt;Болезни эндокринной системы.&lt;/li&gt;
&lt;li&gt;Злокачественные новообразования и злокачественные болезни крови.&lt;/li&gt;
&lt;li&gt;Заболевания нервной системы с прогредиентным течением, эпилепсия с частыми припадками.&lt;/li&gt;
&lt;li&gt;Беременность.&lt;/li&gt;
&lt;li&gt;Грудное вскармливание.&lt;/li&gt;&lt;/ul&gt;&lt;/p&gt;</t>
  </si>
  <si>
    <t>• Острые инфекционные и неинфекционные заболевания, хронические заболевания в стадии обострения — прививки проводят не ранее чем через 1 месяц после выздоровления (ремиссии).
• Сильная реакция на предыдущее введение лептоспирозной вакцины (температура выше 40 °С, гиперемия, инфильтрат диаметром более 8 см). 
• Бронхиальная астма, выраженные аллергические реакции в анамнезе на пищевые, медикаментозные и другие препараты.
• Болезни эндокринной системы.
• Злокачественные новообразования и злокачественные болезни крови.
• Заболевания нервной системы с прогредиентным течением, эпилепсия с частыми припадками.
• Беременность.
• Грудное вскармливание.</t>
  </si>
  <si>
    <t>&lt;p&gt;&lt;ul&gt;&lt;li&gt;Возраст моложе 14&amp;nbsp;лет;&lt;/li&gt;
&lt;li&gt;положительная серологическая реакция на коксиеллез;&lt;/li&gt;
&lt;li&gt;острые заболевания (инфекционные или неинфекционные); обострение хронических заболеваний (в этих случаях вакцинацию проводят через 2&amp;nbsp;–&amp;nbsp;4&amp;nbsp;недели после выздоровления или в&amp;nbsp;стадии ремиссии). При нетяжелых острых респираторных вирусных инфекциях (ОРВИ), острых кишечных заболеваниях вакцинацию проводят после нормализации температуры;&lt;/li&gt;
&lt;li&gt;сильная реакция (температура выше 40&amp;nbsp;°С, отек и гиперемия в месте введения свыше 8&amp;nbsp;см в диаметре) или поствакцинальное осложнение на предыдущее введение вакцины для&amp;nbsp;профилактики Ку-лихорадки;&lt;/li&gt;
&lt;li&gt;аллергические заболевания (по данным анамнеза): бронхиальная астма, атопический дерматит, поллиноз и&amp;nbsp;др.; аллергия на куриный белок и белки молока;&lt;/li&gt;
&lt;li&gt;системные заболевания соединительной ткани;&lt;/li&gt;
&lt;li&gt;хронические заболевания верхних дыхательных путей и легких;&lt;/li&gt;
&lt;li&gt;иммунодефицитные состояния (первичные и вторичные);&lt;/li&gt;
&lt;li&gt;беременность и период грудного вскармливания;&lt;/li&gt;
&lt;li&gt;злокачественные заболевания;&lt;/li&gt;
&lt;li&gt;гиперчувствительность к фармацевтической субстанции (коксиеллам Бернета) или к любым вспомогательным веществам;&lt;/li&gt;
&lt;li&gt;заболевание Ку-лихорадкой в анамнезе.&lt;/li&gt;&lt;/ul&gt;&lt;/p&gt;</t>
  </si>
  <si>
    <t>• Возраст моложе 14 лет;
• положительная серологическая реакция на коксиеллез; 
• острые заболевания (инфекционные или неинфекционные); обострение хронических заболеваний (в этих случаях вакцинацию проводят через 2 – 4 недели после выздоровления или в стадии ремиссии). При нетяжелых острых респираторных вирусных инфекциях (ОРВИ), острых кишечных заболеваниях вакцинацию проводят после нормализации температуры; 
• сильная реакция (температура выше 40 °С, отек и гиперемия в месте введения свыше 8 см в диаметре) или поствакцинальное осложнение на предыдущее введение вакцины для профилактики Ку-лихорадки; 
• аллергические заболевания (по данным анамнеза): бронхиальная астма, атопический дерматит, поллиноз и др.; аллергия на куриный белок и белки молока; 
• системные заболевания соединительной ткани; 
• хронические заболевания верхних дыхательных путей и легких; 
• иммунодефицитные состояния (первичные и вторичные);
• беременность и период грудного вскармливания; 
• злокачественные заболевания; 
• гиперчувствительность к фармацевтической субстанции (коксиеллам Бернета) или к любым вспомогательным веществам; 
• заболевание Ку-лихорадкой в анамнезе.</t>
  </si>
  <si>
    <t>&lt;p&gt;&lt;ul&gt;&lt;li&gt;Острые инфекционные и неинфекционные заболевания, включая дисфункции кишечника, хронические заболевания в стадии обострения; прививки проводят не ранее чем через 1&amp;nbsp;месяц после выздоровления (ремиссии);&lt;/li&gt;
&lt;li&gt;злокачественные новообразования и злокачественные болезни крови;&lt;/li&gt;
&lt;li&gt;иммунодефицитные состояния.&lt;/li&gt;&lt;/ul&gt;&lt;/p&gt;</t>
  </si>
  <si>
    <t>• Острые инфекционные и неинфекционные заболевания, включая дисфункции кишечника, хронические заболевания в стадии обострения; прививки проводят не ранее чем через 1 месяц после выздоровления (ремиссии);
• злокачественные новообразования и злокачественные болезни крови;
• иммунодефицитные состояния.</t>
  </si>
  <si>
    <t>&lt;p&gt;&lt;ul&gt;&lt;li&gt;Препарат ВИАНВАК не следует вводить лицам с известной гиперчувствительностью к любому компоненту вакцины;&lt;/li&gt;
&lt;li&gt;сильная реакция (температура выше 40&amp;nbsp;°C, отек и гиперемия в месте введения свыше 8&amp;nbsp;см в диаметре) или осложнение на предыдущее введение препарата;&lt;/li&gt;
&lt;li&gt;беременность;&lt;/li&gt;
&lt;li&gt;подобно другим вакцинам, введение вакцины ВИАНВАК лицам с острыми тяжелыми лихорадочными заболеваниями следует отложить.&lt;/li&gt;&lt;/ul&gt;&lt;/p&gt;</t>
  </si>
  <si>
    <t>• Препарат ВИАНВАК не следует вводить лицам с известной гиперчувствительностью к любому компоненту вакцины;
• сильная реакция (температура выше 40 °C, отек и гиперемия в месте введения свыше 8 см в диаметре) или осложнение на предыдущее введение препарата;
• беременность;
• подобно другим вакцинам, введение вакцины ВИАНВАК лицам с острыми тяжелыми лихорадочными заболеваниями следует отложить.</t>
  </si>
  <si>
    <t>&lt;p&gt;&lt;ul&gt;&lt;li&gt;Острые инфекционные и неинфекционные заболевания, обострение хронических заболеваний — прививку проводят не ранее чем через месяц после выздоровления (ремиссии);&lt;/li&gt;
&lt;li&gt;хронические заболевания печени и желчных путей;&lt;/li&gt;
&lt;li&gt;хронические заболевания почек;&lt;/li&gt;
&lt;li&gt;болезни эндокринной системы;&lt;/li&gt;
&lt;li&gt;болезни сердечно-сосудистой системы: ревматизм, пороки сердца, миокардит, гипертоническая болезнь;&lt;/li&gt;
&lt;li&gt;бронхиальная астма и другие тяжелые аллергические заболевания;&lt;/li&gt;
&lt;li&gt;системные заболевания соединительной ткани;&lt;/li&gt;
&lt;li&gt;инфекционные и неинфекционные заболевания центральной нервной системы: наличие в анамнезе заболеваний, сопровождающихся судорогами;&lt;/li&gt;
&lt;li&gt;болезни крови, злокачественные новообразования;&lt;/li&gt;
&lt;li&gt;беременность.&lt;/li&gt;&lt;/ul&gt;&lt;/p&gt;</t>
  </si>
  <si>
    <t>• Острые инфекционные и неинфекционные заболевания, обострение хронических заболеваний — прививку проводят не ранее чем через месяц после выздоровления (ремиссии);
• хронические заболевания печени и желчных путей;
• хронические заболевания почек;
• болезни эндокринной системы;
• болезни сердечно-сосудистой системы: ревматизм, пороки сердца, миокардит, гипертоническая болезнь;
• бронхиальная астма и другие тяжелые аллергические заболевания;
• системные заболевания соединительной ткани;
• инфекционные и неинфекционные заболевания центральной нервной системы: наличие в анамнезе заболеваний, сопровождающихся судорогами;
• болезни крови, злокачественные новообразования;
• беременность.</t>
  </si>
  <si>
    <t>&lt;p&gt;&lt;ul&gt;&lt;li&gt;Препарат Шигеллвак не следует вводить лицам с известной гиперчувствительностью к любому компоненту вакцины;&lt;/li&gt;
&lt;li&gt;сильная реакция (температура выше 40&amp;nbsp;°C, отек и гиперемия в месте введения свыше 8&amp;nbsp;см в диаметре) или осложнение на предыдущее введение препарата;&lt;/li&gt;
&lt;li&gt;беременность;&lt;/li&gt;
&lt;li&gt;лактация;&lt;/li&gt;
&lt;li&gt;подобно другим вакцинам, введение вакцины Шигеллвак лицам с острыми тяжелыми лихорадочными заболеваниями следует отложить.&lt;/li&gt;&lt;/ul&gt;&lt;/p&gt;</t>
  </si>
  <si>
    <t>• Препарат Шигеллвак не следует вводить лицам с известной гиперчувствительностью к любому компоненту вакцины;
• сильная реакция (температура выше 40 °C, отек и гиперемия в месте введения свыше 8 см в диаметре) или осложнение на предыдущее введение препарата;
• беременность;
• лактация;
• подобно другим вакцинам, введение вакцины Шигеллвак лицам с острыми тяжелыми лихорадочными заболеваниями следует отложить.</t>
  </si>
  <si>
    <t>&lt;p&gt;&lt;ul&gt;&lt;li&gt;Серьезная поствакцинальная реакция (температура выше 40&amp;nbsp;°С, гиперемия или отек более 8&amp;nbsp;см в диаметре) или осложнение (коллапс или шокоподобное состояние, развившееся в течение 48&amp;nbsp;ч после вакцинации; судороги, сопровождаемые или не сопровождаемые лихорадочным состоянием) на любую предыдущую вакцинацию в&amp;nbsp;анамнезе.&lt;/li&gt;
&lt;li&gt;Отягощенный аллергологический анамнез (анафилактический шок, отек Квинке, полиморфная экссудативная экзема, гиперчувствительность или аллергические реакции на введение каких-либо вакцин в анамнезе, известные аллергические реакции на компоненты вакцины и&amp;nbsp;др.).&lt;/li&gt;
&lt;li&gt;Беременность и период грудного вскармливания.&lt;/li&gt;
&lt;li&gt;Возраст до 18&amp;nbsp;лет.&lt;/li&gt;&lt;/ul&gt;&lt;/p&gt;
&lt;br&gt;
&lt;p&gt;Временные противопоказания:
&lt;ul&gt;&lt;li&gt;Острые лихорадочные состояния, острые инфекционные и неинфекционные заболевания, включая период реконвалесценции. Вакцинацию проводят через 2–4&amp;nbsp;недели после выздоровления. При ОРВИ легкого течения и острых кишечных и/или инфекциях вакцинацию можно проводить после нормализации температуры исчезновения острых симптомов заболевания.&lt;/li&gt;
&lt;li&gt;Хронические инфекционные заболевания в стадии обострения. Вакцинацию проводят в период ремиссии. Возможность вакцинации лиц, страдающих хроническими заболеваниями, определяет лечащий врач, исходя из состояния пациента.&lt;/li&gt;&lt;/ul&gt;&lt;/p&gt;</t>
  </si>
  <si>
    <t>• Серьезная поствакцинальная реакция (температура выше 40 °С, гиперемия или отек более 8 см в диаметре) или осложнение (коллапс или шокоподобное состояние, развившееся в течение 48 ч после вакцинации; судороги, сопровождаемые или не сопровождаемые лихорадочным состоянием) на любую предыдущую вакцинацию в анамнезе. 
• Отягощенный аллергологический анамнез (анафилактический шок, отек Квинке, полиморфная экссудативная экзема, гиперчувствительность или аллергические реакции на введение каких-либо вакцин в анамнезе, известные аллергические реакции на компоненты вакцины и др.). 
• Беременность и период грудного вскармливания. 
• Возраст до 18 лет.
Временные противопоказания: 
• Острые лихорадочные состояния, острые инфекционные и неинфекционные заболевания, включая период реконвалесценции. Вакцинацию проводят через 2 – 4 недели после выздоровления. При ОРВИ легкого течения и острых кишечных и/или инфекциях вакцинацию можно проводить после нормализации температуры исчезновения острых симптомов заболевания.
• Хронические инфекционные заболевания в стадии обострения. Вакцинацию проводят в период ремиссии. Возможность вакцинации лиц, страдающих хроническими заболеваниями, определяет лечащий врач, исходя из состояния пациента.</t>
  </si>
  <si>
    <t>&lt;p&gt;&lt;ul&gt;&lt;li&gt;Гиперчувствительность к действующему веществу или к любому из вспомогательных веществ [...];&lt;/li&gt;
&lt;li&gt;подобно другим вакцинам, введение вакцины Спутник Лайт лицам с острыми тяжелыми лихорадочными заболеваниями следует отложить; при острых инфекционных и неинфекционных заболеваниях, обострении хронических заболеваний — вакцинацию проводят через 2—4&amp;nbsp;недели после выздоровления или ремиссии. При нетяжелых ОРВИ, острых инфекционных заболеваниях ЖКТ — вакцинацию проводят после нормализации температуры;&lt;/li&gt;
&lt;li&gt;тяжелые поствакцинальные осложнения (анафилактический шок, тяжелые генерализованные аллергические реакции, судорожный синдром, температура тела выше 40&amp;nbsp;°С и т.п.) на предыдущее введение препарата;&lt;/li&gt;
&lt;li&gt;возраст до 18&amp;nbsp;лет (в связи с отсутствием данных об эффективности и безопасности).&lt;/li&gt;&lt;/ul&gt;&lt;/p&gt;</t>
  </si>
  <si>
    <t>• Гиперчувствительность к действующему веществу или к любому из вспомогательных веществ [...];
• подобно другим вакцинам, введение вакцины Спутник Лайт лицам с острыми тяжелыми лихорадочными заболеваниями следует отложить; при острых инфекционных и неинфекционных заболеваниях, обострении хронических заболеваний — вакцинацию проводят через 2—4 недели после выздоровления или ремиссии. При нетяжелых ОРВИ, острых инфекционных заболеваниях ЖКТ — вакцинацию проводят после нормализации температуры;
• тяжелые поствакцинальные осложнения (анафилактический шок, тяжелые генерализованные аллергические реакции, судорожный синдром, температура тела выше 40 °С и т.п.) на предыдущее введение препарата;
• возраст до 18 лет (в связи с отсутствием данных об эффективности и безопасности).</t>
  </si>
  <si>
    <t>&lt;p&gt;&lt;ul&gt;&lt;li&gt;Гиперчувствительность к какому-либо компоненту вакцины или вакцине, содержащей аналогичные компоненты;&lt;/li&gt;
&lt;li&gt;тяжелые аллергические реакции в анамнезе;&lt;/li&gt;
&lt;li&gt;острые инфекционные и неинфекционные заболевания, обострение хронических заболеваний — вакцинацию проводят через 2–4&amp;nbsp;недели после выздоровления или наступления ремиссии. При нетяжелых ОРВИ, острых инфекционных заболеваниях ЖКТ — вакцинацию проводят после нормализации температуры;&lt;/li&gt;
&lt;li&gt;возраст до 12&amp;nbsp;лет (в связи с отсутствием данных об эффективности и безопасности).&lt;/li&gt;&lt;/ul&gt;
Противопоказания для введения компонента&amp;nbsp;II: 
&lt;ul&gt;&lt;li&gt;тяжелые поствакцинальные осложнения (анафилактический шок, тяжелые генерализованные аллергические реакции, судорожный синдром, температура тела выше 40&amp;nbsp;°С и&amp;nbsp;т.&amp;nbsp;п.) на введение компонента&amp;nbsp;I вакцины.&lt;/li&gt;&lt;/ul&gt;&lt;/p&gt;</t>
  </si>
  <si>
    <t>• Гиперчувствительность к какому-либо компоненту вакцины или вакцине, содержащей аналогичные компоненты;
• тяжелые аллергические реакции в анамнезе;
• острые инфекционные и неинфекционные заболевания, обострение хронических заболеваний — вакцинацию проводят через 2 – 4 недели после выздоровления или наступления ремиссии. При нетяжелых ОРВИ, острых инфекционных заболеваниях ЖКТ — вакцинацию проводят после нормализации температуры;
• возраст до 12 лет (в связи с отсутствием данных об эффективности и безопасности).
Противопоказания для введения компонента II: 
• тяжелые поствакцинальные осложнения (анафилактический шок, тяжелые генерализованные аллергические реакции, судорожный синдром, температура тела выше 40 °С и т. п.) на введение компонента I вакцины.</t>
  </si>
  <si>
    <t>&lt;p&gt;&lt;ul&gt;&lt;li&gt;Гиперчувствительность к действующему веществу или к любому из вспомогательных веществ [...].&lt;/li&gt;
&lt;li&gt;Тяжелые поствакцинальные осложнения (анафилактический шок, тяжелые генерализованные аллергические реакции, судорожный синдром, температура тела выше 40&amp;nbsp;°C, отек и гиперемия свыше 8&amp;nbsp;см в диаметре в месте введения и т.п.) на предыдущее введение вакцины.&lt;/li&gt;
&lt;li&gt;Подобно другим вакцинам, введение вакцины Конвасэл лицам с острыми тяжелыми лихорадочными заболеваниями следует отложить.&lt;/li&gt;
&lt;li&gt;Беременность и период грудного вскармливания.&lt;/li&gt;
&lt;li&gt;Возраст младше 18&amp;nbsp;лет (в связи с отсутствием данных об эффективности и безопасности).&lt;/li&gt;&lt;/ul&gt;&lt;/p&gt;</t>
  </si>
  <si>
    <t>• Гиперчувствительность к действующему веществу или к любому из вспомогательных веществ [...].
• Тяжелые поствакцинальные осложнения (анафилактический шок, тяжелые генерализованные аллергические реакции, судорожный синдром, температура тела выше 40 °C, отек и гиперемия свыше 8 см в диаметре в месте введения и т.п.) на предыдущее введение вакцины.
• Подобно другим вакцинам, введение вакцины Конвасэл лицам с острыми тяжелыми лихорадочными заболеваниями следует отложить.
• Беременность и период грудного вскармливания.
• Возраст младше 18 лет (в связи с отсутствием данных об эффективности и безопасности).</t>
  </si>
  <si>
    <t>&lt;p&gt;&lt;ul&gt;&lt;li&gt;Гиперчувствительность к компонентам препарата (алюминия гидроксиду и другим);&lt;/li&gt;
&lt;li&gt;тяжелые формы аллергических заболеваний (анафилактический шок, отек Квинке, мультиформная экссудативная экзема);&lt;/li&gt;
&lt;li&gt;серьезная поствакцинальная реакция (температура выше 40&amp;nbsp;°C, гиперемия или отек более 8&amp;nbsp;см в диаметре) или осложнение (коллапс или шокоподобное состояние, развившиеся в течение 48&amp;nbsp;часов после вакцинации; судороги, сопровождаемые или не сопровождаемые лихорадочным состоянием) на любую предыдущую вакцинацию в анамнезе;&lt;/li&gt;
&lt;li&gt;острые инфекционные и неинфекционные заболевания, хронические заболевания в стадии обострения - прививки проводят не ранее чем через месяц после выздоровления или ремиссии. При нетяжелых ОРВИ, острых инфекционных заболеваниях ЖКТ вакцинацию проводят после нормализации температуры;&lt;/li&gt;
&lt;li&gt;иммунодефицит (первичный);&lt;/li&gt;
&lt;li&gt;злокачественные заболевания крови и новообразования;&lt;/li&gt;
&lt;li&gt;беременность и период грудного вскармливания;&lt;/li&gt;
&lt;li&gt;дети до 18&amp;nbsp;лет (в связи с отсутствием данных об эффективности и безопасности).&lt;/li&gt;&lt;/ul&gt;&lt;/p&gt;</t>
  </si>
  <si>
    <t>https://grls.rosminzdrav.ru/InstrImg/2022/10/03/1487483/bd25b337-3c1e-48bd-b408-3b4d8fdca5a3.pdf</t>
  </si>
  <si>
    <t>• Гиперчувствительность к компонентам препарата (алюминия гидроксиду и другим);
• тяжелые формы аллергических заболеваний (анафилактический шок, отек Квинке, мультиформная экссудативная экзема);
• серьезная поствакцинальная реакция (температура выше 40 °C, гиперемия или отек более 8 см в диаметре) или осложнение (коллапс или шокоподобное состояние, развившиеся в течение 48 часов после вакцинации; судороги, сопровождаемые или не сопровождаемые лихорадочным состоянием) на любую предыдущую вакцинацию в анамнезе;
• острые инфекционные и неинфекционные заболевания, хронические заболевания в стадии обострения - прививки проводят не ранее чем через месяц после выздоровления или ремиссии. При нетяжелых ОРВИ, острых инфекционных заболеваниях ЖКТ вакцинацию проводят после нормализации температуры;
• иммунодефицит (первичный);
• злокачественные заболевания крови и новообразования;
• беременность и период грудного вскармливания;
• дети до 18 лет (в связи с отсутствием данных об эффективности и безопасности).</t>
  </si>
  <si>
    <t>&lt;p&gt;&lt;ul&gt;&lt;li&gt;Рота-V-Эйд не следует вводить лицам с известной гиперчувствительностью к любому компоненту вакцины, лицам с анафилактическими реакциями после предшествующего введения данной вакцины или вакцины, содержащей те же компоненты.&lt;/li&gt;
&lt;li&gt;Врожденные пороки развития желудочно-кишечного тракта, предрасполагающие к инвагинации кишечника.&lt;/li&gt;
&lt;li&gt;Инвагинация кишечника в анамнезе.&lt;/li&gt;
&lt;li&gt;Тяжёлый комбинированный иммунодефицит (ТКИД). Поскольку у детей с ТКИД были зафиксированы случаи развития гастроэнтерита, вызванного другими живыми ротавирусными вакцинами.&lt;/li&gt;
&lt;li&gt;Подобно другим вакцинам, введение препарата Рота-V-Эйд лицам с острыми тяжелыми лихорадочными заболеваниями следует отложить.&lt;/li&gt;
&lt;li&gt;Тяжелая форма диареи.&lt;/li&gt;
&lt;li&gt;Глюкозо-галактозная мальабсорбция и непереносимость сахарозы.&lt;/li&gt;&lt;/ul&gt;&lt;/p&gt;</t>
  </si>
  <si>
    <t>• Рота-V-Эйд не следует вводить лицам с известной гиперчувствительностью к любому компоненту вакцины, лицам с анафилактическими реакциями после предшествующего введения данной вакцины или вакцины, содержащей те же компоненты.
• Врожденные пороки развития желудочно-кишечного тракта, предрасполагающие к инвагинации кишечника.
• Инвагинация кишечника в анамнезе.
• Тяжёлый комбинированный иммунодефицит (ТКИД). Поскольку у детей с ТКИД были зафиксированы случаи развития гастроэнтерита, вызванного другими живыми ротавирусными вакцинами.
• Подобно другим вакцинам, введение препарата Рота-V-Эйд лицам с острыми тяжелыми лихорадочными заболеваниями следует отложить.
• Тяжелая форма диареи.
• Глюкозо-галактозная мальабсорбция и непереносимость сахарозы.</t>
  </si>
  <si>
    <t>&lt;p&gt;&lt;ul&gt;&lt;li&gt;Аллергическая реакция на предшествующее введение препаратов, содержащих столбнячный анатоксин;&lt;/li&gt;
&lt;li&gt;аллергическая реакция на предшествующее введение вакцины гемофильной типа&amp;nbsp;b конъюгированной;&lt;/li&gt;
&lt;li&gt;гиперчувствительность к какому-либо компоненту вакцины, особенно к столбнячному анатоксину;&lt;/li&gt;
&lt;li&gt;сильные реакции (температура выше 40&amp;nbsp;°C, отек и гиперемия свыше 8&amp;nbsp;см в диаметре) на предшествующую прививку;&lt;/li&gt;
&lt;li&gt;острые инфекционные и неинфекционные заболевания, обострения хронических заболеваний.&lt;/li&gt;&lt;/ul&gt;&lt;/p&gt;</t>
  </si>
  <si>
    <t>• Аллергическая реакция на предшествующее введение препаратов, содержащих столбнячный анатоксин;
• аллергическая реакция на предшествующее введение вакцины гемофильной типа b конъюгированной;
• гиперчувствительность к какому-либо компоненту вакцины, особенно к столбнячному анатоксину;
• сильные реакции (температура выше 40 °C, отек и гиперемия свыше 8 см в диаметре) на предшествующую прививку;
• острые инфекционные и неинфекционные заболевания, обострения хронических заболеваний.</t>
  </si>
  <si>
    <r>
      <rPr>
        <sz val="10"/>
        <color theme="1"/>
        <rFont val="Arial"/>
      </rPr>
      <t xml:space="preserve">&lt;p&gt;&lt;ul&gt;&lt;li&gt;Гиперчувствительность к любому из действующих веществ, неомицину или любому из вспомогательных веществ [...]. Контактный дерматит на неомицин в анамнезе не является противопоказанием. Информацию о случаях аллергии на яичный белок – см. раздел&amp;nbsp;4.4.&lt;/li&gt;
&lt;li&gt;Сильная реакция (температура выше 40&amp;nbsp;°С, отек и гиперемия в месте введения свыше 8&amp;nbsp;см в диаметре) или осложнение на предыдущее введение вакцины для профилактики кори, краснухи, паротита и/или вакцины для профилактики ветряной оспы.&lt;/li&gt;
&lt;li&gt;Тяжелая недостаточность гуморального или клеточного иммунитета (первичная или приобретенная) (см. раздел&amp;nbsp;4.4).&lt;/li&gt;
&lt;li&gt;Острые инфекционные и неинфекционные заболевания, обострение хронических заболеваний являются временными противопоказаниями для проведения вакцинации. Плановые прививки проводятся через 2—4&amp;nbsp;недели после выздоровления или в период реконвалесценции или ремиссии. При нетяжелых ОРВИ, острых кишечных заболеваниях прививки проводятся сразу после нормализации температуры.&lt;/li&gt;
&lt;li&gt;Беременность или планирование беременности в течение 1&amp;nbsp;месяца после вакцинации.&lt;/li&gt;&lt;/ul&gt;
</t>
    </r>
    <r>
      <rPr>
        <b/>
        <sz val="10"/>
        <color theme="1"/>
        <rFont val="Arial"/>
      </rPr>
      <t>&lt;b&gt;4.4. Особые указания и меры предосторожности при применении</t>
    </r>
    <r>
      <rPr>
        <sz val="10"/>
        <color theme="1"/>
        <rFont val="Arial"/>
      </rPr>
      <t>&lt;/b&gt;&lt;br&gt;
[...] &lt;i&gt;</t>
    </r>
    <r>
      <rPr>
        <i/>
        <sz val="10"/>
        <color theme="1"/>
        <rFont val="Arial"/>
      </rPr>
      <t>Аллергические реакции</t>
    </r>
    <r>
      <rPr>
        <sz val="10"/>
        <color theme="1"/>
        <rFont val="Arial"/>
      </rPr>
      <t xml:space="preserve">&lt;/i&gt;&lt;br&gt;
Вирусы кори и эпидемического паротита, которые входят в состав вакцины, выращивают в культурах клеток куриного эмбриона, поэтому вакцина может содержать следовые количества яичного белка. У лиц с анафилактическими, анафилактоидными или другими реакциями немедленного типа (например, генерализованная крапивница, отек ротоглотки, затруднение дыхания, гипотония или шок) на яичный белок в анамнезе риск развития реакций гиперчувствительности немедленного типа после введения вакцины может быть высоким, хотя реакции данного типа наблюдались очень редко. При вакцинации лиц, у которых ранее развивался анафилактический шок после приема в пищу яиц, следует соблюдать строгие меры предосторожности, препараты для соответствующего купирования анафилактического шока должны быть в непосредственной близости на случай развития подобной нежелательной реакции.&lt;br&gt;
[...] </t>
    </r>
    <r>
      <rPr>
        <i/>
        <sz val="10"/>
        <color theme="1"/>
        <rFont val="Arial"/>
      </rPr>
      <t>&lt;i&gt;Пациенты с иммунодефицитными состояниями</t>
    </r>
    <r>
      <rPr>
        <sz val="10"/>
        <color theme="1"/>
        <rFont val="Arial"/>
      </rPr>
      <t>&lt;/i&gt;&lt;br&gt;
Данные о применении вакцины Приорикс-Тетра у лиц с иммунодефицитными состояниями ограничены, поэтому вакцинацию следует проводить с осторожностью и только в том случае, когда, по мнению врача, польза превышает риск.&lt;br&gt;
У лиц с иммунодефицитными состояниями, которым не противопоказана вакцинация, как и у иммунокомпетентных пациентов, может не развиться должный иммунный ответ, соответственно, некоторая часть вакцинированных может заразиться корью, паротитом, краснухой или ветряной оспой, несмотря на правильно проведенную вакцинацию. Лица с иммунодефицитными состояниями должны находиться под тщательным наблюдением для выявления признаков кори, паротита, краснухи или ветряной оспы.&lt;br&gt;
Сообщается о единичных случаях диссеминации вируса ветряной оспы с вовлечением в процесс внутренних органов после вакцинации препаратом, содержащим штамм Oka, преимущественно у пациентов с иммунодефицитом. [...]&lt;/p&gt;</t>
    </r>
  </si>
  <si>
    <r>
      <rPr>
        <sz val="10"/>
        <color theme="1"/>
        <rFont val="Arial"/>
      </rPr>
      <t xml:space="preserve">• Гиперчувствительность к любому из действующих веществ, неомицину или любому из вспомогательных веществ [...]. Контактный дерматит на неомицин в анамнезе не является противопоказанием. Информацию о случаях аллергии на яичный белок – см. раздел 4.4.
• Сильная реакция (температура выше 40 °С, отек и гиперемия в месте введения свыше 8 см в диаметре) или осложнение на предыдущее введение вакцины для профилактики кори, краснухи, паротита и/или вакцины для профилактики ветряной оспы.
• Тяжелая недостаточность гуморального или клеточного иммунитета (первичная или приобретенная) (см. раздел 4.4).
• Острые инфекционные и неинфекционные заболевания, обострение хронических заболеваний являются временными противопоказаниями для проведения вакцинации. Плановые прививки проводятся через 2—4 недели после выздоровления или в период реконвалесценции или ремиссии. При нетяжелых ОРВИ, острых кишечных заболеваниях прививки проводятся сразу после нормализации температуры.
• Беременность или планирование беременности в течение 1 месяца после вакцинации.
</t>
    </r>
    <r>
      <rPr>
        <b/>
        <sz val="10"/>
        <color theme="1"/>
        <rFont val="Arial"/>
      </rPr>
      <t>4.4. Особые указания и меры предосторожности при применении</t>
    </r>
    <r>
      <rPr>
        <sz val="10"/>
        <color theme="1"/>
        <rFont val="Arial"/>
      </rPr>
      <t xml:space="preserve">
[...] </t>
    </r>
    <r>
      <rPr>
        <i/>
        <sz val="10"/>
        <color theme="1"/>
        <rFont val="Arial"/>
      </rPr>
      <t>Аллергические реакции</t>
    </r>
    <r>
      <rPr>
        <sz val="10"/>
        <color theme="1"/>
        <rFont val="Arial"/>
      </rPr>
      <t xml:space="preserve">
Вирусы кори и эпидемического паротита, которые входят в состав вакцины, выращивают в культурах клеток куриного эмбриона, поэтому вакцина может содержать следовые количества яичного белка. У лиц с анафилактическими, анафилактоидными или другими реакциями немедленного типа (например, генерализованная крапивница, отек ротоглотки, затруднение дыхания, гипотония или шок) на яичный белок в анамнезе риск развития реакций гиперчувствительности немедленного типа после введения вакцины может быть высоким, хотя реакции данного типа наблюдались очень редко. При вакцинации лиц, у которых ранее развивался анафилактический шок после приема в пищу яиц, следует соблюдать строгие меры предосторожности, препараты для соответствующего купирования анафилактического шока должны быть в непосредственной близости на случай развития подобной нежелательной реакции.
[...] </t>
    </r>
    <r>
      <rPr>
        <i/>
        <sz val="10"/>
        <color theme="1"/>
        <rFont val="Arial"/>
      </rPr>
      <t>Пациенты с иммунодефицитными состояниями</t>
    </r>
    <r>
      <rPr>
        <sz val="10"/>
        <color theme="1"/>
        <rFont val="Arial"/>
      </rPr>
      <t xml:space="preserve">
Данные о применении вакцины Приорикс-Тетра у лиц с иммунодефицитными состояниями ограничены, поэтому вакцинацию следует проводить с осторожностью и только в том случае, когда, по мнению врача, польза превышает риск.
У лиц с иммунодефицитными состояниями, которым не противопоказана вакцинация, как и у иммунокомпетентных пациентов, может не развиться должный иммунный ответ, соответственно, некоторая часть вакцинированных может заразиться корью, паротитом, краснухой или ветряной оспой, несмотря на правильно проведенную вакцинацию. Лица с иммунодефицитными состояниями должны находиться под тщательным наблюдением для выявления признаков кори, паротита, краснухи или ветряной оспы.
Сообщается о единичных случаях диссеминации вируса ветряной оспы с вовлечением в процесс внутренних органов после вакцинации препаратом, содержащим штамм Oka, преимущественно у пациентов с иммунодефицитом. [...]</t>
    </r>
  </si>
  <si>
    <t>&lt;ul&gt;&lt;li&gt;Повышенная чувствительность к действующим веществам или к любому из компонентов вакцины, включая дифтерийный анатоксин (CRM197), или жизнеугрожающая реакция на предшествующие введения вакцины, содержащей аналогичные компоненты (см. раздел «Особые указания»);&lt;/li&gt;
&lt;li&gt;острые инфекционные и неинфекционные заболевания, обострение хронических заболеваний являются временными противопоказаниями для проведения вакцинации. Плановые прививки проводятся через 2&amp;nbsp;–&amp;nbsp;4&amp;nbsp;недели после выздоровления или в период реконвалесценции или ремиссии. При нетяжелых ОРВИ, острых кишечных заболеваниях прививки проводятся сразу после нормализации температуры.&lt;/li&gt;&lt;/ul&gt;</t>
  </si>
  <si>
    <t>• Повышенная чувствительность к действующим веществам или к любому из компонентов вакцины, включая дифтерийный анатоксин (CRM197), или жизнеугрожающая реакция на предшествующие введения вакцины, содержащей аналогичные компоненты (см. раздел «Особые указания»);
• острые инфекционные и неинфекционные заболевания, обострение хронических заболеваний являются временными противопоказаниями для проведения вакцинации. Плановые прививки проводятся через 2 – 4 недели после выздоровления или в период реконвалесценции или ремиссии. При нетяжелых ОРВИ, острых кишечных заболеваниях прививки проводятся сразу после нормализации температуры.</t>
  </si>
  <si>
    <t>&lt;p&gt;&lt;ul&gt;&lt;li&gt;Гиперчувствительность к какому-либо компоненту вакцины или вакцине, содержащей аналогичные компоненты;&lt;/li&gt;
&lt;li&gt;тяжелые аллергические реакции в анамнезе;&lt;/li&gt;
&lt;li&gt;острые инфекционные и неинфекционные заболевания, обострение хронических заболеваний вакцинацию проводят через 2&amp;nbsp;–&amp;nbsp;4&amp;nbsp;недели после выздоровления или наступления ремиссии. При нетяжелых ОРВИ, острых инфекционных заболеваниях ЖКТ – вакцинацию проводят после нормализации температуры;&lt;/li&gt;
&lt;li&gt;возраст до 18&amp;nbsp;лет (в связи с отсутствием данных об эффективности и безопасности).&lt;/li&gt;&lt;/ul&gt;&lt;/p&gt;
&lt;br&gt;
&lt;p&gt;Противопоказания для введения компонента&amp;nbsp;II: 
&lt;ul&gt;&lt;li&gt;тяжелые поствакцинальные осложнения (анафилактический шок, тяжелые генерализованные аллергические реакции, судорожный синдром, температура тела выше 40&amp;nbsp;°C и&amp;nbsp;т.&amp;nbsp;п.) на введение компонента&amp;nbsp;I вакцины.&lt;/li&gt;&lt;/ul&gt;&lt;/p&gt;</t>
  </si>
  <si>
    <t>• Гиперчувствительность к какому-либо компоненту вакцины или вакцине, содержащей аналогичные компоненты; 
• тяжелые аллергические реакции в анамнезе; 
• острые инфекционные и неинфекционные заболевания, обострение хронических заболеваний вакцинацию проводят через 2 – 4 недели после выздоровления или наступления ремиссии. При нетяжелых ОРВИ, острых инфекционных заболеваниях ЖКТ – вакцинацию проводят после нормализации температуры; 
• возраст до 18 лет (в связи с отсутствием данных об эффективности и безопасности).
Противопоказания для введения компонента II: 
• тяжелые поствакцинальные осложнения (анафилактический шок, тяжелые генерализованные аллергические реакции, судорожный синдром, температура тела выше 40 °C и т. п.) на введение компонента I вакцины.</t>
  </si>
  <si>
    <t>&lt;p&gt;&lt;ul&gt;&lt;li&gt;Гиперчувствительность к действующим веществам или другим компонентам вакцины [...].&lt;/li&gt;
&lt;li&gt;Анафилактические реакции на куриный белок и компоненты вакцины.&lt;/li&gt;
&lt;li&gt;Анафилактические реакции на ранее вводимые гриппозные вакцины.&lt;/li&gt;
&lt;li&gt;Сильная реакция (температура выше 40&amp;nbsp;°С, отек и гиперемия в месте введения свыше 8&amp;nbsp;см в диаметре) или осложнение на предыдущее введение вакцины гриппозной.&lt;/li&gt;
&lt;li&gt;Острые инфекционные или неинфекционные заболевания, обострение хронических заболеваний (вакцинацию проводят через 2—4&amp;nbsp;недели после выздоровления или в период ремиссии).&lt;/li&gt;
&lt;li&gt;При нетяжелых ОРВИ, острых кишечных заболеваниях вакцинацию проводят после нормализации температуры и исчезновения острых симптомов заболевания.&lt;/li&gt;
&lt;li&gt;Беременность (при применении вакцины с консервантом).&lt;/li&gt;
&lt;li&gt;Возраст до 18&amp;nbsp;лет (при применении вакцины с консервантом).&lt;/li&gt;
&lt;li&gt;Дети в возрасте до 6&amp;nbsp;месяцев.&lt;/li&gt;&lt;/ul&gt;&lt;/p&gt;</t>
  </si>
  <si>
    <t>• Гиперчувствительность к действующим веществам или другим компонентам вакцины [...].
• Анафилактические реакции на куриный белок и компоненты вакцины.
• Анафилактические реакции на ранее вводимые гриппозные вакцины.
• Сильная реакция (температура выше 40 °С, отек и гиперемия в месте введения свыше 8 см в диаметре) или осложнение на предыдущее введение вакцины гриппозной.
• Острые инфекционные или неинфекционные заболевания, обострение хронических заболеваний (вакцинацию проводят через 2-4 недели после выздоровления или в период ремиссии).
• При нетяжелых ОРВИ, острых кишечных заболеваниях вакцинацию проводят после нормализации температуры и исчезновения острых симптомов заболевания.
• Беременность (при применении вакцины с консервантом).
• Возраст до 18 лет (при применении вакцины с консервантом).
• Дети в возрасте до 6 месяцев.</t>
  </si>
  <si>
    <t>&lt;p&gt;&lt;ul&gt;&lt;li&gt;Известная гиперчувствительность к действующим веществам, к любому из вспомогательных веществ вакцины, [...] а также к куриным или яичным белкам, неомицину, формальдегиду и октоксинолу-9.&lt;/li&gt;
&lt;li&gt;Тяжелые аллергические реакции после предшествующего введения данной вакцины или вакцины, содержащей те же компоненты.&lt;/li&gt;
&lt;li&gt;При заболеваниях, сопровождающихся повышением температуры тела, а также при остром заболевании или обострении хронического заболевания, вакцинацию следует отложить до выздоровления или ремиссии.&lt;/li&gt;&lt;/ul&gt;
Вакцина ВаксигрипТетра может содержать неопределяемые количества неомицина, который используется в процессе производства. Таким образом, вакцину ВаксигрипТетра следует применять с осторожностью у лиц с гиперчувствительностью к антибиотикам того же класса, что и неомицин.&lt;/p&gt;</t>
  </si>
  <si>
    <t>• Известная гиперчувствительность к действующим веществам, к любому из вспомогательных веществ вакцины, [...] а также к куриным или яичным белкам, неомицину, формальдегиду и октоксинолу-9.
• Тяжелые аллергические реакции после предшествующего введения данной вакцины или вакцины, содержащей те же компоненты.
• При заболеваниях, сопровождающихся повышением температуры тела, а также при остром заболевании или обострении хронического заболевания, вакцинацию следует отложить до выздоровления или ремиссии.
Вакцина ВаксигрипТетра может содержать неопределяемые количества неомицина, который используется в процессе производства. Таким образом, вакцину ВаксигрипТетра следует применять с осторожностью у лиц с гиперчувствительностью к антибиотикам того же класса, что и неомицин.</t>
  </si>
  <si>
    <t>&lt;ol&gt;&lt;li&gt;Анафилактическая реакция на данную вакцину или любой из ее компонентов в анамнезе.&lt;/li&gt;
&lt;li&gt;Сильная реакция или поствакцинальное осложнение на предыдущее введение данной вакцины.&lt;/li&gt;
&lt;li&gt;Беременность.&lt;/li&gt;
&lt;li&gt;Первичный иммунодефицит при уровне лейкоцитов менее 1&amp;nbsp;200 кл/мкл.&lt;/li&gt;
&lt;li&gt;Вторичный иммунодефицит при уровне лейкоцитов менее 1&amp;nbsp;200 кл/мкл (например, острый миелолейкоз, Т-клеточный лейкоз или злокачественная лимфома — по причине риска клинических симптомов и предполагаемому отсутствию роста титра антител вследствие фоновой патологии или химиотерапии по поводу данных заболеваний).&lt;/li&gt;
&lt;li&gt;Вакцинация временно противопоказана следующим категориям пациентов:
&lt;ul&gt;&lt;li&gt;Лицам с повышенной температурой тела (от 37,5&amp;nbsp;°С и выше, аксиллярно) — до нормализации температуры и клинической картины.&lt;/li&gt;
&lt;li&gt;Лицам с острым заболеванием до истечения 2&amp;nbsp;–&amp;nbsp;4&amp;nbsp;недель с момента выздоровления, а при нетяжелых ОРВИ, острых кишечных заболеваниях и&amp;nbsp;др. — до нормализации температуры. При тяжелых острых заболеваниях нервной системы (напр., менингококковый менингит) — до истечения более длительного срока (до 6&amp;nbsp;мес. с начала болезни) после стабилизации остаточных изменений.&lt;/li&gt;
&lt;li&gt;При обострении хронического заболевания до наступления полной или максимально достижимой ремиссии, в т. ч. на фоне поддерживающего лечения (кроме иммуносупрессивного).&lt;/li&gt;
&lt;li&gt;При предстоящей плановой хирургической операции — в течение месяца до даты операции.&lt;/li&gt;&lt;/ul&gt;&lt;/li&gt;
&lt;li&gt;Проведение иммуносупрессивной терапии (см. раздел «Особые указания»).&lt;/li&gt;&lt;/ol&gt;</t>
  </si>
  <si>
    <t>https://grls.rosminzdrav.ru/InstrImg/2020/12/02/1423524/629a6384-1db2 – 499f-afb1-e87dac723b9a.pdf</t>
  </si>
  <si>
    <t>1) Анафилактическая реакция на данную вакцину или любой из ее компонентов в анамнезе.
2) Сильная реакция или поствакцинальное осложнение на предыдущее введение данной вакцины.
3) Беременность.
4) Первичный иммунодефицит при уровне лейкоцитов менее 1 200 кл/мкл.
5) Вторичный иммунодефицит при уровне лейкоцитов менее 1 200 кл/мкл (например, острый миелолейкоз, Т-клеточный лейкоз или злокачественная лимфома — по причине риска клинических симптомов и предполагаемому отсутствию роста титра антител вследствие фоновой патологии или химиотерапии по поводу данных заболеваний).
6) Вакцинация временно противопоказана следующим категориям пациентов:
- Лицам с повышенной температурой тела (от 37,5 °С и выше, аксиллярно) — до нормализации температуры и клинической картины.
- Лицам с острым заболеванием до истечения 2 – 4 недель с момента выздоровления, а при нетяжелых ОРВИ, острых кишечных заболеваниях и др. — до нормализации температуры. При тяжелых острых заболеваниях нервной системы (напр., менингококковый менингит) — до истечения более длительного срока (до 6 мес. с начала болезни) после стабилизации остаточных изменений.
- При обострении хронического заболевания до наступления полной или максимально достижимой ремиссии, в т. ч. на фоне поддерживающего лечения (кроме иммуносупрессивного).
- При предстоящей плановой хирургической операции — в течение месяца до даты операции.
7) Проведение иммуносупрессивной терапии (см. раздел «Особые указания»).</t>
  </si>
  <si>
    <t>&lt;ul&gt;&lt;li&gt;Анафилактическая реакция на любой из компонентов, входящий в состав вакцины, или на предшествующее введение пневмококковой вакцины;&lt;/li&gt;
&lt;li&gt;острые инфекционные и неинфекционные заболевания, обострение хронических 
заболеваний.&lt;/li&gt;&lt;/ul&gt;</t>
  </si>
  <si>
    <t>• Анафилактическая реакция на любой из компонентов, входящий в состав вакцины, или на предшествующее введение пневмококковой вакцины;
• острые инфекционные и неинфекционные заболевания, обострение хронических 
заболеваний.</t>
  </si>
  <si>
    <t>&lt;p&gt;&lt;ul&gt;&lt;li&gt;Препарат ВАРИВАКС не следует вводить лицам с известной гиперчувствительностью к любому компоненту вакцины, в том числе к желатину, неомицину, альбумину и любому из вспомогательных веществ [...].&lt;/li&gt;
&lt;li&gt;Симптомы гиперчувствительности на предыдущее введение любой вакцины для профилактики ветряной оспы.&lt;/li&gt;
&lt;li&gt;Нарушения формулы крови, лейкемии, лимфомы любого типа или другие злокачественные новообразования, влияющие на систему крови и лимфатическую систему.&lt;/li&gt;
&lt;li&gt;Лица, получающие иммунодепрессивную терапию (включая высокие дозы кортикостероидов).&lt;/li&gt;
&lt;li&gt;Тяжелый гуморальный или клеточный (первичный или приобретенный) иммунодефицит; например, тяжелый комбинированный иммунодефицит, агаммаглобулинемия и СПИД; симптоматическая ВИЧ-инфекция; сниженный процент CD4+ Т-лимфоцитов у детей в возрасте до 12&amp;nbsp;месяцев относительно возрастной нормы: CD4+ &lt;25%; у детей в возрасте от 12 до 35&amp;nbsp;месяцев: CD4+ &lt;20%; у детей в возрасте 36-59&amp;nbsp;месяцев: CD4+ &lt;15%.&lt;/li&gt;
&lt;li&gt;Лица с наличием в семейном анамнезе врожденного или наследственного иммунодефицита, если не продемонстрирована иммунная компетентность потенциального реципиента вакцины.&lt;/li&gt;
&lt;li&gt;Активный нелеченый туберкулез.&lt;/li&gt;
&lt;li&gt;Любое заболевание с повышением температуры тела &gt;38,5&amp;nbsp;°C; однако, небольшое повышение температуры само по себе не является противопоказанием к вакцинации. Подобно другим вакцинам, введение препарата ВАРИВАКС лицам с острыми тяжелыми лихорадочными заболеваниями следует отложить.&lt;/li&gt;
&lt;li&gt;Беременность или планируемая беременность в течение 3&amp;nbsp;месяцев после вакцинации. Период кормления грудью.
&lt;li&gt;Детский возраст до 12&amp;nbsp;месяцев.&lt;/li&gt;
&lt;li&gt;Переливание крови или плазмы, или введение нормального иммуноглобулина человека или иммуноглобулина против вируса ветряной оспы менее чем за 5&amp;nbsp;месяцев до вакцинации.&lt;/li&gt;
&lt;li&gt;Введение любой живой вакцины менее чем за 1&amp;nbsp;месяц до вакцинации.&lt;/li&gt;&lt;/ul&gt;&lt;/p&gt;</t>
  </si>
  <si>
    <t>• Препарат ВАРИВАКС не следует вводить лицам с известной гиперчувствительностью к любому компоненту вакцины, в том числе к желатину, неомицину, альбумину и любому из вспомогательных веществ [...].
• Симптомы гиперчувствительности на предыдущее введение любой вакцины для профилактики ветряной оспы.
• Нарушения формулы крови, лейкемии, лимфомы любого типа или другие злокачественные новообразования, влияющие на систему крови и лимфатическую систему.
• Лица, получающие иммунодепрессивную терапию (включая высокие дозы кортикостероидов).
• Тяжелый гуморальный или клеточный (первичный или приобретенный) иммунодефицит; например, тяжелый комбинированный иммунодефицит, агаммаглобулинемия и СПИД; симптоматическая ВИЧ-инфекция; сниженный процент CD4+ Т-лимфоцитов у детей в возрасте до 12 месяцев относительно возрастной нормы: CD4+ &lt;25%; у детей в возрасте от 12 до 35 месяцев: CD4+ &lt;20%; у детей в возрасте 36-59 месяцев: CD4+ &lt;15%.
• Лица с наличием в семейном анамнезе врожденного или наследственного иммунодефицита, если не продемонстрирована иммунная компетентность потенциального реципиента вакцины.
• Активный нелеченый туберкулез.
• Любое заболевание с повышением температуры тела &gt;38,5 °C; однако, небольшое повышение температуры само по себе не является противопоказанием к вакцинации. Подобно другим вакцинам, введение препарата ВАРИВАКС лицам с острыми тяжелыми лихорадочными заболеваниями следует отложить.
• Беременность или планируемая беременность в течение 3 месяцев после вакцинации. Период кормления грудью.
• Детский возраст до 12 месяцев.
• Переливание крови или плазмы, или введение нормального иммуноглобулина человека или иммуноглобулина против вируса ветряной оспы менее чем за 5 месяцев до вакцинации.
• Введение любой живой вакцины менее чем за 1 месяц до вакцинации.</t>
  </si>
  <si>
    <t>&lt;p&gt;&lt;ul&gt;&lt;li&gt;Гиперчувствительность к полисахаридам пневмококка или к любому из вспомогательных веществ [...].&lt;/li&gt;
&lt;li&gt;Сильная реакция (температура выше 40&amp;nbsp;°С, отек и гиперемия свыше 8&amp;nbsp;см в диаметре в месте введения) или поствакцинальные осложнения (анафилактический шок, тяжелые генерализованные аллергические реакции, энцефалит или энцефалопатия, судорожный синдром и т.д.) на предыдущее введение вакцин, содержащих аналогичные компоненты.&lt;/li&gt;
&lt;li&gt;Подобно другим вакцинам, введение вакцины ПНЕМОТЕКС лицам с острыми тяжелыми лихорадочными заболеваниями следует отложить.&lt;/li&gt;&lt;/ul&gt;&lt;/p&gt;</t>
  </si>
  <si>
    <t>• Гиперчувствительность к полисахаридам пневмококка или к любому из вспомогательных веществ [...].
• Сильная реакция (температура выше 40 °С, отек и гиперемия свыше 8 см в диаметре в месте введения) или поствакцинальные осложнения (анафилактический шок, тяжелые генерализованные аллергические реакции, энцефалит или энцефалопатия, судорожный синдром и т.д.) на предыдущее введение вакцин, содержащих аналогичные компоненты.
• Подобно другим вакцинам, введение вакцины ПНЕМОТЕКС лицам с острыми тяжелыми лихорадочными заболеваниями следует отложить.</t>
  </si>
  <si>
    <t>&lt;ul&gt;&lt;li&gt;Симптомы аллергической реакции после введения вакцин для профилактики кори, паротита и/или краснухи в анамнезе;&lt;/li&gt;
&lt;li&gt;повышенная чувствительность к неомицину, любому другому ингредиенту вакцины и куриным яйцам; вместе с тем наличие в анамнезе контактного дерматита, вызванного неомицином, и аллергической реакции на куриные яйца неанафилактического характера не являются противопоказанием к прививке;&lt;/li&gt;
&lt;li&gt;первичный и вторичный иммунодефициты. Примечание: препарат может быть введен лицам с бессимптомной ВИЧ-инфекцией, а также больным СПИД;&lt;/li&gt;
&lt;li&gt;беременность;&lt;/li&gt;
&lt;li&gt;вакцинация откладывается до окончания острых проявлений заболевания и обострения хронических заболеваний. При нетяжелых ОРВИ, острых кишечных заболеваниях и&amp;nbsp;др. прививки допускается проводить сразу же после нормализации температуры.&lt;/li&gt;&lt;/ul&gt;</t>
  </si>
  <si>
    <t>https://grls.rosminzdrav.ru/InstrImg/2021/1/14/1465042/%D0%9F_N015888_01[2015]_4.pdf</t>
  </si>
  <si>
    <t>• Симптомы аллергической реакции после введения вакцин для профилактики кори, паротита и/или краснухи в анамнезе;
• повышенная чувствительность к неомицину, любому другому ингредиенту вакцины и куриным яйцам; вместе с тем наличие в анамнезе контактного дерматита, вызванного неомицином, и аллергической реакции на куриные яйца неанафилактического характера не являются противопоказанием к прививке;
• первичный и вторичный иммунодефициты. Примечание: препарат может быть введен лицам с бессимптомной ВИЧ-инфекцией, а также больным СПИД;
• беременность;
• вакцинация откладывается до окончания острых проявлений заболевания и обострения хронических заболеваний. При нетяжелых ОРВИ, острых кишечных заболеваниях и др. прививки допускается проводить сразу же после нормализации температуры.</t>
  </si>
  <si>
    <t>&lt;p&gt;&lt;ul&gt;&lt;li&gt;Гиперчувствительность к действующим веществам, или к любому из вспомогательных веществ [...], или тяжелая аллергическая реакция после предыдущего введения данной вакцины или вакцины, содержащей те же компоненты.&lt;/li&gt;
&lt;li&gt;Подобно другим вакцинам, введение препарата МенКвадфи лицам с острыми тяжелыми лихорадочными заболеваниями следует отложить до выздоровления.&lt;/li&gt;&lt;/ul&gt;&lt;/p&gt;</t>
  </si>
  <si>
    <t>• Гиперчувствительность к действующим веществам, или к любому из вспомогательных веществ [...], или тяжелая аллергическая реакция после предыдущего введения данной вакцины или вакцины, содержащей те же компоненты.
• Подобно другим вакцинам, введение препарата МенКвадфи лицам с острыми тяжелыми лихорадочными заболеваниями следует отложить до выздоровления.</t>
  </si>
  <si>
    <t>&lt;p&gt;&lt;ul&gt;&lt;li&gt;Гиперчувствительность к действующим веществам или к любому из вспомогательных веществ.&lt;/li&gt;
&lt;li&gt;Острые инфекционные и неинфекционные заболевания, обострение хронических заболеваний являются временными противопоказаниями для вакцинации. Плановые прививки проводят через 2–4&amp;nbsp;недели после выздоровления или в период реконвалесценции или ремиссии. При нетяжелых ОРВИ, острых кишечных заболеваниях и других нетяжелых инфекционных заболеваниях прививки проводят сразу после нормализации температуры.&lt;/li&gt;&lt;/ul&gt;&lt;/p&gt;</t>
  </si>
  <si>
    <t>• Гиперчувствительность к действующим веществам или к любому из вспомогательных веществ.
• Острые инфекционные и неинфекционные заболевания, обострение хронических заболеваний являются временными противопоказаниями для вакцинации. Плановые прививки проводят через 2–4 недели после выздоровления или в период реконвалесценции или ремиссии. При нетяжелых ОРВИ, острых кишечных заболеваниях и других нетяжелых инфекционных заболеваниях прививки проводят сразу после нормализации температуры.</t>
  </si>
  <si>
    <t>&lt;ul&gt;&lt;li&gt;Гиперчувствительность к какому-либо компоненту лекарственного препарата или лекарственному препарату, содержащему аналогичные компоненты;&lt;/li&gt;
&lt;li&gt;тяжелые аллергические реакции в анамнезе;&lt;/li&gt;
&lt;li&gt;острые инфекционные и неинфекционные заболевания, обострение хронических заболеваний вакцинацию проводят через 2&amp;nbsp;–&amp;nbsp;4&amp;nbsp;недели после выздоровления или ремиссии. При нетяжелых ОРВИ, острых инфекционных заболеваниях ЖКТ вакцинацию проводят после нормализации температуры;&lt;/li&gt;
&lt;li&gt;возраст до 6&amp;nbsp;лет (в связи с отсутствием данных об эффективности и безопасности).&lt;/li&gt;&lt;/ul&gt;
&lt;p&gt;Противопоказания для введения компонента&amp;nbsp;II:
&lt;ul&gt;&lt;li&gt;тяжелые поствакцинальные осложнения (анафилактический шок, тяжелые генерализованные аллергические реакции, судорожный сидром температура тела выше 40&amp;nbsp;°С и&amp;nbsp;т.&amp;nbsp;п.) на введение компонента&amp;nbsp;I лекарственного препарата.&lt;/li&gt;&lt;/ul&gt;&lt;/p&gt;</t>
  </si>
  <si>
    <t>• Гиперчувствительность к какому-либо компоненту лекарственного препарата или лекарственному препарату, содержащему аналогичные компоненты;
• тяжелые аллергические реакции в анамнезе;
• острые инфекционные и неинфекционные заболевания, обострение хронических заболеваний вакцинацию проводят через 2 – 4 недели после выздоровления или ремиссии. При нетяжелых ОРВИ, острых инфекционных заболеваниях ЖКТ вакцинацию проводят после нормализации температуры;
• возраст до 6 лет (в связи с отсутствием данных об эффективности и безопасности).
Противопоказания для введения компонента II:
• тяжелые поствакцинальные осложнения (анафилактический шок, тяжелые генерализованные аллергические реакции, судорожный сидром температура тела выше 40 °С и т. п.) на введение компонента I лекарственного препарата.</t>
  </si>
  <si>
    <t>&lt;ol&gt;&lt;li&gt;Острые лихорадочные состояния любой этиологии или обострение хронических инфекционных заболеваний. Прививки проводятся не ранее чем через 2&amp;nbsp;недели после исчезновения признаков острого заболевания (нормализации температуры тела).&lt;/li&gt;
&lt;li&gt;Наличие гиперчувствительности к активному компоненту, вспомогательным веществам, используемым в производственном процессе, которые могут содержаться в следовых количествах (хлортетрациклин, гентамицин, неомицин, формальдегид).&lt;/li&gt;
&lt;li&gt;Сильная реакция на предыдущую дозу вакцины (температура выше 40&amp;nbsp;°С, в месте введения вакцины — отек и гиперемия свыше 8&amp;nbsp;см в диаметре).&lt;/li&gt;&lt;/ol&gt;
&lt;p&gt;Если осложнение возникло после прививки, то оно должно рассматриваться как противопоказание для дальнейшей вакцинации этой же вакциной до тех пор, пока не будет установлена причина осложнения. Это особенно важно в отношении побочных реакций, которые не ограничиваются местом инъекции.&lt;/p&gt;</t>
  </si>
  <si>
    <t>https://grls.rosminzdrav.ru/InstrImg/2019/8/15/1445618/%D0%9F_N015312_01[2013]_3.pdf</t>
  </si>
  <si>
    <t>1. Острые лихорадочные состояния любой этиологии или обострение хронических инфекционных заболеваний. Прививки проводятся не ранее чем через 2 недели после исчезновения признаков острого заболевания (нормализации температуры тела).
2. Наличие гиперчувствительности к активному компоненту, вспомогательным веществам, используемым в производственном процессе, которые могут содержаться в следовых количествах (хлортетрациклин, гентамицин, неомицин, формальдегид).
3. Сильная реакция на предыдущую дозу вакцины (температура выше 40 °С, в месте введения вакцины — отек и гиперемия свыше 8 см в диаметре).
Если осложнение возникло после прививки, то оно должно рассматриваться как противопоказание для дальнейшей вакцинации этой же вакциной до тех пор, пока не будет установлена причина осложнения. Это особенно важно в отношении побочных реакций, которые не ограничиваются местом инъекции.</t>
  </si>
  <si>
    <t>https://grls.rosminzdrav.ru/InstrImg/2019/8/14/1445562/%D0%9F_N013657_01[2013]_5.pdf</t>
  </si>
  <si>
    <t>&lt;ul&gt;&lt;li&gt;Реакция повышенной чувствительности на предшествующее введение препарата (температура выше 40&amp;nbsp;°C, отек и гиперемия в месте введения свыше 8&amp;nbsp;см в диаметре) или осложнение на предыдущее введение препарата.&lt;/li&gt;
&lt;li&gt;Повышенная чувствительность к любому из компонентов препарата.&lt;/li&gt;
&lt;li&gt;Заболевание, сопровождающееся лихорадкой, острое инфекционное или хроническое заболевание в стадии обострения. Вакцинацию проводят через 2&amp;nbsp;–&amp;nbsp;4&amp;nbsp;недели после выздоровления или в период реконвалесценции или ремиссии. При нетяжелых ОРВИ, острых кишечных заболеваниях прививки проводят сразу после нормализации температуры. Перенесших менингококковый менингит и другие острые тяжелые заболевания нервной системы прививают через более длительные интервалы (до 6&amp;nbsp;мес. от начала болезни) после стабилизации остаточных изменений. Вакцинация во время обострения хронической болезни откладывается до наступления ремиссии полной или максимально достижимой, в&amp;nbsp;т.&amp;nbsp;ч. на фоне поддерживающего лечения (кроме иммуносупрессивного).&lt;/li&gt;
&lt;li&gt;Гипотрофия 3-й&amp;nbsp;степени. Вакцинацию следует проводить после набора массы тела, адекватной возрасту ребенка.&lt;/li&gt;
&lt;li&gt;Предоперационный период. Поскольку оперативное вмешательство представляет собой сильное стрессовое воздействие, способное влиять на иммунные реакции, иммунизацию без крайней необходимости проводить раньше чем через 3&amp;nbsp;–&amp;nbsp;4&amp;nbsp;недели после операции не следует. В случае предстоящей плановой операции прививку следует провести не позже чем за 1&amp;nbsp;месяц до операции.&lt;/li&gt;&lt;/ul&gt;</t>
  </si>
  <si>
    <t>• Реакция повышенной чувствительности на предшествующее введение препарата (температура выше 40 °C, отек и гиперемия в месте введения свыше 8 см в диаметре) или осложнение на предыдущее введение препарата.
• Повышенная чувствительность к любому из компонентов препарата.
• Заболевание, сопровождающееся лихорадкой, острое инфекционное или хроническое заболевание в стадии обострения. Вакцинацию проводят через 2 – 4 недели после выздоровления или в период реконвалесценции или ремиссии. При нетяжелых ОРВИ, острых кишечных заболеваниях прививки проводят сразу после нормализации температуры. Перенесших менингококковый менингит и другие острые тяжелые заболевания нервной системы прививают через более длительные интервалы (до 6 мес. от начала болезни) после стабилизации остаточных изменений. Вакцинация во время обострения хронической болезни откладывается до наступления ремиссии полной или максимально достижимой, в т. ч. на фоне поддерживающего лечения (кроме иммуносупрессивного).
• Гипотрофия 3-й степени. Вакцинацию следует проводить после набора массы тела, адекватной возрасту ребенка.
• Предоперационный период. Поскольку оперативное вмешательство представляет собой сильное стрессовое воздействие, способное влиять на иммунные реакции, иммунизацию без крайней необходимости проводить раньше чем через 3 – 4 недели после операции не следует. В случае предстоящей плановой операции прививку следует провести не позже чем за 1 месяц до операции.</t>
  </si>
  <si>
    <t>&lt;ul&gt;&lt;li&gt;Аллергия к ингредиентам вакцины, особенно к столбнячному анатоксину и формальдегиду.&lt;/li&gt;
&lt;li&gt;Аллергическая реакция на предшествующее введение вакцины для профилактики инфекции, вызываемой &lt;i&gt;Haemophilus influenzae&lt;/i&gt; типа&amp;nbsp;b (ХИБ-инфекции).&lt;/li&gt;
&lt;li&gt;Заболевание, сопровождающиеся повышением температуры тела, острое инфекционное или хроническое заболевание в стадии обострения. Вакцинацию проводят через 2&amp;nbsp;–&amp;nbsp;4&amp;nbsp;недели после выздоровления или в период реконвалесценции или ремиссии. При нетяжелых ОРВИ, острых кишечных заболеваниях и&amp;nbsp;др. прививки проводят сразу после нормализации температуры.&lt;/li&gt;&lt;/ul&gt;</t>
  </si>
  <si>
    <t>• Аллергия к ингредиентам вакцины, особенно к столбнячному анатоксину и формальдегиду.
• Аллергическая реакция на предшествующее введение вакцины для профилактики инфекции, вызываемой Haemophilus influenzae типа b (ХИБ-инфекции).
• Заболевание, сопровождающиеся повышением температуры тела, острое инфекционное или хроническое заболевание в стадии обострения. Вакцинацию проводят через 2 – 4 недели после выздоровления или в период реконвалесценции или ремиссии. При нетяжелых ОРВИ, острых кишечных заболеваниях и др. прививки проводят сразу после нормализации температуры.</t>
  </si>
  <si>
    <t>&lt;ul&gt;&lt;li&gt;Гиперчувствительность (аллергическая реакция) на любой из компонентов препарата и/или на предшествующее введение вакцины для профилактики инфекции, вызываемой &lt;i&gt;Haemophilus influenzae&lt;/i&gt; типа&amp;nbsp;b.&lt;/li&gt;
&lt;li&gt;Острые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2&amp;nbsp;–&amp;nbsp;4&amp;nbsp;недели после выздоровления или в период реконвалесценции или ремиссии. При нетяжелых ОРВИ, острых заболеваниях и&amp;nbsp;др. прививки проводятся сразу после нормализации температуры.&lt;/li&gt;&lt;/ul&gt;</t>
  </si>
  <si>
    <t>• Гиперчувствительность (аллергическая реакция) на любой из компонентов препарата и/или на предшествующее введение вакцины для профилактики инфекции, вызываемой Haemophilus influenzae типа b.
•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 – 4 недели после выздоровления или в период реконвалесценции или ремиссии. При нетяжелых ОРВИ, острых заболеваниях и др. прививки проводятся сразу после нормализации температуры.</t>
  </si>
  <si>
    <t>&lt;ul&gt;&lt;li&gt;Гиперчувствительность к активному компоненту препарата, любому из вспомогательных веществ или к компонентам, используемым при производстве препарата: формальдегиду, протамину сульфату, неомицину, гентамицину.&lt;/li&gt;
&lt;li&gt;Перекрестная аллергия к аминогликозидам, отличным от гентамицина и неомицина.&lt;/li&gt;
&lt;li&gt;Известная тяжелая гиперчувствительность к яичным и куриным белкам (например, анафилактическая реакция/анафилаксия после перорального приема яичных/куриных белков) и латексу (например, аллергические реакции) могут стать причиной сильной аллергической реакции у сенсибилизированных лиц (см.&amp;nbsp;раздел «Особые указания»).&lt;/li&gt;
&lt;li&gt;Острые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Вакцинация проводится не ранее чем через 2&amp;nbsp;недели после выздоровления (ремиссии). При нетяжелых ОРВИ, острых кишечных заболеваниях и&amp;nbsp;др. прививки проводят сразу же после нормализации температуры.&lt;/li&gt;&lt;/ul&gt;</t>
  </si>
  <si>
    <t>• Гиперчувствительность к активному компоненту препарата, любому из вспомогательных веществ или к компонентам, используемым при производстве препарата: формальдегиду, протамину сульфату, неомицину, гентамицину.
• Перекрестная аллергия к аминогликозидам, отличным от гентамицина и неомицина.
• Известная тяжелая гиперчувствительность к яичным и куриным белкам (например, анафилактическая реакция/анафилаксия после перорального приема яичных/куриных белков) и латексу (например, аллергические реакции) могут стать причиной сильной аллергической реакции у сенсибилизированных лиц (см. раздел «Особые указания»).
•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Вакцинация проводится не ранее чем через 2 недели после выздоровления (ремиссии). При нетяжелых ОРВИ, острых кишечных заболеваниях и др. прививки проводят сразу же после нормализации температуры.</t>
  </si>
  <si>
    <t>&lt;ul&gt;&lt;li&gt;Гиперчувствительность к любому из компонентов вакцины;&lt;/li&gt;
&lt;li&gt;симптомы гиперчувствительности на предыдущее введение вакцины против гепатита&amp;nbsp;B;&lt;/li&gt;
&lt;li&gt;острые инфекционные и неинфекционные заболевания являются временными противопоказаниями для проведения прививок;&lt;/li&gt;
&lt;li&gt;возраст до 18&amp;nbsp;лет (данные об эффективности и безопасности отсутствуют).&lt;/li&gt;&lt;/ul&gt;</t>
  </si>
  <si>
    <t>• Гиперчувствительность к любому из компонентов вакцины;
• симптомы гиперчувствительности на предыдущее введение вакцины против гепатита B;
• острые инфекционные и неинфекционные заболевания являются временными противопоказаниями для проведения прививок;
• возраст до 18 лет (данные об эффективности и безопасности отсутствуют).</t>
  </si>
  <si>
    <r>
      <rPr>
        <sz val="10"/>
        <color theme="1"/>
        <rFont val="Arial"/>
      </rPr>
      <t>&lt;p&gt;&lt;ul&gt;&lt;li&gt;Гиперчувствительность к любому компоненту вакцины.&lt;/li&gt;
&lt;li&gt;Аллергическая реакция, развившаяся после предыдущего введения профилактики дифтерии, столбняка, коклюша и гепатита&amp;nbsp;B, а также на пекарские дрожжи.&lt;/li&gt;
&lt;li&gt;Прогрессирующая энцефалопатия, сопровождающаяся судорогами, или без таковых.&lt;/li&gt;
&lt;li&gt;Энцефалопатия, развившаяся в течение 7&amp;nbsp;дней после введения любой вакцины, содержащей антигены &lt;i&gt;</t>
    </r>
    <r>
      <rPr>
        <i/>
        <sz val="10"/>
        <color theme="1"/>
        <rFont val="Arial"/>
      </rPr>
      <t>Bordetella pertussis</t>
    </r>
    <r>
      <rPr>
        <sz val="10"/>
        <color theme="1"/>
        <rFont val="Arial"/>
      </rPr>
      <t>.&lt;/i&gt;&lt;/li&gt;
&lt;li&gt;Сильная реакция, развившаяся в течение 48&amp;nbsp;ч после предыдущей иммунизации вакциной, содержащей коклюшный компонент: повышение температуры тела до 40°С и выше, отек и гиперемия свыше 8&amp;nbsp;см в диаметре, синдром длительного необычного плача, фебрильные и афебрильные судороги, гипотонический-гипореактивный синдром.&lt;/li&gt;
&lt;li&gt;Сильные реакции и/или поствакцинальные осложнения, развившиеся после предыдущего введения вакцины против дифтерии, столбняка, коклюша и гепатита&amp;nbsp;B.&lt;/li&gt;
&lt;li&gt;Заболевания, сопровождающиеся повышением температуры тела, острые проявления инфекционного заболевания или обострение хронического заболевания. Вакцинацию проводят через 2&amp;nbsp;–&amp;nbsp;4 недели после выздоровления. При нетяжелых формах ОРВИ, острых кишечных заболеваниях и др. прививки проводят сразу после нормализации температуры.&lt;/li&gt;&lt;/ul&gt;&lt;/p&gt;
&lt;p&gt;Вакцину следует применять с осторожностью у пациентов с тромбоцитопенией или нарушениями системы свертывания крови из-за риска развития кровотечения при внутримышечной инъекции.&lt;/p&gt;</t>
    </r>
  </si>
  <si>
    <r>
      <rPr>
        <sz val="10"/>
        <color theme="1"/>
        <rFont val="Arial"/>
      </rPr>
      <t xml:space="preserve">• Гиперчувствительность к любому компоненту вакцины.
• Аллергическая реакция, развившаяся после предыдущего введения профилактики дифтерии, столбняка, коклюша и гепатита B, а также на пекарские дрожжи.
• Прогрессирующая энцефалопатия, сопровождающаяся судорогами, или без таковых.
• Энцефалопатия, развившаяся в течение 7 дней после введения любой вакцины, содержащей антигены </t>
    </r>
    <r>
      <rPr>
        <i/>
        <sz val="10"/>
        <color theme="1"/>
        <rFont val="Arial"/>
      </rPr>
      <t>Bordetella pertussis</t>
    </r>
    <r>
      <rPr>
        <sz val="10"/>
        <color theme="1"/>
        <rFont val="Arial"/>
      </rPr>
      <t>.
• Сильная реакция, развившаяся в течение 48 ч после предыдущей иммунизации вакциной, содержащей коклюшный компонент: повышение температуры тела до 40°С и выше, отек и гиперемия свыше 8 см в диаметре, синдром длительного необычного плача, фебрильные и афебрильные судороги, гипотонический-гипореактивный синдром.
• Сильные реакции и/или поствакцинальные осложнения, развившиеся после предыдущего введения вакцины против дифтерии, столбняка, коклюша и гепатита B.
• Заболевания, сопровождающиеся повышением температуры тела, острые проявления инфекционного заболевания или обострение хронического заболевания. Вакцинацию проводят через 2 – 4 недели после выздоровления. При нетяжелых формах ОРВИ, острых кишечных заболеваниях и др. прививки проводят сразу после нормализации температуры.
Вакцину следует применять с осторожностью у пациентов с тромбоцитопенией или нарушениями системы свертывания крови из-за риска развития кровотечения при внутримышечной инъекции.</t>
    </r>
  </si>
  <si>
    <t>&lt;ul&gt;&lt;li&gt;Герпетическая инфекция в активной стадии (рецидив). Вакцинацию проводят не ранее чем через 14&amp;nbsp;дней после исчезновения клинических проявлений; при офтальмогерпесе — не ранее чем через 1&amp;nbsp;месяц;&lt;/li&gt;
&lt;li&gt;острые инфекционные и неинфекционные заболевания (вакцинацию проводят не ранее чем через 30&amp;nbsp;дней после выздоровления);&lt;/li&gt;
&lt;li&gt;хронические заболевания в стадии обострения или декомпенсации;&lt;/li&gt;
&lt;li&gt;злокачественные новообразования;&lt;/li&gt;
&lt;li&gt;беременность;&lt;/li&gt;
&lt;li&gt;аллергия к гентамицину и другим антибиотикам группы аминогликозидов.&lt;/li&gt;&lt;/ul&gt;</t>
  </si>
  <si>
    <t>• Герпетическая инфекция в активной стадии (рецидив). Вакцинацию проводят не ранее чем через 14 дней после исчезновения клинических проявлений; при офтальмогерпесе — не ранее чем через 1 месяц;
• острые инфекционные и неинфекционные заболевания (вакцинацию проводят не ранее чем через 30 дней после выздоровления);
• хронические заболевания в стадии обострения или декомпенсации;
• злокачественные новообразования;
• беременность;
• аллергия к гентамицину и другим антибиотикам группы аминогликозидов.</t>
  </si>
  <si>
    <r>
      <rPr>
        <sz val="10"/>
        <color theme="1"/>
        <rFont val="Arial"/>
      </rPr>
      <t>&lt;p&gt;Гиперчувствительность к действующему веществу или к любым вспомогательным
веществам, перечисленным в разделе 6.1.&lt;br&gt;
&lt;br&gt;
6.1. &lt;b&gt;</t>
    </r>
    <r>
      <rPr>
        <b/>
        <sz val="10"/>
        <color theme="1"/>
        <rFont val="Arial"/>
      </rPr>
      <t>Перечень вспомогательных веществ&lt;/b&gt;&lt;br&gt;</t>
    </r>
    <r>
      <rPr>
        <sz val="10"/>
        <color theme="1"/>
        <rFont val="Arial"/>
      </rPr>
      <t xml:space="preserve">
</t>
    </r>
    <r>
      <rPr>
        <b/>
        <sz val="10"/>
        <color theme="1"/>
        <rFont val="Arial"/>
      </rPr>
      <t>&lt;b&gt;Лиофилизат&lt;/b&gt;&lt;br&gt;</t>
    </r>
    <r>
      <rPr>
        <sz val="10"/>
        <color theme="1"/>
        <rFont val="Arial"/>
      </rPr>
      <t xml:space="preserve">
Сахароза, полисорбат 80, натрия дигидрофосфата дигидрат, калия гидрофосфат.&lt;br&gt;
</t>
    </r>
    <r>
      <rPr>
        <b/>
        <sz val="10"/>
        <color theme="1"/>
        <rFont val="Arial"/>
      </rPr>
      <t>&lt;b&gt;Суспензия&lt;/b&gt;&lt;br&gt;</t>
    </r>
    <r>
      <rPr>
        <sz val="10"/>
        <color theme="1"/>
        <rFont val="Arial"/>
      </rPr>
      <t xml:space="preserve">
3-О-дезацилированный монофосфорил-липид А (МФЛ), сапонины Quillaja очищенные
(QS–21), диолеоила фосфатидилхолин, холестерин, динатрия гидрофосфат безводный,
калия дигидрофосфат, натрия хлорид, вода для инъекций.&lt;/p&gt;</t>
    </r>
  </si>
  <si>
    <r>
      <rPr>
        <sz val="10"/>
        <color theme="1"/>
        <rFont val="Arial"/>
      </rPr>
      <t xml:space="preserve">Гиперчувствительность к действующему веществу или к любым вспомогательным
веществам, перечисленным в разделе 6.1.
6.1. </t>
    </r>
    <r>
      <rPr>
        <b/>
        <sz val="10"/>
        <color theme="1"/>
        <rFont val="Arial"/>
      </rPr>
      <t>Перечень вспомогательных веществ</t>
    </r>
    <r>
      <rPr>
        <sz val="10"/>
        <color theme="1"/>
        <rFont val="Arial"/>
      </rPr>
      <t xml:space="preserve">
</t>
    </r>
    <r>
      <rPr>
        <b/>
        <sz val="10"/>
        <color theme="1"/>
        <rFont val="Arial"/>
      </rPr>
      <t>Лиофилизат</t>
    </r>
    <r>
      <rPr>
        <sz val="10"/>
        <color theme="1"/>
        <rFont val="Arial"/>
      </rPr>
      <t xml:space="preserve">
Сахароза, полисорбат 80, натрия дигидрофосфата дигидрат, калия гидрофосфат.
</t>
    </r>
    <r>
      <rPr>
        <b/>
        <sz val="10"/>
        <color theme="1"/>
        <rFont val="Arial"/>
      </rPr>
      <t>Суспензия</t>
    </r>
    <r>
      <rPr>
        <sz val="10"/>
        <color theme="1"/>
        <rFont val="Arial"/>
      </rPr>
      <t xml:space="preserve">
3-О-дезацилированный монофосфорил-липид А (МФЛ), сапонины Quillaja очищенные
(QS–21), диолеоила фосфатидилхолин, холестерин, динатрия гидрофосфат безводный,
калия дигидрофосфат, натрия хлорид, вода для инъекций.</t>
    </r>
  </si>
  <si>
    <t>&lt;p&gt;&lt;ul&gt;&lt;li&gt;Гиперчувствительность к любому из действующих веществ, или к любому из вспомогательных веществ [...], или к неомицину, или к белку куриного яйца.&lt;/li&gt;
&lt;li&gt;Беременность, в том числе планируемая беременность в течение 1&amp;nbsp;месяца после вакцинации.&lt;/li&gt;
&lt;li&gt;Подобно другим вакцинам, введение вакцины ТРИВЭЙД лицам с острыми тяжелыми лихорадочными заболеваниями следует отложить.&lt;/li&gt;
&lt;li&gt;Симптомы гиперчувствительности: сильная реакция (подъем температуры выше 40 °С, гиперемия и/или отек более 8 см в диаметре в месте введения вакцины) или поствакцинальное осложнение на предыдущее введение вакцин против кори, паротита и краснухи.&lt;/li&gt;
&lt;li&gt;Онкогематологические заболевания (например, лейкемия, лимфома любого типа или другие неоплазии, затрагивающие гематопоэтическую и лимфатическую системы).&lt;/li&gt;
&lt;li&gt;Заболевания сердца в стадии декомпенсации.&lt;/li&gt;
&lt;li&gt;Тяжелая почечная недостаточность.&lt;/li&gt;
&lt;li&gt;Введение иммуноглобулинов человека или переливание крови.&lt;/li&gt;
&lt;li&gt;Выраженный или гуморальный иммунодефицит (первичный или приобретенный), в том числе синдром приобретенного иммунодефицита человека (СПИД) или симптоматическая ВИЧ-инфекция; при этом само по себе ВИЧ-инфицирование не является противопоказанием к вакцинации.&lt;/li&gt;
&lt;li&gt;Иммуносупрессивная терапия (включая высокие дозы кортикостероидов), химиотерапия, радиотерапия.&lt;/li&gt;&lt;/ul&gt;&lt;/p&gt;</t>
  </si>
  <si>
    <t>• Гиперчувствительность к любому из действующих веществ, или к любому из вспомогательных веществ [...], или к неомицину, или к белку куриного яйца.
• Беременность, в том числе планируемая беременность в течение 1 месяца после вакцинации.
• Подобно другим вакцинам, введение вакцины ТРИВЭЙД лицам с острыми тяжелыми лихорадочными заболеваниями следует отложить.
• Симптомы гиперчувствительности: сильная реакция (подъем температуры выше 40 °С, гиперемия и/или отек более 8 см в диаметре в месте введения вакцины) или поствакцинальное осложнение на предыдущее введение вакцин против кори, паротита и краснухи.
• Онкогематологические заболевания (например, лейкемия, лимфома любого типа или другие неоплазии, затрагивающие гематопоэтическую и лимфатическую системы).
• Заболевания сердца в стадии декомпенсации.
• Тяжелая почечная недостаточность.
• Введение иммуноглобулинов человека или переливание крови.
• Выраженный или гуморальный иммунодефицит (первичный или приобретенный), в том числе синдром приобретенного иммунодефицита человека (СПИД) или симптоматическая ВИЧ-инфекция; при этом само по себе ВИЧ-инфицирование не является противопоказанием к вакцинации.
• Иммуносупрессивная терапия (включая высокие дозы кортикостероидов), химиотерапия, радиотерапия.</t>
  </si>
  <si>
    <r>
      <rPr>
        <sz val="10"/>
        <color theme="1"/>
        <rFont val="Arial"/>
      </rPr>
      <t xml:space="preserve">&lt;p&gt;&lt;ul&gt;&lt;li&gt;Гиперчувствительность к действующему веществу или к любому из вспомогательных веществ [...].&lt;/li&gt;
&lt;li&gt;Анафилактические реакции на предшествующее введение вакцины для профилактики инфекций, вызываемых </t>
    </r>
    <r>
      <rPr>
        <i/>
        <sz val="10"/>
        <color theme="1"/>
        <rFont val="Arial"/>
      </rPr>
      <t>&lt;i&gt;Haemophilus influenzae&lt;/i&gt;</t>
    </r>
    <r>
      <rPr>
        <sz val="10"/>
        <color theme="1"/>
        <rFont val="Arial"/>
      </rPr>
      <t xml:space="preserve"> тип</t>
    </r>
    <r>
      <rPr>
        <i/>
        <sz val="10"/>
        <color theme="1"/>
        <rFont val="Arial"/>
      </rPr>
      <t xml:space="preserve"> &lt;i&gt;b&lt;/i&gt;</t>
    </r>
    <r>
      <rPr>
        <sz val="10"/>
        <color theme="1"/>
        <rFont val="Arial"/>
      </rPr>
      <t xml:space="preserve"> (в том числе на столбнячный анатоксин).&lt;/li&gt;
&lt;li&gt;Подобно другим вакцинам, введение вакцины Бэби-Хиб лицам с острыми тяжелыми лихорадочными заболеваниями следует отложить.&lt;/li&gt;&lt;/ul&gt;&lt;/p&gt;</t>
    </r>
  </si>
  <si>
    <r>
      <rPr>
        <sz val="10"/>
        <color theme="1"/>
        <rFont val="Arial"/>
      </rPr>
      <t xml:space="preserve">• Гиперчувствительность к действующему веществу или к любому из вспомогательных веществ [...].
• Анафилактические реакции на предшествующее введение вакцины для профилактики инфекций, вызываемых </t>
    </r>
    <r>
      <rPr>
        <i/>
        <sz val="10"/>
        <color theme="1"/>
        <rFont val="Arial"/>
      </rPr>
      <t>Haemophilus influenzae</t>
    </r>
    <r>
      <rPr>
        <sz val="10"/>
        <color theme="1"/>
        <rFont val="Arial"/>
      </rPr>
      <t xml:space="preserve"> тип</t>
    </r>
    <r>
      <rPr>
        <i/>
        <sz val="10"/>
        <color theme="1"/>
        <rFont val="Arial"/>
      </rPr>
      <t xml:space="preserve"> b</t>
    </r>
    <r>
      <rPr>
        <sz val="10"/>
        <color theme="1"/>
        <rFont val="Arial"/>
      </rPr>
      <t xml:space="preserve"> (в том числе на столбнячный анатоксин).
• Подобно другим вакцинам, введение вакцины Бэби-Хиб лицам с острыми тяжелыми лихорадочными заболеваниями следует отложить.</t>
    </r>
  </si>
  <si>
    <t>&lt;p&gt;Постоянными противопоказаниями являются сильная реакция или поствакцинальное осложнение на предыдущее введение АД-М анатоксина. Не рекомендуется применение плановых прививок беременным и в период грудного вскармливания.&lt;br&gt;
&lt;br&gt;Лиц, перенесших острые заболевания, прививают не ранее чем через 1&amp;nbsp;месяц после клинического выздоровления.&lt;br&gt;
&lt;br&gt;Больных хроническими заболеваниями прививают не ранее чем через 1&amp;nbsp;месяц после достижения ремиссии. Лиц с неврологическими нарушениями (рефлекторная ригидность мышц, асимметрия лица, тремор рук, невралгия) прививают после исключения прогрессирования процесса. Больным аллергическими заболеваниями прививки проводят через 2-4&amp;nbsp;недели после окончания обострения, при этом стабильные проявления заболевания (локализованные кожные явления, скрытый бронхоспазм и т.п.) не являются противопоказаниями к вакцинации, которая может быть проведена на фоне соответствующей терапии.&lt;br&gt;
&lt;br&gt;Иммунодефициты, ВИЧ-инфекция, а также поддерживающая курсовая терапия, в том числе стероидными гормонами и противосудорожными препаратами, не являются противопоказаниями к прививке.&lt;/p&gt;</t>
  </si>
  <si>
    <t>Постоянными противопоказаниями являются сильная реакция или поствакцинальное осложнение на предыдущее введение АД-М анатоксина. Не рекомендуется применение плановых прививок беременным и в период грудного вскармливания.
Лиц, перенесших острые заболевания, прививают не ранее чем через 1 месяц после клинического выздоровления.
Больных хроническими заболеваниями прививают не ранее чем через 1 месяц после достижения ремиссии. Лиц с неврологическими нарушениями (рефлекторная ригидность мышц, асимметрия лица, тремор рук, невралгия) прививают после исключения прогрессирования процесса. Больным аллергическими заболеваниями прививки проводят через 2-4 недели после окончания обострения, при этом стабильные проявления заболевания (локализованные кожные явления, скрытый бронхоспазм и т.п.) не являются противопоказаниями к вакцинации, которая может быть проведена на фоне соответствующей терапии.
Иммунодефициты, ВИЧ-инфекция, а также поддерживающая курсовая терапия, в том числе стероидными гормонами и противосудорожными препаратами, не являются противопоказаниями к прививке.</t>
  </si>
  <si>
    <t>&lt;p&gt;&lt;ul&gt;&lt;li&gt;Гиперчувствительность к действующим веществам или к любому из вспомогательных веществ.&lt;/li&gt;
&lt;li&gt;Сильная реакция или поствакцинальное осложнение на введение предыдущей дозы данной вакцины.&lt;/li&gt;
&lt;li&gt;Детский возраст до 18&amp;nbsp;лет.&lt;/li&gt;
&lt;li&gt;Беременность и период грудного вскармливания.&lt;/li&gt;&lt;/ul&gt;
Доноров, перенесших острые заболевания, иммунизируют не ранее 1&amp;nbsp;мес. после выздоровления.&lt;/p&gt;</t>
  </si>
  <si>
    <t>• Гиперчувствительность к действующим веществам или к любому из вспомогательных веществ.
• Сильная реакция или поствакцинальное осложнение на введение предыдущей дозы данной вакцины.
• Детский возраст до 18 лет.
• Беременность и период грудного вскармливания.
Доноров, перенесших острые заболевания, иммунизируют не ранее 1 мес. после выздоровления.</t>
  </si>
  <si>
    <r>
      <rPr>
        <sz val="10"/>
        <color theme="1"/>
        <rFont val="Arial"/>
      </rPr>
      <t xml:space="preserve">&lt;p&gt;Гиперчувствительность к действующему веществу и к любому из вспомогательных веществ.&lt;/p&gt;
&lt;p&gt;При проведении прививок лицам, работающим с вирусом осповакцины и вирусами оспы животных, патогенных для человека, необходимо придерживаться следующего перечня медицинских противопоказаний:&lt;/p&gt;
&lt;p&gt;1.&amp;nbsp;Острые заболевания (инфекционные и неинфекционные — не ранее 2&amp;nbsp;мес. после выздоровления), включая период реконвалесценции:
&lt;ul&gt;&lt;li&gt;инфекционные гепатиты (кроме гепатита С), менингококковая инфекция, инфекционные заболевания с затяжным хроническим течением (сепсис и пр.) — не ранее 6&amp;nbsp;мес. после выздоровления;&lt;/li&gt;
&lt;li&gt;гепатит С — противопоказана;&lt;/li&gt;
&lt;li&gt;хроническая пневмония — не ранее 12&amp;nbsp;мес. с начала ремиссии.&lt;/li&gt;&lt;/ul&gt;
</t>
    </r>
    <r>
      <rPr>
        <b/>
        <i/>
        <sz val="10"/>
        <color theme="1"/>
        <rFont val="Arial"/>
      </rPr>
      <t>&lt;i&gt;Примечание: при контакте с инфекционными больными прививки проводят по окончании срока карантина или максимального инкубационного периода для данного заболевания.</t>
    </r>
    <r>
      <rPr>
        <sz val="10"/>
        <color theme="1"/>
        <rFont val="Arial"/>
      </rPr>
      <t xml:space="preserve">&lt;/i&gt;&lt;/p&gt;
&lt;p&gt;2.&amp;nbsp;Туберкулез (легочный и внелегочный) — по окончании активной фазы, по заключению фтизиатра.&lt;/p&gt;
&lt;p&gt;3.&amp;nbsp;Кожные заболевания:
&lt;ul&gt;&lt;li&gt;распространенные дерматозы (пузырчатка, псориаз, экзема, атопический дерматит), в том числе в анамнезе — противопоказана;&lt;/li&gt;
&lt;li&gt;другие острые и хронические болезни или нарушение кожного покрова (ожоги, импетиго, герпес, ветряная оспа-герпес зостер, гнойничковые заболевания) — не ранее 2&amp;nbsp;мес. после выздоровления.&lt;/li&gt;&lt;/ul&gt;&lt;/p&gt;
&lt;p&gt;4.&amp;nbsp;Иммуносупрессивные состояния:
&lt;ul&gt;&lt;li&gt;синдром врожденного или приобретенного иммунодефицита (в том числе ВИЧ-инфекция), лейкемия, злокачественные новообразования, органная трансплантация, клеточные и гуморальные иммунодефициты — противопоказана;&lt;/li&gt;
&lt;li&gt;иммунодепрессивная терапия (лечение антиметаболитами, высокими дозами кортикостероидов в течение 14&amp;nbsp;дней и более, радио- и рентгенотерапия и пр.) — противопоказана.&lt;/li&gt;&lt;/ul&gt;&lt;/p&gt;
&lt;p&gt;5.&amp;nbsp;Нервные и психические заболевания:
&lt;ul&gt;&lt;li&gt;травмы центральной нервной системы (ЦНС) с остаточными явлениями, энцефалиты и энцефаломиелиты (в том числе поствакцинальные), менингит, полирадикулоневрит (в том числе в анамнезе), эпилепсия, гидроцефалия в стадии декомпенсации или субкомпенсации, демиелинизирующие и дегенеративные поражения нервной системы (мышечная дегенерация и др.), инсульт — противопоказана;&lt;/li&gt;
&lt;li&gt;гидроцефалия компенсированная, болезнь Дауна, болезнь Литтля — по заключению невропатолога;&lt;/li&gt;
&lt;li&gt;травмы ЦНС без остаточных явлений, фебрильные судороги в анамнезе — по заключению невропатолога, на фоне антисудорожной терапии;&lt;/li&gt;
&lt;li&gt;психические заболевания — по заключению психоневролога.&lt;/li&gt;&lt;/ul&gt;
</t>
    </r>
    <r>
      <rPr>
        <b/>
        <i/>
        <sz val="10"/>
        <color theme="1"/>
        <rFont val="Arial"/>
      </rPr>
      <t>&lt;i&gt;Примечание: прививки данного контингента проводят после обследования невропатологом.</t>
    </r>
    <r>
      <rPr>
        <sz val="10"/>
        <color theme="1"/>
        <rFont val="Arial"/>
      </rPr>
      <t xml:space="preserve">&lt;/i&gt;&lt;/p&gt;
&lt;p&gt;6.&amp;nbsp;Болезни сердечно-сосудистой системы:
&lt;ul&gt;&lt;li&gt;декомпенсированные пороки сердца, подострый септический эндокардит, миокардит, перикардит, гипертоническая болезнь II-III&amp;nbsp;степени, стенокардия, инфаркт миокарда — противопоказана;&lt;/li&gt;
&lt;li&gt;другие формы патологии: гипертоническая болезнь I&amp;nbsp;ст., пороки сердца в стадии компенсации, стенокардия (легкие формы) — не ранее 6&amp;nbsp;мес. после выздоровления (ремиссии), по заключению специалистов.&lt;/li&gt;&lt;/ul&gt;&lt;/p&gt;
&lt;p&gt;7.&amp;nbsp;Болезни внутренних органов:
&lt;ul&gt;&lt;li&gt;цирроз печени, хронический гепатит, гепатоцеребральная дистрофия, острый и хронический панкреатит — противопоказана;&lt;/li&gt;
&lt;li&gt;заболевания желчевыводящих путей — не ранее 6&amp;nbsp;мес. после выздоровления (при условии санации);&lt;/li&gt;
&lt;li&gt;язвенная болезнь желудка и 12-ти&amp;nbsp;перстной кишки, неспецифический язвенный колит — противопоказана;&lt;/li&gt;
&lt;li&gt;диффузный гломерулонефрит, нефропатии врожденные, хроническая почечная недостаточность — противопоказана;&lt;/li&gt;
&lt;li&gt;пиелонефрит — не ранее 3-х&amp;nbsp;лет с начала клинико-лабораторной ремиссии;&lt;/li&gt;
&lt;li&gt;токсические нефропатии (транзиторные) — не ранее 6&amp;nbsp;мес. после выздоровления.&lt;/li&gt;&lt;/ul&gt;&lt;/p&gt;
&lt;p&gt;8.&amp;nbsp;Болезни эндокринной системы:
&lt;ul&gt;&lt;li&gt;сахарный диабет, тяжелые формы тиреотоксикоза и недостаточности или дисфункции надпочечников, микседема, тимомегалия, врожденные ферментопатии — противопоказана.&lt;/li&gt;&lt;/ul&gt;&lt;/p&gt;
&lt;p&gt;9.&amp;nbsp;Системные заболевания соединительной ткани:
&lt;ul&gt;&lt;li&gt;системная красная волчанка, дискоидная волчанка, ревматизм, ревматоидный артрит, системные васкулиты, системная склеродермия и др. — противопоказана.&lt;/li&gt;&lt;/ul&gt;&lt;/p&gt;
&lt;p&gt;10.&amp;nbsp;Болезни крови:
&lt;ul&gt;&lt;li&gt;лейкозы, лимфогранулематоз, апластическая анемия, гемофилия, болезнь Верльгофа — противопоказана;&lt;/li&gt;
&lt;li&gt;гемолитические состояния — не ранее 2&amp;nbsp;лет с момента полной клинико-гематологической ремиссии по заключению специалиста;&lt;/li&gt;
&lt;li&gt;анемии дефицитные — после выздоровления.&lt;/li&gt;&lt;/ul&gt;&lt;/p&gt;
&lt;p&gt;11.&amp;nbsp;Аллергические заболевания:
&lt;ul&gt;&lt;li&gt;бронхиальная астма — противопоказана;&lt;/li&gt;
&lt;li&gt;астматический бронхит, астматический синдром (на фоне респираторной инфекции) — после выздоровления по заключению аллерголога;&lt;/li&gt;
&lt;li&gt;тяжелые анафилактические реакции (шок, ангионевротический отек гортани и др.) на разнообразные пищевые, лекарственные и другие аллергены — противопоказана;&lt;/li&gt;
&lt;li&gt;аллергия к компонентам вакцины — противопоказана;&lt;/li&gt;
&lt;li&gt;аллергические реакции на отдельные аллергены (разнообразные сыпи, клинические расстройства и пр.) — не менее 6&amp;nbsp;мес. после реакции.&lt;/li&gt;&lt;/ul&gt;
</t>
    </r>
    <r>
      <rPr>
        <b/>
        <i/>
        <sz val="10"/>
        <color theme="1"/>
        <rFont val="Arial"/>
      </rPr>
      <t>&lt;i&gt;Примечание: прививки после заболеваний, указанных в п.11, проводят на фоне антигистаминной терапии.</t>
    </r>
    <r>
      <rPr>
        <sz val="10"/>
        <color theme="1"/>
        <rFont val="Arial"/>
      </rPr>
      <t>&lt;/i&gt;&lt;/p&gt;
&lt;p&gt;12.&amp;nbsp;Болезни уха, горла, носа:
&lt;ul&gt;&lt;li&gt;хронический тонзиллит и аденоидит, требующие оперативного лечения — не ранее 2&amp;nbsp;мес. после операции или санации;&lt;/li&gt;
&lt;li&gt;хронический отит — не ранее 3&amp;nbsp;мес. с момента ремиссии.&lt;/li&gt;&lt;/ul&gt;&lt;/p&gt;
&lt;p&gt;13.&amp;nbsp;Беременность (все сроки) и период грудного вскармливания — противопоказана.&lt;/p&gt;
&lt;p&gt;14.&amp;nbsp;Оперативное вмешательство — не ранее 2&amp;nbsp;мес. после выздоровления.&lt;/p&gt;</t>
    </r>
  </si>
  <si>
    <r>
      <rPr>
        <sz val="10"/>
        <color theme="1"/>
        <rFont val="Arial"/>
      </rPr>
      <t xml:space="preserve">Гиперчувствительность к действующему веществу и к любому из вспомогательных веществ.
При проведении прививок лицам, работающим с вирусом осповакцины и вирусами оспы животных, патогенных для человека, необходимо придерживаться следующего перечня медицинских противопоказаний:
1. Острые заболевания (инфекционные и неинфекционные — не ранее 2 мес. после выздоровления), включая период реконвалесценции:
• инфекционные гепатиты (кроме гепатита С), менингококковая инфекция, инфекционные заболевания с затяжным хроническим течением (сепсис и пр.) — не ранее 6 мес. после выздоровления;
• гепатит С — противопоказана;
• хроническая пневмония — не ранее 12 мес. с начала ремиссии.
</t>
    </r>
    <r>
      <rPr>
        <b/>
        <i/>
        <sz val="10"/>
        <color theme="1"/>
        <rFont val="Arial"/>
      </rPr>
      <t>Примечание: при контакте с инфекционными больными прививки проводят по окончании срока карантина или максимального инкубационного периода для данного заболевания.</t>
    </r>
    <r>
      <rPr>
        <sz val="10"/>
        <color theme="1"/>
        <rFont val="Arial"/>
      </rPr>
      <t xml:space="preserve">
2. Туберкулез (легочный и внелегочный) — по окончании активной фазы, по заключению фтизиатра.
3. Кожные заболевания:
• распространенные дерматозы (пузырчатка, псориаз, экзема, атопический дерматит), в том числе в анамнезе — противопоказана;
• другие острые и хронические болезни или нарушение кожного покрова (ожоги, импетиго, герпес, ветряная оспа-герпес зостер, гнойничковые заболевания) — не ранее 2 мес. после выздоровления.
4. Иммуносупрессивные состояния:
• синдром врожденного или приобретенного иммунодефицита (в том числе ВИЧ-инфекция), лейкемия, злокачественные новообразования, органная трансплантация, клеточные и гуморальные иммунодефициты — противопоказана;
• иммунодепрессивная терапия (лечение антиметаболитами, высокими дозами кортикостероидов в течение 14 дней и более, радио- и рентгенотерапия и пр.) — противопоказана.
5. Нервные и психические заболевания:
• травмы центральной нервной системы (ЦНС) с остаточными явлениями, энцефалиты и энцефаломиелиты (в том числе поствакцинальные), менингит, полирадикулоневрит (в том числе в анамнезе), эпилепсия, гидроцефалия в стадии декомпенсации или субкомпенсации, демиелинизирующие и дегенеративные поражения нервной системы (мышечная дегенерация и др.), инсульт — противопоказана;
• гидроцефалия компенсированная, болезнь Дауна, болезнь Литтля — по заключению невропатолога;
• травмы ЦНС без остаточных явлений, фебрильные судороги в анамнезе — по заключению невропатолога, на фоне антисудорожной терапии;
• психические заболевания — по заключению психоневролога.
</t>
    </r>
    <r>
      <rPr>
        <b/>
        <i/>
        <sz val="10"/>
        <color theme="1"/>
        <rFont val="Arial"/>
      </rPr>
      <t>Примечание: прививки данного контингента проводят после обследования невропатологом.</t>
    </r>
    <r>
      <rPr>
        <sz val="10"/>
        <color theme="1"/>
        <rFont val="Arial"/>
      </rPr>
      <t xml:space="preserve">
6. Болезни сердечно-сосудистой системы:
• декомпенсированные пороки сердца, подострый септический эндокардит, миокардит, перикардит, гипертоническая болезнь II-III степени, стенокардия, инфаркт миокарда — противопоказана;
• другие формы патологии: гипертоническая болезнь I ст., пороки сердца в стадии компенсации, стенокардия (легкие формы) — не ранее 6 мес. после выздоровления (ремиссии), по заключению специалистов.
7. Болезни внутренних органов:
• цирроз печени, хронический гепатит, гепатоцеребральная дистрофия, острый и хронический панкреатит — противопоказана;
• заболевания желчевыводящих путей — не ранее 6 мес. после выздоровления (при условии санации);
• язвенная болезнь желудка и 12-ти перстной кишки, неспецифический язвенный колит — противопоказана;
• диффузный гломерулонефрит, нефропатии врожденные, хроническая почечная недостаточность — противопоказана;
• пиелонефрит — не ранее 3-х лет с начала клинико-лабораторной ремиссии;
• токсические нефропатии (транзиторные) — не ранее 6 мес. после выздоровления.
8. Болезни эндокринной системы:
• сахарный диабет, тяжелые формы тиреотоксикоза и недостаточности или дисфункции надпочечников, микседема, тимомегалия, врожденные ферментопатии — противопоказана.
9. Системные заболевания соединительной ткани:
• системная красная волчанка, дискоидная волчанка, ревматизм, ревматоидный артрит, системные васкулиты, системная склеродермия и др. — противопоказана.
10. Болезни крови:
• лейкозы, лимфогранулематоз, апластическая анемия, гемофилия, болезнь Верльгофа — противопоказана;
• гемолитические состояния — не ранее 2 лет с момента полной клинико-гематологической ремиссии по заключению специалиста;
• анемии дефицитные — после выздоровления.
11. Аллергические заболевания:
• бронхиальная астма — противопоказана;
• астматический бронхит, астматический синдром (на фоне респираторной инфекции) — после выздоровления по заключению аллерголога;
• тяжелые анафилактические реакции (шок, ангионевротический отек гортани и др.) на разнообразные пищевые, лекарственные и другие аллергены — противопоказана;
• аллергия к компонентам вакцины — противопоказана;
• аллергические реакции на отдельные аллергены (разнообразные сыпи, клинические расстройства и пр.) — не менее 6 мес. после реакции.
</t>
    </r>
    <r>
      <rPr>
        <b/>
        <i/>
        <sz val="10"/>
        <color theme="1"/>
        <rFont val="Arial"/>
      </rPr>
      <t>Примечание: прививки после заболеваний, указанных в п.11, проводят на фоне антигистаминной терапии.</t>
    </r>
    <r>
      <rPr>
        <sz val="10"/>
        <color theme="1"/>
        <rFont val="Arial"/>
      </rPr>
      <t xml:space="preserve">
12. Болезни уха, горла, носа:
• хронический тонзиллит и аденоидит, требующие оперативного лечения — не ранее 2 мес. после операции или санации;
• хронический отит — не ранее 3 мес. с момента ремиссии.
13. Беременность (все сроки) и период грудного вскармливания — противопоказана.
14. Оперативное вмешательство — не ранее 2 мес. после выздоровления.</t>
    </r>
  </si>
  <si>
    <r>
      <rPr>
        <sz val="10"/>
        <color theme="1"/>
        <rFont val="Arial"/>
      </rPr>
      <t xml:space="preserve">&lt;p&gt;&lt;ul&gt;&lt;li&gt;Гиперчувствительность к действующим веществам или любому из вспомогательных веществ или формальдегиду;&lt;/li&gt;
&lt;li&gt;дети первого года жизни при использовании вакцины, содержащей консервант;&lt;/li&gt;
&lt;li&gt;прогрессирующие заболевания нервной системы;&lt;/li&gt;
&lt;li&gt;афебрильные судороги в анамнезе;&lt;/li&gt;
&lt;li&gt;аллергическая реакция на пекарские дрожжи;&lt;/li&gt;
&lt;li&gt;сильная общая (повышение температуры в первые двое суток до 40&amp;nbsp;ºС и выше) и местная (отек и гиперемия свыше 8&amp;nbsp;см в диаметре) реакции или поствакцинальные осложнения на предыдущее введение вакцин АКДС-Геп В или АКДС или вакцины для профилактики гепатита В.&lt;/li&gt;&lt;/ul&gt;
Временные противопоказания для иммунизации вакциной:
&lt;ul&gt;&lt;li&gt;острые заболевания (инфекционные и неинфекционные);&lt;/li&gt;
&lt;li&gt;обострение хронических заболеваний (в этих случаях вакцинацию проводят через 2-4&amp;nbsp;недели после выздоровления или в стадии ремиссии).&lt;/li&gt;&lt;/ul&gt;
Развитие фебрильных судорог после введения вакцины не является противопоказанием к ее последующему введению, в этом случае при повышении температуры следует назначать в возрастной дозировке парацетамол в течение&amp;nbsp;1-2&amp;nbsp;сут.&lt;br&gt;&lt;br&gt;
Стабильные проявления аллергического заболевания (локализованные кожные проявления, скрытый бронхоспазм и т.д.) не являются противопоказаниями к вакцинации, которая может быть проведена на фоне соответствующей терапии. [...]&lt;/p&gt;
</t>
    </r>
    <r>
      <rPr>
        <b/>
        <sz val="10"/>
        <color theme="1"/>
        <rFont val="Arial"/>
      </rPr>
      <t>&lt;p&gt;Примечание:</t>
    </r>
    <r>
      <rPr>
        <sz val="10"/>
        <color theme="1"/>
        <rFont val="Arial"/>
      </rPr>
      <t xml:space="preserve"> при развитии у ребенка сильной общей реакции (повышение температуры в первые двое суток выше 40&amp;nbsp;ºС, в месте введения вакцины — отек и гиперемия свыше 8&amp;nbsp;см в диаметре) или поствакцинального осложнения ему прекращают дальнейшие прививки вакциной АКДС-Геп В.&lt;br&gt;
Если ребенок был привит вакциной АКДС-Геп В двукратно, курс вакцинации против дифтерии и столбняка считают законченным, а вакцинацию против гепатита В завершают моновакциной однократно через один мес. после второй вакцинации. Если ребенок получил одну прививку вакциной АКДС-Геп В, вакцинация может быть продолжена вакциной комбинированной гепатита В и анатоксина дифтерийно-столбнячного с уменьшенным содержанием антигенов, которую вводят однократно не ранее, чем через 3&amp;nbsp;мес., а затем через один мес. вводят моновакцину гепатита В.&lt;br&gt;
В обоих случаях первую ревакцинацию проводят АДС-М-анатоксином через 9-12&amp;nbsp;мес. после последней прививки вакциной АКДС-Геп В или вакциной комбинированной гепатита В и анатоксина дифтерийно-столбнячного с уменьшенным содержанием антигенов. Если сильная реакция развилась после третьей прививки вакциной АКДС-Геп В, первую ревакцинацию проводят АДС-М-анатоксином через 12-18&amp;nbsp;месяцев. Последующие ревакцинации проводят в декретированных возрастах АДС-М-анатоксином.&lt;/p&gt;
&lt;p&gt;При повышении температуры выше 38,5&amp;nbsp;ºС более, чем у 1% привитых или возникновении выраженных местных реакций (отек мягких тканей диаметром более 5&amp;nbsp;см, инфильтрат диаметром более 2&amp;nbsp;см) более чем у 4% привитых, а также развитии поствакцинальных осложнений, прививки препаратом данной серии прекращают.&lt;br&gt;&lt;br&gt;
Детей, перенесших острые заболевания, прививают не ранее, чем через 4&amp;nbsp;недели после выздоровления; при легких формах респираторных заболеваний (ринит, легкая гиперемия зева и т.д.) прививка допускается через 2&amp;nbsp;недели после выздоровления. Больных хроническими заболеваниями прививают по достижении стойкой ремиссии (не менее 4&amp;nbsp;недель).&lt;/p&gt;</t>
    </r>
  </si>
  <si>
    <r>
      <rPr>
        <sz val="10"/>
        <color theme="1"/>
        <rFont val="Arial"/>
      </rPr>
      <t xml:space="preserve">• Гиперчувствительность к действующим веществам или любому из вспомогательных веществ или формальдегиду;
• дети первого года жизни при использовании вакцины, содержащей консервант;
• прогрессирующие заболевания нервной системы;
• афебрильные судороги в анамнезе;
• аллергическая реакция на пекарские дрожжи;
• сильная общая (повышение температуры в первые двое суток до 40 ºС и выше) и местная (отек и гиперемия свыше 8 см в диаметре) реакции или поствакцинальные осложнения на предыдущее введение вакцин АКДС-Геп В или АКДС или вакцины для профилактики гепатита В.
Временные противопоказания для иммунизации вакциной:
• острые заболевания (инфекционные и неинфекционные);
• обострение хронических заболеваний (в этих случаях вакцинацию проводят через 2-4 недели после выздоровления или в стадии ремиссии).
Развитие фебрильных судорог после введения вакцины не является противопоказанием к ее последующему введению, в этом случае при повышении температуры следует назначать в возрастной дозировке парацетамол в течение 1-2 сут.
Стабильные проявления аллергического заболевания (локализованные кожные проявления, скрытый бронхоспазм и т.д.) не являются противопоказаниями к вакцинации, которая может быть проведена на фоне соответствующей терапии. [...]
</t>
    </r>
    <r>
      <rPr>
        <b/>
        <sz val="10"/>
        <color theme="1"/>
        <rFont val="Arial"/>
      </rPr>
      <t>Примечание:</t>
    </r>
    <r>
      <rPr>
        <sz val="10"/>
        <color theme="1"/>
        <rFont val="Arial"/>
      </rPr>
      <t xml:space="preserve"> при развитии у ребенка сильной общей реакции (повышение температуры в первые двое суток выше 40 ºС, в месте введения вакцины — отек и гиперемия свыше 8 см в диаметре) или поствакцинального осложнения ему прекращают дальнейшие прививки вакциной АКДС-Геп В.
Если ребенок был привит вакциной АКДС-Геп В двукратно, курс вакцинации против дифтерии и столбняка считают законченным, а вакцинацию против гепатита В завершают моновакциной однократно через один мес. после второй вакцинации. Если ребенок получил одну прививку вакциной АКДС-Геп В, вакцинация может быть продолжена вакциной комбинированной гепатита В и анатоксина дифтерийно-столбнячного с уменьшенным содержанием антигенов, которую вводят однократно не ранее, чем через 3 мес., а затем через один мес. вводят моновакцину гепатита В.
В обоих случаях первую ревакцинацию проводят АДС-М-анатоксином через 9-12 мес. после последней прививки вакциной АКДС-Геп В или вакциной комбинированной гепатита В и анатоксина дифтерийно-столбнячного с уменьшенным содержанием антигенов. Если сильная реакция развилась после третьей прививки вакциной АКДС-Геп В, первую ревакцинацию проводят АДС-М-анатоксином через 12-18 месяцев. Последующие ревакцинации проводят в декретированных возрастах АДС-М-анатоксином.
При повышении температуры выше 38,5 ºС более, чем у 1% привитых или возникновении выраженных местных реакций (отек мягких тканей диаметром более 5 см, инфильтрат диаметром более 2 см) более чем у 4% привитых, а также развитии поствакцинальных осложнений, прививки препаратом данной серии прекращают.
Детей, перенесших острые заболевания, прививают не ранее, чем через 4 недели после выздоровления; при легких формах респираторных заболеваний (ринит, легкая гиперемия зева и т.д.) прививка допускается через 2 недели после выздоровления. Больных хроническими заболеваниями прививают по достижении стойкой ремиссии (не менее 4 недель).</t>
    </r>
  </si>
  <si>
    <t>&lt;p&gt;&lt;ul&gt;&lt;li&gt;Гиперчувствительность к действующим веществам или к любому из вспомогательных веществ.&lt;/li&gt;
&lt;li&gt;Сильная реакция (температура выше 40&amp;nbsp;°С, отек и гиперемия в месте введения вакцины свыше 8 см в диаметре) или поствакцинальное осложнение на предыдущее введение.&lt;/li&gt;
&lt;li&gt;Острые инфекционные и неинфекционные заболевания; хронические заболевания в стадии обострения. Вакцинацию проводят не ранее 1&amp;nbsp;месяца с момента выздоровления или ремиссии.&lt;/li&gt;
&lt;li&gt;Аллергические заболевания (по данным анамнеза): бронхиальная астма, атопический дерматит, поллиноз и др.; аллергия на куриный белок и молоко коровье.&lt;/li&gt;
&lt;li&gt;Дегенеративные и прогредиентные заболевания нервной системы.&lt;/li&gt;
&lt;li&gt;Заболевания почек и надпочечников.&lt;/li&gt;
&lt;li&gt;Системные заболевания соединительной ткани.&lt;/li&gt;
&lt;li&gt;Иммунодефицитные состояния (первичные и вторичные).&lt;/li&gt;
&lt;li&gt;Беременность и период лактации.&lt;/li&gt;
&lt;li&gt;Возраст до 18&amp;nbsp;лет.&lt;/li&gt;&lt;/ul&gt;
Возможность вакцинации лиц, страдающих заболеваниями, не указанными в данном перечне противопоказаний, определяет врач, исходя из состояния здоровья прививаемого.&lt;br&gt;
[...] Непосредственно перед вакцинацией врач проводит тщательный медицинский осмотр с термометрией и опрос вакцинируемых для выявления противопоказаний. При температуре выше 37&amp;nbsp;°С вакцинацию не проводят.&lt;/p&gt;</t>
  </si>
  <si>
    <t>• Гиперчувствительность к действующим веществам или к любому из вспомогательных веществ.
• Сильная реакция (температура выше 40 °С, отек и гиперемия в месте введения вакцины свыше 8 см в диаметре) или поствакцинальное осложнение на предыдущее введение.
• Острые инфекционные и неинфекционные заболевания; хронические заболевания в стадии обострения. Вакцинацию проводят не ранее 1 месяца с момента выздоровления или ремиссии.
• Аллергические заболевания (по данным анамнеза): бронхиальная астма, атопический дерматит, поллиноз и др.; аллергия на куриный белок и молоко коровье.
• Дегенеративные и прогредиентные заболевания нервной системы.
• Заболевания почек и надпочечников.
• Системные заболевания соединительной ткани.
• Иммунодефицитные состояния (первичные и вторичные).
• Беременность и период лактации.
• Возраст до 18 лет.
Возможность вакцинации лиц, страдающих заболеваниями, не указанными в данном перечне противопоказаний, определяет врач, исходя из состояния здоровья прививаемого.
[...] Непосредственно перед вакцинацией врач проводит тщательный медицинский осмотр с термометрией и опрос вакцинируемых для выявления противопоказаний. При температуре выше 37 °С вакцинацию не проводят.</t>
  </si>
  <si>
    <t>&lt;p&gt;&lt;ul&gt;&lt;li&gt;Гиперчувствительность к действующему веществу и к любому из вспомогательных веществ.&lt;/li&gt;
&lt;li&gt;Дети до двух лет.&lt;/li&gt;
&lt;li&gt;Беременность и период грудного вскармливания.&lt;/li&gt;
&lt;li&gt;Лица, ранее вакцинированные против оспы (ревакцинация).&lt;/li&gt;&lt;/ul&gt;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2-4&amp;nbsp;недели после выздоровления или в период реконвалесценции или ремиссии.&lt;br&gt;&lt;br&gt;
При нетяжелых острых респираторных вирусных инфекциях (ОРВИ), острых кишечных заболеваниях и др. прививки проводят сразу после нормализации температуры.&lt;br&gt;&lt;br&gt;
Лица, подлежащие вакцинации, должны быть предварительно обследованы врачом/врачебной комиссией с целью выявления противопоказаний. Перед введением вакцины проводят обязательный осмотр прививаемых с термометрией. Лиц с повышенной температурой не допускают к вакцинации!&lt;/p&gt;</t>
  </si>
  <si>
    <t>• Гиперчувствительность к действующему веществу и к любому из вспомогательных веществ.
• Дети до двух лет.
• Беременность и период грудного вскармливания.
• Лица, ранее вакцинированные против оспы (ревакцинация).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2-4 недели после выздоровления или в период реконвалесценции или ремиссии.
При нетяжелых острых респираторных вирусных инфекциях (ОРВИ), острых кишечных заболеваниях и др. прививки проводят сразу после нормализации температуры.
Лица, подлежащие вакцинации, должны быть предварительно обследованы врачом/врачебной комиссией с целью выявления противопоказаний. Перед введением вакцины проводят обязательный осмотр прививаемых с термометрией. Лиц с повышенной температурой не допускают к вакцинации!</t>
  </si>
  <si>
    <r>
      <rPr>
        <i/>
        <sz val="10"/>
        <color theme="1"/>
        <rFont val="Arial"/>
      </rPr>
      <t>&lt;p&gt;&lt;i&gt;Временные противопоказания:</t>
    </r>
    <r>
      <rPr>
        <sz val="10"/>
        <color theme="1"/>
        <rFont val="Arial"/>
      </rPr>
      <t xml:space="preserve">&lt;/i&gt;
&lt;ul&gt;&lt;li&gt;Острые инфекционные и неинфекционные заболевания, включая период реконвалесценции. Введение вакцины допускается через 2-4&amp;nbsp;недели после выздоровления.&lt;br&gt;
При острых вирусных гепатитах (кроме гепатита С) введение вакцины допускается не ранее чем, через 6&amp;nbsp;мес. после выздоровления.&lt;br&gt;
При активной форме туберкулеза введение вакцины допускается по окончании активной фазы, по заключению фтизиатра.&lt;/li&gt;
&lt;li&gt;При нетяжелых ОРВИ, острых кишечных заболеваниях и др. введение вакцины допускается после нормализации температуры.&lt;/li&gt;
&lt;li&gt;Хронические заболевания в стадии обострения или декомпенсации. Вакцину вводят по достижении стойкой ремиссии.&lt;/li&gt;
&lt;li&gt;Менструация.&lt;/li&gt;&lt;/ul&gt;
</t>
    </r>
    <r>
      <rPr>
        <i/>
        <sz val="10"/>
        <color theme="1"/>
        <rFont val="Arial"/>
      </rPr>
      <t>&lt;i&gt;Постоянные противопоказания:</t>
    </r>
    <r>
      <rPr>
        <sz val="10"/>
        <color theme="1"/>
        <rFont val="Arial"/>
      </rPr>
      <t>&lt;/i&gt;
&lt;ul&gt;&lt;li&gt;гиперчувствительность к действующему веществу или к любому из вспомогательных веществ;&lt;/li&gt;
&lt;li&gt;гепатит С;&lt;/li&gt;
&lt;li&gt;тяжелые иммунодефицитные состояния (в том числе, при ВИЧ-инфекции);&lt;/li&gt;
&lt;li&gt;болезни системы кровообращения (хроническая ишемическая болезнь сердца, хронические ревматические болезни сердца, атеросклероз);&lt;/li&gt;
&lt;li&gt;болезни, характеризующиеся повышенным кровяным давлением (эссенциальная гипертензия, гипертоническая болезнь сердца и почек, вторичная гипертензия);&lt;/li&gt;
&lt;li&gt;болезни печени (хронический гепатит, цирроз печени, токсическое поражение печени, острая и подострая печеночная недостаточность, хроническая печеночная недостаточность);&lt;/li&gt;
&lt;li&gt;болезни мочеполовой системы (острая почечная недостаточность, хроническая почечная недостаточность, гломерулонефрит);&lt;/li&gt;
&lt;li&gt;апластические и гемолитические анемии.&lt;/li&gt;&lt;/ul&gt;
При осложнениях (аллергических реакциях немедленного типа: анафилактический шок, отек Квинке, крапивница) следует проводить симптоматическую терапию.&lt;br&gt;
При повышении температуры (более, чем на 1,5°С от нормальной), ухудшении общего состояния, резкой болезненности в пораженном органе применение вакцины следует прекратить.&lt;/p&gt;</t>
    </r>
  </si>
  <si>
    <r>
      <rPr>
        <i/>
        <sz val="10"/>
        <color theme="1"/>
        <rFont val="Arial"/>
      </rPr>
      <t>Временные противопоказания:</t>
    </r>
    <r>
      <rPr>
        <sz val="10"/>
        <color theme="1"/>
        <rFont val="Arial"/>
      </rPr>
      <t xml:space="preserve">
• Острые инфекционные и неинфекционные заболевания, включая период реконвалесценции. Введение вакцины допускается через 2-4 недели после выздоровления.
При острых вирусных гепатитах (кроме гепатита С) введение вакцины допускается не ранее чем, через 6 мес. после выздоровления.
При активной форме туберкулеза введение вакцины допускается по окончании активной фазы, по заключению фтизиатра.
• При нетяжелых ОРВИ, острых кишечных заболеваниях и др. введение вакцины допускается после нормализации температуры.
• Хронические заболевания в стадии обострения или декомпенсации. Вакцину вводят по достижении стойкой ремиссии.
• Менструация.
</t>
    </r>
    <r>
      <rPr>
        <i/>
        <sz val="10"/>
        <color theme="1"/>
        <rFont val="Arial"/>
      </rPr>
      <t>Постоянные противопоказания:</t>
    </r>
    <r>
      <rPr>
        <sz val="10"/>
        <color theme="1"/>
        <rFont val="Arial"/>
      </rPr>
      <t xml:space="preserve">
• гиперчувствительность к действующему веществу или к любому из вспомогательных веществ;
• гепатит С;
• тяжелые иммунодефицитные состояния (в том числе, при ВИЧ-инфекции);
• болезни системы кровообращения (хроническая ишемическая болезнь сердца, хронические ревматические болезни сердца, атеросклероз);
• болезни, характеризующиеся повышенным кровяным давлением (эссенциальная гипертензия, гипертоническая болезнь сердца и почек, вторичная гипертензия);
• болезни печени (хронический гепатит, цирроз печени, токсическое поражение печени, острая и подострая печеночная недостаточность, хроническая печеночная недостаточность);
• болезни мочеполовой системы (острая почечная недостаточность, хроническая почечная недостаточность, гломерулонефрит);
• апластические и гемолитические анемии.
При осложнениях (аллергических реакциях немедленного типа: анафилактический шок, отек Квинке, крапивница) следует проводить симптоматическую терапию.
При повышении температуры (более, чем на 1,5°С от нормальной), ухудшении общего состояния, резкой болезненности в пораженном органе применение вакцины следует прекратить.</t>
    </r>
  </si>
  <si>
    <t>&lt;p&gt;&lt;ul&gt;&lt;li&gt;Гиперчувствительность к действующему веществу и к любому из вспомогательных веществ;&lt;/li&gt;
&lt;li&gt;тяжелые формы аллергических заболеваний в анамнезе;&lt;/li&gt;
&lt;li&gt;наличие реакций или поствакцинальных осложнений на предыдущее введение вакцины;&lt;/li&gt;
&lt;li&gt;наличие кожных заболеваний:&lt;br&gt;
-&amp;nbsp;распространенных дерматозов (пузырчатка, псориаз, экзема, атопический дерматит), в том числе, в анамнезе;&lt;br&gt;
-&amp;nbsp;других острых и хронических болезней или нарушений кожного покрова (ожоги, импетиго, герпес, ветряная оспа-герпес зостер, гнойничковые заболевания). Прививки проводят не ранее чем через два месяца после выздоровления;&lt;/li&gt;
&lt;li&gt;инфекционные гепатиты (кроме гепатита С), менингококковая инфекция, инфекции с затяжным хроническим течением – не ранее 6&amp;nbsp;месяцев после выздоровления;&lt;/li&gt;
&lt;li&gt;хроническая пневмония – не ранее 12&amp;nbsp;месяцев после выздоровления;&lt;/li&gt;
&lt;li&gt;болезни сердечно-сосудистой системы: декомпенсированные пороки сердца, подострый септический эндокардит, миокардит, перикардит, гипертоническая болезнь ⅠⅠ–ⅠⅠⅠ&amp;nbsp;ст., стенокардия, инфаркт миокарда – противопоказано; другие формы патологии: гипертоническая болезнь Ⅰ&amp;nbsp;ст., пороки сердца в стадии компенсации – по заключению специалиста;&lt;/li&gt;
&lt;li&gt;болезни внутренних органов: цирроз печени, хронический гепатит, острый и хронический панкреатит; заболевания желчевыводящих путей – не ранее 6&amp;nbsp;месяцев после выздоровления (при условии санации); язвенная болезнь и двенадцатиперстной кишки, неспецифический язвенный колит; диффузный гломерулонефрит, хронический гломерулонефрит, хроническая почечная недостаточность; пиелонефрит – не ранее 3&amp;nbsp;лет с начала клинико-лабораторной ремиссии;&lt;/li&gt;
&lt;li&gt;болезни эндокринной системы: сахарный диабет, тяжелые формы тиреотоксикоза и недостаточности или дисфункции надпочечников, микседема, тимомегалия;&lt;/li&gt;
&lt;li&gt;иммунодефицит (первичный);&lt;/li&gt;
&lt;li&gt;приобретенный иммунодефицит;&lt;/li&gt;
&lt;li&gt;применение иммуносупрессоров;&lt;/li&gt;
&lt;li&gt;психические заболевания;&lt;/li&gt;
&lt;li&gt;злокачественные заболевания крови и новообразования;&lt;/li&gt;
&lt;li&gt;беременность и период грудного вскармливания;&lt;/li&gt;
&lt;li&gt;дети до 18&amp;nbsp;лет (в связи с отсутствием данных об эффективности и безопасности);&lt;/li&gt;
&lt;li&gt;подобно другим вакцинам введение вакцины ОртопоксВак лицам с острыми инфекционными и неинфекционными заболеваниями, хроническими заболеваниями в стадии обострения следует отложить. Вакцинацию проводят не ранее чем через два месяца после выздоровления или ремиссии: болезни уха, горла, носа, оперативное вмешательство.&lt;/li&gt;&lt;/ul&gt;
В целях предупреждения переноса вируса вакцины лицам, страдающим кожными заболеваниями, последним не следует контактировать с привитым до отпадения корок или в течение 28&amp;nbsp;суток после прививки.&lt;br&gt;
Не рекомендуется проведение прививок в жаркие месяцы.&lt;br&gt;
Необходимо тщательно оберегать место введения вакцины от повреждения, категорически запрещается его смачивание.&lt;br&gt;
Все лица, подлежащие прививкам, должны быть обследованы врачом с учетом анамнестических данных. С целью выявления противопоказаний врач в день прививки проводит опрос и осмотр прививаемых с обязательной термометрией. При температуре выше 37&amp;nbsp;°С вакцинацию не проводят.&lt;/p&gt;</t>
  </si>
  <si>
    <t>• Гиперчувствительность к действующему веществу и к любому из вспомогательных веществ;
• тяжелые формы аллергических заболеваний в анамнезе;
• наличие реакций или поствакцинальных осложнений на предыдущее введение вакцины;
• наличие кожных заболеваний:
- распространенных дерматозов (пузырчатка, псориаз, экзема, атопический дерматит), в том числе, в анамнезе;
- других острых и хронических болезней или нарушений кожного покрова (ожоги, импетиго, герпес, ветряная оспа-герпес зостер, гнойничковые заболевания). Прививки проводят не ранее чем через два месяца после выздоровления;
• инфекционные гепатиты (кроме гепатита С), менингококковая инфекция, инфекции с затяжным хроническим течением – не ранее 6 месяцев после выздоровления;
• хроническая пневмония – не ранее 12 месяцев после выздоровления;
• болезни сердечно-сосудистой системы: декомпенсированные пороки сердца, подострый септический эндокардит, миокардит, перикардит, гипертоническая болезнь ⅠⅠ–ⅠⅠⅠ ст., стенокардия, инфаркт миокарда – противопоказано; другие формы патологии: гипертоническая болезнь Ⅰ ст., пороки сердца в стадии компенсации – по заключению специалиста;
• болезни внутренних органов: цирроз печени, хронический гепатит, острый и хронический панкреатит; заболевания желчевыводящих путей – не ранее 6 месяцев после выздоровления (при условии санации); язвенная болезнь и двенадцатиперстной кишки, неспецифический язвенный колит; диффузный гломерулонефрит, хронический гломерулонефрит, хроническая почечная недостаточность; пиелонефрит – не ранее 3 лет с начала клинико-лабораторной ремиссии;
• болезни эндокринной системы: сахарный диабет, тяжелые формы тиреотоксикоза и недостаточности или дисфункции надпочечников, микседема, тимомегалия;
• иммунодефицит (первичный);
• приобретенный иммунодефицит;
• применение иммуносупрессоров;
• психические заболевания;
• злокачественные заболевания крови и новообразования;
• беременность и период грудного вскармливания;
• дети до 18 лет (в связи с отсутствием данных об эффективности и безопасности);
• подобно другим вакцинам введение вакцины ОртопоксВак лицам с острыми инфекционными и неинфекционными заболеваниями, хроническими заболеваниями в стадии обострения следует отложить. Вакцинацию проводят не ранее чем через два месяца после выздоровления или ремиссии: болезни уха, горла, носа, оперативное вмешательство.
В целях предупреждения переноса вируса вакцины лицам, страдающим кожными заболеваниями, последним не следует контактировать с привитым до отпадения корок или в течение 28 суток после прививки.
Не рекомендуется проведение прививок в жаркие месяцы.
Необходимо тщательно оберегать место введения вакцины от повреждения, категорически запрещается его смачивание.
Все лица, подлежащие прививкам, должны быть обследованы врачом с учетом анамнестических данных. С целью выявления противопоказаний врач в день прививки проводит опрос и осмотр прививаемых с обязательной термометрией. При температуре выше 37 °С вакцинацию не проводят.</t>
  </si>
  <si>
    <t>&lt;p&gt;&lt;ul&gt;&lt;li&gt;Препарат ФЛЕКСВАК не следует вводить лицам с известной гиперчувствительностью к любому компоненту вакцины;&lt;/li&gt;
&lt;li&gt;подобно другим вакцинам, введение вакцины ФЛЕКСВАК лицам с тяжелыми лихорадочными заболеваниями следует отложить;&lt;/li&gt;
&lt;li&gt;беременность;&lt;/li&gt;
&lt;li&gt;лактация;&lt;/li&gt;
&lt;li&gt;сильная реакция (температура выше 40&amp;nbsp;°C, отек и гиперемия в месте введения свыше 8&amp;nbsp;см в диаметре) или осложнение на предыдущее введение препарата.&lt;/li&gt;&lt;/ul&gt;&lt;/p&gt;</t>
  </si>
  <si>
    <t>• Препарат ФЛЕКСВАК не следует вводить лицам с известной гиперчувствительностью к любому компоненту вакцины;
• подобно другим вакцинам, введение вакцины ФЛЕКСВАК лицам с тяжелыми лихорадочными заболеваниями следует отложить;
• беременность;
• лактация;
• сильная реакция (температура выше 40 °C, отек и гиперемия в месте введения свыше 8 см в диаметре) или осложнение на предыдущее введение препарата.</t>
  </si>
  <si>
    <t>&lt;p&gt;&lt;ul&gt;&lt;li&gt;Аллергия (гиперчувствительность) к компонентам вакцины, куриному белку;&lt;/li&gt;
&lt;li&gt;Серьезные нежелательные реакции после предшествующего введения какой-либо вакцины против желтой лихорадки (температура выше 40&amp;nbsp;°С, отек и гиперемия в месте введения свыше 8&amp;nbsp;см в диаметре);&lt;/li&gt;
&lt;li&gt;Острые инфекционные и неинфекционные заболевания, хронические заболевания в стадии обострения или декомпенсации — прививки проводят не ранее одного месяца после выздоровления (ремиссии);&lt;/li&gt;
&lt;li&gt;Заболевания вилочковой железы (тяжелая миастения, синдром Ди Георга, тимома), состояние после удаления тимуса;&lt;/li&gt;
&lt;li&gt;Первичные (врожденные) иммунодефициты;&lt;/li&gt;
&lt;li&gt;Вторичные (приобретенные) иммунодефициты (прививки проводят не ранее, чем через 12&amp;nbsp;мес. после выздоровления/окончания лечения);&lt;/li&gt;
&lt;li&gt;Врожденная непереносимость фруктозы;&lt;/li&gt;
&lt;li&gt;Беременность и период грудного вскармливания;&lt;/li&gt;
&lt;li&gt;Дети в возрасте до 9-ти&amp;nbsp;месяцев.&lt;/li&gt;&lt;/ul&gt;
Вакцину применяют с осторожностью у пациентов с бессимптомной ВИЧ-инфекцией без признаков иммунодефицита, которые не могут избежать поездок в эндемичные районы, в связи с отсутствием достаточных данных для определения иммунологических параметров, определяющих безопасность и эффективность вакцинации. Таким пациентам следует рассмотреть потенциальные риски и преимущества вакцинации, принимая во внимание имеющиеся рекомендации.&lt;br&gt;&lt;br&gt;
В течение 14&amp;nbsp;дней после вакцинации нельзя быть донором крови, так как в этот период существует риск передачи вируса через препараты крови.&lt;br&gt;&lt;br&gt;
Вакцинация пациентов в возрасте 60&amp;nbsp;лет и старше может сопровождаться повышенным риском нежелательных реакций, в том числе вакцинассоциированного нейротропного и висцеротропного заболеваний. В случае, если невозможно избежать посещения энзоотичных районов по желтой лихорадке, пациенты 60&amp;nbsp;лет и старше должны обязательно проконсультироваться с врачом по вопросу вакцинации.&lt;/p&gt;</t>
  </si>
  <si>
    <t>• Аллергия (гиперчувствительность) к компонентам вакцины, куриному белку;
• Серьезные нежелательные реакции после предшествующего введения какой-либо вакцины против желтой лихорадки (температура выше 40 °С, отек и гиперемия в месте введения свыше 8 см в диаметре);
• Острые инфекционные и неинфекционные заболевания, хронические заболевания в стадии обострения или декомпенсации — прививки проводят не ранее одного месяца после выздоровления (ремиссии);
• Заболевания вилочковой железы (тяжелая миастения, синдром Ди Георга, тимома), состояние после удаления тимуса;
• Первичные (врожденные) иммунодефициты;
• Вторичные (приобретенные) иммунодефициты (прививки проводят не ранее, чем через 12 мес. после выздоровления/окончания лечения);
• Врожденная непереносимость фруктозы;
• Беременность и период грудного вскармливания;
• Дети в возрасте до 9-ти месяцев.
Вакцину применяют с осторожностью у пациентов с бессимптомной ВИЧ-инфекцией без признаков иммунодефицита, которые не могут избежать поездок в эндемичные районы, в связи с отсутствием достаточных данных для определения иммунологических параметров, определяющих безопасность и эффективность вакцинации. Таким пациентам следует рассмотреть потенциальные риски и преимущества вакцинации, принимая во внимание имеющиеся рекомендации.
В течение 14 дней после вакцинации нельзя быть донором крови, так как в этот период существует риск передачи вируса через препараты крови.
Вакцинация пациентов в возрасте 60 лет и старше может сопровождаться повышенным риском нежелательных реакций, в том числе вакцинассоциированного нейротропного и висцеротропного заболеваний. В случае, если невозможно избежать посещения энзоотичных районов по желтой лихорадке, пациенты 60 лет и старше должны обязательно проконсультироваться с врачом по вопросу вакцинации.</t>
  </si>
  <si>
    <t>&lt;p&gt;&lt;ul&gt;&lt;li&gt;Гиперчувствительность к компонентам препарата (гидроокиси алюминия и другим);&lt;/li&gt;
&lt;li&gt;Тяжелые формы аллергических заболеваний;&lt;/li&gt;
&lt;li&gt;Острые инфекционные и неинфекционные заболевания, хронические заболевания в стадии обострения - прививки проводят не ранее чем через месяц после выздоровления (ремиссии). При нетяжелых ОРВИ, острых кишечных заболеваниях вакцинацию проводят после нормализации температуры;&lt;/li&gt;
&lt;li&gt;Злокачественные заболевания крови и новообразования;&lt;/li&gt;
&lt;li&gt;Беременность и период грудного вскармливания;&lt;/li&gt;
&lt;li&gt;Детский возраст до 18&amp;nbsp;лет в связи с отсутствием данных по эффективности и безопасности.&lt;/li&gt;&lt;/ul&gt;
Все лица, подлежащие прививкам, должны быть обследованы врачом с учетом анамнестических данных. С целью выявления противопоказаний врач в день прививки проводит опрос и осмотр прививаемых с обязательной термометрией. При температуре выше 37&amp;nbsp;°С вакцинацию не проводят. [...]&lt;br&gt;
С осторожностью применять при тромбоцитопении, нарушении свертываемости крови.&lt;/p&gt;</t>
  </si>
  <si>
    <t>• Гиперчувствительность к компонентам препарата (гидроокиси алюминия и другим);
• Тяжелые формы аллергических заболеваний;
• Острые инфекционные и неинфекционные заболевания, хронические заболевания в стадии обострения - прививки проводят не ранее чем через месяц после выздоровления (ремиссии). При нетяжелых ОРВИ, острых кишечных заболеваниях вакцинацию проводят после нормализации температуры;
• Злокачественные заболевания крови и новообразования;
• Беременность и период грудного вскармливания;
• Детский возраст до 18 лет в связи с отсутствием данных по эффективности и безопасности.
Все лица, подлежащие прививкам, должны быть обследованы врачом с учетом анамнестических данных. С целью выявления противопоказаний врач в день прививки проводит опрос и осмотр прививаемых с обязательной термометрией. При температуре выше 37 °С вакцинацию не проводят. [...]
С осторожностью применять при тромбоцитопении, нарушении свертываемости крови.</t>
  </si>
  <si>
    <t>&lt;p&gt;&lt;ul&gt;&lt;li&gt;Гиперчувствительность к какому-либо компоненту вакцины или аллергическая реакция, наблюдающаяся при предыдущем введении вакцины;&lt;/li&gt;
&lt;li&gt;подобно другим вакцинам, введение вакцины ГамЭвак-Комби лицам с острыми тяжелыми лихорадочными заболеваниями следует отложить, обострение хронических заболеваний — вакцинацию проводят через 2-4&amp;nbsp;недели после выздоровления или ремиссии. При нетяжелых ОРВИ, острых инфекционных заболеваниях ЖКТ — вакцинацию проводят после нормализации температуры.&lt;/li&gt;&lt;/ul&gt;&lt;/p&gt;</t>
  </si>
  <si>
    <t>• Гиперчувствительность к какому-либо компоненту вакцины или аллергическая реакция, наблюдающаяся при предыдущем введении вакцины;
• подобно другим вакцинам, введение вакцины ГамЭвак-Комби лицам с острыми тяжелыми лихорадочными заболеваниями следует отложить, обострение хронических заболеваний — вакцинацию проводят через 2-4 недели после выздоровления или ремиссии. При нетяжелых ОРВИ, острых инфекционных заболеваниях ЖКТ — вакцинацию проводят после нормализации температуры.</t>
  </si>
  <si>
    <r>
      <rPr>
        <i/>
        <sz val="10"/>
        <color theme="1"/>
        <rFont val="Arial"/>
      </rPr>
      <t>&lt;p&gt;&lt;i&gt;Временные противопоказания:</t>
    </r>
    <r>
      <rPr>
        <sz val="10"/>
        <color theme="1"/>
        <rFont val="Arial"/>
      </rPr>
      <t xml:space="preserve">&lt;/i&gt;
&lt;ul&gt;&lt;li&gt;острые инфекционные (нестафилококковой этиологии) и неинфекционные заболевания, включая период реконвалесценции;&lt;/li&gt;
&lt;li&gt;хронические заболевания в стадии обострения или декомпенсации;&lt;/li&gt;
&lt;li&gt;распространенная экзема;&lt;/li&gt;
&lt;li&gt;рахит ІІ и ІІІ&amp;nbsp;степени;&lt;/li&gt;
&lt;li&gt;гипотрофия II и III&amp;nbsp;степени.&lt;/li&gt;&lt;/ul&gt;
Лечение вакциной стафилококковой проводят не ранее, чем через месяц после клинического выздоровления (ремиссии).&lt;/p&gt;
</t>
    </r>
    <r>
      <rPr>
        <i/>
        <sz val="10"/>
        <color theme="1"/>
        <rFont val="Arial"/>
      </rPr>
      <t>&lt;p&gt;&lt;i&gt;Постоянные противопоказания:</t>
    </r>
    <r>
      <rPr>
        <sz val="10"/>
        <color theme="1"/>
        <rFont val="Arial"/>
      </rPr>
      <t>&lt;/i&gt;
&lt;ul&gt;&lt;li&gt;детский возраст до 6&amp;nbsp;месяцев;&lt;/li&gt;
&lt;li&gt;болезни печени (хронический гепатит, цирроз печени, токсическое поражение печени, острая и подострая печеночная недостаточность, хроническая печеночная недостаточность);&lt;/li&gt;
&lt;li&gt;болезни почек (хроническая почечная недостаточность, гломерулонефрит);&lt;/li&gt;
&lt;li&gt;гиперчувствительность к компонентам препарата;&lt;/li&gt;
&lt;li&gt;хронический бронхит, неуточненный; бронхиальная астма, астматический бронхит;&lt;/li&gt;
&lt;li&gt;аллергические заболевания;&lt;/li&gt;
&lt;li&gt;отек Квинке;&lt;/li&gt;
&lt;li&gt;болезни эндокринной системы;&lt;/li&gt;
&lt;li&gt;болезни центральной нервной системы.&lt;/li&gt;&lt;/ul&gt;
С целью выявления противопоказаний, врач (фельдшер) в день применения вакцины проводит опрос и осмотр больного с обязательной термометрией. При выявлении повышенной температуры перед первым назначением препарата (более 36,9&amp;nbsp;°C) вакцинация не проводится.&lt;/p&gt;</t>
    </r>
  </si>
  <si>
    <r>
      <rPr>
        <i/>
        <sz val="10"/>
        <color theme="1"/>
        <rFont val="Arial"/>
      </rPr>
      <t>Временные противопоказания:</t>
    </r>
    <r>
      <rPr>
        <sz val="10"/>
        <color theme="1"/>
        <rFont val="Arial"/>
      </rPr>
      <t xml:space="preserve">
• острые инфекционные (нестафилококковой этиологии) и неинфекционные заболевания, включая период реконвалесценции;
• хронические заболевания в стадии обострения или декомпенсации;
• распространенная экзема;
• рахит ІІ и ІІІ степени;
• гипотрофия II и III степени.
Лечение вакциной стафилококковой проводят не ранее, чем через месяц после клинического выздоровления (ремиссии).
</t>
    </r>
    <r>
      <rPr>
        <i/>
        <sz val="10"/>
        <color theme="1"/>
        <rFont val="Arial"/>
      </rPr>
      <t>Постоянные противопоказания:</t>
    </r>
    <r>
      <rPr>
        <sz val="10"/>
        <color theme="1"/>
        <rFont val="Arial"/>
      </rPr>
      <t xml:space="preserve">
• детский возраст до 6 месяцев;
• болезни печени (хронический гепатит, цирроз печени, токсическое поражение печени, острая и подострая печеночная недостаточность, хроническая печеночная недостаточность);
• болезни почек (хроническая почечная недостаточность, гломерулонефрит);
• гиперчувствительность к компонентам препарата;
• хронический бронхит, неуточненный; бронхиальная астма, астматический бронхит;
• аллергические заболевания;
• отек Квинке;
• болезни эндокринной системы;
• болезни центральной нервной системы.
С целью выявления противопоказаний, врач (фельдшер) в день применения вакцины проводит опрос и осмотр больного с обязательной термометрией. При выявлении повышенной температуры перед первым назначением препарата (более 36,9 °C) вакцинация не проводится.</t>
    </r>
  </si>
  <si>
    <r>
      <rPr>
        <sz val="10"/>
        <color theme="1"/>
        <rFont val="Arial"/>
      </rPr>
      <t xml:space="preserve">&lt;p&gt;&lt;ul&gt;&lt;li&gt;Острые инфекции с лихорадкой, не вызванные бактериями </t>
    </r>
    <r>
      <rPr>
        <i/>
        <sz val="10"/>
        <color theme="1"/>
        <rFont val="Arial"/>
      </rPr>
      <t>&lt;i&gt;Pseudomonas aeruginosa.</t>
    </r>
    <r>
      <rPr>
        <sz val="10"/>
        <color theme="1"/>
        <rFont val="Arial"/>
      </rPr>
      <t>&lt;/i&gt;&lt;/li&gt;
&lt;li&gt;Легкие инфекции не являются противопоказанием для использования вакцины.&lt;/li&gt;
&lt;li&gt;Обострение хронического заболевания. В этих случаях вакцинация проводится после достижения ремиссии.&lt;/li&gt;
&lt;li&gt;Беременность и лактация.&lt;/li&gt;
&lt;li&gt;Аллергические реакции на предшествующее введение вакцины или гиперчувствительность к компонентам препарата.&lt;/li&gt;&lt;/ul&gt;&lt;/p&gt;</t>
    </r>
  </si>
  <si>
    <r>
      <rPr>
        <sz val="10"/>
        <color theme="1"/>
        <rFont val="Arial"/>
      </rPr>
      <t xml:space="preserve">• Острые инфекции с лихорадкой, не вызванные бактериями </t>
    </r>
    <r>
      <rPr>
        <i/>
        <sz val="10"/>
        <color theme="1"/>
        <rFont val="Arial"/>
      </rPr>
      <t>Pseudomonas aeruginosa.</t>
    </r>
    <r>
      <rPr>
        <sz val="10"/>
        <color theme="1"/>
        <rFont val="Arial"/>
      </rPr>
      <t xml:space="preserve">
• Легкие инфекции не являются противопоказанием для использования вакцины.
• Обострение хронического заболевания. В этих случаях вакцинация проводится после достижения ремиссии.
• Беременность и лактация.
• Аллергические реакции на предшествующее введение вакцины или гиперчувствительность к компонентам препарата.</t>
    </r>
  </si>
  <si>
    <t>&lt;p&gt;&lt;ul&gt;&lt;li&gt;Острые инфекционные заболевания, хронические заболевания в стадии обострения, аллергические заболевания в стадии обострения (прививки проводят не ранее чем через месяц после выздоровления);&lt;/li&gt;
&lt;li&gt;развитие аллергических реакций на предыдущее введение СПСА-вакцины;&lt;/li&gt;
&lt;li&gt;повышенная чувствительность к компонентам вакцины.&lt;/li&gt;&lt;/ul&gt;
В день прививки вакцинируемые должны быть осмотрены врачом (фельдшером) с обязательной термометрией. При температуре выше 37&amp;nbsp;°С вакцинацию не проводят.&lt;/p&gt;</t>
  </si>
  <si>
    <t>• Острые инфекционные заболевания, хронические заболевания в стадии обострения, аллергические заболевания в стадии обострения (прививки проводят не ранее чем через месяц после выздоровления);
• развитие аллергических реакций на предыдущее введение СПСА-вакцины;
• повышенная чувствительность к компонентам вакцины.
В день прививки вакцинируемые должны быть осмотрены врачом (фельдшером) с обязательной термометрией. При температуре выше 37 °С вакцинацию не проводят.</t>
  </si>
  <si>
    <t>&lt;p&gt;&lt;ul&gt;&lt;li&gt;Гиперчувствительность к действующему веществу или к любым вспомогательным веществам [...].&lt;/li&gt;
&lt;li&gt;Симптомы гиперчувствительности на предыдущее введение вакцины против гепатита В.&lt;/li&gt;
&lt;li&gt;Сильная реакция (температура выше 40&amp;nbsp;°С, в месте введения отек, гиперемия свыше 8&amp;nbsp;см в диаметре) или поствакцинальное осложнение на предшествующее введение препарата.&lt;/li&gt;
&lt;li&gt;Подобно другим вакцинам, введение Вакцины гепатита В рекомбинантной (рДНК) лицам с острыми тяжелыми лихорадочными заболеваниями следует отложить.&lt;/li&gt;
&lt;li&gt;Детский возраст до 1&amp;nbsp;года.&lt;/li&gt;&lt;/ul&gt;&lt;/p&gt;</t>
  </si>
  <si>
    <t>• Гиперчувствительность к действующему веществу или к любым вспомогательным веществам [...].
• Симптомы гиперчувствительности на предыдущее введение вакцины против гепатита В.
• Сильная реакция (температура выше 40 °С, в месте введения отек, гиперемия свыше 8 см в диаметре) или поствакцинальное осложнение на предшествующее введение препарата.
• Подобно другим вакцинам, введение Вакцины гепатита В рекомбинантной (рДНК) лицам с острыми тяжелыми лихорадочными заболеваниями следует отложить.
• Детский возраст до 1 года.</t>
  </si>
  <si>
    <t>&lt;p&gt;&lt;ul&gt;&lt;li&gt;Неврологические расстройства у детей, а также сопровождавшие предшествующую вакцинацию пероральной полиомиелитной вакциной;&lt;/li&gt;
&lt;li&gt;иммунодефицитные состояния;&lt;/li&gt;
&lt;li&gt;аномалии развития кишечника или анатомические аномалии с повышенной опасностью заболевания гемофильной инфекцией;&lt;/li&gt;
&lt;li&gt;онкологические заболевания, в том числе при длительной иммуносупрессивной терапии;&lt;/li&gt;
&lt;li&gt;ВИЧ инфекция, включая детей, рожденных от матерей с ВИЧ инфекцией;&lt;/li&gt;
&lt;li&gt;беременность;&lt;/li&gt;
&lt;li&gt;гиперчувствительность к любому компоненту вакцины;&lt;/li&gt;
&lt;li&gt;сильная реакция (температура выше 40&amp;nbsp;°С) или осложнения на предыдущее введение препарата;&lt;/li&gt;
&lt;li&gt;острые инфекционные или неинфекционные заболевания, обострение хронических заболеваний (прививки проводят через 2-4&amp;nbsp;недели после выздоровления или ремиссии). При нетяжелых ОРВИ, острых кишечных заболеваниях прививки проводят после нормализации температуры.&lt;/li&gt;&lt;/ul&gt;
В случае предстоящей плановой операции прививки следует провести не позже, чем за 1&amp;nbsp;месяц до операции. При оперативном вмешательстве по экстренным показаниям иммунизацию не следует проводить раньше, чем через 3-4&amp;nbsp;недели после операции.&lt;/p&gt;</t>
  </si>
  <si>
    <t>• Неврологические расстройства у детей, а также сопровождавшие предшествующую вакцинацию пероральной полиомиелитной вакциной;
• иммунодефицитные состояния;
• аномалии развития кишечника или анатомические аномалии с повышенной опасностью заболевания гемофильной инфекцией;
• онкологические заболевания, в том числе при длительной иммуносупрессивной терапии;
• ВИЧ инфекция, включая детей, рожденных от матерей с ВИЧ инфекцией;
• беременность;
• гиперчувствительность к любому компоненту вакцины;
• сильная реакция (температура выше 40 °С) или осложнения на предыдущее введение препарата;
• острые инфекционные или неинфекционные заболевания, обострение хронических заболеваний (прививки проводят через 2-4 недели после выздоровления или ремиссии). При нетяжелых ОРВИ, острых кишечных заболеваниях прививки проводят после нормализации температуры.
В случае предстоящей плановой операции прививки следует провести не позже, чем за 1 месяц до операции. При оперативном вмешательстве по экстренным показаниям иммунизацию не следует проводить раньше, чем через 3-4 недели после операции.</t>
  </si>
  <si>
    <t>&lt;p&gt;Перечень заболеваний, являющихся противопоказанием к прививкам по эпидемическим показаниям, определяет Минздравсоцразвития РФ.&lt;/p&gt;
&lt;p&gt;Лица, подлежащие плановой прививке, должны быть предварительно обследованы врачом с обязательной термометрией.&lt;br&gt;
При проведении плановых прививок лицам, работающим с вирусами натуральной оспы, вакцины и оспы животных, патогенными для человека, необходимо соблюдать следующие противопоказания:
&lt;ul&gt;&lt;li&gt;Первичные иммунодефициты — Противопоказаны.&lt;/li&gt;
&lt;li&gt;Острые заболевания (инфекционные, неинфекционные), включая период реконвалесценции — Не ранее 2&amp;nbsp;месяцев после выздоровления.&lt;br&gt;
Вирусные гепатиты — Не ранее 6&amp;nbsp;месяцев после выздоровления.&lt;br&gt;
Менингококковая инфекция — Не ранее 6&amp;nbsp;месяцев после выздоровления.&lt;br&gt;
Инфекционные заболевания с затяжным и хроническим течением (сепсис, дизентерия) — Не ранее 6&amp;nbsp;месяцев после выздоровления.&lt;/li&gt;&lt;/ul&gt;
Примечание — при контакте с инфекционными больными в семье, учреждении и т.д. прививки проводятся по окончании срока карантина или максимального срока инкубационного периода для данного заболевания.
&lt;ul&gt;&lt;li&gt;Лечение стероидами, антиметаболитами, рентгенотерапия — Не ранее 12&amp;nbsp;месяцев после окончания терапии.&lt;/li&gt;
&lt;li&gt;Туберкулез (легочный и внелегочный) — По окончанию активной фазы.&lt;/li&gt;
&lt;li&gt;Хроническая пневмония — Не ранее 12&amp;nbsp;месяцев с момента ремиссии.&lt;/li&gt;
&lt;li&gt;Аллергические заболевания:&lt;br&gt;
-&amp;nbsp;бронхиальная астма — Не ранее 12&amp;nbsp;месяцев с момента ремиссии;&lt;br&gt;
-&amp;nbsp;астматический бронхит, астматический синдром (на фоне респираторной инфекции) — Не ранее 6&amp;nbsp;месяцев после выздоровления.&lt;/li&gt;
&lt;li&gt;Аллергические реакции в анамнезе:&lt;br&gt;
-&amp;nbsp;тяжелые анафилактические реакции (шок, ангионевротический отек гортани и др.) на пищевые, лекарственные и другие аллергены — Противопоказаны;&lt;br&gt;
-&amp;nbsp;аллергические реакции на отдельные аллергены (сыпи, клинические расстройства и пр.) — Не ранее 6&amp;nbsp;месяцев после реакции по заключению аллерголога.&lt;/li&gt;
&lt;li&gt;Заболевания кожи:&lt;br&gt;
-&amp;nbsp;хронические распространенные дерматозы с частыми обострениями (пузырчатка, псориаз, экзема, нейродермит) — Противопоказаны;&lt;br&gt;
-&amp;nbsp;гнойничковые заболевания — Не ранее 2&amp;nbsp;месяцев после выздоровления;&lt;br&gt;
-&amp;nbsp;ожоги — После выздоровления.&lt;/li&gt;
&lt;li&gt;Нервные и психические заболевания:&lt;br&gt;
-&amp;nbsp;травмы ЦНС с выраженными остаточными явлениями, поствакцинальный энцефалит в анамнезе, эпилепсия с постоянными припадками, хронические и рецидивирующие прогредиентные энцефалиты, демиелинизирующие и дегенеративные поражения нервной системы (мышечная дегенерация, прогрессирующая мышечная дистрофия и пр.), инсульт — Противопоказаны;&lt;br&gt;
-&amp;nbsp;эпилепсия с редкими припадками, фебрильные судороги, травмы ЦНС без остаточных явлений — Не ранее 12&amp;nbsp;месяцев после последнего припадка или выздоровления на фоне антисудорожной терапии;&lt;br&gt;
-&amp;nbsp;инфекционные заболевания ЦНС в виде менингитов, энцефалитов полирадикулоневритов любой этиологии (в т.ч. менингококковой) — Не ранее 2&amp;nbsp;лет после выздоровления.&lt;/li&gt;&lt;/ul&gt;
Примечание — Прививки данного контингента проводят после обследования невропатологом.
&lt;ul&gt;&lt;li&gt;Болезни ротовой полости, уха, горла и носа:&lt;br&gt;
-&amp;nbsp;заболевания ротовой полости, полости носа (риниты, пародонтоз, стоматиты, синуситы), глотки и гортани (ангины, фарингиты и ларингиты) — Не ранее 2 месяцев (после операции или санации);&lt;br&gt;
-&amp;nbsp;хронический тонзиллит и аденоидит, требующие оперативного лечения — Не ранее 2&amp;nbsp;месяцев (после операции или санации);&lt;br&gt;
-&amp;nbsp;хронический отит — Не ранее 3 месяцев с момента ремиссии.&lt;/li&gt;
&lt;li&gt;Болезни сердечно-сосудистой системы:&lt;br&gt;
-&amp;nbsp;декомпенсированные пороки сердца, подострый септический эндокардит, гипертоническая болезнь 3&amp;nbsp;ст., тяжелые формы стенокардии и инфаркта миокарда — Противопоказаны;&lt;br&gt;
-&amp;nbsp;ревматизм — Не ранее 3&amp;nbsp;лет с момента ремиссии по заключению ревматолога;&lt;br&gt;
-&amp;nbsp;миокардиты, васкулиты, инфаркт миокарда и стенокардия (легкие формы), гипертоническая болезнь 1 и 2&amp;nbsp;ст., пороки сердца в стадии компенсации — Не ранее 6&amp;nbsp;месяцев после выздоровления (ремиссии) по заключению специалиста.&lt;/li&gt;
&lt;li&gt;Болезни печени и поджелудочной железы:&lt;br&gt;
-&amp;nbsp;цирроз печени, хронический гепатит, гепатоцеллюлярная дистрофия, острый и хронический панкреатит — Противопоказаны;&lt;br&gt;
-&amp;nbsp;заболевания желчевыводящих путей — Не ранее 6&amp;nbsp;месяцев после выздоровления (при условии санации желчи).&lt;/li&gt;
&lt;li&gt;Язвенная болезнь желудка и 12-перстной кишки, нецифический язвенный колит — В стадии ремиссии.&lt;/li&gt;
&lt;li&gt;Болезни почек:&lt;br&gt;
-&amp;nbsp;гломерулонефрит, нефропатии, хроническая почечная недостаточность — Противопоказаны;&lt;br&gt;
-&amp;nbsp;пиелонефрит — Не ранее 1&amp;nbsp;года с момента клинико-лабораторной ремиссии;&lt;br&gt;
-&amp;nbsp;токсические нефропатии (транзиторные) — Не ранее 6&amp;nbsp;месяцев после выздоровления.&lt;/li&gt;
&lt;li&gt;Болезни эндокринной системы:&lt;br&gt;
-&amp;nbsp;сахарный диабет, тяжелые формы тиреотоксикоза и недостаточности (или дисфункции) надпочечников, микседема, тимомегалия — Противопоказаны.&lt;/li&gt;
&lt;li&gt;Болезни крови:&lt;br&gt;
-&amp;nbsp;лейкозы, лимфогрануломатоз, апластическая анемия, гемофилия, болезнь Верльгофа — Противопоказаны;&lt;/br&gt;
-&amp;nbsp;геморрагический васкулит (капилляротоксикоз), гемолитические состояния — Не ранее 2&amp;nbsp;лет с момента полной клинико-лабороторной ремиссии по заключению специалиста;&lt;br&gt;
- &amp;nbsp;анемии дефицитные — После выздоровления;&lt;br&gt;
-&amp;nbsp;вторичные иммунодефициты — После выздоровления.&lt;/li&gt;
&lt;li&gt;Системные заболевания соединительной ткани — Противопоказаны.&lt;/li&gt;
&lt;li&gt;Беременность (все сроки) — Противопоказаны.&lt;/li&gt;
&lt;li&gt;Оперативное вмешательство —  Не ранее 2&amp;nbsp;месяцев после выздоровления.&lt;/li&gt;
&lt;li&gt;Злокачественные новообразования — Противопоказаны.&lt;/li&gt;&lt;/ul&gt;
Не следует проводить прививку при повреждении (нарушении целостности) слизистой рта, поскольку в этих случаях могут развиться осложненные реакции (папулы, везикулы, эрозии).&lt;/p&gt;</t>
  </si>
  <si>
    <t>Перечень заболеваний, являющихся противопоказанием к прививкам по эпидемическим показаниям, определяет Минздравсоцразвития РФ.
Лица, подлежащие плановой прививке, должны быть предварительно обследованы врачом с обязательной термометрией.
При проведении плановых прививок лицам, работающим с вирусами натуральной оспы, вакцины и оспы животных, патогенными для человека, необходимо соблюдать следующие противопоказания:
• Первичные иммунодефициты — Противопоказаны.
• Острые заболевания (инфекционные, неинфекционные), включая период реконвалесценции — Не ранее 2 месяцев после выздоровления.
Вирусные гепатиты — Не ранее 6 месяцев после выздоровления.
Менингококковая инфекция — Не ранее 6 месяцев после выздоровления.
Инфекционные заболевания с затяжным и хроническим течением (сепсис, дизентерия) — Не ранее 6 месяцев после выздоровления.
Примечание — при контакте с инфекционными больными в семье, учреждении и т.д. прививки проводятся по окончании срока карантина или максимального срока инкубационного периода для данного заболевания.
• Лечение стероидами, антиметаболитами, рентгенотерапия — Не ранее 12 месяцев после окончания терапии.
• Туберкулез (легочный и внелегочный) — По окончанию активной фазы.
• Хроническая пневмония — Не ранее 12 месяцев с момента ремиссии.
• Аллергические заболевания:
— бронхиальная астма — Не ранее 12 месяцев с момента ремиссии; 
— астматический бронхит, астматический синдром (на фоне респираторной инфекции) — Не ранее 6 месяцев после выздоровления.
• Аллергические реакции в анамнезе:
— тяжелые анафилактические реакции (шок, ангионевротический отек гортани и др.) на пищевые, лекарственные и другие аллергены — Противопоказаны;
— аллергические реакции на отдельные аллергены (сыпи, клинические расстройства и пр.) — Не ранее 6 месяцев после реакции по заключению аллерголога.
• Заболевания кожи:
— хронические распространенные дерматозы с частыми обострениями (пузырчатка, псориаз, экзема, нейродермит) — Противопоказаны;
— гнойничковые заболевания — Не ранее 2 месяцев после выздоровления;
— ожоги — После выздоровления.
• Нервные и психические заболевания:
— травмы ЦНС с выраженными остаточными явлениями, поствакцинальный энцефалит в анамнезе, эпилепсия с постоянными припадками, хронические и рецидивирующие прогредиентные энцефалиты, демиелинизирующие и дегенеративные поражения нервной системы (мышечная дегенерация, прогрессирующая мышечная дистрофия и пр.), инсульт — Противопоказаны;
— эпилепсия с редкими припадками, фебрильные судороги, травмы ЦНС без остаточных явлений — Не ранее 12 месяцев после последнего припадка или выздоровления на фоне антисудорожной терапии;
— инфекционные заболевания ЦНС в виде менингитов, энцефалитов полирадикулоневритов любой этиологии (в т.ч. менингококковой) — Не ранее 2 лет после выздоровления.
Примечание — Прививки данного контингента проводят после обследования невропатологом.
• Болезни ротовой полости, уха, горла и носа:
— заболевания ротовой полости, полости носа (риниты, пародонтоз, стоматиты, синуситы), глотки и гортани (ангины, фарингиты и ларингиты) — Не ранее 2 месяцев (после операции или санации);
— хронический тонзиллит и аденоидит, требующие оперативного лечения — Не ранее 2 месяцев (после операции или санации);
— хронический отит — Не ранее 3 месяцев с момента ремиссии.
• Болезни сердечно-сосудистой системы:
— декомпенсированные пороки сердца, подострый септический эндокардит, гипертоническая болезнь 3 ст., тяжелые формы стенокардии и инфаркта миокарда — Противопоказаны;
— ревматизм — Не ранее 3 лет с момента ремиссии по заключению ревматолога;
— миокардиты, васкулиты, инфаркт миокарда и стенокардия (легкие формы), гипертоническая болезнь 1 и 2 ст., пороки сердца в стадии компенсации — Не ранее 6 месяцев после выздоровления (ремиссии) по заключению специалиста.
• Болезни печени и поджелудочной железы: 
— цирроз печени, хронический гепатит, гепатоцеллюлярная дистрофия, острый и хронический панкреатит — Противопоказаны;
— заболевания желчевыводящих путей — Не ранее 6 месяцев после выздоровления (при условии санации желчи).
• Язвенная болезнь желудка и 12-перстной кишки, нецифический язвенный колит — В стадии ремиссии.
• Болезни почек:
— гломерулонефрит, нефропатии, хроническая почечная недостаточность — Противопоказаны;
— пиелонефрит — Не ранее 1 года с момента клинико-лабораторной ремиссии;
— токсические нефропатии (транзиторные) — Не ранее 6 месяцев после выздоровления.
• Болезни эндокринной системы:
— сахарный диабет, тяжелые формы тиреотоксикоза и недостаточности (или дисфункции) надпочечников, микседема, тимомегалия — Противопоказаны.
• Болезни крови:
— лейкозы, лимфогрануломатоз, апластическая анемия, гемофилия, болезнь Верльгофа — Противопоказаны;
— геморрагический васкулит (капилляротоксикоз), гемолитические состояния — Не ранее 2 лет с момента полной клинико-лабороторной ремиссии по заключению специалиста;
—  анемии дефицитные — После выздоровления;
— вторичные иммунодефициты — После выздоровления.
• Системные заболевания соединительной ткани — Противопоказаны.
• Беременность (все сроки) — Противопоказаны.
• Оперативное вмешательство —  Не ранее 2 месяцев после выздоровления.
• Злокачественные новообразования — Противопоказаны.
Не следует проводить прививку при повреждении (нарушении целостности) слизистой рта, поскольку в этих случаях могут развиться осложненные реакции (папулы, везикулы, эрозии).</t>
  </si>
  <si>
    <t>&lt;p&gt;&lt;ul&gt;&lt;li&gt;Активная форма туберкулеза (исключается в результате изучения анамнеза и, при необходимости, постановки необходимых диагностических тестов).&lt;/li&gt;
&lt;li&gt;Повышенная чувствительность к любому компоненту препарата.&lt;/li&gt;
&lt;li&gt;Врожденный или приобретенный иммунодефицит в результате сопутствующих заболеваний (например, СПИД, лейкемия, лимфома), лечения онкологических заболеваний (например, терапии цитостатиками, проведения лучевой терапии) или проведения иммуносупрессивной терапии (например, глюкокортикостероидами).&lt;/li&gt;
&lt;li&gt;Облучение мочевого пузыря в анамнезе.&lt;/li&gt;
&lt;li&gt;Инфекции мочевого пузыря и мочевыводящих путей в активной фазе.&lt;/li&gt;
&lt;li&gt;Перфорация мочевого пузыря.&lt;/li&gt;
&lt;li&gt;Беременность и период грудного вскармливания.&lt;/li&gt;
&lt;li&gt;Детский возраст (отсутствие достаточных данных по эффективности и безопасности у этой группы пациентов).&lt;/li&gt;&lt;/ul&gt;
Терапию БЦЖ можно начинать не ранее чем через 2-3&amp;nbsp;недели после трансуретральной резекции мочевого пузыря (ТУР), биопсии мочевого пузыря или травматичной катетеризации (в зависимости от скорости заживления раны).&lt;/p&gt;</t>
  </si>
  <si>
    <t>• Активная форма туберкулеза (исключается в результате изучения анамнеза и, при необходимости, постановки необходимых диагностических тестов).
• Повышенная чувствительность к любому компоненту препарата.
• Врожденный или приобретенный иммунодефицит в результате сопутствующих заболеваний (например, СПИД, лейкемия, лимфома), лечения онкологических заболеваний (например, терапии цитостатиками, проведения лучевой терапии) или проведения иммуносупрессивной терапии (например, глюкокортикостероидами).
• Облучение мочевого пузыря в анамнезе.
• Инфекции мочевого пузыря и мочевыводящих путей в активной фазе.
• Перфорация мочевого пузыря.
• Беременность и период грудного вскармливания.
• Детский возраст (отсутствие достаточных данных по эффективности и безопасности у этой группы пациентов).
Терапию БЦЖ можно начинать не ранее чем через 2-3 недели после трансуретральной резекции мочевого пузыря (ТУР), биопсии мочевого пузыря или травматичной катетеризации (в зависимости от скорости заживления раны).</t>
  </si>
  <si>
    <t>&lt;p&gt;&lt;ul&gt;&lt;li&gt;Аллергические реакции на куриные яйца и гиперчувствительность к куриному белку.&lt;/li&gt;
&lt;li&gt;Реакция или поствакцинальное осложнение на предыдущее введение сезонных противогриппозных вакцин.&lt;/li&gt;
&lt;li&gt;Острые инфекционные и неинфекционные заболевания, хронические заболевания в стадии обострения — прививки проводят не ранее чем через месяц после выздоровления (ремиссии). При нетяжелых ОРВИ, острых кишечных заболеваниях вакцинацию проводят после нормализации температуры.&lt;/li&gt;
&lt;li&gt;Системные диффузные заболевания соединительной ткани.&lt;/li&gt;
&lt;li&gt;Заболевания надпочечников.&lt;/li&gt;
&lt;li&gt;Наследственные, дегенеративные и прогредиентные заболевания нервной системы.&lt;/li&gt;
&lt;li&gt;Беременность и лактация.&lt;/li&gt;&lt;/ul&gt;
Возможность вакцинации лиц, страдающих хроническими заболеваниями, не указанными в перечне противопоказаний, определяет лечащий врач, исходя из состояния больного.&lt;/p&gt;</t>
  </si>
  <si>
    <t>• Аллергические реакции на куриные яйца и гиперчувствительность к куриному белку.
• Реакция или поствакцинальное осложнение на предыдущее введение сезонных противогриппозных вакцин.
• Острые инфекционные и неинфекционные заболевания, хронические заболевания в стадии обострения — прививки проводят не ранее чем через месяц после выздоровления (ремиссии). При нетяжелых ОРВИ, острых кишечных заболеваниях вакцинацию проводят после нормализации температуры.
• Системные диффузные заболевания соединительной ткани.
• Заболевания надпочечников.
• Наследственные, дегенеративные и прогредиентные заболевания нервной системы.
• Беременность и лактация.
Возможность вакцинации лиц, страдающих хроническими заболеваниями, не указанными в перечне противопоказаний, определяет лечащий врач, исходя из состояния больного.</t>
  </si>
  <si>
    <t>&lt;p&gt;&lt;ul&gt;&lt;li&gt;Аллергические реакции на куриный белок и компоненты вакцины.&lt;/li&gt;
&lt;li&gt;Острые инфекционные и неинфекционные заболевания, обострение хронических заболеваний являются временными противопоказаниями для проведения прививок.&lt;/li&gt;
&lt;li&gt;Сильная реакция или поствакцинальное осложнение на предыдущее введение препарата.&lt;/li&gt;&lt;/ul&gt;
Плановые прививки проводятся через 2-4&amp;nbsp;недели после выздоровления или в период ремиссии. При нетяжелых ОРВИ, острых кишечных заболеваниях и др. прививки проводятся сразу после нормализации температуры.&lt;/p&gt;</t>
  </si>
  <si>
    <t>• Аллергические реакции на куриный белок и компоненты вакцины.
•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 Сильная реакция или поствакцинальное осложнение на предыдущее введение препарата.
Плановые прививки проводятся через 2-4 недели после выздоровления или в период ремиссии. При нетяжелых ОРВИ, острых кишечных заболеваниях и др. прививки проводятся сразу после нормализации температуры.</t>
  </si>
  <si>
    <t>&lt;p&gt;&lt;ul&gt;&lt;li&gt;Аллергические реакции на компоненты вакцины.&lt;/li&gt;
&lt;li&gt;Острые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2-4&amp;nbsp;недели после выздоровления или в период ремиссии. При нетяжелых ОРВИ, острых кишечных заболеваниях и др. прививки проводятся сразу после нормализации температуры.&lt;/li&gt;&lt;/ul&gt;&lt;/p&gt;</t>
  </si>
  <si>
    <t>• Аллергические реакции на компоненты вакцины.
• Острые инфекционные и неинфекционные заболевания, обострение хронических заболеваний являются временными противопоказаниями для проведения прививок. Плановые прививки проводятся через 2-4 недели после выздоровления или в период ремиссии. При нетяжелых ОРВИ, острых кишечных заболеваниях и др. прививки проводятся сразу после нормализации температуры.</t>
  </si>
  <si>
    <t>&lt;p&gt;&lt;ul&gt;&lt;li&gt;Гиперчувствительность к действующему веществу или к любому из вспомогательных веществ [...].&lt;/li&gt;
&lt;li&gt;Подобно другим вакцинам, введение вакцины ИНФЛЮВИР лицам с острыми тяжелыми лихорадочными заболеваниями следует отложить.&lt;/li&gt;
&lt;li&gt;Хронические заболевания в стадии обострения или декомпенсации.&lt;/li&gt;
&lt;li&gt;Анафилактическая реакции на белок куриного яйца (овальбумин).&lt;/li&gt;
&lt;li&gt;Сильная реакция или поствакцинальное осложнение на предыдущее введение вакцины.&lt;/li&gt;
&lt;li&gt;Иммунодефицитные состояния, иммуносупрессия, иммуносупрессивная терапия при злокачественных новообразованиях.&lt;/li&gt;
&lt;li&gt;Ринит.&lt;/li&gt;
&lt;li&gt;Беременность.&lt;/li&gt;
&lt;li&gt;Период грудного вскармливания.&lt;/li&gt;
&lt;li&gt;Возраст до 18&amp;nbsp;лет и старше 60&amp;nbsp;лет.&lt;/li&gt;&lt;/ul&gt;&lt;/p&gt;</t>
  </si>
  <si>
    <t>• Гиперчувствительность к действующему веществу или к любому из вспомогательных веществ [...].
• Подобно другим вакцинам, введение вакцины ИНФЛЮВИР лицам с острыми тяжелыми лихорадочными заболеваниями следует отложить.
• Хронические заболевания в стадии обострения или декомпенсации.
• Анафилактическая реакции на белок куриного яйца (овальбумин).
• Сильная реакция или поствакцинальное осложнение на предыдущее введение вакцины.
• Иммунодефицитные состояния, иммуносупрессия, иммуносупрессивная терапия при злокачественных новообразованиях.
• Ринит.
• Беременность.
• Период грудного вскармливания.
• Возраст до 18 лет и старше 60 лет.</t>
  </si>
  <si>
    <t>&lt;p&gt;&lt;ul&gt;&lt;li&gt;Гиперчувствительность к действующим веществам или другим компонентам вакцины [...].&lt;/li&gt;
&lt;li&gt;Анафилактические реакции на белок куриного яйца.&lt;/li&gt;
&lt;li&gt;Сильные поствакцинальные реакции (температура выше 40&amp;nbsp;°С, появление в месте введения вакцины отека, гиперемии свыше 8&amp;nbsp;см в диаметре) или серьезные нежелательные реакции после иммунизации (анафилаксия) на предыдущее введение вакцины гриппозной.&lt;/li&gt;
&lt;li&gt;Беременность и период грудного вскармливания.&lt;/li&gt;
&lt;li&gt;Возраст до 18&amp;nbsp;лет.&lt;/li&gt;&lt;/ul&gt;
Подобно другим вакцинам, введение вакцины ПАНДЕФЛЮ лицам с острыми тяжелыми лихорадочными заболеваниями следует отложить.&lt;br&gt;
Возможность вакцинации лиц, страдающих хроническими заболеваниями, не указанными в перечне противопоказаний, определяет лечащий врач, исходя из состояния больного.&lt;/p&gt;</t>
  </si>
  <si>
    <t>• Гиперчувствительность к действующим веществам или другим компонентам вакцины [...].
• Анафилактические реакции на белок куриного яйца.
• Сильные поствакцинальные реакции (температура выше 40 °С, появление в месте введения вакцины отека, гиперемии свыше 8 см в диаметре) или серьезные нежелательные реакции после иммунизации (анафилаксия) на предыдущее введение вакцины гриппозной.
• Беременность и период грудного вскармливания.
• Возраст до 18 лет.
Подобно другим вакцинам, введение вакцины ПАНДЕФЛЮ лицам с острыми тяжелыми лихорадочными заболеваниями следует отложить.
Возможность вакцинации лиц, страдающих хроническими заболеваниями, не указанными в перечне противопоказаний, определяет лечащий врач, исходя из состояния больного.</t>
  </si>
  <si>
    <t>&lt;p&gt;&lt;ul&gt;&lt;li&gt;Гиперчувствительность к действующим веществам или к любому из вспомогательных веществ [...].&lt;/li&gt;
&lt;li&gt;Анафилактическая реакция на белок куриного яйца (овальбумин).&lt;/li&gt;
&lt;li&gt;Подобно другим вакцинам, введение вакцины Ультравак лицам с острыми тяжелыми лихорадочными заболеваниями следует отложить.&lt;/li&gt;
&lt;li&gt;Хронические заболевания в стадии обострения или декомпенсации.&lt;/li&gt;
&lt;li&gt;Сильная реакция или поствакцинальное осложнение на предыдущее введение вакцины.&lt;/li&gt;
&lt;li&gt;Иммунодефицитные состояния, иммуносупрессия, иммуносупрессивная терапия при злокачественных новообразованиях.&lt;/li&gt;
&lt;li&gt;Ринит.&lt;/li&gt;
&lt;li&gt;Беременность.&lt;/li&gt;
&lt;li&gt;Период грудного вскармливания.&lt;/li&gt;&lt;/ul&gt;&lt;/p&gt;</t>
  </si>
  <si>
    <t>• Гиперчувствительность к действующим веществам или к любому из вспомогательных веществ [...].
• Анафилактическая реакция на белок куриного яйца (овальбумин).
• Подобно другим вакцинам, введение вакцины Ультравак лицам с острыми тяжелыми лихорадочными заболеваниями следует отложить.
• Хронические заболевания в стадии обострения или декомпенсации.
• Сильная реакция или поствакцинальное осложнение на предыдущее введение вакцины.
• Иммунодефицитные состояния, иммуносупрессия, иммуносупрессивная терапия при злокачественных новообразованиях.
• Ринит.
• Беременность.
• Период грудного вскармливания.</t>
  </si>
  <si>
    <t>&lt;p&gt;&lt;ul&gt;&lt;li&gt;Герпетическая инфекция в активной стадии (рецидив). Вакцинацию проводят не ранее, чем через 2&amp;nbsp;недели после исчезновения клинических проявлений; при офтальмогерпесе — не ранее, чем через 1&amp;nbsp;месяц.&lt;/li&gt;
&lt;li&gt;Острые инфекционные и неинфекционные заболевания, включая период реконвалесценции. Вакцинацию проводят не ранее, чем через 30&amp;nbsp;дней после выздоровления.&lt;/li&gt;
&lt;li&gt;Хронические и аллергические заболевания в стадии обострения или декомпенсации (бронхиальная астма, крапивница и др.). Вакцинацию можно проводить не ранее, чем через 1&amp;nbsp;месяц после начала ремиссии.&lt;/li&gt;
&lt;li&gt;Злокачественные новообразования.&lt;/li&gt;
&lt;li&gt;Беременность и период грудного вскармливания.&lt;/li&gt;
&lt;li&gt;Аллергия к гентамицину и другим антибиотикам группы аминогликозидов, а также белку куриного яйца.&lt;/li&gt;&lt;/ul&gt;&lt;/p&gt;</t>
  </si>
  <si>
    <t>• Герпетическая инфекция в активной стадии (рецидив). Вакцинацию проводят не ранее, чем через 2 недели после исчезновения клинических проявлений; при офтальмогерпесе — не ранее, чем через 1 месяц.
• Острые инфекционные и неинфекционные заболевания, включая период реконвалесценции. Вакцинацию проводят не ранее, чем через 30 дней после выздоровления.
• Хронические и аллергические заболевания в стадии обострения или декомпенсации (бронхиальная астма, крапивница и др.). Вакцинацию можно проводить не ранее, чем через 1 месяц после начала ремиссии.
• Злокачественные новообразования.
• Беременность и период грудного вскармливания.
• Аллергия к гентамицину и другим антибиотикам группы аминогликозидов, а также белку куриного яйца.</t>
  </si>
  <si>
    <t>&lt;p&gt;&lt;ul&gt;&lt;li&gt;Гиперчувствительность к действующим веществам или другим компонентам вакцины [...].&lt;/li&gt;
&lt;li&gt;Подобно другим вакцинам, введение вакцины Ультрагривак лицам с острыми тяжелыми лихорадочными заболеваниями следует отложить.&lt;/li&gt;
&lt;li&gt;Сильная реакция или поствакцинальное осложнение на предыдущее введение интраназальной вакцины против гриппа.&lt;/li&gt;
&lt;li&gt;Хронические заболевания в стадии обострения или декомпенсации.&lt;/li&gt;
&lt;li&gt;Анафилктическая реакция на белок куриновго яйца (овальбумин).&lt;/li&gt;
&lt;li&gt;Реакция или поствакцинальное осложнение на предыдущее введение вакцины сезонных противогриппозных вакцин.&lt;/li&gt;
&lt;li&gt;Иммунодефицитные состояния (превичное), иммуносупрессия, иммуносупрессивная терапия при злокачественных новообразованиях.&lt;/li&gt;
&lt;li&gt;Заболевания носоглотки в стадии обострения.&lt;/li&gt;
&lt;li&gt;Беременность.&lt;/li&gt;
&lt;li&gt;Период грудного вскармливания.&lt;/li&gt;&lt;/ul&gt;&lt;/p&gt;</t>
  </si>
  <si>
    <t>• Гиперчувствительность к действующим веществам или другим компонентам вакцины [...].
• Подобно другим вакцинам, введение вакцины Ультрагривак лицам с острыми тяжелыми лихорадочными заболеваниями следует отложить.
• Сильная реакция или поствакцинальное осложнение на предыдущее введение интраназальной вакцины против гриппа.
• Хронические заболевания в стадии обострения или декомпенсации.
• Анафилктическая реакция на белок куриновго яйца (овальбумин).
• Реакция или поствакцинальное осложнение на предыдущее введение вакцины сезонных противогриппозных вакцин.
• Иммунодефицитные состояния (превичное), иммуносупрессия, иммуносупрессивная терапия при злокачественных новообразованиях.
• Заболевания носоглотки в стадии обострения.
• Беременность.
• Период грудного вскармливания.</t>
  </si>
  <si>
    <t>&lt;p&gt;&lt;ul&gt;&lt;li&gt;Гиперчувствительность к действующему веществу или другим компонентам вакцины [...].&lt;/li&gt;
&lt;li&gt;Острые инфекционные и неинфекционные заболевания, хронические заболевания в стадии обострения — прививки проводят не ранее чем через месяц после выздоровления (ремиссии). При нетяжелых ОРВИ, острых кишечных заболеваниях вакцинацию проводят после нормализации температуры.&lt;/li&gt;
&lt;li&gt;Повышенная чувствительность к куриному белку.&lt;/li&gt;
&lt;li&gt;Системные заболевания соединительной ткани.&lt;/li&gt;
&lt;li&gt;Заболевания надпочечников.&lt;/li&gt;
&lt;li&gt;Сильная реакция или поствакцинальное осложнение на предыдущее введение вакцины.&lt;/li&gt;
&lt;li&gt;Детский возраст до 18&amp;nbsp;лет.&lt;/li&gt;
&lt;li&gt;Наследственные, дегенеративные и прогредиентные заболевания нервной системы.&lt;/li&gt;&lt;/ul&gt;
Возможность вакцинации лиц, страдающих хроническими заболеваниями, не указанными в перечне противопоказаний, определяет лечащий врач, исходя из состояния больного.&lt;br&gt;
Все лица, подлежащие прививкам, должны быть обследованы врачом с учетом анамнестических данных. В день прививки вакцинируемые должны быть осмотрены врачом с обязательной термометрией. При температуре выше 37&amp;nbsp;°С прививки не проводят.&lt;/p&gt;</t>
  </si>
  <si>
    <t>• Гиперчувствительность к действующему веществу или другим компонентам вакцины [...].
• Острые инфекционные и неинфекционные заболевания, хронические заболевания в стадии обострения — прививки проводят не ранее чем через месяц после выздоровления (ремиссии). При нетяжелых ОРВИ, острых кишечных заболеваниях вакцинацию проводят после нормализации температуры.
• Повышенная чувствительность к куриному белку.
• Системные заболевания соединительной ткани.
• Заболевания надпочечников.
• Сильная реакция или поствакцинальное осложнение на предыдущее введение вакцины.
• Детский возраст до 18 лет.
• Наследственные, дегенеративные и прогредиентные заболевания нервной системы.
Возможность вакцинации лиц, страдающих хроническими заболеваниями, не указанными в перечне противопоказаний, определяет лечащий врач, исходя из состояния больного.
Все лица, подлежащие прививкам, должны быть обследованы врачом с учетом анамнестических данных. В день прививки вакцинируемые должны быть осмотрены врачом с обязательной термометрией. При температуре выше 37 °С прививки не проводят.</t>
  </si>
  <si>
    <t>&lt;p&gt;&lt;ul&gt;&lt;li&gt;Иммунодефицитные состояния (первичные), злокачественные заболевания крови и новообразования;&lt;/li&gt;
&lt;li&gt;Беременность;&lt;/li&gt;
&lt;li&gt;Гиперчувствительность к веществам, входящим в состав вакцины;&lt;/li&gt;
&lt;li&gt;Острые инфекционные и обострение хронических заболеваний.&lt;/li&gt;&lt;/ul&gt;
В случае острых и обострения хронических заболеваний вакцинацию проводят не ранее, чем через 1&amp;nbsp;месяц после выздоровления (ремиссии). При легко протекающих инфекционных заболеваниях (диарея, ОРВИ и др.) вакцинация может быть проведена после нормализации температуры.&lt;br&gt;
ВИЧ-ифицированные дети могут быть иммунизированы вакциной против краснухи.&lt;/p&gt;</t>
  </si>
  <si>
    <t>• Иммунодефицитные состояния (первичные), злокачественные заболевания крови и новообразования;
• Беременность;
• Гиперчувствительность к веществам, входящим в состав вакцины;
• Острые инфекционные и обострение хронических заболеваний.
В случае острых и обострения хронических заболеваний вакцинацию проводят не ранее, чем через 1 месяц после выздоровления (ремиссии). При легко протекающих инфекционных заболеваниях (диарея, ОРВИ и др.) вакцинация может быть проведена после нормализации температуры.
ВИЧ-ифицированные дети могут быть иммунизированы вакциной против краснухи.</t>
  </si>
  <si>
    <t>&lt;p&gt;&lt;ul&gt;&lt;li&gt;Гиперчувствительность к действующему веществу или к любому из вспомогательных веществ [...] или к формальдегиду.&lt;/li&gt;
&lt;li&gt;Сильные поствакцинальные реакции (температура выше 40&amp;nbsp;ºС, появление в месте введения вакцины отека, гиперемии свыше 8&amp;nbsp;см в диаметре) или серьезные нежелательные реакции после иммунизации (анафилаксия) на предыдущее введение анатоксина ботулинического или столбнячного.&lt;/li&gt;
&lt;li&gt;Подобно другим вакцинам, введение Тетраанатоксина очищенного адсорбированного лицам с острыми тяжелыми лихорадочными заболеваниями следует отложить.&lt;/li&gt;
&lt;li&gt;Болезни эндокринной системы.&lt;/li&gt;
&lt;li&gt;Болезни системы кровообращения.&lt;/li&gt;
&lt;li&gt;Бронхиальная астма и другие аллергические заболевания, тяжелые аллергические реакции на пищевые продукты, лекарственные и другие вещества.&lt;/li&gt;
&lt;li&gt;Системная красная волчанка и другие заболевания соединительной ткани.&lt;/li&gt;
&lt;li&gt;Возраст до 16&amp;nbsp;лет.&lt;/li&gt;
&lt;li&gt;Беременность, период грудного вскармливания.&lt;/li&gt;&lt;/ul&gt;&lt;/p&gt;</t>
  </si>
  <si>
    <t>• Гиперчувствительность к действующему веществу или к любому из вспомогательных веществ [...] или к формальдегиду.
• Сильные поствакцинальные реакции (температура выше 40 ºС, появление в месте введения вакцины отека, гиперемии свыше 8 см в диаметре) или серьезные нежелательные реакции после иммунизации (анафилаксия) на предыдущее введение анатоксина ботулинического или столбнячного.
• Подобно другим вакцинам, введение Тетраанатоксина очищенного адсорбированного лицам с острыми тяжелыми лихорадочными заболеваниями следует отложить.
• Болезни эндокринной системы.
• Болезни системы кровообращения.
• Бронхиальная астма и другие аллергические заболевания, тяжелые аллергические реакции на пищевые продукты, лекарственные и другие вещества.
• Системная красная волчанка и другие заболевания соединительной ткани.
• Возраст до 16 лет.
• Беременность, период грудного вскармливания.</t>
  </si>
  <si>
    <t>&lt;p&gt;&lt;ul&gt;&lt;li&gt;Острые инфекционные и неинфекционные заболевания, обострение хронических заболеваний (применение препарата возможно не ранее, чем через месяц после выздоровления или ремиссии);&lt;/li&gt;
&lt;li&gt;хронические заболевания в стадии декомпенсации;&lt;/li&gt;
&lt;li&gt;аллергические заболевания;&lt;/li&gt;
&lt;li&gt;гиперчувствительность к компонентам препарата;&lt;/li&gt;
&lt;li&gt;тимомегалия;&lt;/li&gt;
&lt;li&gt;заболевания крови;&lt;/li&gt;
&lt;li&gt;злокачественные новообразования;&lt;/li&gt;
&lt;li&gt;детский возраст до 18&amp;nbsp;лет (в связи с отсутствием данных по эффективности и безопасности);&lt;/li&gt;
&lt;li&gt;беременность и период грудного вскармливания.&lt;/li&gt;&lt;/ul&gt;&lt;/p&gt;</t>
  </si>
  <si>
    <t>• Острые инфекционные и неинфекционные заболевания, обострение хронических заболеваний (применение препарата возможно не ранее, чем через месяц после выздоровления или ремиссии);
• хронические заболевания в стадии декомпенсации;
• аллергические заболевания;
• гиперчувствительность к компонентам препарата;
• тимомегалия;
• заболевания крови;
• злокачественные новообразования;
• детский возраст до 18 лет (в связи с отсутствием данных по эффективности и безопасности);
• беременность и период грудного вскармливания.</t>
  </si>
  <si>
    <t>&lt;p&gt;&lt;ul&gt;&lt;li&gt;Острые инфекционные и неинфекционные заболевания не стафилококковой этиологии;&lt;/li&gt;
&lt;li&gt;хронические заболевания не стафилококковой этиологии в стадии обострения или декомпенсации — применение лекарственного препарата проводят не ранее чем через 1&amp;nbsp;месяц после выздоровления (ремиссии);&lt;/li&gt;
&lt;li&gt;гиперчувствительность к компонентам лекарственного препарата;&lt;/li&gt;
&lt;li&gt;беременность, период грудного вскармливания.&lt;/li&gt;&lt;/ul&gt;
Анатоксин стафилококковый очищенный не рекомендуется для применения у детей в связи с отсутствием данных по эффективности и безопасности.&lt;/p&gt;</t>
  </si>
  <si>
    <t>• Острые инфекционные и неинфекционные заболевания не стафилококковой этиологии;
• хронические заболевания не стафилококковой этиологии в стадии обострения или декомпенсации — применение лекарственного препарата проводят не ранее чем через 1 месяц после выздоровления (ремиссии);
• гиперчувствительность к компонентам лекарственного препарата;
• беременность, период грудного вскармливания.
Анатоксин стафилококковый очищенный не рекомендуется для применения у детей в связи с отсутствием данных по эффективности и безопасности.</t>
  </si>
  <si>
    <t>&lt;p&gt;&lt;ul&gt;&lt;li&gt;Ранее перенесенный туберкулез.&lt;/li&gt;
&lt;li&gt;Размер местной реакции на внутрикожное введение туберкулина в дозе 2&amp;nbsp;ТЕ (проба Манту) 17&amp;nbsp;мм и более.&lt;/li&gt;
&lt;li&gt;Иммунодефицитные состояния (первичные и вторичные).&lt;/li&gt;
&lt;li&gt;Острый цистит или макрогематурия (до исчезновения клинических проявлений).&lt;/li&gt;
&lt;li&gt;Тяжелые сопутствующие заболевания в стадии декомпенсации.&lt;/li&gt;
&lt;li&gt;Травматическая катетеризация или появление крови после катетеризации мочевого пузыря являются противопоказаниями для инстилляции БЦЖ в данный день.&lt;br&gt;
&lt;li&gt;Возраст до 18&amp;nbsp;лет (в связи с отсутствием данных по эффективности и безопасности).&lt;/li&gt;
&lt;li&gt;Беременность и период грудного вскармливания.&lt;/li&gt;
&lt;li&gt;Гиперчувствительность к действующему веществу.&lt;/li&gt;&lt;/ul&gt;&lt;/p&gt;</t>
  </si>
  <si>
    <t>• Ранее перенесенный туберкулез.
• Размер местной реакции на внутрикожное введение туберкулина в дозе 2 ТЕ (проба Манту) 17 мм и более.
• Иммунодефицитные состояния (первичные и вторичные).
• Острый цистит или макрогематурия (до исчезновения клинических проявлений).
• Тяжелые сопутствующие заболевания в стадии декомпенсации.
• Травматическая катетеризация или появление крови после катетеризации мочевого пузыря являются противопоказаниями для инстилляции БЦЖ в данный день.
• Возраст до 18 лет (в связи с отсутствием данных по эффективности и безопасности).
• Беременность и период грудного вскармливания.
• Гиперчувствительность к действующему веществу.</t>
  </si>
  <si>
    <t>&lt;p&gt;&lt;ul&gt;&lt;li&gt;Анафилактическая реакция на предыдущее введение вакцины Гексаксим;&lt;/li&gt;
&lt;li&gt;гиперчувствительность к действующим веществам или вспомогательным веществам вакцины [...], к следовым количествам глутаральдегида, формальдегида, неомицина, стрептомицина и полимиксина В, к любой вакцине против коклюша или при предыдущем введении вакцины Гексаксим, или вакцины, содержащей такие же компоненты или составляющие;&lt;/li&gt;
&lt;li&gt;энцефалопатия неизвестной этиологии, развившаяся в течение 7&amp;nbsp;дней после введения любой вакцины, содержащей коклюшный компонент (цельноклеточный или ацеллюлярный). В этом случае вакцинацию против коклюша следует прекратить, и курс вакцинации продолжать только вакцинами против дифтерии, столбняка, гепатита В, полиомиелита и инвазивного заболевания, вызываемого &lt;i&gt;Haemophilus influenzae&lt;/i&gt; тип &lt;i&gt;b&lt;/i&gt;;&lt;/li&gt;
&lt;li&gt;прогрессирующее неврологическое расстройство, неконтролируемая эпилепсия, прогрессирующая энцефалопатия. В таких случаях вакцину против коклюша не следует назначать этим лицам, пока не будет подобрана схема лечения, до стабилизации состояния и до заключения о том, что польза при ее применении явно превышает риск;&lt;/li&gt;
&lt;li&gt;острые инфекционные и неинфекционные заболевания, обострение хронических заболеваний являются временными противопоказаниями для проведения вакцинации. Небольшое повышение температуры тела не является противопоказанием.&lt;/li&gt;&lt;/ul&gt;
В каждой дозе вакцины Гексаксим содержится 85&amp;nbsp;мкг фенилаланина. Фенилаланин может быть вреден для людей с фенилкетонурией.&lt;/p&gt;</t>
  </si>
  <si>
    <r>
      <rPr>
        <sz val="10"/>
        <color theme="1"/>
        <rFont val="Arial"/>
      </rPr>
      <t xml:space="preserve">• Анафилактическая реакция на предыдущее введение вакцины Гексаксим;
• гиперчувствительность к действующим веществам или вспомогательным веществам вакцины [...], к следовым количествам глутаральдегида, формальдегида, неомицина, стрептомицина и полимиксина В, к любой вакцине против коклюша или при предыдущем введении вакцины Гексаксим, или вакцины, содержащей такие же компоненты или составляющие;
• энцефалопатия неизвестной этиологии, развившаяся в течение 7 дней после введения любой вакцины, содержащей коклюшный компонент (цельноклеточный или ацеллюлярный). В этом случае вакцинацию против коклюша следует прекратить, и курс вакцинации продолжать только вакцинами против дифтерии, столбняка, гепатита В, полиомиелита и инвазивного заболевания, вызываемого </t>
    </r>
    <r>
      <rPr>
        <i/>
        <sz val="10"/>
        <color theme="1"/>
        <rFont val="Arial"/>
      </rPr>
      <t>Haemophilus influenzae</t>
    </r>
    <r>
      <rPr>
        <sz val="10"/>
        <color theme="1"/>
        <rFont val="Arial"/>
      </rPr>
      <t xml:space="preserve"> тип </t>
    </r>
    <r>
      <rPr>
        <i/>
        <sz val="10"/>
        <color theme="1"/>
        <rFont val="Arial"/>
      </rPr>
      <t>b</t>
    </r>
    <r>
      <rPr>
        <sz val="10"/>
        <color theme="1"/>
        <rFont val="Arial"/>
      </rPr>
      <t>;
• прогрессирующее неврологическое расстройство, неконтролируемая эпилепсия, прогрессирующая энцефалопатия. В таких случаях вакцину против коклюша не следует назначать этим лицам, пока не будет подобрана схема лечения, до стабилизации состояния и до заключения о том, что польза при ее применении явно превышает риск;
• острые инфекционные и неинфекционные заболевания, обострение хронических заболеваний являются временными противопоказаниями для проведения вакцинации. Небольшое повышение температуры тела не является противопоказанием.
В каждой дозе вакцины Гексаксим содержится 85 мкг фенилаланина. Фенилаланин может быть вреден для людей с фенилкетонурией.</t>
    </r>
  </si>
  <si>
    <t>&lt;p&gt;&lt;ul&gt;&lt;li&gt;Гиперчувствительность к компонентам лекарственного препарата;&lt;/li&gt;
&lt;li&gt;тяжелые аллергические реакции в анамнезе;&lt;/li&gt;
&lt;li&gt;острые инфекционные и неинфекционные заболевания;&lt;/li&gt;
&lt;li&gt;обострение хронических заболеваний, вакцинацию проводят через 2-4&amp;nbsp;недели после выздоровления или ремиссии. При нетяжелых ОРВИ, острых инфекционных заболеваниях ЖКТ — вакцинацию проводят после нормализации температуры;&lt;/li&gt;
&lt;li&gt;беременность и период грудного вскармливания;&lt;/li&gt;
&lt;li&gt;возраст до 18&amp;nbsp;лет и старше 55&amp;nbsp;лет (в связи с отсутствием данных об эффективности и безопасности у лиц младше 18&amp;nbsp;лет и старше 55&amp;nbsp;лет).&lt;/li&gt;&lt;/ul&gt;&lt;/p&gt;</t>
  </si>
  <si>
    <t>• Гиперчувствительность к компонентам лекарственного препарата;
• тяжелые аллергические реакции в анамнезе;
• острые инфекционные и неинфекционные заболевания;
• обострение хронических заболеваний, вакцинацию проводят через 2-4 недели после выздоровления или ремиссии. При нетяжелых ОРВИ, острых инфекционных заболеваниях ЖКТ — вакцинацию проводят после нормализации температуры;
• беременность и период грудного вскармливания;
• возраст до 18 лет и старше 55 лет (в связи с отсутствием данных об эффективности и безопасности у лиц младше 18 лет и старше 55 лет).</t>
  </si>
  <si>
    <t>&lt;p&gt;&lt;ul&gt;&lt;li&gt;Цегардекс не следует вводить лицам с известной гиперчувствительностью к любому компоненту вакцины [...], лицам с анафилактическими реакциями после предшествующего введения данной вакцины или вакцины, содержащей те же компоненты.&lt;/li&gt;
&lt;li&gt;Подобно другим вакцинам, введение Цегардекс лицам с острыми тяжелыми лихорадочными заболеваниями следует отложить.&lt;/li&gt;&lt;/ul&gt;&lt;/p&gt;</t>
  </si>
  <si>
    <t>• Цегардекс не следует вводить лицам с известной гиперчувствительностью к любому компоненту вакцины [...], лицам с анафилактическими реакциями после предшествующего введения данной вакцины или вакцины, содержащей те же компоненты.
• Подобно другим вакцинам, введение Цегардекс лицам с острыми тяжелыми лихорадочными заболеваниями следует отложить.</t>
  </si>
  <si>
    <t>&lt;p&gt;&lt;ul&gt;&lt;li&gt;Известная гиперчувствительность к действующим веществам, к любому из вспомогательных веществ вакцины [...], или анафилактические реакции после предшествующего введения данной вакцины или вакцины, содержащей те же компоненты.&lt;/li&gt;
&lt;li&gt;Подобно другим вакцинам, введение вакцины МЕНВЭЙД лицам с острыми тяжелыми лихорадочными заболеваниями следует отложить (в этих случаях вакцинацию проводят после выздоровления или в стадии ремиссии).&lt;/li&gt;&lt;/ul&gt;&lt;/p&gt;</t>
  </si>
  <si>
    <t>• Известная гиперчувствительность к действующим веществам, к любому из вспомогательных веществ вакцины [...], или анафилактические реакции после предшествующего введения данной вакцины или вакцины, содержащей те же компоненты.
• Подобно другим вакцинам, введение вакцины МЕНВЭЙД лицам с острыми тяжелыми лихорадочными заболеваниями следует отложить (в этих случаях вакцинацию проводят после выздоровления или в стадии ремиссии).</t>
  </si>
  <si>
    <r>
      <rPr>
        <sz val="10"/>
        <color theme="1"/>
        <rFont val="Arial"/>
      </rPr>
      <t>&lt;p&gt;</t>
    </r>
    <r>
      <rPr>
        <b/>
        <sz val="10"/>
        <color theme="1"/>
        <rFont val="Arial"/>
      </rPr>
      <t xml:space="preserve">&lt;b&gt;При предэкспозиционной иммунизации:&lt;/b&gt;
</t>
    </r>
    <r>
      <rPr>
        <sz val="10"/>
        <color theme="1"/>
        <rFont val="Arial"/>
      </rPr>
      <t>&lt;ul&gt;&lt;li&gt;Острые инфекционные заболевания или обострение хронических заболеваний (вакцинация проводится не ранее чем через 2&amp;nbsp;недели после выздоровления).&lt;/li&gt;
&lt;li&gt;Тяжелые реакции гиперчувствительности на антибиотики (неомицин, хлортетрациклин и амфотерицин B) и компоненты, входящие в состав вакцины Хирораб, в анамнезе.&lt;/li&gt;
&lt;li&gt;Осложнения, в том числе системные аллергические реакции, развившиеся после предшествующего введения вакцины Хирораб, в анамнезе.&lt;/li&gt;
&lt;li&gt;Беременность.&lt;/li&gt;&lt;/ul&gt;&lt;br&gt;&lt;br&gt;</t>
    </r>
    <r>
      <rPr>
        <b/>
        <sz val="10"/>
        <color theme="1"/>
        <rFont val="Arial"/>
      </rPr>
      <t xml:space="preserve">
&lt;b&gt;При постэкспозиционной иммунизации:</t>
    </r>
    <r>
      <rPr>
        <sz val="10"/>
        <color theme="1"/>
        <rFont val="Arial"/>
      </rPr>
      <t>&lt;/b&gt;&lt;br&gt;</t>
    </r>
    <r>
      <rPr>
        <b/>
        <sz val="10"/>
        <color theme="1"/>
        <rFont val="Arial"/>
      </rPr>
      <t xml:space="preserve">
</t>
    </r>
    <r>
      <rPr>
        <sz val="10"/>
        <color theme="1"/>
        <rFont val="Arial"/>
      </rPr>
      <t>Поскольку заболевание бешенством приводит к&amp;nbsp;летальному исходу, противопоказания для постэкспозиционной иммунизации отсутствуют. [...] Беременность и грудное вскармливание не являются противопоказанием для постэкспозиционной иммунизации.&lt;/p&gt;</t>
    </r>
  </si>
  <si>
    <r>
      <rPr>
        <b/>
        <sz val="10"/>
        <color theme="1"/>
        <rFont val="Arial"/>
      </rPr>
      <t xml:space="preserve">При предэкспозиционной иммунизации:
</t>
    </r>
    <r>
      <rPr>
        <sz val="10"/>
        <color theme="1"/>
        <rFont val="Arial"/>
      </rPr>
      <t xml:space="preserve">• Острые инфекционные заболевания или обострение хронических заболеваний (вакцинация проводится не ранее чем через 2 недели после выздоровления).
• Тяжелые реакции гиперчувствительности на антибиотики (неомицин, хлортетрациклин и амфотерицин B) и компоненты, входящие в состав вакцины Хирораб, в анамнезе.
• Осложнения, в том числе системные аллергические реакции, развившиеся после предшествующего введения вакцины Хирораб, в анамнезе.
• Беременность.
</t>
    </r>
    <r>
      <rPr>
        <b/>
        <sz val="10"/>
        <color theme="1"/>
        <rFont val="Arial"/>
      </rPr>
      <t xml:space="preserve">При постэкспозиционной иммунизации: 
</t>
    </r>
    <r>
      <rPr>
        <sz val="10"/>
        <color theme="1"/>
        <rFont val="Arial"/>
      </rPr>
      <t>Поскольку заболевание бешенством приводит к летальному исходу, противопоказания для постэкспозиционной иммунизации отсутствуют. [...] Беременность и грудное вскармливание не являются противопоказанием для постэкспозиционной иммунизации.</t>
    </r>
  </si>
  <si>
    <t>&lt;p&gt;Гиперчувствительность к действующим веществам препарата, к любому из вспомогательных веществ [...], к дифтерийному анатоксину.&lt;/p&gt;</t>
  </si>
  <si>
    <t>Гиперчувствительность к действующим веществам препарата, к любому из вспомогательных веществ [...], к дифтерийному анатоксину.</t>
  </si>
  <si>
    <t>&lt;p&gt;&lt;ul&gt;&lt;li&gt;Гиперчувствительность к действующим веществам и к любому из вспомогательных веществ [...] или к формальдегиду.&lt;/li&gt;
&lt;li&gt;Сильная реакция, развившаяся на предыдущее введение аАКДС-М (повышение температуры в первые двое суток до 40&amp;nbsp;°С и выше, появление в месте введения отека и покраснения кожи свыше 8&amp;nbsp;см в диаметре), при условии соблюдения техники инъекции или осложнения на предыдущее введение аАКДС-М вакцины или вакцины, содержащей такие же вещества.&lt;/li&gt;
&lt;li&gt;Тяжелые заболевания, поражающие головной мозг (прогрессирующие неврологические заболевания, неконтролируемая эпилепсия или прогрессирующая энцефалопатия).&lt;/li&gt;
&lt;li&gt;Энцефалопатия, развившаяся в течение 7&amp;nbsp;дней после введения любой вакцины от коклюша (с бесклеточным или цельноклеточным коклюшным компонентом).&lt;/li&gt;
&lt;li&gt;Подобно другим вакцинам, введение вакцины аАКДС-М лицам с острыми тяжелыми лихорадочными заболеваниями следует отложить.&lt;/li&gt;&lt;/ul&gt;&lt;/p&gt;</t>
  </si>
  <si>
    <t>• Гиперчувствительность к действующим веществам и к любому из вспомогательных веществ [...] или к формальдегиду.
• Сильная реакция, развившаяся на предыдущее введение аАКДС-М (повышение температуры в первые двое суток до 40 °С и выше, появление в месте введения отека и покраснения кожи свыше 8 см в диаметре), при условии соблюдения техники инъекции или осложнения на предыдущее введение аАКДС-М вакцины или вакцины, содержащей такие же вещества.
• Тяжелые заболевания, поражающие головной мозг (прогрессирующие неврологические заболевания, неконтролируемая эпилепсия или прогрессирующая энцефалопатия).
• Энцефалопатия, развившаяся в течение 7 дней после введения любой вакцины от коклюша (с бесклеточным или цельноклеточным коклюшным компонентом).
• Подобно другим вакцинам, введение вакцины аАКДС-М лицам с острыми тяжелыми лихорадочными заболеваниями следует отложить.</t>
  </si>
  <si>
    <t>&lt;p&gt;Гиперчувствительность к действующим веществам или к любому из вспомогательных веществ.&lt;/p&gt;</t>
  </si>
  <si>
    <t>• Гиперчувствительность к действующим веществам или к любому из вспомогательных веществ.</t>
  </si>
  <si>
    <t>routes_of_administration_text</t>
  </si>
  <si>
    <t>routes_of_administration_date</t>
  </si>
  <si>
    <t>routes_of_administration_view_number</t>
  </si>
  <si>
    <t>routes_of_administration_version</t>
  </si>
  <si>
    <t>routes_of_administration_version_link</t>
  </si>
  <si>
    <t>routes_of_administration_text_wo_html</t>
  </si>
  <si>
    <r>
      <rPr>
        <sz val="10"/>
        <color theme="1"/>
        <rFont val="Arial"/>
      </rPr>
      <t>&lt;p&gt;Вакцину БЦЖ вводят &lt;b&gt;</t>
    </r>
    <r>
      <rPr>
        <b/>
        <sz val="10"/>
        <color theme="1"/>
        <rFont val="Arial"/>
      </rPr>
      <t>строго&amp;nbsp;внутрикожно</t>
    </r>
    <r>
      <rPr>
        <sz val="10"/>
        <color theme="1"/>
        <rFont val="Arial"/>
      </rPr>
      <t>&lt;/b&gt; на границе верхней и средней трети наружной поверхности плеча. Введение &lt;b&gt;</t>
    </r>
    <r>
      <rPr>
        <b/>
        <sz val="10"/>
        <color theme="1"/>
        <rFont val="Arial"/>
      </rPr>
      <t>подкожно, внутримышечно и внутривенно недопустимо&lt;/b&gt;</t>
    </r>
    <r>
      <rPr>
        <sz val="10"/>
        <color theme="1"/>
        <rFont val="Arial"/>
      </rPr>
      <t xml:space="preserve">. Нарушение техники внутрикожного введения препарата может служить причиной возникновения серьезных нежелательных реакций [...].&lt;br&gt;&lt;br&gt;
Для введения вакцины используют левое плечо, однако, если введение в левое плечо невозможно, например, при наличии особенностей строения кожи в предполагаемом месте инъекции (например, аплазия, гемангиома и т.п.), перелома левой ключицы и по другим причинам, допускается введение в правое плечо. Изменение места введения вакцины следует зафиксировать в медицинских документах, в том числе, в прививочном сертификате.&lt;br&gt;&lt;br&gt;
Кожу в месте введения предварительно обрабатывают 70% этиловым спиртом. Иглу вводят срезом вверх </t>
    </r>
    <r>
      <rPr>
        <b/>
        <sz val="10"/>
        <color theme="1"/>
        <rFont val="Arial"/>
      </rPr>
      <t>&lt;b&gt;в&amp;nbsp;поверхностный слой натянутой кожи&lt;/b&gt;</t>
    </r>
    <r>
      <rPr>
        <sz val="10"/>
        <color theme="1"/>
        <rFont val="Arial"/>
      </rPr>
      <t>. Сначала вводят незначительное количество вакцины, чтобы убедиться, что игла вошла точно внутрикожно, а затем всю дозу препарата (всего 0,1&amp;nbsp;мл). При правильной технике введения должна образоваться папула беловатого цвета диаметром 7-9&amp;nbsp;мм, исчезающая обычно через 15-20&amp;nbsp;мин.&lt;/p&gt;</t>
    </r>
  </si>
  <si>
    <r>
      <rPr>
        <sz val="10"/>
        <color theme="1"/>
        <rFont val="Arial"/>
      </rPr>
      <t xml:space="preserve">Вакцину БЦЖ вводят </t>
    </r>
    <r>
      <rPr>
        <b/>
        <sz val="10"/>
        <color theme="1"/>
        <rFont val="Arial"/>
      </rPr>
      <t>строго внутрикожно</t>
    </r>
    <r>
      <rPr>
        <sz val="10"/>
        <color theme="1"/>
        <rFont val="Arial"/>
      </rPr>
      <t xml:space="preserve"> на границе верхней и средней трети наружной поверхности плеча. Введение </t>
    </r>
    <r>
      <rPr>
        <b/>
        <sz val="10"/>
        <color theme="1"/>
        <rFont val="Arial"/>
      </rPr>
      <t>подкожно, внутримышечно и внутривенно недопустимо</t>
    </r>
    <r>
      <rPr>
        <sz val="10"/>
        <color theme="1"/>
        <rFont val="Arial"/>
      </rPr>
      <t xml:space="preserve">. Нарушение техники внутрикожного введения препарата может служить причиной возникновения серьезных нежелательных реакций [...]. 
Для введения вакцины используют левое плечо, однако, если введение в левое плечо невозможно, например, при наличии особенностей строения кожи в предполагаемом месте инъекции (например, аплазия, гемангиома и т.п.), перелома левой ключицы и по другим причинам, допускается введение в правое плечо. Изменение места введения вакцины следует зафиксировать в медицинских документах, в том числе, в прививочном сертификате.
Кожу в месте введения предварительно обрабатывают 70% этиловым спиртом. Иглу вводят срезом вверх в </t>
    </r>
    <r>
      <rPr>
        <b/>
        <sz val="10"/>
        <color theme="1"/>
        <rFont val="Arial"/>
      </rPr>
      <t>поверхностный слой натянутой кожи</t>
    </r>
    <r>
      <rPr>
        <sz val="10"/>
        <color theme="1"/>
        <rFont val="Arial"/>
      </rPr>
      <t>. Сначала вводят незначительное количество вакцины, чтобы убедиться, что игла вошла точно внутрикожно, а затем всю дозу препарата (всего 0,1 мл). При правильной технике введения должна образоваться папула беловатого цвета диаметром 7-9 мм, исчезающая обычно через 15-20 мин.</t>
    </r>
  </si>
  <si>
    <r>
      <rPr>
        <sz val="10"/>
        <color theme="1"/>
        <rFont val="Arial"/>
      </rPr>
      <t>&lt;p&gt;Вакцину БЦЖ-М вводят &lt;b&gt;</t>
    </r>
    <r>
      <rPr>
        <b/>
        <sz val="10"/>
        <color theme="1"/>
        <rFont val="Arial"/>
      </rPr>
      <t>строго&amp;nbsp;внутрикожно</t>
    </r>
    <r>
      <rPr>
        <sz val="10"/>
        <color theme="1"/>
        <rFont val="Arial"/>
      </rPr>
      <t>&lt;/b&gt; на границе верхней и средней трети наружной поверхности плеча. Введение &lt;b&gt;</t>
    </r>
    <r>
      <rPr>
        <b/>
        <sz val="10"/>
        <color theme="1"/>
        <rFont val="Arial"/>
      </rPr>
      <t>подкожно, внутримышечно и внутривенно недопустимо&lt;/b&gt;</t>
    </r>
    <r>
      <rPr>
        <sz val="10"/>
        <color theme="1"/>
        <rFont val="Arial"/>
      </rPr>
      <t xml:space="preserve">. Нарушение техники внутрикожного введения препарата может служить причиной возникновения серьезных нежелательных реакций [...].&lt;br&gt;&lt;br&gt;
Для введения вакцины используют левое плечо, однако, если введение в левое плечо невозможно, например, при наличии особенностей строения кожи в предполагаемом месте инъекции (например, аплазия, гемангиома и т.п.), перелома левой ключицы и по другим причинам, допускается введение в правое плечо. Изменение места введения вакцины следует зафиксировать в медицинских документах, в том числе, в прививочном сертификате.&lt;br&gt;&lt;br&gt;
Кожу в месте введения предварительно обрабатывают 70% этиловым спиртом. Иглу вводят срезом вверх </t>
    </r>
    <r>
      <rPr>
        <b/>
        <sz val="10"/>
        <color theme="1"/>
        <rFont val="Arial"/>
      </rPr>
      <t>&lt;b&gt;в&amp;nbsp;поверхностный слой натянутой кожи&lt;/b&gt;</t>
    </r>
    <r>
      <rPr>
        <sz val="10"/>
        <color theme="1"/>
        <rFont val="Arial"/>
      </rPr>
      <t>. Сначала вводят незначительное количество вакцины, чтобы убедиться, что игла вошла точно внутрикожно, а затем всю дозу препарата (всего 0,1&amp;nbsp;мл). При правильной технике введения должна образоваться папула беловатого цвета диаметром 7-9&amp;nbsp;мм, исчезающая обычно через 15-20&amp;nbsp;мин.&lt;/p&gt;</t>
    </r>
  </si>
  <si>
    <r>
      <rPr>
        <sz val="10"/>
        <color theme="1"/>
        <rFont val="Arial"/>
      </rPr>
      <t xml:space="preserve">Вакцину БЦЖ-М вводят </t>
    </r>
    <r>
      <rPr>
        <b/>
        <sz val="10"/>
        <color theme="1"/>
        <rFont val="Arial"/>
      </rPr>
      <t>строго внутрикожно</t>
    </r>
    <r>
      <rPr>
        <sz val="10"/>
        <color theme="1"/>
        <rFont val="Arial"/>
      </rPr>
      <t xml:space="preserve"> на границе верхней и средней трети наружной поверхности плеча. Введение </t>
    </r>
    <r>
      <rPr>
        <b/>
        <sz val="10"/>
        <color theme="1"/>
        <rFont val="Arial"/>
      </rPr>
      <t>подкожно, внутримышечно и внутривенно недопустимо</t>
    </r>
    <r>
      <rPr>
        <sz val="10"/>
        <color theme="1"/>
        <rFont val="Arial"/>
      </rPr>
      <t xml:space="preserve">. Нарушение техники внутрикожного введения препарата может служить причиной возникновения серьезных нежелательных реакций [...]. 
Для введения вакцины используют левое плечо, однако, если введение в левое плечо невозможно, например, при наличии особенностей строения кожи в предполагаемом месте инъекции (например, аплазия, гемангиома и т.п.), перелома левой ключицы и по другим причинам, допускается введение в правое плечо. Изменение места введения вакцины следует зафиксировать в медицинских документах, в том числе, в прививочном сертификате.
Кожу в месте введения предварительно обрабатывают 70% этиловым спиртом. Иглу вводят срезом вверх в </t>
    </r>
    <r>
      <rPr>
        <b/>
        <sz val="10"/>
        <color theme="1"/>
        <rFont val="Arial"/>
      </rPr>
      <t>поверхностный слой натянутой кожи</t>
    </r>
    <r>
      <rPr>
        <sz val="10"/>
        <color theme="1"/>
        <rFont val="Arial"/>
      </rPr>
      <t>. Сначала вводят незначительное количество вакцины, чтобы убедиться, что игла вошла точно внутрикожно, а затем всю дозу препарата (всего 0,1 мл). При правильной технике введения должна образоваться папула беловатого цвета диаметром 7-9 мм, исчезающая обычно через 15-20 мин.</t>
    </r>
  </si>
  <si>
    <r>
      <rPr>
        <sz val="10"/>
        <color theme="1"/>
        <rFont val="Arial"/>
      </rPr>
      <t>&lt;p&gt;Лекарственный препарат «Вакцина БЦЖ» вводят &lt;b&gt;</t>
    </r>
    <r>
      <rPr>
        <b/>
        <sz val="10"/>
        <color theme="1"/>
        <rFont val="Arial"/>
      </rPr>
      <t>строго внутрикожно&lt;/b&gt;</t>
    </r>
    <r>
      <rPr>
        <sz val="10"/>
        <color theme="1"/>
        <rFont val="Arial"/>
      </rPr>
      <t xml:space="preserve"> на границе верхней и средней трети наружной поверхности левого плеча. [...] Иглу вводят срезом вверх в &lt;b&gt;</t>
    </r>
    <r>
      <rPr>
        <b/>
        <sz val="10"/>
        <color theme="1"/>
        <rFont val="Arial"/>
      </rPr>
      <t>поверхностный слой натянутой кожи&lt;/b&gt;</t>
    </r>
    <r>
      <rPr>
        <sz val="10"/>
        <color theme="1"/>
        <rFont val="Arial"/>
      </rPr>
      <t>.&lt;br&gt;
Введение лекарственного препарата &lt;b&gt;</t>
    </r>
    <r>
      <rPr>
        <b/>
        <sz val="10"/>
        <color theme="1"/>
        <rFont val="Arial"/>
      </rPr>
      <t>под кожу недопустимо</t>
    </r>
    <r>
      <rPr>
        <sz val="10"/>
        <color theme="1"/>
        <rFont val="Arial"/>
      </rPr>
      <t>&lt;/b&gt;, так как при этом образуется холодный абсцесс.&lt;/p&gt;</t>
    </r>
  </si>
  <si>
    <r>
      <rPr>
        <sz val="10"/>
        <color theme="1"/>
        <rFont val="Arial"/>
      </rPr>
      <t xml:space="preserve">Лекарственный препарат «Вакцина БЦЖ» вводят </t>
    </r>
    <r>
      <rPr>
        <b/>
        <sz val="10"/>
        <color theme="1"/>
        <rFont val="Arial"/>
      </rPr>
      <t>строго внутрикожно</t>
    </r>
    <r>
      <rPr>
        <sz val="10"/>
        <color theme="1"/>
        <rFont val="Arial"/>
      </rPr>
      <t xml:space="preserve"> на границе верхней и средней трети наружной поверхности левого плеча. [...] Иглу вводят срезом вверх в </t>
    </r>
    <r>
      <rPr>
        <b/>
        <sz val="10"/>
        <color theme="1"/>
        <rFont val="Arial"/>
      </rPr>
      <t>поверхностный слой натянутой кожи</t>
    </r>
    <r>
      <rPr>
        <sz val="10"/>
        <color theme="1"/>
        <rFont val="Arial"/>
      </rPr>
      <t xml:space="preserve">.
Введение лекарственного препарата </t>
    </r>
    <r>
      <rPr>
        <b/>
        <sz val="10"/>
        <color theme="1"/>
        <rFont val="Arial"/>
      </rPr>
      <t>под кожу недопустимо</t>
    </r>
    <r>
      <rPr>
        <sz val="10"/>
        <color theme="1"/>
        <rFont val="Arial"/>
      </rPr>
      <t>, так как при этом образуется холодный абсцесс.</t>
    </r>
  </si>
  <si>
    <r>
      <rPr>
        <sz val="10"/>
        <color theme="1"/>
        <rFont val="Arial"/>
      </rPr>
      <t>&lt;p&gt;Лекарственный препарат «Вакцина туберкулезная для щадящей первичной иммунизации (БЦЖ-М)» вводят &lt;b&gt;</t>
    </r>
    <r>
      <rPr>
        <b/>
        <sz val="10"/>
        <color theme="1"/>
        <rFont val="Arial"/>
      </rPr>
      <t>строго внутрикожно&lt;/b&gt;</t>
    </r>
    <r>
      <rPr>
        <sz val="10"/>
        <color theme="1"/>
        <rFont val="Arial"/>
      </rPr>
      <t xml:space="preserve"> на границе верхней и средней трети наружной поверхности левого плеча. [...] Иглу вводят срезом вверх &lt;b&gt;</t>
    </r>
    <r>
      <rPr>
        <b/>
        <sz val="10"/>
        <color theme="1"/>
        <rFont val="Arial"/>
      </rPr>
      <t>в поверхностный слой натянутой кожи&lt;/b&gt;</t>
    </r>
    <r>
      <rPr>
        <sz val="10"/>
        <color theme="1"/>
        <rFont val="Arial"/>
      </rPr>
      <t>. Сначала вводят незначительное количество лекарственного препарата, чтобы убедиться, что игла вошла точно внутрикожно, а затем всю дозу лекарственного препарата (всего 0,1&amp;nbsp;мл). При правильной технике введения должна образоваться папула беловатого цвета диаметром 7—9&amp;nbsp;мм, исчезающая обычно в течение 15—20&amp;nbsp;мин.&lt;/p&gt;</t>
    </r>
  </si>
  <si>
    <r>
      <rPr>
        <sz val="10"/>
        <color theme="1"/>
        <rFont val="Arial"/>
      </rPr>
      <t xml:space="preserve">Лекарственный препарат «Вакцина туберкулезная для щадящей первичной иммунизации (БЦЖ-М)» вводят </t>
    </r>
    <r>
      <rPr>
        <b/>
        <sz val="10"/>
        <color theme="1"/>
        <rFont val="Arial"/>
      </rPr>
      <t>строго внутрикожно</t>
    </r>
    <r>
      <rPr>
        <sz val="10"/>
        <color theme="1"/>
        <rFont val="Arial"/>
      </rPr>
      <t xml:space="preserve"> на границе верхней и средней трети наружной поверхности левого плеча. [...] Иглу вводят срезом вверх </t>
    </r>
    <r>
      <rPr>
        <b/>
        <sz val="10"/>
        <color theme="1"/>
        <rFont val="Arial"/>
      </rPr>
      <t>в поверхностный слой натянутой кожи</t>
    </r>
    <r>
      <rPr>
        <sz val="10"/>
        <color theme="1"/>
        <rFont val="Arial"/>
      </rPr>
      <t>. Сначала вводят незначительное количество лекарственного препарата, чтобы убедиться, что игла вошла точно внутрикожно, а затем всю дозу лекарственного препарата (всего 0,1 мл). При правильной технике введения должна образоваться папула беловатого цвета диаметром 7—9 мм, исчезающая обычно в течение 15—20 мин.</t>
    </r>
  </si>
  <si>
    <r>
      <rPr>
        <sz val="10"/>
        <color theme="1"/>
        <rFont val="Arial"/>
      </rPr>
      <t xml:space="preserve">&lt;p&gt;Рекомендуемое место введения вакцины Инфанрикс&amp;nbsp;® — средняя треть переднелатеральной поверхности бедра. Вакцину следует вводить глубоко внутримышечно, чередуя стороны при последующих инъекциях.&lt;br&gt;
&lt;br&gt;
</t>
    </r>
    <r>
      <rPr>
        <b/>
        <i/>
        <sz val="10"/>
        <color theme="1"/>
        <rFont val="Arial"/>
      </rPr>
      <t>Не следует вводить вакцину внутривенно или внутрикожно</t>
    </r>
    <r>
      <rPr>
        <sz val="10"/>
        <color theme="1"/>
        <rFont val="Arial"/>
      </rPr>
      <t>.&lt;/p&gt;</t>
    </r>
  </si>
  <si>
    <r>
      <rPr>
        <sz val="10"/>
        <color theme="1"/>
        <rFont val="Arial"/>
      </rPr>
      <t xml:space="preserve">Рекомендуемое место введения вакцины Инфанрикс ® — средняя треть переднелатеральной поверхности бедра. Вакцину следует вводить глубоко внутримышечно, чередуя стороны при последующих инъекциях.
</t>
    </r>
    <r>
      <rPr>
        <b/>
        <i/>
        <sz val="10"/>
        <color theme="1"/>
        <rFont val="Arial"/>
      </rPr>
      <t>Не следует вводить вакцину внутривенно или внутрикожно</t>
    </r>
    <r>
      <rPr>
        <sz val="10"/>
        <color theme="1"/>
        <rFont val="Arial"/>
      </rPr>
      <t>.</t>
    </r>
  </si>
  <si>
    <r>
      <rPr>
        <sz val="10"/>
        <color theme="1"/>
        <rFont val="Arial"/>
      </rPr>
      <t xml:space="preserve">&lt;p&gt;Внутримышечно. </t>
    </r>
    <r>
      <rPr>
        <b/>
        <sz val="10"/>
        <color theme="1"/>
        <rFont val="Arial"/>
      </rPr>
      <t>Не вводить в сосудистое русло. Подкожное введение не допускается.</t>
    </r>
    <r>
      <rPr>
        <sz val="10"/>
        <color theme="1"/>
        <rFont val="Arial"/>
      </rPr>
      <t>&lt;br&gt;
Детям первых лет жизни вакцину вводят в верхненаружную поверхность средней части бедра.&lt;br&gt;
Детям в возрасте старше 3 лет инъекции вакцины проводятся на границе верхней и средней трети плеча.&lt;br&gt;
Введение в латеральную мышцу бедра допускается в случае, если введение в дельтовидную мышцу недоступно.&lt;/p&gt;</t>
    </r>
  </si>
  <si>
    <r>
      <rPr>
        <sz val="10"/>
        <color theme="1"/>
        <rFont val="Arial"/>
      </rPr>
      <t xml:space="preserve">Внутримышечно. </t>
    </r>
    <r>
      <rPr>
        <b/>
        <sz val="10"/>
        <color theme="1"/>
        <rFont val="Arial"/>
      </rPr>
      <t>Не вводить в сосудистое русло. Подкожное введение не допускается.</t>
    </r>
    <r>
      <rPr>
        <sz val="10"/>
        <color theme="1"/>
        <rFont val="Arial"/>
      </rPr>
      <t xml:space="preserve">
Детям первых лет жизни вакцину вводят в верхненаружную поверхность средней части бедра.
Детям в возрасте старше 3 лет инъекции вакцины проводятся на границе верхней и средней трети плеча.
Введение в латеральную мышцу бедра допускается в случае, если введение в дельтовидную мышцу недоступно.</t>
    </r>
  </si>
  <si>
    <t>&lt;p&gt;Препарат вводят внутримышечно в верхненаружную поверхность средней части бедра в&amp;nbsp;дозе&amp;nbsp;0,5&amp;nbsp;мл (разовая доза).&lt;/p&gt;</t>
  </si>
  <si>
    <t>Препарат вводят внутримышечно в верхненаружную поверхность средней части бедра в дозе 0,5 мл (разовая доза).</t>
  </si>
  <si>
    <t>&lt;p&gt;Препарат вводят внутримышечно в верхненаружный квадрант ягодицы или в передненаружную область бедра в&amp;nbsp;дозе&amp;nbsp;0,5&amp;nbsp;мл (разовая доза).&lt;/p&gt;</t>
  </si>
  <si>
    <t>Препарат вводят внутримышечно в верхненаружный квадрант ягодицы или в передненаружную область бедра в дозе 0,5 мл (разовая доза).</t>
  </si>
  <si>
    <t>&lt;p&gt;Вакцину вводят внутримышечно, рекомендуемое место введения: детям в возрасте от&amp;nbsp;3&amp;nbsp;до&amp;nbsp;24&amp;nbsp;месяцев — средняя треть переднелатеральной поверхности бедра; детям в возрасте старше 24&amp;nbsp;месяцев — дельтовидная мышца плеча.
Не вводить внутрикожно или внутривенно.&lt;/p&gt;</t>
  </si>
  <si>
    <t>Вакцину вводят внутримышечно, рекомендуемое место введения: детям в возрасте от 3 до 24 месяцев — средняя треть переднелатеральной поверхности бедра; детям в возрасте старше 24 месяцев — дельтовидная мышца плеча.
Не вводить внутрикожно или внутривенно.</t>
  </si>
  <si>
    <t>&lt;p&gt;Вакцину следует вводить глубоко внутримышечно, чередуя стороны при последующих инъекциях. Рекомендуемое место введения вакцины Инфанрикс Гекса — средняя треть переднелатеральной поверхности бедра.&lt;br&gt;
Для детей 15&amp;nbsp;месяцев и старше возможно введение в дельтовидную мышцу.&lt;br&gt;
Не вводить вакцину внутривенно или внутрикожно.&lt;/p&gt;</t>
  </si>
  <si>
    <t>Вакцину следует вводить глубоко внутримышечно, чередуя стороны при последующих инъекциях. Рекомендуемое место введения вакцины Инфанрикс Гекса — средняя треть переднелатеральной поверхности бедра.
Для детей 15 месяцев и старше возможно введение в дельтовидную мышцу.
Не вводить вакцину внутривенно или внутрикожно.</t>
  </si>
  <si>
    <t>&lt;p&gt;Вакцину вводят внутримышечно в дельтовидную мышцу плеча. Не вводить в сосудистое русло.&lt;br&gt;
Введение препарата подкожно или в ягодичную мышцу не рекомендуется из-за снижения эффективности гепатитного компонента и возможности усиления местных реакций.&lt;/p&gt;</t>
  </si>
  <si>
    <t>Вакцину вводят внутримышечно в дельтовидную мышцу плеча. Не вводить в сосудистое русло.
Введение препарата подкожно или в ягодичную мышцу не рекомендуется из-за снижения эффективности гепатитного компонента и возможности усиления местных реакций.</t>
  </si>
  <si>
    <t>&lt;p&gt;АД-М-анатоксин вводят внутримышечно в передненаружную часть бедра, или глубоко подкожно (подросткам и взрослым) в подлопаточную область в дозе 0,5&amp;nbsp;мл.&lt;br&gt;
Не вводить в сосудистое русло.&lt;/p&gt;</t>
  </si>
  <si>
    <t>АД-М-анатоксин вводят внутримышечно в передненаружную часть бедра, или глубоко подкожно (подросткам и взрослым) в подлопаточную область в дозе 0,5 мл.
Не вводить в сосудистое русло.</t>
  </si>
  <si>
    <t>&lt;p&gt;АДС-анатоксин вводят внутримышечно в передне-наружную часть бедра в дозе 0,5&amp;nbsp;мл.&lt;br&gt;
Не вводить в сосудистое русло.&lt;/p&gt;</t>
  </si>
  <si>
    <t>АДС-анатоксин вводят внутримышечно в передне-наружную часть бедра в дозе 0,5 мл.
Не вводить в сосудистое русло.</t>
  </si>
  <si>
    <t>&lt;p&gt;АДС-М-анатоксин вводят внутримышечно в передне-наружную часть бедра, или глубоко подкожно (подросткам и взрослым) в подлопаточную область в дозе 0,5&amp;nbsp;мл.&lt;br&gt;
Не вводить в сосудистое русло.&lt;/p&gt;</t>
  </si>
  <si>
    <t>АДС-М-анатоксин вводят внутримышечно в передне-наружную часть бедра, или глубоко подкожно (подросткам и взрослым) в подлопаточную область в дозе 0,5 мл.
Не вводить в сосудистое русло.</t>
  </si>
  <si>
    <t>&lt;p&gt;АДС-М-анатоксин вводят внутримышечно в верхний наружный квадрант ягодицы или переднелатеральную часть бедра или глубоко подкожно (подросткам и взрослым) в подлопаточную область в&amp;nbsp;дозе&amp;nbsp;0,5&amp;nbsp;мл (разовая доза).&lt;/p&gt;</t>
  </si>
  <si>
    <t>АДС-М-анатоксин вводят внутримышечно в верхний наружный квадрант ягодицы или переднелатеральную часть бедра или глубоко подкожно (подросткам и взрослым) в подлопаточную область в дозе 0,5 мл (разовая доза).</t>
  </si>
  <si>
    <t>&lt;p&gt;Вакцину вводят внутримышечно в дельтовидную мышцу плеча.&lt;br&gt;
Вакцину нельзя вводить в ягодичную мышцу.&lt;br&gt;
Запрещается внутрисосудистое введение вакцины. Перед введением необходимо убедиться, что игла не попала в кровеносный сосуд.&lt;br&gt;
Вакцину не следует вводить подкожно.&lt;/p&gt;</t>
  </si>
  <si>
    <t>Вакцину вводят внутримышечно в дельтовидную мышцу плеча.
Вакцину нельзя вводить в ягодичную мышцу.
Запрещается внутрисосудистое введение вакцины. Перед введением необходимо убедиться, что игла не попала в кровеносный сосуд.
Вакцину не следует вводить подкожно.</t>
  </si>
  <si>
    <r>
      <rPr>
        <sz val="10"/>
        <color theme="1"/>
        <rFont val="Arial"/>
      </rPr>
      <t xml:space="preserve">&lt;p&gt;Вакцину вводят внутримышечно в&amp;nbsp;область дельтовидной мышцы (область плеча).&lt;br&gt;
[...]&lt;br&gt;
</t>
    </r>
    <r>
      <rPr>
        <i/>
        <sz val="10"/>
        <color theme="1"/>
        <rFont val="Arial"/>
      </rPr>
      <t>Вакцину нельзя вводить внутривенно!</t>
    </r>
    <r>
      <rPr>
        <sz val="10"/>
        <color theme="1"/>
        <rFont val="Arial"/>
      </rPr>
      <t>&lt;br&gt;</t>
    </r>
    <r>
      <rPr>
        <i/>
        <sz val="10"/>
        <color theme="1"/>
        <rFont val="Arial"/>
      </rPr>
      <t xml:space="preserve">
</t>
    </r>
    <r>
      <rPr>
        <sz val="10"/>
        <color theme="1"/>
        <rFont val="Arial"/>
      </rPr>
      <t>Вакцину не рекомендуется вводить внутримышечно в&amp;nbsp;ягодичную область, подкожно или внутрикожно, так как это приводит к формированию более низкого иммунного ответа.&lt;br&gt;&lt;/p&gt;</t>
    </r>
  </si>
  <si>
    <t>https://grls.rosminzdrav.ru/InstrImg/2024/10/09/1509268/65b9c02a-b2dc-4aaa-90b8-4d39a6b13948.pdf</t>
  </si>
  <si>
    <r>
      <rPr>
        <sz val="10"/>
        <color theme="1"/>
        <rFont val="Arial"/>
      </rPr>
      <t xml:space="preserve">Вакцину вводят внутримышечно в область дельтовидной мышцы (область плеча).
[...]
</t>
    </r>
    <r>
      <rPr>
        <i/>
        <sz val="10"/>
        <color theme="1"/>
        <rFont val="Arial"/>
      </rPr>
      <t xml:space="preserve">Вакцину нельзя вводить внутривенно!
</t>
    </r>
    <r>
      <rPr>
        <sz val="10"/>
        <color theme="1"/>
        <rFont val="Arial"/>
      </rPr>
      <t>Вакцину не рекомендуется вводить внутримышечно в ягодичную область, подкожно или внутрикожно, так как это приводит к формированию более низкого иммунного ответа.</t>
    </r>
  </si>
  <si>
    <r>
      <rPr>
        <sz val="10"/>
        <color theme="1"/>
        <rFont val="Arial"/>
      </rPr>
      <t xml:space="preserve">&lt;p&gt;Вакцину вводят внутримышечно в&amp;nbsp;область дельтовидной мышцы (область плеча).&lt;br&gt;
</t>
    </r>
    <r>
      <rPr>
        <i/>
        <sz val="10"/>
        <color theme="1"/>
        <rFont val="Arial"/>
      </rPr>
      <t>&lt;i&gt;&lt;b&gt;Не вводить в сосудистое русло!&lt;/i&gt;&lt;/b&gt;</t>
    </r>
    <r>
      <rPr>
        <sz val="10"/>
        <color theme="1"/>
        <rFont val="Arial"/>
      </rPr>
      <t>&lt;br&gt;</t>
    </r>
    <r>
      <rPr>
        <i/>
        <sz val="10"/>
        <color theme="1"/>
        <rFont val="Arial"/>
      </rPr>
      <t xml:space="preserve">
</t>
    </r>
    <r>
      <rPr>
        <sz val="10"/>
        <color theme="1"/>
        <rFont val="Arial"/>
      </rPr>
      <t>Вакцину не рекомендуется вводить внутримышечно в&amp;nbsp;ягодичную область, подкожно или внутрикожно, так как это приводит к формированию более низкого иммунного ответа.&lt;br&gt;&lt;/p&gt;</t>
    </r>
  </si>
  <si>
    <r>
      <rPr>
        <sz val="10"/>
        <color theme="1"/>
        <rFont val="Arial"/>
      </rPr>
      <t xml:space="preserve">Вакцину вводят внутримышечно в область дельтовидной мышцы (область плеча).
</t>
    </r>
    <r>
      <rPr>
        <b/>
        <i/>
        <sz val="10"/>
        <color theme="1"/>
        <rFont val="Arial"/>
      </rPr>
      <t>Не вводить в сосудистое русло!</t>
    </r>
    <r>
      <rPr>
        <i/>
        <sz val="10"/>
        <color theme="1"/>
        <rFont val="Arial"/>
      </rPr>
      <t xml:space="preserve">
</t>
    </r>
    <r>
      <rPr>
        <sz val="10"/>
        <color theme="1"/>
        <rFont val="Arial"/>
      </rPr>
      <t>Вакцину не рекомендуется вводить внутримышечно в ягодичную область, подкожно или внутрикожно, так как это приводит к формированию более низкого иммунного ответа.</t>
    </r>
  </si>
  <si>
    <t>&lt;p&gt;Вакцину Хаврикс следует вводить внутримышечно:
&lt;ul&gt;&lt;li&gt;взрослым и детям от 24&amp;nbsp;месяцев вакцину следует вводить в область дельтовидной мышцы плеча;&lt;/li&gt;
&lt;li&gt;детям в возрасте от 12&amp;nbsp;до&amp;nbsp;24&amp;nbsp;месяцев вакцину следует вводить в переднелатеральную область бедра.&lt;/li&gt;&lt;/ul&gt;
Вакцину Хаврикс не следует вводить в ягодичную мышцу, а также подкожно или внутрикожно, поскольку при таких путях введения образование антител к вирусу гепатита А может не достигнуть оптимального уровня.&lt;br&gt;&lt;br&gt;
Вакцину Хаврикс ни при каких обстоятельствах нельзя вводить внутривенно!&lt;br&gt;&lt;br&gt;
У лиц с нарушениями свертываемости крови (например, тромбоцитопенией или нарушениями коагуляции) после проведения инъекции следует наложить давящую повязку (но не растирать) не менее чем на 2&amp;nbsp;мин.&lt;/p&gt;</t>
  </si>
  <si>
    <t>Вакцину Хаврикс следует вводить внутримышечно:
• взрослым и детям от 24 месяцев вакцину следует вводить в область дельтовидной мышцы плеча;
• детям в возрасте от 12 до 24 месяцев вакцину следует вводить в переднелатеральную область бедра.
Вакцину Хаврикс не следует вводить в ягодичную мышцу, а также подкожно или внутрикожно, поскольку при таких путях введения образование антител к вирусу гепатита А может не достигнуть оптимального уровня.
Вакцину Хаврикс ни при каких обстоятельствах нельзя вводить внутривенно!
У лиц с нарушениями свертываемости крови (например, тромбоцитопенией или нарушениями коагуляции) после проведения инъекции следует наложить давящую повязку (но не растирать) не менее чем на 2 мин.</t>
  </si>
  <si>
    <t>&lt;p&gt;Вакцину Хаврикс следует вводить внутримышечно:
&lt;ul&gt;&lt;li&gt;взрослым и детям от 24&amp;nbsp;месяцев вакцину следует вводить в область дельтовидной мышцы плеча.&lt;/li&gt;&lt;/ul&gt;
Вакцину Хаврикс не следует вводить в ягодичную мышцу, а также подкожно или внутрикожно, поскольку при таких путях введения образование антител к вирусу гепатита А может не достигнуть оптимального уровня.&lt;br&gt;&lt;br&gt;
Вакцину Хаврикс ни при каких обстоятельствах нельзя вводить внутривенно!&lt;br&gt;&lt;br&gt;
У лиц с нарушениями свертываемости крови (например, тромбоцитопенией или нарушениями коагуляции) после проведения инъекции следует наложить давящую повязку (но не растирать) не менее чем на 2&amp;nbsp;мин.&lt;/p&gt;</t>
  </si>
  <si>
    <t>Вакцину Хаврикс следует вводить внутримышечно:
• взрослым и детям от 24 месяцев вакцину следует вводить в область дельтовидной мышцы плеча.
Вакцину Хаврикс не следует вводить в ягодичную мышцу, а также подкожно или внутрикожно, поскольку при таких путях введения образование антител к вирусу гепатита А может не достигнуть оптимального уровня.
Вакцину Хаврикс ни при каких обстоятельствах нельзя вводить внутривенно!
У лиц с нарушениями свертываемости крови (например, тромбоцитопенией или нарушениями коагуляции) после проведения инъекции следует наложить давящую повязку (но не растирать) не менее чем на 2 мин.</t>
  </si>
  <si>
    <r>
      <rPr>
        <sz val="10"/>
        <color theme="1"/>
        <rFont val="Arial"/>
      </rPr>
      <t xml:space="preserve">&lt;p&gt;Вакцину вводят внутримышечно, в дельтовидную мышцу плеча в разовой дозе 0,5&amp;nbsp;мл.&lt;br&gt;
Детям до 2&amp;nbsp;лет вакцину вводят в верхнюю наружную область бедра.&lt;br&gt;
Вакцина не должна вводиться ни в ягодичную область (по причине различной толщины подкожной жировой клетчатки), ни внутрикожно, поскольку данные способы введения могут ослабить иммунный ответ.&lt;br&gt;
</t>
    </r>
    <r>
      <rPr>
        <b/>
        <sz val="10"/>
        <color theme="1"/>
        <rFont val="Arial"/>
      </rPr>
      <t>Не вводить в сосудистое русло!</t>
    </r>
    <r>
      <rPr>
        <sz val="10"/>
        <color theme="1"/>
        <rFont val="Arial"/>
      </rPr>
      <t xml:space="preserve"> Перед введением необходимо убедиться, что игла не попала в кровеносный сосуд.&lt;br&gt;&lt;/p&gt;</t>
    </r>
  </si>
  <si>
    <r>
      <rPr>
        <sz val="10"/>
        <color theme="1"/>
        <rFont val="Arial"/>
      </rPr>
      <t xml:space="preserve">Вакцину вводят внутримышечно, в дельтовидную мышцу плеча в разовой дозе 0,5 мл.
Детям до 2 лет вакцину вводят в верхнюю наружную область бедра.
Вакцина не должна вводиться ни в ягодичную область (по причине различной толщины подкожной жировой клетчатки), ни внутрикожно, поскольку данные способы введения могут ослабить иммунный ответ.
</t>
    </r>
    <r>
      <rPr>
        <b/>
        <sz val="10"/>
        <color theme="1"/>
        <rFont val="Arial"/>
      </rPr>
      <t>Не вводить в сосудистое русло!</t>
    </r>
    <r>
      <rPr>
        <sz val="10"/>
        <color theme="1"/>
        <rFont val="Arial"/>
      </rPr>
      <t xml:space="preserve"> Перед введением необходимо убедиться, что игла не попала в кровеносный сосуд.</t>
    </r>
  </si>
  <si>
    <r>
      <rPr>
        <sz val="10"/>
        <color theme="1"/>
        <rFont val="Arial"/>
      </rPr>
      <t xml:space="preserve">&lt;p&gt;Вакцину вводят внутримышечно, в дельтовидную мышцу плеча в разовой дозе 0,5&amp;nbsp;мл.&lt;br&gt;
Вакцина не должна вводиться ни в ягодичную область (по причине различной толщины подкожной жировой клетчатки), ни внутрикожно, поскольку данные способы введения могут ослабить иммунный ответ.&lt;br&gt;
</t>
    </r>
    <r>
      <rPr>
        <b/>
        <sz val="10"/>
        <color theme="1"/>
        <rFont val="Arial"/>
      </rPr>
      <t>Не&amp;nbsp;вводить в&amp;nbsp;сосудистое русло!</t>
    </r>
    <r>
      <rPr>
        <sz val="10"/>
        <color theme="1"/>
        <rFont val="Arial"/>
      </rPr>
      <t xml:space="preserve"> Перед введением необходимо убедиться, что игла не попала в кровеносный сосуд.&lt;/p&gt;</t>
    </r>
  </si>
  <si>
    <r>
      <rPr>
        <sz val="10"/>
        <color theme="1"/>
        <rFont val="Arial"/>
      </rPr>
      <t xml:space="preserve">Вакцину вводят внутримышечно, в дельтовидную мышцу плеча в разовой дозе 0,5 мл.
Вакцина не должна вводиться ни в ягодичную область (по причине различной толщины подкожной жировой клетчатки), ни внутрикожно, поскольку данные способы введения могут ослабить иммунный ответ.
</t>
    </r>
    <r>
      <rPr>
        <b/>
        <sz val="10"/>
        <color theme="1"/>
        <rFont val="Arial"/>
      </rPr>
      <t>Не вводить в сосудистое русло!</t>
    </r>
    <r>
      <rPr>
        <sz val="10"/>
        <color theme="1"/>
        <rFont val="Arial"/>
      </rPr>
      <t xml:space="preserve"> Перед введением необходимо убедиться, что игла не попала в кровеносный сосуд.</t>
    </r>
  </si>
  <si>
    <r>
      <rPr>
        <sz val="10"/>
        <color theme="1"/>
        <rFont val="Arial"/>
      </rPr>
      <t xml:space="preserve">&lt;p&gt;Детям старшего возраста вакцину вводят внутримышечно в область дельтовидной мышцы, новорожденным и детям младшего возраста в верхненаружную поверхность средней части бедра.&lt;br&gt;
Введение в другое место снижает эффективность вакцинации.&lt;br&gt;
</t>
    </r>
    <r>
      <rPr>
        <b/>
        <sz val="10"/>
        <color theme="1"/>
        <rFont val="Arial"/>
      </rPr>
      <t>Не&amp;nbsp;вводить внутривенно!</t>
    </r>
    <r>
      <rPr>
        <sz val="10"/>
        <color theme="1"/>
        <rFont val="Arial"/>
      </rPr>
      <t>&lt;br&gt;&lt;/p&gt;</t>
    </r>
  </si>
  <si>
    <r>
      <rPr>
        <sz val="10"/>
        <color theme="1"/>
        <rFont val="Arial"/>
      </rPr>
      <t xml:space="preserve">Детям старшего возраста вакцину вводят внутримышечно в область дельтовидной мышцы, новорожденным и детям младшего возраста в верхненаружную поверхность средней части бедра.
Введение в другое место снижает эффективность вакцинации.
</t>
    </r>
    <r>
      <rPr>
        <b/>
        <sz val="10"/>
        <color theme="1"/>
        <rFont val="Arial"/>
      </rPr>
      <t>Не вводить внутривенно!</t>
    </r>
  </si>
  <si>
    <t>&lt;p&gt;Рекомендуется вводить вакцину внутримышечно в дельтовидную мышцу или в передненаружную поверхность средней части бедра (новорожденным и детям до 18&amp;nbsp;месяцев). Введение в другое место или подкожно нежелательно из-за снижения эффективности вакцины. Не вводить в сосудистое русло.&lt;/p&gt;</t>
  </si>
  <si>
    <t>Рекомендуется вводить вакцину внутримышечно в дельтовидную мышцу или в передненаружную поверхность средней части бедра (новорожденным и детям до 18 месяцев). Введение в другое место или подкожно нежелательно из-за снижения эффективности вакцины. Не вводить в сосудистое русло.</t>
  </si>
  <si>
    <t>&lt;p&gt;Вакцину "Эувакс&amp;nbsp;B" вводят внутримышечно, детям первых&amp;nbsp;лет жизни — в верхненаружную поверхность средней части бедра, пациентам других возрастов — в дельтовидную мышцу. Не вводить "Эувакс&amp;nbsp;B" в ягодичную область. При введении вакцины следует убедиться, что игла не попала в&amp;nbsp;сосудистое русло.&lt;/p&gt;</t>
  </si>
  <si>
    <t>Вакцину "Эувакс B" вводят внутримышечно, детям первых лет жизни — в верхненаружную поверхность средней части бедра, пациентам других возрастов — в дельтовидную мышцу. Не вводить "Эувакс B" в ягодичную область. При введении вакцины следует убедиться, что игла не попала в сосудистое русло.</t>
  </si>
  <si>
    <r>
      <rPr>
        <sz val="10"/>
        <color theme="1"/>
        <rFont val="Arial"/>
      </rPr>
      <t xml:space="preserve">&lt;p&gt;Вакцину Церварикс следует вводить внутримышечно в область дельтовидной мышцы.&lt;br&gt;
</t>
    </r>
    <r>
      <rPr>
        <b/>
        <sz val="10"/>
        <color theme="1"/>
        <rFont val="Arial"/>
      </rPr>
      <t>&lt;b&gt;Вакцину Церварикс ни при каких обстоятельствах нельзя вводить внутривенно и внутрикожно! Данные о подкожном введении вакцины отсутствуют.&lt;/b&gt;&lt;/p&gt;</t>
    </r>
  </si>
  <si>
    <r>
      <rPr>
        <sz val="10"/>
        <color theme="1"/>
        <rFont val="Arial"/>
      </rPr>
      <t xml:space="preserve">Вакцину Церварикс следует вводить внутримышечно в область дельтовидной мышцы.
</t>
    </r>
    <r>
      <rPr>
        <b/>
        <sz val="10"/>
        <color theme="1"/>
        <rFont val="Arial"/>
      </rPr>
      <t>Вакцину Церварикс ни при каких обстоятельствах нельзя вводить внутривенно и внутрикожно! Данные о подкожном введении вакцины отсутствуют.</t>
    </r>
  </si>
  <si>
    <t>&lt;p&gt;Вакцину Гардасил вводят внутримышечно в дельтовидную мышцу или верхненаружную поверхность средней трети бедра.&lt;br&gt;
Не вводить внутрисосудисто.&lt;/p&gt;</t>
  </si>
  <si>
    <t>Вакцину Гардасил вводят внутримышечно в дельтовидную мышцу или верхненаружную поверхность средней трети бедра.
Не вводить внутрисосудисто.</t>
  </si>
  <si>
    <t>&lt;p&gt;Лекарственный препарат предназначен для внутримышечного введения. Строго запрещено внутривенное введение лекарственного препарата. Лекарственный препарат вводят в дельтовидную мышцу (верхнюю треть наружной поверхности плеча). При невозможности введения в дельтовидную мышцу — лекарственный препарат вводят в латеральную широкую мышцу бедра.&lt;br&gt;
Допускается интраназальное введение.&lt;/p&gt;</t>
  </si>
  <si>
    <t>Лекарственный препарат предназначен для внутримышечного введения. Строго запрещено внутривенное введение лекарственного препарата. Лекарственный препарат вводят в дельтовидную мышцу (верхнюю треть наружной поверхности плеча). При невозможности введения в дельтовидную мышцу — лекарственный препарат вводят в латеральную широкую мышцу бедра.
Допускается интраназальное введение.</t>
  </si>
  <si>
    <t>&lt;p&gt;Вакцина предназначена только для внутримышечного введения. Строго запрещено внутривенное введение препарата. Вакцину вводят в дельтовидную мышцу (верхнюю треть наружной поверхности плеча), растворив содержимое флакона предварительно в 1,0&amp;nbsp;мл воды для инъекций. Флакон встряхивают до полного растворения лиофилизата. При невозможности введения в дельтовидную мышцу препарат вводят в латеральную широкую мышцу бедра.&lt;/p&gt;</t>
  </si>
  <si>
    <t>Вакцина предназначена только для внутримышечного введения. Строго запрещено внутривенное введение препарата. Вакцину вводят в дельтовидную мышцу (верхнюю треть наружной поверхности плеча), растворив содержимое флакона предварительно в 1,0 мл воды для инъекций. Флакон встряхивают до полного растворения лиофилизата. При невозможности введения в дельтовидную мышцу препарат вводят в латеральную широкую мышцу бедра.</t>
  </si>
  <si>
    <t>&lt;p&gt;Вакцину вводят внутримышечно в дозе 0,5&amp;nbsp;мл, в верхнюю треть наружной поверхности плеча — в область дельтовидной мышцы. При невозможности введения в дельтовидную мышцу препарат вводят в латеральную широкую мышцу бедра.&lt;/p&gt;</t>
  </si>
  <si>
    <t>Вакцину вводят внутримышечно в дозе 0,5 мл, в верхнюю треть наружной поверхности плеча — в область дельтовидной мышцы. При невозможности введения в дельтовидную мышцу препарат вводят в латеральную широкую мышцу бедра.</t>
  </si>
  <si>
    <t>&lt;p&gt;Вакцину вводят внутримышечно (в дельтовидную мышцу) или глубоко подкожно в верхнюю треть наружной поверхности плеча, детям младшего возраста — в передненаружную поверхность бедра внутримышечно.&lt;/p&gt;</t>
  </si>
  <si>
    <t>Вакцину вводят внутримышечно (в дельтовидную мышцу) или глубоко подкожно в верхнюю треть наружной поверхности плеча, детям младшего возраста — в передненаружную поверхность бедра внутримышечно.</t>
  </si>
  <si>
    <t>&lt;p&gt;Вакцину вводят внутримышечно или глубоко подкожно в верхнюю треть наружной поверхности плеча (в дельтовидную мышцу), детям младшего возраста — в передненаружную область бедра внутримышечно.&lt;/p&gt;</t>
  </si>
  <si>
    <t>Вакцину вводят внутримышечно или глубоко подкожно в верхнюю треть наружной поверхности плеча (в дельтовидную мышцу), детям младшего возраста — в передненаружную область бедра внутримышечно.</t>
  </si>
  <si>
    <t>&lt;p&gt;Вакцина вводится внутримышечно или глубоко подкожно!&lt;br&gt;
Не вводить внутривенно!&lt;br&gt;&lt;br&gt;
Детям старше 36&amp;nbsp;месяцев, подросткам и взрослым вводят однократно в дозе 0,5&amp;nbsp;мл.&lt;br&gt;
Ранее не болевшим гриппом и невакцинированным детям возможно двукратное введение вакцины с интервалом 3–4&amp;nbsp;недели.&lt;br&gt;
Пациентам с иммунодефицитом и получающим иммуносупрессивную терапию возможно введение вакцины двукратно по 0,5&amp;nbsp;мл с интервалом 3–4&amp;nbsp;недели.&lt;/p&gt;</t>
  </si>
  <si>
    <t>Вакцина вводится внутримышечно или глубоко подкожно!
Не вводить внутривенно!
Детям старше 36 месяцев, подросткам и взрослым вводят однократно в дозе 0,5 мл.
Ранее не болевшим гриппом и невакцинированным детям возможно двукратное введение вакцины с интервалом 3–4 недели.
Пациентам с иммунодефицитом и получающим иммуносупрессивную терапию возможно введение вакцины двукратно по 0,5 мл с интервалом 3–4 недели.</t>
  </si>
  <si>
    <t>&lt;p&gt;Препарат предназначен для внутримышечного введения.&lt;br&gt;
&lt;b&gt;Не вводить в сосудистое русло!&lt;/b&gt;&lt;br&gt;&lt;br&gt;
Детям старше 3&amp;nbsp;лет, подросткам и взрослым вакцину вводят в дельтовидную мышцу (верхнюю треть наружной поверхности плеча). При невозможности введения в дельтовидную мышцу — препарат вводят в латеральную широкую мышцу бедра (в средней трети).&lt;br&gt;
Детям от 6&amp;nbsp;мес до 3&amp;nbsp;лет вакцину вводят в латеральную широкую мышцу бедра (передне-наружная область бедра в средней трети).&lt;/p&gt;</t>
  </si>
  <si>
    <r>
      <rPr>
        <sz val="10"/>
        <color theme="1"/>
        <rFont val="Arial"/>
      </rPr>
      <t xml:space="preserve">Препарат предназначен для внутримышечного введения.
</t>
    </r>
    <r>
      <rPr>
        <b/>
        <sz val="10"/>
        <color theme="1"/>
        <rFont val="Arial"/>
      </rPr>
      <t>Не вводить в сосудистое русло!</t>
    </r>
    <r>
      <rPr>
        <sz val="10"/>
        <color theme="1"/>
        <rFont val="Arial"/>
      </rPr>
      <t xml:space="preserve">
Детям старше 3 лет, подросткам и взрослым вакцину вводят в дельтовидную мышцу (верхнюю треть наружной поверхности плеча). При невозможности введения в дельтовидную мышцу — препарат вводят в латеральную широкую мышцу бедра (в средней трети).
Детям от 6 мес до 3 лет вакцину вводят в латеральную широкую мышцу бедра (передне-наружная область бедра в средней трети).</t>
    </r>
  </si>
  <si>
    <r>
      <rPr>
        <sz val="10"/>
        <color theme="1"/>
        <rFont val="Arial"/>
      </rPr>
      <t xml:space="preserve">&lt;p&gt;Не вводить внутривенно!&lt;br&gt;
Вакцину следует вводить внутримышечно.&lt;br&gt;&lt;br&gt;
</t>
    </r>
    <r>
      <rPr>
        <i/>
        <sz val="10"/>
        <color theme="1"/>
        <rFont val="Arial"/>
      </rPr>
      <t>&lt;i&gt;Взрослые:</t>
    </r>
    <r>
      <rPr>
        <sz val="10"/>
        <color theme="1"/>
        <rFont val="Arial"/>
      </rPr>
      <t xml:space="preserve">&lt;/i&gt; вакцину вводят внутримышечно в область дельтовидной мышцы однократно в прививочной дозе 0,5&amp;nbsp;мл.&lt;br&gt;&lt;br&gt;
</t>
    </r>
    <r>
      <rPr>
        <i/>
        <sz val="10"/>
        <color theme="1"/>
        <rFont val="Arial"/>
      </rPr>
      <t>&lt;i&gt;Дети:</t>
    </r>
    <r>
      <rPr>
        <sz val="10"/>
        <color theme="1"/>
        <rFont val="Arial"/>
      </rPr>
      <t>&lt;/i&gt;
&lt;ul&gt;&lt;li&gt;Дети в возрасте 36&amp;nbsp;месяцев — 18&amp;nbsp;лет: вакцину вводят внутримышечно в область дельтовидной мышцы однократно в прививочной дозе 0,5&amp;nbsp;мл.&lt;/li&gt;
&lt;li&gt;Дети в возрасте 12 — 35&amp;nbsp;месяцев: вакцину вводят внутримышечно в переднебоковую поверхность бедра или область дельтовидной мышцы двукратно с интервалом 28&amp;nbsp;дней в прививочной дозе 0,25&amp;nbsp;мл (1/2&amp;nbsp;дозы).&lt;/li&gt;
&lt;li&gt;Дети в возрасте 6 — 11&amp;nbsp;месяцев: вакцину вводят внутримышечно в переднебоковую поверхность бедра двукратно с интервалом 28&amp;nbsp;дней в прививочной дозе 0,25&amp;nbsp;мл (1/2&amp;nbsp;дозы).&lt;/li&gt;&lt;/ul&gt;&lt;/p&gt;</t>
    </r>
  </si>
  <si>
    <r>
      <rPr>
        <sz val="10"/>
        <color theme="1"/>
        <rFont val="Arial"/>
      </rPr>
      <t xml:space="preserve">Не вводить внутривенно!
Вакцину следует вводить внутримышечно.
</t>
    </r>
    <r>
      <rPr>
        <i/>
        <sz val="10"/>
        <color theme="1"/>
        <rFont val="Arial"/>
      </rPr>
      <t>Взрослые:</t>
    </r>
    <r>
      <rPr>
        <sz val="10"/>
        <color theme="1"/>
        <rFont val="Arial"/>
      </rPr>
      <t xml:space="preserve"> вакцину вводят внутримышечно в область дельтовидной мышцы однократно в прививочной дозе 0,5 мл.
</t>
    </r>
    <r>
      <rPr>
        <i/>
        <sz val="10"/>
        <color theme="1"/>
        <rFont val="Arial"/>
      </rPr>
      <t>Дети:</t>
    </r>
    <r>
      <rPr>
        <sz val="10"/>
        <color theme="1"/>
        <rFont val="Arial"/>
      </rPr>
      <t xml:space="preserve">
• Дети в возрасте 36 месяцев — 18 лет: вакцину вводят внутримышечно в область дельтовидной мышцы однократно в прививочной дозе 0,5 мл.
• Дети в возрасте 12 — 35 месяцев: вакцину вводят внутримышечно в переднебоковую поверхность бедра или область дельтовидной мышцы двукратно с интервалом 28 дней в прививочной дозе 0,25 мл (1/2 дозы).
• Дети в возрасте 6 — 11 месяцев: вакцину вводят внутримышечно в переднебоковую поверхность бедра двукратно с интервалом 28 дней в прививочной дозе 0,25 мл (1/2 дозы).</t>
    </r>
  </si>
  <si>
    <t>&lt;p&gt;Внутримышечно.&lt;br&gt;
Не вводить в сосудистое русло!&lt;br&gt;
Детям старше 3&amp;nbsp;лет, подросткам и взрослым вакцину вводят в дельтовидную мышцу (верхнюю треть наружной поверхности плеча). При невозможности введения в дельтовидную мышцу — препарат вводят в латеральную широкую мышцу бедра (в средней трети). Детям от 12&amp;nbsp;мес. до 35&amp;nbsp;мес. включительно — в переднебоковую поверхность бедра или область дельтовидной мышцы при наличии достаточной мышечной массы. Детям от 6&amp;nbsp;мес. до 11&amp;nbsp;мес. включительно вакцину вводят в переднебоковую поверхность бедра.&lt;/p&gt;</t>
  </si>
  <si>
    <t>Внутримышечно.
Не вводить в сосудистое русло!
Детям старше 3 лет, подросткам и взрослым вакцину вводят в дельтовидную мышцу (верхнюю треть наружной поверхности плеча). При невозможности введения в дельтовидную мышцу — препарат вводят в латеральную широкую мышцу бедра (в средней трети). Детям от 12 мес. до 35 мес. включительно — в переднебоковую поверхность бедра или область дельтовидной мышцы при наличии достаточной мышечной массы. Детям от 6 мес. до 11 мес. включительно вакцину вводят в переднебоковую поверхность бедра.</t>
  </si>
  <si>
    <t>&lt;p&gt;Вакцина вводится внутримышечно или глубоко подкожно.&lt;br&gt;
&lt;br&gt;
Рекомендуемая область введения:
&lt;ul&gt;&lt;li&gt;дети от&amp;nbsp;6&amp;nbsp;до&amp;nbsp;11&amp;nbsp;месяцев включительно — переднебоковая поверхность бедра;&lt;/li&gt;
&lt;li&gt;дети от 12&amp;nbsp;месяцев до 35&amp;nbsp;месяцев включительно — переднебоковая поверхность бедра или область дельтовидной мышцы при наличии достаточной мышечной массы;&lt;/li&gt;
&lt;li&gt;дети от 36&amp;nbsp;месяцев и взрослые — область дельтовидной мышцы.&lt;/li&gt;&lt;/ul&gt;&lt;/p&gt;</t>
  </si>
  <si>
    <t>Вакцина вводится внутримышечно или глубоко подкожно.
Рекомендуемая область введения:
• дети от 6 до 11 месяцев включительно — переднебоковая поверхность бедра;
• дети от 12 месяцев до 35 месяцев включительно — переднебоковая поверхность бедра или область дельтовидной мышцы при наличии достаточной мышечной массы;
• дети от 36 месяцев и взрослые — область дельтовидной мышцы.</t>
  </si>
  <si>
    <t>&lt;p&gt;Внутримышечно или глубоко подкожно.&lt;br&gt;
Не вводить в сосудистое русло.&lt;br&gt; 
Детям в возрасте от 6&amp;nbsp;месяцев до 3&amp;nbsp;лет внутримышечные инъекции проводят в переднебоковую поверхность бедра; при наличии достаточной мышечной массы возможно введение в дельтовидную мышцу.&lt;br&gt; 
Предпочитаемым местом введения вакцины у взрослых и детей 3&amp;nbsp;лет и старше является дельтовидная мышца, при этом допускается введение в переднебоковую поверхность бедра.&lt;/p&gt;</t>
  </si>
  <si>
    <t>Внутримышечно или глубоко подкожно.
Не вводить в сосудистое русло. 
Детям в возрасте от 6 месяцев до 3 лет внутримышечные инъекции проводят в переднебоковую поверхность бедра; при наличии достаточной мышечной массы возможно введение в дельтовидную мышцу. 
Предпочитаемым местом введения вакцины у взрослых и детей 3 лет и старше является дельтовидная мышца, при этом допускается введение в переднебоковую поверхность бедра.</t>
  </si>
  <si>
    <r>
      <rPr>
        <b/>
        <sz val="10"/>
        <color theme="1"/>
        <rFont val="Arial"/>
      </rPr>
      <t>&lt;p&gt;&lt;b&gt;Не вводить внутривенно!</t>
    </r>
    <r>
      <rPr>
        <sz val="10"/>
        <color theme="1"/>
        <rFont val="Arial"/>
      </rPr>
      <t xml:space="preserve">&lt;/b&gt;&lt;br&gt;
Вакцину следует вводить внутримышечно. [...]&lt;br&gt;&lt;br&gt;
</t>
    </r>
    <r>
      <rPr>
        <i/>
        <sz val="10"/>
        <color theme="1"/>
        <rFont val="Arial"/>
      </rPr>
      <t>&lt;i&gt;Взрослые:&lt;/i&gt;</t>
    </r>
    <r>
      <rPr>
        <sz val="10"/>
        <color theme="1"/>
        <rFont val="Arial"/>
      </rPr>
      <t xml:space="preserve"> вакцину вводят внутримышечно в область дельтовидной мышцы (верхняя треть наружной поверхности плеча).&lt;br&gt;&lt;br&gt;
</t>
    </r>
    <r>
      <rPr>
        <i/>
        <sz val="10"/>
        <color theme="1"/>
        <rFont val="Arial"/>
      </rPr>
      <t>&lt;i&gt;Дети:</t>
    </r>
    <r>
      <rPr>
        <sz val="10"/>
        <color theme="1"/>
        <rFont val="Arial"/>
      </rPr>
      <t>&lt;/i&gt;
&lt;ul&gt;&lt;li&gt;Дети в возрасте 36&amp;nbsp;месяцев – 17&amp;nbsp;лет: вакцину вводят внутримышечно в область дельтовидной мышцы (верхняя треть наружной поверхности плеча).&lt;/li&gt;
&lt;li&gt;Дети в возрасте 12-35&amp;nbsp;месяцев: вакцину вводят внутримышечно в переднебоковую поверхность бедра или область дельтовидной мышцы.&lt;/li&gt;
&lt;li&gt;Дети в возрасте 6-11&amp;nbsp;месяцев: вакцину вводят внутримышечно в переднебоковую поверхность бедра.&lt;/li&gt;&lt;/ul&gt;&lt;/p&gt;</t>
    </r>
  </si>
  <si>
    <r>
      <rPr>
        <b/>
        <sz val="10"/>
        <color theme="1"/>
        <rFont val="Arial"/>
      </rPr>
      <t>Не вводить внутривенно!</t>
    </r>
    <r>
      <rPr>
        <sz val="10"/>
        <color theme="1"/>
        <rFont val="Arial"/>
      </rPr>
      <t xml:space="preserve">
Вакцину следует вводить внутримышечно. [...]
</t>
    </r>
    <r>
      <rPr>
        <i/>
        <sz val="10"/>
        <color theme="1"/>
        <rFont val="Arial"/>
      </rPr>
      <t>Взрослые:</t>
    </r>
    <r>
      <rPr>
        <sz val="10"/>
        <color theme="1"/>
        <rFont val="Arial"/>
      </rPr>
      <t xml:space="preserve"> вакцину вводят внутримышечно в область дельтовидной мышцы (верхняя треть наружной поверхности плеча).
</t>
    </r>
    <r>
      <rPr>
        <i/>
        <sz val="10"/>
        <color theme="1"/>
        <rFont val="Arial"/>
      </rPr>
      <t>Дети:</t>
    </r>
    <r>
      <rPr>
        <sz val="10"/>
        <color theme="1"/>
        <rFont val="Arial"/>
      </rPr>
      <t xml:space="preserve">
• Дети в возрасте 36 месяцев – 17 лет: вакцину вводят внутримышечно в область
дельтовидной мышцы (верхняя треть наружной поверхности плеча).
• Дети в возрасте 12-35 месяцев: вакцину вводят внутримышечно в переднебоковую поверхность бедра или область дельтовидной мышцы.
• Дети в возрасте 6-11 месяцев: вакцину вводят внутримышечно в переднебоковую поверхность бедра.</t>
    </r>
  </si>
  <si>
    <t>&lt;p&gt;Вакцина вводится внутримышечно или глубоко подкожно!&lt;br&gt;
Не вводить внутривенно!&lt;br&gt;
Детям старше 3&amp;nbsp;лет, подросткам и взрослым вакцину вводят внутримышечно или глубоко подкожно в верхнюю треть наружной поверхности плеча (в дельтовидную мышцу), детям младшего возраста — в переднебоковую поверхность бедра внутримышечно.&lt;/p&gt;</t>
  </si>
  <si>
    <t>Вакцина вводится внутримышечно или глубоко подкожно!
Не вводить внутривенно!
Детям старше 3 лет, подросткам и взрослым вакцину вводят внутримышечно или глубоко подкожно в верхнюю треть наружной поверхности плеча (в дельтовидную мышцу), детям младшего возраста — в переднебоковую поверхность бедра внутримышечно.</t>
  </si>
  <si>
    <t>&lt;p&gt;Подкожно. Вакцину вводят под лопатку или область плеча (на границе между нижней и средней третью плеча с наружной стороны) [...]. Не вводить в сосудистое русло!&lt;/p&gt;</t>
  </si>
  <si>
    <t>Подкожно. Вакцину вводят под лопатку или область плеча (на границе между нижней и средней третью плеча с наружной стороны) [...]. Не вводить в сосудистое русло!</t>
  </si>
  <si>
    <t>&lt;p&gt;Подкожно. Не вводить в сосудистое русло!&lt;br&gt;
Допустимо внутримышечное введение.&lt;br&gt;
Разовую дозу вакцины (0,5&amp;nbsp;мл) вводят подкожно:
&lt;ul&gt;&lt;li&gt;детям младшего возраста (12&amp;nbsp;мес&amp;nbsp;—&amp;nbsp;2&amp;nbsp;года) в верхнюю переднебоковую поверхность бедра;&lt;/li&gt;
&lt;li&gt;детям старше 2-х&amp;nbsp;лет и взрослым в наружную поверхность плеча на границе между его верхней и средней третью. При невозможности введения в плечо вакцину вводят в переднебоковую поверхность бедра.&lt;/li&gt;&lt;/ul&gt;&lt;/p&gt;</t>
  </si>
  <si>
    <t>Подкожно. Не вводить в сосудистое русло!
Допустимо внутримышечное введение.
Разовую дозу вакцины (0,5 мл) вводят подкожно:
• детям младшего возраста (12 мес — 2 года) в верхнюю переднебоковую поверхность бедра;
• детям старше 2-х лет и взрослым в наружную поверхность плеча на границе между его верхней и средней третью. При невозможности введения в плечо вакцину вводят в переднебоковую поверхность бедра.</t>
  </si>
  <si>
    <t>&lt;p&gt;Вакцину вводят подкожно в объеме 0,5&amp;nbsp;мл под лопатку или в область плеча (на границе между нижней и средней третью плеча с наружной стороны) [...].&lt;/p&gt;</t>
  </si>
  <si>
    <t>Вакцину вводят подкожно в объеме 0,5 мл под лопатку или в область плеча (на границе между нижней и средней третью плеча с наружной стороны) [...].</t>
  </si>
  <si>
    <t>&lt;p&gt;Подкожно. Вакцину вводят под лопатку или в область плеча (на границе между нижней и средней третью плеча с наружной стороны) [...].&lt;br&gt;
Не вводить в сосудистое русло!&lt;/p&gt;</t>
  </si>
  <si>
    <t>Подкожно. Вакцину вводят под лопатку или в область плеча (на границе между нижней и средней третью плеча с наружной стороны) [...].
Не вводить в сосудистое русло!</t>
  </si>
  <si>
    <t>&lt;p&gt;Подкожно. Не вводить в сосудистое русло!&lt;br&gt;
Вакцину вводят под лопатку или в область плеча (на границе между нижней и средней третью плеча с наружной стороны, либо в область над трехглавой мышцей плеча).&lt;/p&gt;</t>
  </si>
  <si>
    <t>Подкожно. Не вводить в сосудистое русло!
Вакцину вводят под лопатку или в область плеча (на границе между нижней и средней третью плеча с наружной стороны, либо в область над трехглавой мышцей плеча).</t>
  </si>
  <si>
    <t>&lt;p&gt;Для подкожного введения. Вакцину нельзя вводить внутривенно.&lt;br&gt;
&lt;br&gt;
Вакцину вводят подкожно, предпочтительно в наружную поверхность верхней трети плеча.&lt;/p&gt;</t>
  </si>
  <si>
    <t>https://grls.rosminzdrav.ru/InstrImg/2022/02/17/1478020/31812477-c020-47c0-9f2e-80268b27b29f.pdf</t>
  </si>
  <si>
    <t>Для подкожного введения. Вакцину нельзя вводить внутривенно.
Вакцину вводят подкожно, предпочтительно в наружную поверхность верхней трети плеча.</t>
  </si>
  <si>
    <t>&lt;p&gt;Препарат предназначен для подкожного введения. Не вводить в сосудистое русло!&lt;br&gt;
Вакцину вводят однократно подкожно в подлопаточную область или в верхнюю треть плеча.&lt;/p&gt;</t>
  </si>
  <si>
    <t>Препарат предназначен для подкожного введения. Не вводить в сосудистое русло!
Вакцину вводят однократно подкожно в подлопаточную область или в верхнюю треть плеча.</t>
  </si>
  <si>
    <t>&lt;p&gt;Препарат предназначен для подкожного введения. Не вводить в сосудистое русло!&lt;br&gt;
Вакцину вводят однократно подкожно в верхнюю треть плеча в область дельтовидной или трехглавой мышцы.&lt;/p&gt;</t>
  </si>
  <si>
    <t>Препарат предназначен для подкожного введения. Не вводить в сосудистое русло!
Вакцину вводят однократно подкожно в верхнюю треть плеча в область дельтовидной или трехглавой мышцы.</t>
  </si>
  <si>
    <t>&lt;p&gt;Вакцину следует вводить внутримышечно, принимая во внимание возраст прививаемого:
&lt;ul&gt;&lt;li&gt;детям в возрасте от 9 до 12&amp;nbsp;месяцев — в передне-боковую область бедра;&lt;/li&gt;
&lt;li&gt;детям от 12&amp;nbsp;месяцев и старше и взрослым — в дельтовидную мышцу плеча.&lt;/li&gt;&lt;/ul&gt;
Не вводить вакцину внутрисосудисто. Перед введением необходимо убедиться, что игла не попала в кровеносный сосуд.&lt;br&gt;
Запрещено вводить вакцину Менактра подкожно или внутрикожно, поскольку данные о безопасности и эффективности вакцины при подкожном и внутрикожном введении отсутствуют.&lt;/p&gt;</t>
  </si>
  <si>
    <t>Вакцину следует вводить внутримышечно, принимая во внимание возраст прививаемого:
• детям в возрасте от 9 до 12 месяцев — в передне-боковую область бедра;
• детям от 12 месяцев и старше и взрослым — в дельтовидную мышцу плеча.
Не вводить вакцину внутрисосудисто. Перед введением необходимо убедиться, что игла не попала в кровеносный сосуд.
Запрещено вводить вакцину Менактра подкожно или внутрикожно, поскольку данные о безопасности и эффективности вакцины при подкожном и внутрикожном введении отсутствуют.</t>
  </si>
  <si>
    <t>&lt;p&gt;Подкожно. Вакцину вводят под лопатку или в область плеча (на границе между нижней и средней третью плеча с наружной стороны).&lt;br&gt;
Не вводить в сосудистое русло!&lt;/p&gt;</t>
  </si>
  <si>
    <t>Подкожно. Вакцину вводят под лопатку или в область плеча (на границе между нижней и средней третью плеча с наружной стороны).
Не вводить в сосудистое русло!</t>
  </si>
  <si>
    <t>&lt;p&gt;Вакцину вводят внутримышечно. Предпочтительным местом вакцинации у младенцев является передне-наружная поверхность бедра (латеральная широкая мышца бедра), а у детей и взрослых — дельтовидная мышца плеча.&lt;br&gt;
Вакцину Превенар&amp;nbsp;13 запрещено вводить внутрисосудисто.&lt;br&gt;
Вакцину не следует вводить внутримышечно пациентам с тромбоцитопенией или какими-либо нарушениями коагуляции, которым могут быть противопоказаны внутримышечные инъекции, но можно вводить подкожно, если потенциальная польза явно перевешивает риски от применения вакцины.&lt;/p&gt;</t>
  </si>
  <si>
    <t>Вакцину вводят внутримышечно. Предпочтительным местом вакцинации у младенцев является передне-наружная поверхность бедра (латеральная широкая мышца бедра), а у детей и взрослых — дельтовидная мышца плеча.
Вакцину Превенар 13 запрещено вводить внутрисосудисто.
Вакцину не следует вводить внутримышечно пациентам с тромбоцитопенией или какими-либо нарушениями коагуляции, которым могут быть противопоказаны внутримышечные инъекции, но можно вводить подкожно, если потенциальная польза явно перевешивает риски от применения вакцины.</t>
  </si>
  <si>
    <t>&lt;p&gt;Вакцину следует вводить только внутримышечно! Запрещено вводить вакцину внутрисосудисто или внутрикожно. Данные о подкожном введении вакцины "Синфлорикс" отсутствуют. Рекомендуемые места введения — верхненаружная поверхность средней части бедра у детей первого&amp;nbsp;года жизни или дельтовидная мышца плеча у детей старше 1&amp;nbsp;года.&lt;/p&gt;</t>
  </si>
  <si>
    <t>Вакцину следует вводить только внутримышечно! Запрещено вводить вакцину внутрисосудисто или внутрикожно. Данные о подкожном введении вакцины "Синфлорикс" отсутствуют. Рекомендуемые места введения — верхненаружная поверхность средней части бедра у детей первого года жизни или дельтовидная мышца плеча у детей старше 1 года.</t>
  </si>
  <si>
    <t>&lt;p&gt;Вакцину Пневмовакс&amp;nbsp;23 вводят в объеме 0,5&amp;nbsp;мл подкожно или внутримышечно (предпочтительно в дельтовидную мышцу или боковую поверхность средней части бедра), соблюдая при этом необходимые меры предосторожности, чтобы избежать внутрисосудистого введения.&lt;br&gt;
Не вводить внутривенно или внутрикожно!&lt;/p&gt;</t>
  </si>
  <si>
    <t>Вакцину Пневмовакс 23 вводят в объеме 0,5 мл подкожно или внутримышечно (предпочтительно в дельтовидную мышцу или боковую поверхность средней части бедра), соблюдая при этом необходимые меры предосторожности, чтобы избежать внутрисосудистого введения.
Не вводить внутривенно или внутрикожно!</t>
  </si>
  <si>
    <t>&lt;p&gt;Вакцину применяют по 4&amp;nbsp;капли на прием. Прививочную дозу вакцины закапывают в рот прилагаемой к флакону крышкой-капельницей или пипеткой за 1&amp;nbsp;час до&amp;nbsp;ЕДы. Запивать вакцину водой или какой-либо другой жидкостью, а также есть или пить в течение часа после прививки не разрешается.&lt;/p&gt;</t>
  </si>
  <si>
    <t>Вакцину применяют по 4 капли на прием. Прививочную дозу вакцины закапывают в рот прилагаемой к флакону крышкой-капельницей или пипеткой за 1 час до ЕДы. Запивать вакцину водой или какой-либо другой жидкостью, а также есть или пить в течение часа после прививки не разрешается.</t>
  </si>
  <si>
    <t>&lt;p&gt;Вакцина предназначена только для перорального применения. Вакцину применяют по 4&amp;nbsp;капли на прием. Прививочную дозу вакцины закапывают в рот прилагаемой к флакону капельницей или пипеткой. Запивать вакцину водой или какой-либо другой жидкостью, а также есть или пить в течение часа после прививки не разрешается.&lt;/p&gt;</t>
  </si>
  <si>
    <t>Вакцина предназначена только для перорального применения. Вакцину применяют по 4 капли на прием. Прививочную дозу вакцины закапывают в рот прилагаемой к флакону капельницей или пипеткой. Запивать вакцину водой или какой-либо другой жидкостью, а также есть или пить в течение часа после прививки не разрешается.</t>
  </si>
  <si>
    <t>&lt;p&gt;Вакцина вводится подкожно или внутримышечно.&lt;br&gt;
У детей в возрасте до 2&amp;nbsp;лет введение вакцины осуществляют в верхненаружную поверхность средней части бедра.&lt;br&gt;
У детей старше 2&amp;nbsp;лет, подростков и взрослых введение вакцины осуществляется в область дельтовидной мышцы. При невозможности введения в дельтовидную мышцу — препарат вводят в латеральную широкую мышцу бедра (в средней трети).&lt;/p&gt;</t>
  </si>
  <si>
    <t>Вакцина вводится подкожно или внутримышечно.
У детей в возрасте до 2 лет введение вакцины осуществляют в верхненаружную поверхность средней части бедра.
У детей старше 2 лет, подростков и взрослых введение вакцины осуществляется в область дельтовидной мышцы. При невозможности введения в дельтовидную мышцу — препарат вводят в латеральную широкую мышцу бедра (в средней трети).</t>
  </si>
  <si>
    <t>&lt;p&gt;Растворенную вакцину вводят медленно внутримышечно в дельтовидную мышцу плеча, детям до 5&amp;nbsp;лет — в верхнюю часть переднебоковой поверхности бедра.&lt;br&gt; 
Введение вакцины в ягодичную область не допускается!&lt;/p&gt;</t>
  </si>
  <si>
    <t>Растворенную вакцину вводят медленно внутримышечно в дельтовидную мышцу плеча, детям до 5 лет — в верхнюю часть переднебоковой поверхности бедра. 
Введение вакцины в ягодичную область не допускается!</t>
  </si>
  <si>
    <t>&lt;p&gt;Растворенную вакцину вводят медленно внутримышечно в дельтовидную мышцу плеча, детям до 5&amp;nbsp;лет — в верхнюю часть переднебоковой поверхности бедра. Хранение растворенной вакцины более 5&amp;nbsp;мин не допускается. Внимание! Введение вакцины в ягодичную область не допускается, в связи с риском недостаточной эффективности вакцинации.&lt;/p&gt;</t>
  </si>
  <si>
    <t>Растворенную вакцину вводят медленно внутримышечно в дельтовидную мышцу плеча, детям до 5 лет — в верхнюю часть переднебоковой поверхности бедра. Хранение растворенной вакцины более 5 мин не допускается. Внимание! Введение вакцины в ягодичную область не допускается, в связи с риском недостаточной эффективности вакцинации.</t>
  </si>
  <si>
    <t>&lt;p&gt;Вакцину вводят в подкожную клетчатку живота немедленно после растворения. В исключительных случаях вакцина может быть введена в подкожную 
клетчатку межлопаточной области.&lt;/p&gt;</t>
  </si>
  <si>
    <t>Вакцину вводят в подкожную клетчатку живота немедленно после растворения. В исключительных случаях вакцина может быть введена в подкожную 
клетчатку межлопаточной области.</t>
  </si>
  <si>
    <t>&lt;p&gt;Только для приема внутрь. Не для инъекций!&lt;br&gt;
Вакцина "РотаТек" представляет собой готовую к применению жидкость.&lt;br&gt;
Вакцина "РотаТек" может вводиться вне зависимости от времени приема пищи или любой жидкости, включая грудное молоко.&lt;/p&gt;</t>
  </si>
  <si>
    <t>Только для приема внутрь. Не для инъекций! 
Вакцина "РотаТек" представляет собой готовую к применению жидкость. 
Вакцина "РотаТек" может вводиться вне зависимости от времени приема пищи или любой жидкости, включая грудное молоко.</t>
  </si>
  <si>
    <t>&lt;p&gt;Подкожно. Вакцину вводят в область плеча (на границе между нижней и средней третью плеча с наружной стороны).&lt;br&gt;
Не вводить в сосудистое русло!&lt;/p&gt;</t>
  </si>
  <si>
    <t>Подкожно. Вакцину вводят в область плеча (на границе между нижней и средней третью плеча с наружной стороны).
Не вводить в сосудистое русло!</t>
  </si>
  <si>
    <t>&lt;p&gt;Прививочную дозу препарата (0,5&amp;nbsp;мл) необходимо вводить глубоко подкожно в область плеча.&lt;/p&gt;</t>
  </si>
  <si>
    <t>Прививочную дозу препарата (0,5 мл) необходимо вводить глубоко подкожно в область плеча.</t>
  </si>
  <si>
    <t>&lt;p&gt;АС-анатоксин вводят глубоко подкожно в подлопаточную область в дозе 0,5&amp;nbsp;мл (возможно введение в дозе 1&amp;nbsp;мл при сокращенной схеме иммунизации и при экстренной профилактике).&lt;/p&gt;</t>
  </si>
  <si>
    <t>АС-анатоксин вводят глубоко подкожно в подлопаточную область в дозе 0,5 мл (возможно введение в дозе 1 мл при сокращенной схеме иммунизации и при экстренной профилактике).</t>
  </si>
  <si>
    <t>&lt;p&gt;AC-анатоксин вводят глубоко подкожно в подлопаточную область в дозе 0,5&amp;nbsp;мл (разовая доза).&lt;/p&gt;</t>
  </si>
  <si>
    <t>AC-анатоксин вводят глубоко подкожно в подлопаточную область в дозе 0,5 мл (разовая доза).</t>
  </si>
  <si>
    <t>&lt;p&gt;Не вводить внутривенно и внутрикожно!&lt;br&gt;
Вакцину ВАКТА вводят внутримышечно.&lt;br&gt;
Предпочтительным местом для введения вакцины ВАКТА® является дельтовидная мышца (для детей старше 2&amp;nbsp;лет, подростков и взрослых). Детям в возрасте 12 – 23&amp;nbsp;месяцев вакцину ВАКТА® рекомендуется вводить в переднелатеральную поверхность бедра.&lt;/p&gt;</t>
  </si>
  <si>
    <t>Не вводить внутривенно и внутрикожно!
Вакцину ВАКТА вводят внутримышечно.
Предпочтительным местом для введения вакцины ВАКТА® является дельтовидная мышца (для детей старше 2 лет, подростков и взрослых). Детям в возрасте 12 – 23 месяцев вакцину ВАКТА® рекомендуется вводить в переднелатеральную поверхность бедра.</t>
  </si>
  <si>
    <t>&lt;p&gt;Не вводить внутривенно и внутрикожно!&lt;br&gt;
Вакцину ВАКТА вводят внутримышечно.&lt;br&gt;
Предпочтительным местом для введения вакцины ВАКТА® является дельтовидная мышца (для детей старше 2&amp;nbsp;лет, подростков и взрослых).&lt;/p&gt;</t>
  </si>
  <si>
    <t>Не вводить внутривенно и внутрикожно!
Вакцину ВАКТА вводят внутримышечно.
Предпочтительным местом для введения вакцины ВАКТА® является дельтовидная мышца (для детей старше 2 лет, подростков и взрослых).</t>
  </si>
  <si>
    <t>&lt;p&gt;Для внутримышечного введения.&lt;br&gt;
Не вводить вакцину внутривенно!&lt;br&gt;
Вакцину вводят внутримышечно в дельтовидную мышцу плеча (верхнюю треть наружной поверхности плеча). При невозможности введения в дельтовидную мышцу — препарат вводят в латеральную широкую мышцу бедра (наружная и передняя поверхность бедра в верхней и средней трети).&lt;/p&gt;</t>
  </si>
  <si>
    <t>Для внутримышечного введения.
Не вводить вакцину внутривенно!
Вакцину вводят внутримышечно в дельтовидную мышцу плеча (верхнюю треть наружной поверхности плеча). При невозможности введения в дельтовидную мышцу — препарат вводят в латеральную широкую мышцу бедра (наружная и передняя поверхность бедра в верхней и средней трети).</t>
  </si>
  <si>
    <t>&lt;p&gt;Препарат предназначен для внутримышечного введения. Вакцину вводят в дельтовидную мышцу руки (предпочтительно левой) в количестве 1&amp;nbsp;доза (0,5&amp;nbsp;мл).&lt;br&gt;
При невозможности введения в дельтовидную мышцу, препарат вводят в латеральную широкую мышцу бедра (в средней трети).&lt;/p&gt;</t>
  </si>
  <si>
    <t>Препарат предназначен для внутримышечного введения. Вакцину вводят в дельтовидную мышцу руки (предпочтительно левой) в количестве 1 доза (0,5 мл).
При невозможности введения в дельтовидную мышцу, препарат вводят в латеральную широкую мышцу бедра (в средней трети).</t>
  </si>
  <si>
    <t>&lt;p&gt;Препарат предназначен для внутримышечного введения. Вакцину вводят в дельтовидную мышцу руки (предпочтительно левой) в количестве 1&amp;nbsp;доза (0,25&amp;nbsp;мл). При невозможности введения в дельтовидную мышцу, препарат вводят в латеральную широкую мышцу бедра (в средней трети).&lt;br&gt;
Детям младшего возраста возможно введение вакцины в верхненаружную поверхность средней части бедра.&lt;br&gt;
&lt;b&gt;Не вводить в сосудистое русло!&lt;/b&gt;&lt;/p&gt;</t>
  </si>
  <si>
    <r>
      <rPr>
        <sz val="10"/>
        <color theme="1"/>
        <rFont val="Arial"/>
      </rPr>
      <t xml:space="preserve">Препарат предназначен для внутримышечного введения. Вакцину вводят в дельтовидную мышцу руки (предпочтительно левой) в количестве 1 доза (0,25 мл). При невозможности введения в дельтовидную мышцу, препарат вводят в латеральную широкую мышцу бедра (в средней трети).
Детям младшего возраста возможно введение вакцины в верхненаружную поверхность средней части бедра.
</t>
    </r>
    <r>
      <rPr>
        <b/>
        <sz val="10"/>
        <color theme="1"/>
        <rFont val="Arial"/>
      </rPr>
      <t>Не вводить в сосудистое русло!</t>
    </r>
  </si>
  <si>
    <t>&lt;p&gt;Внутримышечно. Не вводить в сосудистое русло! Вакцину вводят внутримышечно в дельтовидную мышцу плеча (верхнюю треть наружной поверхности плеча). При невозможности введения в дельтовидную мышцу — препарат вводят в латеральную широкую мышцу бедра (наружная и передняя поверхность бедра в верхней и средней трети).&lt;/p&gt;</t>
  </si>
  <si>
    <t>Внутримышечно. Не вводить в сосудистое русло! Вакцину вводят внутримышечно в дельтовидную мышцу плеча (верхнюю треть наружной поверхности плеча). При невозможности введения в дельтовидную мышцу — препарат вводят в латеральную широкую мышцу бедра (наружная и передняя поверхность бедра в верхней и средней трети).</t>
  </si>
  <si>
    <r>
      <rPr>
        <sz val="10"/>
        <color theme="1"/>
        <rFont val="Arial"/>
      </rPr>
      <t xml:space="preserve">&lt;p&gt;Вакцину Варилрикс вводят подкожно или внутримышечно в область дельтовидной мышцы плеча или в переднебоковую область бедра.&lt;br&gt;
</t>
    </r>
    <r>
      <rPr>
        <b/>
        <sz val="10"/>
        <color theme="1"/>
        <rFont val="Arial"/>
      </rPr>
      <t>&lt;i&gt;Вакцину Варилрикс нельзя вводить внутрисосудисто или внутрикожно!</t>
    </r>
    <r>
      <rPr>
        <sz val="10"/>
        <color theme="1"/>
        <rFont val="Arial"/>
      </rPr>
      <t>&lt;/i&gt;&lt;br&gt;
У лиц с нарушениями свертываемости крови (например, тромбоцитопенией или нарушениями коагуляции) вакцину следует вводить подкожно.&lt;/p&gt;</t>
    </r>
  </si>
  <si>
    <r>
      <rPr>
        <sz val="10"/>
        <color theme="1"/>
        <rFont val="Arial"/>
      </rPr>
      <t xml:space="preserve">Вакцину Варилрикс вводят подкожно или внутримышечно в область дельтовидной мышцы плеча или в переднебоковую область бедра.
</t>
    </r>
    <r>
      <rPr>
        <b/>
        <sz val="10"/>
        <color theme="1"/>
        <rFont val="Arial"/>
      </rPr>
      <t>Вакцину Варилрикс нельзя вводить внутрисосудисто или внутрикожно!</t>
    </r>
    <r>
      <rPr>
        <sz val="10"/>
        <color theme="1"/>
        <rFont val="Arial"/>
      </rPr>
      <t xml:space="preserve">
У лиц с нарушениями свертываемости крови (например, тромбоцитопенией или нарушениями коагуляции) вакцину следует вводить подкожно.</t>
    </r>
  </si>
  <si>
    <t>&lt;p&gt;Вакцинацию проводят однократно подкожно, шприцем под наружный угол лопатки или в область дельтовидной мышцы плеча в дозе 0,5&amp;nbsp;мл для всех возрастных групп не позднее чем за 10&amp;nbsp;суток до выезда в энзоотичный район.&lt;/p&gt;</t>
  </si>
  <si>
    <t>Вакцинацию проводят однократно подкожно, шприцем под наружный угол лопатки или в область дельтовидной мышцы плеча в дозе 0,5 мл для всех возрастных групп не позднее чем за 10 суток до выезда в энзоотичный район.</t>
  </si>
  <si>
    <r>
      <rPr>
        <sz val="10"/>
        <color theme="1"/>
        <rFont val="Arial"/>
      </rPr>
      <t xml:space="preserve">&lt;p&gt;Вакцину применяют накожно или внутрикожно.&lt;br&gt;
</t>
    </r>
    <r>
      <rPr>
        <b/>
        <sz val="10"/>
        <color theme="1"/>
        <rFont val="Arial"/>
      </rPr>
      <t>&lt;b&gt;Категорически запрещается разведенную для накожного скарификационного нанесения вакцину вводить внутрикожно!</t>
    </r>
    <r>
      <rPr>
        <sz val="10"/>
        <color theme="1"/>
        <rFont val="Arial"/>
      </rPr>
      <t xml:space="preserve">&lt;/b&gt;&lt;br&gt;&lt;br&gt;
</t>
    </r>
    <r>
      <rPr>
        <i/>
        <sz val="10"/>
        <color theme="1"/>
        <rFont val="Arial"/>
      </rPr>
      <t>&lt;i&gt;Вакцинация накожным способом</t>
    </r>
    <r>
      <rPr>
        <sz val="10"/>
        <color theme="1"/>
        <rFont val="Arial"/>
      </rPr>
      <t xml:space="preserve">&lt;/i&gt;&lt;br&gt;
Местом вакцинации служит наружная поверхность средней трети плеча. [...]&lt;br&gt;&lt;br&gt;
</t>
    </r>
    <r>
      <rPr>
        <i/>
        <sz val="10"/>
        <color theme="1"/>
        <rFont val="Arial"/>
      </rPr>
      <t>&lt;i&gt;Вакцинация внутрикожным способом</t>
    </r>
    <r>
      <rPr>
        <sz val="10"/>
        <color theme="1"/>
        <rFont val="Arial"/>
      </rPr>
      <t>&lt;/i&gt;&lt;br&gt;
Местом вакцинации служит область наружной поверхности средней трети плеча. [...]&lt;br&gt;
Вакцину вводят инъектором внутрикожно в объеме 0,1&amp;nbsp;мл согласно инструкции по применению инъектора БИ-ЗМ с противоинфекционным протектором ППИ-2 при режиме, рассчитанном на внутрикожное введение.&lt;/p&gt;</t>
    </r>
  </si>
  <si>
    <r>
      <rPr>
        <sz val="10"/>
        <color theme="1"/>
        <rFont val="Arial"/>
      </rPr>
      <t xml:space="preserve">Вакцину применяют накожно или внутрикожно.
</t>
    </r>
    <r>
      <rPr>
        <b/>
        <sz val="10"/>
        <color theme="1"/>
        <rFont val="Arial"/>
      </rPr>
      <t>Категорически запрещается разведенную для накожного скарификационного нанесения вакцину вводить внутрикожно!</t>
    </r>
    <r>
      <rPr>
        <sz val="10"/>
        <color theme="1"/>
        <rFont val="Arial"/>
      </rPr>
      <t xml:space="preserve">
</t>
    </r>
    <r>
      <rPr>
        <i/>
        <sz val="10"/>
        <color theme="1"/>
        <rFont val="Arial"/>
      </rPr>
      <t>Вакцинация накожным способом</t>
    </r>
    <r>
      <rPr>
        <sz val="10"/>
        <color theme="1"/>
        <rFont val="Arial"/>
      </rPr>
      <t xml:space="preserve">
Местом вакцинации служит наружная поверхность средней трети плеча. [...]
</t>
    </r>
    <r>
      <rPr>
        <i/>
        <sz val="10"/>
        <color theme="1"/>
        <rFont val="Arial"/>
      </rPr>
      <t>Вакцинация внутрикожным способом</t>
    </r>
    <r>
      <rPr>
        <sz val="10"/>
        <color theme="1"/>
        <rFont val="Arial"/>
      </rPr>
      <t xml:space="preserve">
Местом вакцинации служит область наружной поверхности средней трети плеча. [...]
Вакцину вводят инъектором внутрикожно в объеме 0,1 мл согласно инструкции по применению инъектора БИ-ЗМ с противоинфекционным протектором ППИ-2 при режиме, рассчитанном на внутрикожное введение.</t>
    </r>
  </si>
  <si>
    <t>&lt;p&gt;Препарат вводят подкожно в верхнюю треть наружной поверхности плеча [...].&lt;/p&gt;</t>
  </si>
  <si>
    <t>Препарат вводят подкожно в верхнюю треть наружной поверхности плеча [...].</t>
  </si>
  <si>
    <r>
      <rPr>
        <sz val="10"/>
        <color theme="1"/>
        <rFont val="Arial"/>
      </rPr>
      <t xml:space="preserve">&lt;p&gt;Вакцинацию проводят однократно подкожным, накожным, внутрикожным или ингаляционным способами. [...]&lt;br&gt;
&lt;br&gt;
</t>
    </r>
    <r>
      <rPr>
        <b/>
        <sz val="10"/>
        <color theme="1"/>
        <rFont val="Arial"/>
      </rPr>
      <t>Накожный способ.</t>
    </r>
    <r>
      <rPr>
        <sz val="10"/>
        <color theme="1"/>
        <rFont val="Arial"/>
      </rPr>
      <t xml:space="preserve"> Вакцинацию проводят на наружной поверхности средней трети плеча следующим образом: оспопрививательным пером слегка соскабливают (до покраснения) поверхностный слой эпидермиса на трех участках кожи [...]. Расстояние между участками составляет от&amp;nbsp;3&amp;nbsp;до&amp;nbsp;4&amp;nbsp;см, площадь участка от 1&amp;nbsp;до&amp;nbsp;1,5&amp;nbsp;см². При вакцинации детей эпидермис соскабливают на 1&amp;nbsp;или&amp;nbsp;2&amp;nbsp;участках кожи. На каждый участок скарифицированной кожи пипеткой наносят по 1&amp;nbsp;капле вакцины, после чего индивидуальным оспопрививательным пером через каждую каплю вакцины крестообразно наносят 4&amp;nbsp;горизонтальные и 4&amp;nbsp;вертикальные линейные насечки длиной 1&amp;nbsp;см. Затем оспопрививательным пером в течение нескольких секунд тщательно втирают капли вакцины в скарифицированную кожу и дают подсохнуть в течение 5&amp;nbsp;минут.&lt;br&gt;
&lt;br&gt;
</t>
    </r>
    <r>
      <rPr>
        <b/>
        <sz val="10"/>
        <color theme="1"/>
        <rFont val="Arial"/>
      </rPr>
      <t>Подкожный способ.</t>
    </r>
    <r>
      <rPr>
        <i/>
        <sz val="10"/>
        <color theme="1"/>
        <rFont val="Arial"/>
      </rPr>
      <t xml:space="preserve"> Категорически запрещается использовать вакцину, разведенную для накожного применения! </t>
    </r>
    <r>
      <rPr>
        <sz val="10"/>
        <color theme="1"/>
        <rFont val="Arial"/>
      </rPr>
      <t xml:space="preserve">Вакцину вводят шприцем ниже угла лопатки или безыгольным инъектором БИ-ЗМ с противоинфекционным протектором ППИ-2 в верхнюю треть плеча позади дельтовидной мышцы.&lt;br&gt;
&lt;br&gt;
</t>
    </r>
    <r>
      <rPr>
        <b/>
        <sz val="10"/>
        <color theme="1"/>
        <rFont val="Arial"/>
      </rPr>
      <t>Внутрикожный способ.</t>
    </r>
    <r>
      <rPr>
        <sz val="10"/>
        <color theme="1"/>
        <rFont val="Arial"/>
      </rPr>
      <t xml:space="preserve"> [...] Вакцину , взрослым и детям вводят в объеме 0,1&amp;nbsp;мл внутрикожно в область наружной поверхности плеча левой руки [...] с помощью безыгольного инъектора БИ-ЗМ с протектором противоинфекционным ППИ-2 или шприцем объемом 1&amp;nbsp;мл с тонкой иглой с коротким срезом.&lt;br&gt;
&lt;br&gt;
</t>
    </r>
    <r>
      <rPr>
        <b/>
        <sz val="10"/>
        <color theme="1"/>
        <rFont val="Arial"/>
      </rPr>
      <t>Вакцинация ингаляционным способом.</t>
    </r>
    <r>
      <rPr>
        <sz val="10"/>
        <color theme="1"/>
        <rFont val="Arial"/>
      </rPr>
      <t xml:space="preserve"> [...] Вакцину разводят 2&amp;nbsp;мл стерильного 10%-ного раствора лактозы. Флакон встряхивают до получения гомогенной взвеси. [...] Полученную взвесь переносят в другой стерильный флакон с необходимым для дальнейшего разведения объемом 10%-ного раствора лактозы (согласно указанию на коробке). [...] Полученную микробную суспензию в количестве, определяемом объемом помещения (0,1&amp;nbsp;мл на 1&amp;nbsp;м³ помещения), заливают в резервуар распылителя. Распыление производится с помощью пневматического распылителя эжекционного типа. [...] Продолжительность сеанса иммунизации 5&amp;nbsp;минут.&lt;/p&gt;</t>
    </r>
  </si>
  <si>
    <r>
      <rPr>
        <sz val="10"/>
        <color theme="1"/>
        <rFont val="Arial"/>
      </rPr>
      <t xml:space="preserve">Вакцинацию проводят однократно подкожным, накожным, внутрикожным или ингаляционным способами. [...]
</t>
    </r>
    <r>
      <rPr>
        <b/>
        <sz val="10"/>
        <color theme="1"/>
        <rFont val="Arial"/>
      </rPr>
      <t>Накожный способ.</t>
    </r>
    <r>
      <rPr>
        <sz val="10"/>
        <color theme="1"/>
        <rFont val="Arial"/>
      </rPr>
      <t xml:space="preserve"> Вакцинацию проводят на наружной поверхности средней трети плеча следующим образом: оспопрививательным пером слегка соскабливают (до покраснения) поверхностный слой эпидермиса на трех участках кожи [...]. Расстояние между участками составляет от 3 до 4 см, площадь участка от 1 до 1,5 см². При вакцинации детей эпидермис соскабливают на 1 или 2 участках кожи. На каждый участок скарифицированной кожи пипеткой наносят по 1 капле вакцины, после чего индивидуальным оспопрививательным пером через каждую каплю вакцины крестообразно наносят 4горизонтальные и 4 вертикальные линейные насечки длиной 1 см. Затем оспопрививательным пером в течение нескольких секунд тщательно втирают капли вакцины в скарифицированную кожу и дают подсохнуть в течение 5 минут.
</t>
    </r>
    <r>
      <rPr>
        <b/>
        <sz val="10"/>
        <color theme="1"/>
        <rFont val="Arial"/>
      </rPr>
      <t>Подкожный способ.</t>
    </r>
    <r>
      <rPr>
        <i/>
        <sz val="10"/>
        <color theme="1"/>
        <rFont val="Arial"/>
      </rPr>
      <t xml:space="preserve"> Категорически запрещается использовать вакцину, разведенную для накожного применения! </t>
    </r>
    <r>
      <rPr>
        <sz val="10"/>
        <color theme="1"/>
        <rFont val="Arial"/>
      </rPr>
      <t xml:space="preserve">Вакцину вводят шприцем ниже угла лопатки или безыгольным инъектором БИ-ЗМ с противоинфекционным протектором ППИ-2 в верхнюю треть плеча позади дельтовидной мышцы.
</t>
    </r>
    <r>
      <rPr>
        <b/>
        <sz val="10"/>
        <color theme="1"/>
        <rFont val="Arial"/>
      </rPr>
      <t>Внутрикожный способ.</t>
    </r>
    <r>
      <rPr>
        <sz val="10"/>
        <color theme="1"/>
        <rFont val="Arial"/>
      </rPr>
      <t xml:space="preserve"> [...] Вакцину , взрослым и детям вводят в объеме 0,1 мл внутрикожно в область наружной поверхности плеча левой руки [...] с помощью безыгольного инъектора БИ-ЗМ с протектором противоинфекционным ППИ-2 или шприцем объемом 1 мл с тонкой иглой с коротким срезом.
</t>
    </r>
    <r>
      <rPr>
        <b/>
        <sz val="10"/>
        <color theme="1"/>
        <rFont val="Arial"/>
      </rPr>
      <t>Вакцинация ингаляционным способом.</t>
    </r>
    <r>
      <rPr>
        <sz val="10"/>
        <color theme="1"/>
        <rFont val="Arial"/>
      </rPr>
      <t xml:space="preserve"> [...] Вакцину разводят 2 мл стерильного 10%-ного раствора лактозы. Флакон встряхивают до получения гомогенной взвеси. [...] Полученную взвесь переносят в другой стерильный флакон с необходимым для дальнейшего разведения объемом 10%-ного раствора лактозы (согласно указанию на коробке). [...] Полученную микробную суспензию в количестве, определяемом объемом помещения (0,1 мл на 1 м³ помещения), заливают в резервуар распылителя. Распыление производится с помощью пневматического распылителя эжекционного типа. [...] Продолжительность сеанса иммунизации 5 минут.</t>
    </r>
  </si>
  <si>
    <t>&lt;p&gt;[...] Вакцинацию проводят однократно путем приема одной таблетки, которую необходимо активно рассасывать или тщательно разжевывать в течение 5&amp;nbsp;–&amp;nbsp;7&amp;nbsp;минут. Проглатывать таблетку целиком запрещается! После приема таблетки в течение 30&amp;nbsp;минут не рекомендуется пить, принимать пищу, курить.&lt;/p&gt;</t>
  </si>
  <si>
    <t>[...] Вакцинацию проводят однократно путем приема одной таблетки, которую необходимо активно рассасывать или тщательно разжевывать в течение 5 – 7 минут. Проглатывать таблетку целиком запрещается! После приема таблетки в течение 30 минут не рекомендуется пить, принимать пищу, курить.</t>
  </si>
  <si>
    <r>
      <rPr>
        <sz val="10"/>
        <color theme="1"/>
        <rFont val="Arial"/>
      </rPr>
      <t xml:space="preserve">&lt;p&gt;Вакцинацию проводят однократно подкожным, накожным, внутрикожным или ингаляционным способами. [...]&lt;br&gt;
&lt;br&gt;
</t>
    </r>
    <r>
      <rPr>
        <b/>
        <sz val="10"/>
        <color theme="1"/>
        <rFont val="Arial"/>
      </rPr>
      <t xml:space="preserve">Накожный способ. </t>
    </r>
    <r>
      <rPr>
        <sz val="10"/>
        <color theme="1"/>
        <rFont val="Arial"/>
      </rPr>
      <t xml:space="preserve">[...] Вакцинацию проводят на наружной поверхности средней трети плеча следующим образом: взрослым оспопрививательным пером слегка соскабливают (до покраснения) поверхностный слой эпидермиса на 3 участках кожи [...] При вакцинации детей эпидермис соскабливают на 1 или 2 участках кожи. На каждый участок скарифицированной кожи пипеткой наносят по 1 капле вакцины, после чего индивидуальным оспопрививательным пером через каждую каплю вакцины крестообразно наносят 4 горизонтальные и 4 вертикальные линейные насечки длиной 1 см. Затем оспопрививательным пером в течение нескольких секунд тщательно втирают капли вакцины в скарифицированную кожу и дают подсохнуть в течение 5&amp;nbsp;мин. [...] </t>
    </r>
    <r>
      <rPr>
        <i/>
        <sz val="10"/>
        <color theme="1"/>
        <rFont val="Arial"/>
      </rPr>
      <t xml:space="preserve">Запрещается взамен перьев пользоваться иглами, скальпелями и т.п.&lt;br&gt;
</t>
    </r>
    <r>
      <rPr>
        <sz val="10"/>
        <color theme="1"/>
        <rFont val="Arial"/>
      </rPr>
      <t xml:space="preserve">&lt;br&gt;
</t>
    </r>
    <r>
      <rPr>
        <b/>
        <sz val="10"/>
        <color theme="1"/>
        <rFont val="Arial"/>
      </rPr>
      <t xml:space="preserve">Подкожный способ. </t>
    </r>
    <r>
      <rPr>
        <i/>
        <sz val="10"/>
        <color theme="1"/>
        <rFont val="Arial"/>
      </rPr>
      <t>Категорически запрещается использовать для подкожного применения вакцину, разведенную для накожного применения!</t>
    </r>
    <r>
      <rPr>
        <sz val="10"/>
        <color theme="1"/>
        <rFont val="Arial"/>
      </rPr>
      <t xml:space="preserve">&lt;br&gt;
[...] Вакцину вводят шприцем ниже угла лопатки или безыгольным инъектором БИ-ЗМ с протектором противоинфекционным ППИ-2 в верхнюю треть плеча позади дельтовидной мышцы.&lt;br&gt;
&lt;br&gt;
</t>
    </r>
    <r>
      <rPr>
        <b/>
        <sz val="10"/>
        <color theme="1"/>
        <rFont val="Arial"/>
      </rPr>
      <t xml:space="preserve">Внутрикожный способ. </t>
    </r>
    <r>
      <rPr>
        <sz val="10"/>
        <color theme="1"/>
        <rFont val="Arial"/>
      </rPr>
      <t xml:space="preserve">[...] Вакцину взрослым и детям вводят в объеме 0,1&amp;nbsp;мл внутрикожно в область наружной поверхности плеча левой руки [...] с помощью безыгольного инъектора БИ-ЗМ с протектором противоинфекционным ППИ-2 или шприцем объемом 1&amp;nbsp;мл с тонкой иглой с коротким срезом.&lt;br&gt;
&lt;br&gt;
</t>
    </r>
    <r>
      <rPr>
        <b/>
        <sz val="10"/>
        <color theme="1"/>
        <rFont val="Arial"/>
      </rPr>
      <t xml:space="preserve">Вакцинация ингаляционным способом. </t>
    </r>
    <r>
      <rPr>
        <sz val="10"/>
        <color theme="1"/>
        <rFont val="Arial"/>
      </rPr>
      <t>Вакцинацию проводят в специальных помещениях стационарного или временного типа объемом от 50 до 150 м, высотой от 2,5 до 4,5 м (соотношение длины и ширины не более чем 2:1). [...] Используется только вакцина в объеме 2&amp;nbsp;мл препарата. Вакцину в объеме 2&amp;nbsp;мл лиофилизата разводят 2&amp;nbsp;мл стерильного 10% раствора лактозы. Ампулу встряхивают до получения гомогенной взвеси. Полученную взвесь переносят в стерильный флакон с необходимым для дальнейшего разведения объемом 10% раствора лактозы  [...] Полученную микробную суспензию в количестве, определяемом объемом помещения (0,1&amp;nbsp;мл на 1 м³ помещения), заливают в резервуар распылителя. Распыление производится с помощью пневматического распылителя эжекционного типа. [...] Продолжительность сеанса иммунизации 5&amp;nbsp;мин.&lt;/p&gt;</t>
    </r>
  </si>
  <si>
    <r>
      <rPr>
        <sz val="10"/>
        <color theme="1"/>
        <rFont val="Arial"/>
      </rPr>
      <t xml:space="preserve">Вакцинацию проводят однократно подкожным, накожным, внутрикожным или ингаляционным способами. [...]
</t>
    </r>
    <r>
      <rPr>
        <b/>
        <sz val="10"/>
        <color theme="1"/>
        <rFont val="Arial"/>
      </rPr>
      <t xml:space="preserve">Накожный способ. </t>
    </r>
    <r>
      <rPr>
        <sz val="10"/>
        <color theme="1"/>
        <rFont val="Arial"/>
      </rPr>
      <t xml:space="preserve">[...] Вакцинацию проводят на наружной поверхности средней трети плеча следующим образом: взрослым оспопрививательным пером слегка соскабливают (до покраснения) поверхностный слой эпидермиса на 3 участках кожи [...] При вакцинации детей эпидермис соскабливают на 1 или 2 участках кожи. На каждый участок скарифицированной кожи пипеткой наносят по 1 капле вакцины, после чего индивидуальным оспопрививательным пером через каждую каплю вакцины крестообразно наносят 4 горизонтальные и 4 вертикальные линейные насечки длиной 1 см. Затем оспопрививательным пером в течение нескольких секунд тщательно втирают капли вакцины в скарифицированную кожу и дают подсохнуть в течение 5 мин. [...] </t>
    </r>
    <r>
      <rPr>
        <i/>
        <sz val="10"/>
        <color theme="1"/>
        <rFont val="Arial"/>
      </rPr>
      <t xml:space="preserve">Запрещается взамен перьев пользоваться иглами, скальпелями и т.п.
</t>
    </r>
    <r>
      <rPr>
        <sz val="10"/>
        <color theme="1"/>
        <rFont val="Arial"/>
      </rPr>
      <t xml:space="preserve">
</t>
    </r>
    <r>
      <rPr>
        <b/>
        <sz val="10"/>
        <color theme="1"/>
        <rFont val="Arial"/>
      </rPr>
      <t xml:space="preserve">Подкожный способ. </t>
    </r>
    <r>
      <rPr>
        <i/>
        <sz val="10"/>
        <color theme="1"/>
        <rFont val="Arial"/>
      </rPr>
      <t xml:space="preserve">Категорически запрещается использовать для подкожного применения вакцину, разведенную для накожного применения! </t>
    </r>
    <r>
      <rPr>
        <sz val="10"/>
        <color theme="1"/>
        <rFont val="Arial"/>
      </rPr>
      <t xml:space="preserve">
[...] Вакцину вводят шприцем ниже угла лопатки или безыгольным инъектором БИ-ЗМ с протектором противоинфекционным ППИ-2 в верхнюю треть плеча позади дельтовидной мышцы.
</t>
    </r>
    <r>
      <rPr>
        <b/>
        <sz val="10"/>
        <color theme="1"/>
        <rFont val="Arial"/>
      </rPr>
      <t xml:space="preserve">Внутрикожный способ. </t>
    </r>
    <r>
      <rPr>
        <sz val="10"/>
        <color theme="1"/>
        <rFont val="Arial"/>
      </rPr>
      <t xml:space="preserve">[...] Вакцину взрослым и детям вводят в объеме 0,1 мл внутрикожно в область наружной поверхности плеча левой руки [...] с помощью безыгольного инъектора БИ-ЗМ с протектором противоинфекционным ППИ-2 или шприцем объемом 1 мл с тонкой иглой с коротким срезом. 
</t>
    </r>
    <r>
      <rPr>
        <b/>
        <sz val="10"/>
        <color theme="1"/>
        <rFont val="Arial"/>
      </rPr>
      <t xml:space="preserve">Вакцинация ингаляционным способом. </t>
    </r>
    <r>
      <rPr>
        <sz val="10"/>
        <color theme="1"/>
        <rFont val="Arial"/>
      </rPr>
      <t xml:space="preserve">Вакцинацию проводят в специальных помещениях стационарного или временного типа объемом от 50 до 150 м, высотой от 2,5 до 4,5 м (соотношение длины и ширины не более чем 2:1). [...] Используется только вакцина в объеме 2 мл препарата. Вакцину в объеме 2 мл лиофилизата разводят 2 мл стерильного 10% раствора лактозы. Ампулу встряхивают до получения гомогенной взвеси. Полученную взвесь переносят в стерильный флакон с необходимым для дальнейшего разведения объемом 10% раствора лактозы  [...] Полученную микробную суспензию в количестве, определяемом объемом помещения (0,1 мл на 1 м³ помещения), заливают в резервуар распылителя. Распыление производится с помощью пневматического распылителя эжекционного типа. [...] Продолжительность сеанса иммунизации 5 мин. </t>
    </r>
  </si>
  <si>
    <t>&lt;p&gt;Вакцину вводят больным внутрикожно в возрастающих дозах в области суставов, плеч или бедер в точки на расстоянии 40&amp;nbsp;–&amp;nbsp;60&amp;nbsp;мм друг от друга; минимальная доза составляет 2х10⁵&amp;nbsp;микробных клеток, максимальная — 3х10⁸&amp;nbsp;микробных клеток.&lt;/p&gt;</t>
  </si>
  <si>
    <t xml:space="preserve">Вакцину вводят больным внутрикожно в возрастающих дозах в области суставов, плеч или бедер в точки на расстоянии 40 – 60 мм друг от друга; минимальная доза составляет 2х10⁵ микробных клеток, максимальная — 3х10⁸ микробных клеток. </t>
  </si>
  <si>
    <r>
      <rPr>
        <sz val="10"/>
        <color theme="1"/>
        <rFont val="Arial"/>
      </rPr>
      <t xml:space="preserve">&lt;p&gt;Вакцину применяют накожно или подкожно.&lt;br&gt;
</t>
    </r>
    <r>
      <rPr>
        <b/>
        <sz val="10"/>
        <color theme="1"/>
        <rFont val="Arial"/>
      </rPr>
      <t>&lt;b&gt;Категорически запрещается вводить подкожно вакцину, разведенную для накожного скарификационного нанесения!</t>
    </r>
    <r>
      <rPr>
        <sz val="10"/>
        <color theme="1"/>
        <rFont val="Arial"/>
      </rPr>
      <t xml:space="preserve">&lt;/b&gt;&lt;br&gt;&lt;br&gt;
</t>
    </r>
    <r>
      <rPr>
        <i/>
        <sz val="10"/>
        <color theme="1"/>
        <rFont val="Arial"/>
      </rPr>
      <t>&lt;i&gt;Вакцинация накожным способом&lt;/i&gt;&lt;br&gt;</t>
    </r>
    <r>
      <rPr>
        <sz val="10"/>
        <color theme="1"/>
        <rFont val="Arial"/>
      </rPr>
      <t xml:space="preserve">
Местом вакцинации служит наружная поверхность средней трети плеча. [...]&lt;br&gt;&lt;br&gt;
</t>
    </r>
    <r>
      <rPr>
        <i/>
        <sz val="10"/>
        <color theme="1"/>
        <rFont val="Arial"/>
      </rPr>
      <t>&lt;i&gt;Вакцинация подкожным способом&lt;/i&gt;</t>
    </r>
    <r>
      <rPr>
        <sz val="10"/>
        <color theme="1"/>
        <rFont val="Arial"/>
      </rPr>
      <t>&lt;br&gt;
Местом вакцинации служит область наружной поверхности плеча на границе между верхней и средней третью. [...] 0,5&amp;nbsp;мл восстановленной и разведенной для подкожного введения вакцины вводят безыгольным инъектором, рассчитанным на подкожное введение (БИ-ЗМ с противоинфекционным протектором типа ППИ-2), согласно Инструкции по применению инъектора.&lt;/p&gt;</t>
    </r>
  </si>
  <si>
    <r>
      <rPr>
        <sz val="10"/>
        <color theme="1"/>
        <rFont val="Arial"/>
      </rPr>
      <t xml:space="preserve">Вакцину применяют накожно или подкожно.
</t>
    </r>
    <r>
      <rPr>
        <b/>
        <sz val="10"/>
        <color theme="1"/>
        <rFont val="Arial"/>
      </rPr>
      <t>Категорически запрещается вводить подкожно вакцину, разведенную для накожного скарификационного нанесения!</t>
    </r>
    <r>
      <rPr>
        <sz val="10"/>
        <color theme="1"/>
        <rFont val="Arial"/>
      </rPr>
      <t xml:space="preserve">
</t>
    </r>
    <r>
      <rPr>
        <i/>
        <sz val="10"/>
        <color theme="1"/>
        <rFont val="Arial"/>
      </rPr>
      <t>Вакцинация накожным способом</t>
    </r>
    <r>
      <rPr>
        <sz val="10"/>
        <color theme="1"/>
        <rFont val="Arial"/>
      </rPr>
      <t xml:space="preserve">
Местом вакцинации служит наружная поверхность средней трети плеча. [...]
</t>
    </r>
    <r>
      <rPr>
        <i/>
        <sz val="10"/>
        <color theme="1"/>
        <rFont val="Arial"/>
      </rPr>
      <t>Вакцинация подкожным способом</t>
    </r>
    <r>
      <rPr>
        <sz val="10"/>
        <color theme="1"/>
        <rFont val="Arial"/>
      </rPr>
      <t xml:space="preserve">
Местом вакцинации служит область наружной поверхности плеча на границе между верхней и средней третью. [...] 0,5 мл восстановленной и разведенной для подкожного введения вакцины вводят безыгольным инъектором, рассчитанным на подкожное введение (БИ-ЗМ с противоинфекционным протектором типа ППИ-2), согласно Инструкции по применению инъектора.</t>
    </r>
  </si>
  <si>
    <r>
      <rPr>
        <sz val="10"/>
        <color theme="1"/>
        <rFont val="Arial"/>
      </rPr>
      <t xml:space="preserve">&lt;p&gt;Первичная иммунизация проводится двукратно скарификационным способом с интервалом 20&amp;nbsp;–&amp;nbsp;30&amp;nbsp;суток или подкожным способом. Ревакцинацию проводят однократно ежегодно подкожно. Вакцинацию по эпидемическим показаниям проводят подкожным способом.&lt;br&gt;
&lt;br&gt;
</t>
    </r>
    <r>
      <rPr>
        <i/>
        <sz val="10"/>
        <color theme="1"/>
        <rFont val="Arial"/>
      </rPr>
      <t>Вакцинация скарификационным (накожным) способом.</t>
    </r>
    <r>
      <rPr>
        <sz val="10"/>
        <color theme="1"/>
        <rFont val="Arial"/>
      </rPr>
      <t xml:space="preserve">&lt;br&gt;
[...] Прививку производят на наружной поверхности средней трети плеча. [...] Стерильным туберкулиновым шприцем с тонкой и короткой иглой (0,4х15), не прикасаясь к коже, наносят по одной капле (0,025&amp;nbsp;мл) разведенной вакцины в 2 места будущих насечек на расстоянии 3&amp;nbsp;–&amp;nbsp;4 см на горизонтально расположенную поверхность плеча. Кожу слегка натягивают и стерильным оспопрививательным пером через каждую каплю вакцины делают по 2&amp;nbsp;параллельные насечки (на расстоянии 3&amp;nbsp;–&amp;nbsp;5&amp;nbsp;мм) длиной 10&amp;nbsp;мм [...] Плоской стороной оспопрививательного пера вакцину втирают в насечки в течение 30&amp;nbsp;с и дают подсохнуть в течение 5&amp;nbsp;–&amp;nbsp;10&amp;nbsp;мин. [...]&lt;br&gt;
&lt;br&gt;
</t>
    </r>
    <r>
      <rPr>
        <i/>
        <sz val="10"/>
        <color theme="1"/>
        <rFont val="Arial"/>
      </rPr>
      <t xml:space="preserve">Вакцинация подкожным способом.&lt;br&gt;
</t>
    </r>
    <r>
      <rPr>
        <sz val="10"/>
        <color theme="1"/>
        <rFont val="Arial"/>
      </rPr>
      <t>При шприцевом способе вакцину в объеме 0,5&amp;nbsp;мл вводят подкожно в область нижнего угла лопатки. [...]&lt;br&gt;
При безыгольном способе вакцину в объеме 0,5&amp;nbsp;мл вводят в область наружной поверхности верхней трети плеча безыгольным инъектором с протектором при строгом соблюдении инструкции по его применению. [...]&lt;/p&gt;</t>
    </r>
  </si>
  <si>
    <r>
      <rPr>
        <sz val="10"/>
        <color theme="1"/>
        <rFont val="Arial"/>
      </rPr>
      <t xml:space="preserve">Первичная иммунизация проводится двукратно скарификационным способом с интервалом 20 – 30 суток или подкожным способом. Ревакцинацию проводят однократно ежегодно подкожно. Вакцинацию по эпидемическим показаниям проводят подкожным способом.
</t>
    </r>
    <r>
      <rPr>
        <i/>
        <sz val="10"/>
        <color theme="1"/>
        <rFont val="Arial"/>
      </rPr>
      <t>Вакцинация скарификационным (накожным) способом.</t>
    </r>
    <r>
      <rPr>
        <sz val="10"/>
        <color theme="1"/>
        <rFont val="Arial"/>
      </rPr>
      <t xml:space="preserve">
[...] Прививку производят на наружной поверхности средней трети плеча. [...] Стерильным туберкулиновым шприцем с тонкой и короткой иглой (0,4х15), не прикасаясь к коже, наносят по одной капле (0,025 мл) разведенной вакцины в 2 места будущих насечек на расстоянии 3 – 4 см на горизонтально расположенную поверхность плеча. Кожу слегка натягивают и стерильным оспопрививательным пером через каждую каплю вакцины делают по 2 параллельные насечки (на расстоянии 3 – 5 мм) длиной 10 мм [...] Плоской стороной оспопрививательного пера вакцину втирают в насечки в течение 30 с и дают подсохнуть в течение 5 – 10 мин. [...]
</t>
    </r>
    <r>
      <rPr>
        <i/>
        <sz val="10"/>
        <color theme="1"/>
        <rFont val="Arial"/>
      </rPr>
      <t xml:space="preserve">Вакцинация подкожным способом. </t>
    </r>
    <r>
      <rPr>
        <sz val="10"/>
        <color theme="1"/>
        <rFont val="Arial"/>
      </rPr>
      <t xml:space="preserve">
При шприцевом способе вакцину в объеме 0,5 мл вводят подкожно в область нижнего угла лопатки. [...]
При безыгольном способе вакцину в объеме 0,5 мл вводят в область наружной поверхности верхней трети плеча безыгольным инъектором с протектором при строгом соблюдении инструкции по его применению. [...]</t>
    </r>
  </si>
  <si>
    <t>&lt;p&gt;Первичную иммунизацию проводят однократно подкожно шприцевым или безыгольным способами. Ревакцинацию проводят однократно. Первые три ревакцинации осуществляют ежегодно. Все последующие ревакцинации проводят один раз в два&amp;nbsp;года. [...]&lt;br&gt;
&lt;br&gt;
Вакцинация шприцевым способом. Вакцину в объеме 0,5&amp;nbsp;мл вводят подкожно в область нижнего угла левой лопатки одноразовым шприцем. [...]&lt;br&gt;
Вакцинация безыгольным способом. Вакцину в объеме 0,5&amp;nbsp;мл вводят подкожно в область наружной поверхности верхней трети плеча безыгольным инъектором с протектором при строгом соблюдении инструкции по его применению. [...]&lt;br&gt;&lt;/p&gt;</t>
  </si>
  <si>
    <t>Первичную иммунизацию проводят однократно подкожно шприцевым или безыгольным способами. Ревакцинацию проводят однократно. Первые три ревакцинации осуществляют ежегодно. Все последующие ревакцинации проводят один раз в два года. [...]
Вакцинация шприцевым способом. Вакцину в объеме 0,5 мл вводят подкожно в область нижнего угла левой лопатки одноразовым шприцем. [...]
Вакцинация безыгольным способом. Вакцину в объеме 0,5 мл вводят подкожно в область наружной поверхности верхней трети плеча безыгольным инъектором с протектором при строгом соблюдении инструкции по его применению. [...]</t>
  </si>
  <si>
    <r>
      <rPr>
        <sz val="10"/>
        <color theme="1"/>
        <rFont val="Arial"/>
      </rPr>
      <t xml:space="preserve">&lt;p&gt;Вакцину Рабипур® необходимо вводить внутримышечно в дельтовидную мышцу, у детей&amp;nbsp;младшего возраста (до 18&amp;nbsp;месяцев) — в переднюю латеральную поверхность бедра.&lt;br&gt;
</t>
    </r>
    <r>
      <rPr>
        <b/>
        <sz val="10"/>
        <color theme="1"/>
        <rFont val="Arial"/>
      </rPr>
      <t>Вакцину ни при каких обстоятельствах нельзя вводить внутрисосудисто!</t>
    </r>
    <r>
      <rPr>
        <sz val="10"/>
        <color theme="1"/>
        <rFont val="Arial"/>
      </rPr>
      <t>&lt;br&gt;
[...] Не следует вводить вакцину в ягодичную мышцу или подкожно, так как в этом случае может не развиться адекватный иммунный ответ.&lt;br&gt;&lt;/p&gt;</t>
    </r>
  </si>
  <si>
    <r>
      <rPr>
        <sz val="10"/>
        <color theme="1"/>
        <rFont val="Arial"/>
      </rPr>
      <t xml:space="preserve">Вакцину Рабипур® необходимо вводить внутримышечно в дельтовидную мышцу, у детей младшего возраста (до 18 месяцев) — в переднюю латеральную поверхность бедра.
</t>
    </r>
    <r>
      <rPr>
        <b/>
        <sz val="10"/>
        <color theme="1"/>
        <rFont val="Arial"/>
      </rPr>
      <t>Вакцину ни при каких обстоятельствах нельзя вводить внутрисосудисто!</t>
    </r>
    <r>
      <rPr>
        <sz val="10"/>
        <color theme="1"/>
        <rFont val="Arial"/>
      </rPr>
      <t xml:space="preserve">
[...] Не следует вводить вакцину в ягодичную мышцу или подкожно, так как в этом случае 
может не развиться адекватный иммунный ответ.</t>
    </r>
  </si>
  <si>
    <t>&lt;p&gt;Вакцину вводят подкожно в область нижнего угла лопатки.&lt;/p&gt;</t>
  </si>
  <si>
    <t>Вакцину вводят подкожно в область нижнего угла лопатки.</t>
  </si>
  <si>
    <t>&lt;p&gt;Препарат предназначен для накожного нанесения. Вакцину наносят методом скарификации на наружную поверхность средней трети плеча.&lt;br&gt;&lt;br&gt;
Вакцину Ку-лихорадки М-44 живую ни при каких обстоятельствах не следует вводить в сосудистое русло!&lt;/p&gt;</t>
  </si>
  <si>
    <t>Препарат предназначен для накожного нанесения. Вакцину наносят методом скарификации на наружную поверхность средней трети плеча.
Вакцину Ку-лихорадки М-44 живую ни при каких обстоятельствах не следует вводить в сосудистое русло!</t>
  </si>
  <si>
    <t>&lt;p&gt;Одна прививочная доза препарата при вакцинации составляет для взрослых — 3&amp;nbsp;таблетки, подростков 11&amp;nbsp;–&amp;nbsp;17&amp;nbsp;лет — 2&amp;nbsp;таблетки, детей 2&amp;nbsp;–&amp;nbsp;10&amp;nbsp;лет — 1&amp;nbsp;таблетка.&lt;br&gt;
Таблетки вакцины холерной бивалентной химической принимают перорально за 1&amp;nbsp;час до&amp;nbsp;ЕДы, глотая целиком, не разжёвывая, запивая 1/8&amp;nbsp;–&amp;nbsp;1/4 стакана кипячёной воды.&lt;br&gt;
Ревакцинацию проводят через 6&amp;nbsp;–&amp;nbsp;7 мес. после вакцинации; доза для взрослых и подростков составляет 2&amp;nbsp;таблетки, для детей 2&amp;nbsp;–&amp;nbsp;10&amp;nbsp;лет — 1&amp;nbsp;таблетка.&lt;br&gt;
Препарат можно принимать одновременно (в один день) с введением инактивированных вакцин Национального календаря профилактических прививок и календаря профилактических прививок по эпидемическим показания (за исключением антирабических вакцин и вакцины БЦЖ).&lt;/p&gt;</t>
  </si>
  <si>
    <t>Одна прививочная доза препарата при вакцинации составляет для взрослых — 3 таблетки, подростков 11 – 17 лет — 2 таблетки, детей 2 – 10 лет — 1 таблетка.
Таблетки вакцины холерной бивалентной химической принимают перорально за 1 час до ЕДы, глотая целиком, не разжёвывая, запивая 1/8 – 1/4 стакана кипячёной воды.
Ревакцинацию проводят через 6 – 7 мес. после вакцинации; доза для взрослых и подростков составляет 2 таблетки, для детей 2 – 10 лет — 1 таблетка. 
Препарат можно принимать одновременно (в один день) с введением инактивированных вакцин Национального календаря профилактических прививок и календаря профилактических прививок по эпидемическим показания (за исключением антирабических вакцин и вакцины БЦЖ).</t>
  </si>
  <si>
    <t>&lt;p&gt;Подкожно.&lt;br&gt;
Вакцину вводят глубоко подкожно в наружную поверхность верхней трети плеча.&lt;br&gt;
Не вводить в сосудистое русло.&lt;/p&gt;</t>
  </si>
  <si>
    <t>Подкожно.
Вакцину вводят глубоко подкожно в наружную поверхность верхней трети плеча.
Не вводить в сосудистое русло.</t>
  </si>
  <si>
    <t>&lt;p&gt;Вакцинацию проводят двукратно с интервалом 25&amp;nbsp;–&amp;nbsp;35 суток в дозе: 
&lt;ul&gt;&lt;li&gt;1-я вакцинация — 0,5&amp;nbsp;мл;&lt;/li&gt;
&lt;li&gt;2-я вакцинация – 1,0&amp;nbsp;мл;&lt;/li&gt;
&lt;li&gt;ревакцинацию проводят через 2&amp;nbsp;года в дозе 1,0&amp;nbsp;мл.&lt;/li&gt;&lt;/ul&gt;&lt;/p&gt;
&lt;p&gt;Препарат вводят шприцем подкожно в подлопаточную область.&lt;/p&gt;</t>
  </si>
  <si>
    <t>Вакцинацию проводят двукратно с интервалом 25 – 35 суток в дозе: 
• 1-я вакцинация — 0,5 мл; 
• 2-я вакцинация – 1,0 мл; 
• ревакцинацию проводят через 2 года в дозе 1,0 мл. 
Препарат вводят шприцем подкожно в подлопаточную область.</t>
  </si>
  <si>
    <t>&lt;p&gt;Подкожно или внутримышечно.&lt;br&gt;
Вакцину вводят глубоко подкожно или внутримышечно в наружную поверхность верхней трети плеча.&lt;br&gt;
Не вводить в сосудистое русло.&lt;/p&gt;</t>
  </si>
  <si>
    <t>Подкожно или внутримышечно.
Вакцину вводят глубоко подкожно или внутримышечно в наружную поверхность верхней трети плеча.
Не вводить в сосудистое русло.</t>
  </si>
  <si>
    <r>
      <rPr>
        <sz val="10"/>
        <color theme="1"/>
        <rFont val="Arial"/>
      </rPr>
      <t>&lt;p&gt;Вакцина предназначена только для внутримышечного введения.&lt;br&gt;
Особенности введения препарата:
&lt;ul&gt;&lt;li&gt;Для взрослых в возрасте 18&amp;nbsp;–&amp;nbsp;60&amp;nbsp;лет вакцину вводят в дельтовидную мышцу (верхнюю треть наружной поверхности плеча) двукратно с интервалом 2&amp;nbsp;недели в дозе 0,5&amp;nbsp;мл.&lt;/li&gt; 
&lt;li&gt;Для взрослых старше 60&amp;nbsp;лет вакцину вводят в дельтовидную мышцу (верхнюю треть наружной поверхности плеча) трехкратно с интервалом 3&amp;nbsp;недели в дозе 0,5&amp;nbsp;мл.&lt;/li&gt;&lt;/ul&gt;&lt;/p&gt;
&lt;p&gt;</t>
    </r>
    <r>
      <rPr>
        <b/>
        <sz val="10"/>
        <color theme="1"/>
        <rFont val="Arial"/>
      </rPr>
      <t>Строго запрещено внутривенное введение препарата</t>
    </r>
    <r>
      <rPr>
        <sz val="10"/>
        <color theme="1"/>
        <rFont val="Arial"/>
      </rPr>
      <t>.&lt;/p&gt;</t>
    </r>
  </si>
  <si>
    <r>
      <rPr>
        <sz val="10"/>
        <color theme="1"/>
        <rFont val="Arial"/>
      </rPr>
      <t xml:space="preserve">Вакцина предназначена только для внутримышечного введения. 
Особенности введения препарата: 
• Для взрослых в возрасте 18 – 60 лет вакцину вводят в дельтовидную мышцу (верхнюю треть наружной поверхности плеча) двукратно с интервалом 2 недели в дозе 0,5 мл. 
• Для взрослых старше 60 лет вакцину вводят в дельтовидную мышцу (верхнюю треть наружной поверхности плеча) трехкратно с интервалом 3 недели в дозе 0,5 мл. 
</t>
    </r>
    <r>
      <rPr>
        <b/>
        <sz val="10"/>
        <color theme="1"/>
        <rFont val="Arial"/>
      </rPr>
      <t>Строго запрещено внутривенное введение препарата</t>
    </r>
    <r>
      <rPr>
        <sz val="10"/>
        <color theme="1"/>
        <rFont val="Arial"/>
      </rPr>
      <t xml:space="preserve">. </t>
    </r>
  </si>
  <si>
    <t>&lt;p&gt;Лекарственный препарат предназначен только для внутримышечного введения. Строго запрещено внутривенное введение лекарственного препарата. Лекарственный препарат вводят в дельтовидную мышцу (верхнюю треть наружной поверхности плеча). При невозможности введения в дельтовидную мышцу — лекарственный препарат вводят в латеральную широкую мышцу бедра.&lt;/p&gt;</t>
  </si>
  <si>
    <t>Лекарственный препарат предназначен только для внутримышечного введения. Строго запрещено внутривенное введение лекарственного препарата. Лекарственный препарат вводят в дельтовидную мышцу (верхнюю треть наружной поверхности плеча). При невозможности введения в дельтовидную мышцу — лекарственный препарат вводят в латеральную широкую мышцу бедра.</t>
  </si>
  <si>
    <t>&lt;p&gt;Строго запрещено внутривенное введение препарата. Вакцину вводят в дельтовидную мышцу (верхнюю треть наружной поверхности плеча). При невозможности введения в дельтовидную мышцу — препарат вводят в латеральную широкую мышцу бедра.&lt;br&gt;
Вакцинацию проводят в два этапа: вначале компонентом&amp;nbsp;І в дозе 0,5&amp;nbsp;мл, затем, через 3&amp;nbsp;недели – компонентом&amp;nbsp;II в дозе 0,5&amp;nbsp;мл.&lt;/p&gt;</t>
  </si>
  <si>
    <t>https://grls.rosminzdrav.ru/InstrImg/2022/07/01/1482554/85877900-4857-49d0-8559-cf446fe8cfa7.pdf</t>
  </si>
  <si>
    <t>Строго запрещено внутривенное введение препарата. Вакцину вводят в дельтовидную мышцу (верхнюю треть наружной поверхности плеча). При невозможности введения в дельтовидную мышцу — препарат вводят в латеральную широкую мышцу бедра. 
Вакцинацию проводят в два этапа: вначале компонентом І в дозе 0,5 мл, затем, через 3 недели – компонентом II в дозе 0,5 мл.</t>
  </si>
  <si>
    <r>
      <rPr>
        <sz val="10"/>
        <color theme="1"/>
        <rFont val="Arial"/>
      </rPr>
      <t xml:space="preserve">&lt;p&gt;Вакцина вводится однократно в дозе 0,5&amp;nbsp;мл инъекция.&lt;br&gt;
Повторная вакцинация (ревакцинация) против коронавирусной инфекции, вызываемой вирусом SARS-CoV-2, проводится не ранее, чем через 1&amp;nbsp;год после предыдущей вакцинации.&lt;br&gt;
Вакцина вводится внутримышечно в верхнюю треть наружной поверхности плеча (в область дельтовидной мышцы).&lt;br&gt;
</t>
    </r>
    <r>
      <rPr>
        <b/>
        <sz val="10"/>
        <color theme="1"/>
        <rFont val="Arial"/>
      </rPr>
      <t>&lt;b&gt;Не вводить в сосудистое русло!&lt;/b&gt;&lt;/p&gt;</t>
    </r>
  </si>
  <si>
    <r>
      <rPr>
        <sz val="10"/>
        <color theme="1"/>
        <rFont val="Arial"/>
      </rPr>
      <t xml:space="preserve">Вакцина вводится однократно в дозе 0,5 мл инъекция.
Повторная вакцинация (ревакцинация) против коронавирусной инфекции, вызываемой вирусом SARS-CoV-2, проводится не ранее, чем через 1 год после предыдущей вакцинации.
Вакцина вводится внутримышечно в верхнюю треть наружной поверхности плеча (в область дельтовидной мышцы).
</t>
    </r>
    <r>
      <rPr>
        <b/>
        <sz val="10"/>
        <color theme="1"/>
        <rFont val="Arial"/>
      </rPr>
      <t>Не вводить в сосудистое русло!</t>
    </r>
  </si>
  <si>
    <r>
      <rPr>
        <i/>
        <sz val="10"/>
        <color theme="1"/>
        <rFont val="Arial"/>
      </rPr>
      <t>&lt;p&gt;Не вводить внутривенно!</t>
    </r>
    <r>
      <rPr>
        <i/>
        <sz val="10"/>
        <color theme="1"/>
        <rFont val="Arial"/>
      </rPr>
      <t>&lt;br&gt;
Вакцину вводят внутримышечно в дозе 0,5&amp;nbsp;мл, в верхнюю треть наружной поверхности плеча — в область дельтовидной мышцы. При невозможности введения в дельтовидную мышцу — препарат вводят в латеральную широкую мышцу бедра.&lt;/p&gt;</t>
    </r>
  </si>
  <si>
    <r>
      <rPr>
        <i/>
        <sz val="10"/>
        <color theme="1"/>
        <rFont val="Arial"/>
      </rPr>
      <t xml:space="preserve">Не вводить внутривенно! </t>
    </r>
    <r>
      <rPr>
        <i/>
        <sz val="10"/>
        <color theme="1"/>
        <rFont val="Arial"/>
      </rPr>
      <t xml:space="preserve">
Вакцину вводят внутримышечно в дозе 0,5 мл, в верхнюю треть наружной поверхности плеча — в область дельтовидной мышцы. При 
невозможности введения в дельтовидную мышцу — препарат вводят в латеральную широкую мышцу бедра.</t>
    </r>
  </si>
  <si>
    <t>&lt;p&gt;[...] предназначена только для приема внутрь!&lt;br&gt;
[...] может вводиться вне зависимости от приема пищи или любой жидкости, включая грудное молоко. Вакцину Рота-V-Эйд нельзя смешивать с другими лекарственными средствами.&lt;/p&gt;</t>
  </si>
  <si>
    <t>[...] предназначена только для приема внутрь!
[...] может вводиться вне зависимости от приема пищи или любой жидкости, включая грудное молоко. Вакцину Рота-V-Эйд нельзя смешивать с другими лекарственными средствами.</t>
  </si>
  <si>
    <t>&lt;p&gt;Вакцину вводят внутримышечно в верхненаружную поверхность средней части бедра. Не вводить внутривенно. Пациентам с тромбоцитопенией и другими нарушениями свертывающей системы крови вакцину вводят подкожно.&lt;/p&gt;</t>
  </si>
  <si>
    <t>Вакцину вводят внутримышечно в верхненаружную поверхность средней части бедра. Не вводить внутривенно. Пациентам с тромбоцитопенией и другими нарушениями свертывающей системы крови вакцину вводят подкожно.</t>
  </si>
  <si>
    <r>
      <rPr>
        <sz val="10"/>
        <color theme="1"/>
        <rFont val="Arial"/>
      </rPr>
      <t xml:space="preserve">&lt;p&gt;Взрослым вакцину вводят внутримышечно в область дельтовидной мышцы [...].&lt;br&gt;
Введение в другое место снижает эффективность вакцинации.&lt;br&gt;
</t>
    </r>
    <r>
      <rPr>
        <b/>
        <sz val="10"/>
        <color theme="1"/>
        <rFont val="Arial"/>
      </rPr>
      <t>Не&amp;nbsp;вводить внутривенно!</t>
    </r>
    <r>
      <rPr>
        <sz val="10"/>
        <color theme="1"/>
        <rFont val="Arial"/>
      </rPr>
      <t>&lt;/p&gt;</t>
    </r>
  </si>
  <si>
    <r>
      <rPr>
        <sz val="10"/>
        <color theme="1"/>
        <rFont val="Arial"/>
      </rPr>
      <t xml:space="preserve">Взрослым вакцину вводят внутримышечно в область дельтовидной мышцы [...].
Введение в другое место снижает эффективность вакцинации.
</t>
    </r>
    <r>
      <rPr>
        <b/>
        <sz val="10"/>
        <color theme="1"/>
        <rFont val="Arial"/>
      </rPr>
      <t>Не вводить внутривенно!</t>
    </r>
  </si>
  <si>
    <t>&lt;p&gt;Вакцину Приорикс-Тетра вводят подкожно или внутримышечно в дельтовидную область плеча или передненаружную область бедра.&lt;br&gt;
Вакцину Приорикс-Тетра нельзя вводить внутрисосудисто или внутрикожно!&lt;br&gt;
У лиц с нарушениями свертываемости крови (например, тромбоцитопенией или нарушениями коагуляции) вакцину следует вводить подкожно.&lt;/p&gt;</t>
  </si>
  <si>
    <t>Вакцину Приорикс-Тетра вводят подкожно или внутримышечно в дельтовидную область плеча или передненаружную область бедра.
Вакцину Приорикс-Тетра нельзя вводить внутрисосудисто или внутрикожно!
У лиц с нарушениями свертываемости крови (например, тромбоцитопенией или нарушениями коагуляции) вакцину следует вводить подкожно.</t>
  </si>
  <si>
    <t>&lt;p&gt;Вакцина Менвео предназначена только для внутримышечного введения, не должна вводиться внутрисосудисто, внутрикожно или подкожно.&lt;br&gt; 
Детям в возрасте от&amp;nbsp;2&amp;nbsp;до&amp;nbsp;23&amp;nbsp;месяцев вакцинация предпочтительна в переднелатеральную область бедра.&lt;br&gt;
Детям в возрасте от&amp;nbsp;2&amp;nbsp;до&amp;nbsp;10&amp;nbsp;лет, подросткам и взрослым вакцинация предпочтительна в область дельтовидной мышцы.&lt;/p&gt;</t>
  </si>
  <si>
    <t>Вакцина Менвео предназначена только для внутримышечного введения, не должна вводиться внутрисосудисто, внутрикожно или подкожно. 
Детям в возрасте от 2 до 23 месяцев вакцинация предпочтительна в переднелатеральную область бедра. 
Детям в возрасте от 2 до 10 лет, подросткам и взрослым вакцинация предпочтительна в область дельтовидной мышцы.</t>
  </si>
  <si>
    <t>&lt;p&gt;Вакцина предназначена для интраназального введения.&lt;br&gt;
Вакцину вводят при помощи дозирующего устройства (насадка-распылитель на шприц вертикального типа для назального применения лекарственных средств), в один носовой 
ход на вдохе.&lt;br&gt;
Вакцинацию проводят в два этапа: компонентом I в дозе 0,5&amp;nbsp;мл, затем, через 3&amp;nbsp;недели — компонентом&amp;nbsp;II в дозе 0,5&amp;nbsp;мл. Допускается отдельное введение компонентов. Перед введением препарата рекомендуется высморкаться, проверить проходимость носовых ходов, поочередно закрывая один носовой ход и делая несколько вдохов. Вводить препарат следует в носовой ход с более свободным дыханием. В шприц набирают все содержимое флакона, снимают иглу, надевают на шприц дозирующее устройство, поршень оттягивают для создания воздушного пузыря примерно 0,5&amp;nbsp;мл и резким нажатием на поршень шприца вводят препарат пациенту в один носовой ход на вдохе, закрывая пальцем другой носовой ход. Мелкие капли орошают слизистую оболочку носа, избыток препарата стекает по задней стенке глотки.&lt;br&gt;
После интраназального введения вакцины пациент должен находиться под наблюдением медицинских работников в течение 30&amp;nbsp;минут. В течение 2&amp;nbsp;часов следует воздерживаться от чихания и высмаркивания, также необходимо исключить курение, прием пищи и жидкости.&lt;/p&gt;</t>
  </si>
  <si>
    <t>Вакцина предназначена для интраназального введения.
Вакцину вводят при помощи дозирующего устройства (насадка-распылитель на шприц вертикального типа для назального применения лекарственных средств), в один носовой 
ход на вдохе.
Вакцинацию проводят в два этапа: компонентом I в дозе 0,5 мл, затем, через 3 недели — компонентом II в дозе 0,5 мл. Допускается отдельное введение компонентов. Перед введением препарата рекомендуется высморкаться, проверить проходимость носовых ходов, поочередно закрывая один носовой ход и делая несколько вдохов. Вводить препарат следует в носовой ход с более свободным дыханием. В шприц набирают все содержимое флакона, снимают иглу, надевают на шприц дозирующее устройство, поршень оттягивают для создания воздушного пузыря примерно 0,5 мл и резким нажатием на поршень шприца вводят препарат пациенту в один носовой ход на вдохе, закрывая пальцем другой носовой ход. Мелкие капли орошают слизистую оболочку носа, избыток препарата стекает по задней стенке глотки.
После интраназального введения вакцины пациент должен находиться под наблюдением медицинских работников в течение 30 минут. В течение 2 часов следует воздерживаться от чихания и высмаркивания, также необходимо исключить курение, прием пищи и жидкости.</t>
  </si>
  <si>
    <r>
      <rPr>
        <sz val="10"/>
        <color theme="1"/>
        <rFont val="Arial"/>
      </rPr>
      <t>&lt;p&gt;Детям&amp;nbsp;</t>
    </r>
    <r>
      <rPr>
        <b/>
        <i/>
        <sz val="10"/>
        <color theme="1"/>
        <rFont val="Arial"/>
      </rPr>
      <t>от&amp;nbsp;6 до&amp;nbsp;35&amp;nbsp;месяцев включительно</t>
    </r>
    <r>
      <rPr>
        <sz val="10"/>
        <color theme="1"/>
        <rFont val="Arial"/>
      </rPr>
      <t xml:space="preserve"> вакцина вводится в переднебоковую поверхность бедра внутримышечно — по&amp;nbsp;0,25&amp;nbsp;мл двукратно с&amp;nbsp;интервалом 3&amp;nbsp;–&amp;nbsp;4&amp;nbsp;недели.&lt;br&gt;
Не вводить внутривенно!&lt;/p&gt;</t>
    </r>
  </si>
  <si>
    <r>
      <rPr>
        <sz val="10"/>
        <color theme="1"/>
        <rFont val="Arial"/>
      </rPr>
      <t>Детям </t>
    </r>
    <r>
      <rPr>
        <b/>
        <i/>
        <sz val="10"/>
        <color theme="1"/>
        <rFont val="Arial"/>
      </rPr>
      <t>от 6 до 35 месяцев включительно</t>
    </r>
    <r>
      <rPr>
        <sz val="10"/>
        <color theme="1"/>
        <rFont val="Arial"/>
      </rPr>
      <t xml:space="preserve"> вакцина вводится в переднебоковую поверхность бедра внутримышечно — по 0,25 мл двукратно с интервалом 3 – 4 недели.
Не вводить внутривенно!</t>
    </r>
  </si>
  <si>
    <t>&lt;p&gt;Детям старше 3&amp;nbsp;лет, подросткам и взрослым вакцину вводят в дельтовидную мышцу (верхнюю треть наружной поверхности плеча). При невозможности введения в дельтовидную мышцу — препарат вводят в латеральную широкую мышцу бедра (в средней трети).&lt;br&gt;
Детям от 6&amp;nbsp;мес.&amp;nbsp;до&amp;nbsp;3&amp;nbsp;лет вакцину вводят в латеральную широкую мышцу бедра (передне-наружная область бедра в средней трети).&lt;br&gt;
&lt;b&gt;Не вводить в сосудистое русло!&lt;/b&gt;&lt;/p&gt;</t>
  </si>
  <si>
    <r>
      <rPr>
        <sz val="10"/>
        <color theme="1"/>
        <rFont val="Arial"/>
      </rPr>
      <t xml:space="preserve">Детям старше 3 лет, подросткам и взрослым вакцину вводят в дельтовидную мышцу (верхнюю треть наружной поверхности плеча). При невозможности введения в дельтовидную мышцу — препарат вводят в латеральную широкую мышцу бедра (в средней трети).
Детям от 6 мес. до 3 лет вакцину вводят в латеральную широкую мышцу бедра (передне-наружная область бедра в средней трети).
</t>
    </r>
    <r>
      <rPr>
        <b/>
        <sz val="10"/>
        <color theme="1"/>
        <rFont val="Arial"/>
      </rPr>
      <t>Не вводить в сосудистое русло!</t>
    </r>
  </si>
  <si>
    <t>&lt;p&gt;Вакцина вводится внутримышечно или глубоко подкожно.&lt;br&gt;&lt;br&gt;
Рекомендуемые области введения:
&lt;ul&gt;&lt;li&gt;дети в возрасте от 6 до 35&amp;nbsp;месяцев включительно — переднебоковая поверхность бедра или область дельтовидной мышцы при наличии достаточной мышечной массы;&lt;/li&gt;
&lt;li&gt;дети с 36&amp;nbsp;месяцев и старше, взрослые — область дельтовидной мышцы.&lt;/li&gt;&lt;/ul&gt;
Вакцину ВаксигрипТетра ни при каких случаях не допускается вводить в сосудистое русло.&lt;/p&gt;</t>
  </si>
  <si>
    <t>Вакцина вводится внутримышечно или глубоко подкожно.
Рекомендуемые области введения:
• дети в возрасте от 6 до 35 месяцев включительно — переднебоковая поверхность бедра или область дельтовидной мышцы при наличии достаточной мышечной массы;
• дети с 36 месяцев и старше, взрослые — область дельтовидной мышцы.
Вакцину ВаксигрипТетра ни при каких случаях не допускается вводить в сосудистое русло.</t>
  </si>
  <si>
    <t>&lt;p&gt;Препарат вводят однократно подкожно в область дельтовидной мышцы плеча.&lt;/p&gt;</t>
  </si>
  <si>
    <t>Препарат вводят однократно подкожно в область дельтовидной мышцы плеча.</t>
  </si>
  <si>
    <t>&lt;p&gt;"Пневмо&amp;nbsp;23" вводят внутримышечно или подкожно, внутримышечное введение является предпочтительным. Не вводить в сосудистое русло. Перед введением необходимо убедиться, что игла не попала в кровеносный сосуд, путем небольшого сдвига поршня шприца на себя, что не должно приводить к появлению крови внутри шприца.&lt;/p&gt;</t>
  </si>
  <si>
    <t>"Пневмо 23" вводят внутримышечно или подкожно, внутримышечное введение является предпочтительным. Не вводить в сосудистое русло. Перед введением необходимо убедиться, что игла не попала в кровеносный сосуд, путем небольшого сдвига поршня шприца на себя, что не должно приводить к появлению крови внутри шприца.</t>
  </si>
  <si>
    <t>&lt;p&gt;Подкожно (п/к).&lt;br&gt;
Предпочтительными местами для инъекций являются переднелатеральная область бедра у детей младшего возраста и дельтовидная область плеча у детей старшего возраста, подростков и взрослых.&lt;br&gt;
Не вводить в сосудистое русло.&lt;/p&gt;</t>
  </si>
  <si>
    <t>Подкожно (п/к).
Предпочтительными местами для инъекций являются переднелатеральная область бедра у детей младшего возраста и дельтовидная область плеча у детей старшего возраста, подростков и взрослых.
Не вводить в сосудистое русло.</t>
  </si>
  <si>
    <t>&lt;p&gt;Внутримышечно.&lt;br&gt;
Вакцину нельзя вводить внутривенно, подкожно или внутрикожно!&lt;br&gt;
Препарат вводят в разовой дозе 0,5&amp;nbsp;мл внутримышечно. Детям первых лет жизни вакцину вводят в верхне-наружную поверхность средней трети бедра, лицам старше 2-х&amp;nbsp;лет — в дельтовидную мышцу плеча. При невозможности введения в дельтовидную мышцу — препарат вводят в латеральную широкую мышцу бедра (в средней трети). Вакцину не следует вводить в ягодичную область или области, где может проходить основной нервный ствол и/или кровеносный сосуд.&lt;/p&gt;</t>
  </si>
  <si>
    <t>Внутримышечно.
Вакцину нельзя вводить внутривенно, подкожно или внутрикожно!
Препарат вводят в разовой дозе 0,5 мл внутримышечно. Детям первых лет жизни вакцину вводят в верхне-наружную поверхность средней трети бедра, лицам старше 2-х лет — в дельтовидную мышцу плеча. При невозможности введения в дельтовидную мышцу — препарат вводят в латеральную широкую мышцу бедра (в средней трети). Вакцину не следует вводить в ягодичную область или области, где может проходить основной нервный ствол и/или кровеносный сосуд.</t>
  </si>
  <si>
    <t>&lt;p&gt;Приорикс® вводят подкожно, допускается внутримышечное введение препарата в дельтовидную область плеча или передненаружную поверхность бедра.
У лиц с нарушениями свертываемости крови (например, тромбоцитопенией или нарушениями коагуляции) вакцину следует вводить подкожно.&lt;br&gt;
Приорикс® нельзя вводить внутрисосудисто.&lt;/p&gt;</t>
  </si>
  <si>
    <t>https://grls.rosminzdrav.ru/InstrImg/2021/1/14/1465042/%D0%9F_N015888_01[2018]_6.pdf</t>
  </si>
  <si>
    <t>Приорикс® вводят подкожно, допускается внутримышечное введение препарата в дельтовидную область плеча или передненаружную поверхность бедра.
У лиц с нарушениями свертываемости крови (например, тромбоцитопенией или нарушениями коагуляции) вакцину следует вводить подкожно.
Приорикс® нельзя вводить внутрисосудисто.</t>
  </si>
  <si>
    <t>&lt;p&gt;Вакцина вводится только внутримышечно.&lt;br&gt;
Рекомендуемые области введения: область дельтовидной мышцы или переднебоковая поверхность бедра в зависимости от возраста и наличия достаточной мышечной массы.&lt;br&gt;
Внутримышечные инъекции детям в возрасте до 12&amp;nbsp;месяцев проводят только в верхненаружную (переднебоковую) поверхность средней части бедра.&lt;/p&gt;</t>
  </si>
  <si>
    <t>Вакцина вводится только внутримышечно.
Рекомендуемые области введения: область дельтовидной мышцы или переднебоковая поверхность бедра в зависимости от возраста и наличия достаточной мышечной массы.
Внутримышечные инъекции детям в возрасте до 12 месяцев проводят только в верхненаружную (переднебоковую) поверхность средней части бедра.</t>
  </si>
  <si>
    <t>&lt;p&gt;Вакцину вводят глубоко внутримышечно, детям до года предпочтительно в переднебоковую поверхность бедра, лицам старшего возраста в область дельтовидной мышцы.&lt;br&gt;
При введении нескольких вакцин одновременно необходимо проводить вакцинацию в разные участки тела.&lt;br&gt;
Не вводить внутривенно, подкожно или внутрикожно!&lt;/p&gt;</t>
  </si>
  <si>
    <t>Вакцину вводят глубоко внутримышечно, детям до года предпочтительно в переднебоковую поверхность бедра, лицам старшего возраста в область дельтовидной мышцы.
При введении нескольких вакцин одновременно необходимо проводить вакцинацию в разные участки тела.
Не вводить внутривенно, подкожно или внутрикожно!</t>
  </si>
  <si>
    <t>&lt;p&gt;Лекарственный препарат предназначен только для внутримышечного введения. Строго запрещено внутривенное введение лекарственного препарата. Лекарственный препарат вводят в дельтовидную мышцу (верхнюю треть наружной поверхности плеча). При невозможности введения в дельтовидную мышцу лекарственный препарат вводят в латеральную широкую мышцу бедра.&lt;/p&gt;</t>
  </si>
  <si>
    <t>Лекарственный препарат предназначен только для внутримышечного введения. Строго запрещено внутривенное введение лекарственного препарата. Лекарственный препарат вводят в дельтовидную мышцу (верхнюю треть наружной поверхности плеча). При невозможности введения в дельтовидную мышцу лекарственный препарат вводят в латеральную широкую мышцу бедра.</t>
  </si>
  <si>
    <t>&lt;p&gt;Вакцину вводят внутримышечно, предпочтительнее в область предплечья (дельтовидную мышцу). При необходимости (например, больным геморрагическим диатезом) вакцину можно вводить подкожно.&lt;br&gt;
Нельзя вводить внутривенно!&lt;br&gt;
Ошибочное внутривенное введение вакцины может вызвать реакции вплоть до шока. B таких случаях необходимо немедленно провести противошоковую терапию.&lt;/p&gt;</t>
  </si>
  <si>
    <t>Вакцину вводят внутримышечно, предпочтительнее в область предплечья (дельтовидную мышцу). При необходимости (например, больным геморрагическим диатезом) вакцину можно вводить подкожно.
Нельзя вводить внутривенно!
Ошибочное внутривенное введение вакцины может вызвать реакции вплоть до шока. B таких случаях необходимо немедленно провести противошоковую терапию.</t>
  </si>
  <si>
    <t>&lt;p&gt;Вакцину вводят внутримышечно, предпочтительнее в область верхней трети плеча (дельтовидную мышцу). При необходимости (например, больным геморрагическим диатезом) вакцину можно вводить подкожно.&lt;/p&gt;</t>
  </si>
  <si>
    <t>Вакцину вводят внутримышечно, предпочтительнее в область верхней трети плеча (дельтовидную мышцу). При необходимости (например, больным геморрагическим диатезом) вакцину можно вводить подкожно.</t>
  </si>
  <si>
    <t>&lt;p&gt;Для внутримышечного введения.&lt;br&gt;
Вакцину вводят внутримышечно в дозе 0,5&amp;nbsp;мл. Детям в возрасте до 2&amp;nbsp;лет вакцину вводят в переднебоковую область бедра, лицам остальных возрастов — в дельтовидную мышцу плеча. Перед введением препарата необходимо убедиться, что игла не попала в кровеносный сосуд.&lt;/p&gt;</t>
  </si>
  <si>
    <t>https://grls.rosminzdrav.ru/InstrImg/2023/09/15/1497116/23048125-cbe4-4d1f-a79f-87c8c4ae92e0.pdf</t>
  </si>
  <si>
    <t>Для внутримышечного введения.
Вакцину вводят внутримышечно в дозе 0,5 мл. Детям в возрасте до 2 лет вакцину вводят в переднебоковую область бедра, лицам остальных возрастов — в дельтовидную мышцу плеча. Перед введением препарата необходимо убедиться, что игла не попала в кровеносный сосуд.</t>
  </si>
  <si>
    <t>&lt;p&gt;Вакцину вводят внутримышечно или глубоко подкожно в разовой дозе 0,5&amp;nbsp;мл сразу после приготовления. Перед введением необходимо убедиться, что игла не попала в кровеносный сосуд.&lt;br&gt;
Дети в возрасте до 2&amp;nbsp;лет: введение вакцины осуществляют в верхненаружную поверхность средней части бедра.&lt;br&gt;
У детей старше 2&amp;nbsp;лет введение вакцины осуществляют в область дельтовидной мышцы.&lt;/p&gt;</t>
  </si>
  <si>
    <t>https://grls.rosminzdrav.ru/InstrImg/2020/4/29/1456610/%D0%9F_N013850_01[2017]_3.pdf</t>
  </si>
  <si>
    <t>Вакцину вводят внутримышечно или глубоко подкожно в разовой дозе 0,5 мл сразу после приготовления. Перед введением необходимо убедиться, что игла не попала в кровеносный сосуд.
Дети в возрасте до 2 лет: введение вакцины осуществляют в верхненаружную поверхность средней части бедра.
У детей старше 2 лет введение вакцины осуществляют в область дельтовидной мышцы.</t>
  </si>
  <si>
    <t>&lt;p&gt;Вакцину вводят детям первого&amp;nbsp;года жизни в верхненаружную поверхность средней части бедра, остальным возрастам — в дельтовидную мышцу.&lt;br&gt;
Пациентам с тромбоцитопенией и другими нарушениями свертывающей системы крови вакцину вводят подкожно.&lt;/p&gt;</t>
  </si>
  <si>
    <t>https://grls.rosminzdrav.ru/InstrImg/2020/12/15/1464278/%D0%9F_N015829_01[2019]_7.pdf</t>
  </si>
  <si>
    <t>Вакцину вводят детям первого года жизни в верхненаружную поверхность средней части бедра, остальным возрастам — в дельтовидную мышцу.
Пациентам с тромбоцитопенией и другими нарушениями свертывающей системы крови вакцину вводят подкожно.</t>
  </si>
  <si>
    <t>&lt;p&gt;Вакцину ФСМЕ-ИММУН&amp;nbsp;® Джуниор (Вакцина клещевого энцефалита культуральная инактивированная очищенная сорбированная) вводят внутримышечно в дельтовидную мышцу.&lt;br&gt;
Детям до&amp;nbsp;18&amp;nbsp;месяцев или в зависимости от степени развития мышечной ткани и состояния питания вакцину вводят в наружную поверхность средней трети бедра (Musculus vastus lateralis).&lt;br&gt;
Необходимо избегать случайного внутрисосудистого введения вакцины (см.&amp;nbsp;раздел «Особые указания»).&lt;/p&gt;</t>
  </si>
  <si>
    <t>Вакцину ФСМЕ-ИММУН ® Джуниор (Вакцина клещевого энцефалита культуральная инактивированная очищенная сорбированная) вводят внутримышечно в дельтовидную мышцу.
Детям до 18 месяцев или в зависимости от степени развития мышечной ткани и состояния питания вакцину вводят в наружную поверхность средней трети бедра (Musculus vastus lateralis).
Необходимо избегать случайного внутрисосудистого введения вакцины (см. раздел «Особые указания»).</t>
  </si>
  <si>
    <t>&lt;p&gt;Вакцину вводят внутримышечно в дельтовидную мышцу.&lt;br&gt;
В исключительных случаях, если требуется (у пациентов с нарушениями свертываемости крови или принимающих антикоагулянты в профилактических целях), вакцина может быть введена подкожным путем.&lt;br&gt;
Необходимо избегать случайного внутрисосудистого введения вакцины (см. раздел «Особые указания и меры предосторожности»). Внутрисосудистое применение вакцины может привести к развитию тяжелых реакций гиперчувствительности.&lt;/p&gt;</t>
  </si>
  <si>
    <t>Вакцину вводят внутримышечно в дельтовидную мышцу.
В исключительных случаях, если требуется (у пациентов с нарушениями свертываемости крови или принимающих антикоагулянты в профилактических целях), вакцина может быть введена подкожным путем.
Необходимо избегать случайного внутрисосудистого введения вакцины (см. раздел «Особые указания и меры предосторожности»). Внутрисосудистое применение вакцины может привести к развитию тяжелых реакций гиперчувствительности.</t>
  </si>
  <si>
    <t>&lt;p&gt;Взрослым препарат следует вводить внутримышечно в дельтовидную мышцу.&lt;br&gt;
Не рекомендуется вводить вакцину внутримышечно в ягодичную область.&lt;br&gt;
Категорически запрещается вводить препарат внутривенно!&lt;br&gt;
Не рекомендуется вводить вакцину подкожно или внутрикожно из-за возможного снижения эффективности вакцин.&lt;/p&gt;</t>
  </si>
  <si>
    <t>Взрослым препарат следует вводить внутримышечно в дельтовидную мышцу.
Не рекомендуется вводить вакцину внутримышечно в ягодичную область.
Категорически запрещается вводить препарат внутривенно!
Не рекомендуется вводить вакцину подкожно или внутрикожно из-за возможного снижения эффективности вакцин.</t>
  </si>
  <si>
    <t>&lt;p&gt;Вакцину аАКДС-Геп B+Hib вводят внутримышечно в передненаружную область бедра в дозе 0,5&amp;nbsp;мл. Не вводить внутрикожно, внутривенно или подкожно. Перед введением необходимо убедиться, что игла не проникла в кровеносный сосуд.&lt;br&gt;
Не вводить в сосудистое русло.&lt;/p&gt;</t>
  </si>
  <si>
    <t>Вакцину аАКДС-Геп B+Hib вводят внутримышечно в передненаружную область бедра в дозе 0,5 мл. Не вводить внутрикожно, внутривенно или подкожно. Перед введением необходимо убедиться, что игла не проникла в кровеносный сосуд.
Не вводить в сосудистое русло.</t>
  </si>
  <si>
    <t>&lt;p&gt;Препарат вводят внутрикожно в область внутренней поверхности предплечья в разовой дозе 0,2&amp;nbsp;мл (контроль — образование "лимонной корочки").&lt;/p&gt;</t>
  </si>
  <si>
    <t>https://grls.rosminzdrav.ru/InstrImg/2023/03/14/1491812/0c472696-f193-406d-b88f-73cc81b45346.pdf</t>
  </si>
  <si>
    <t>Препарат вводят внутрикожно в область внутренней поверхности предплечья в разовой дозе 0,2 мл (контроль — образование "лимонной корочки").</t>
  </si>
  <si>
    <t>&lt;p&gt;Вакцина «Шингрикс» предназначена только для внутримышечного введения, предпочтительно, в дельтовидную мышцу.&lt;/p&gt;</t>
  </si>
  <si>
    <t>Вакцина «Шингрикс» предназначена только для внутримышечного введения, предпочтительно, в дельтовидную мышцу.</t>
  </si>
  <si>
    <t>&lt;p&gt;Подкожно.&lt;br&gt;
Не вводить в сосудистое русло!&lt;br&gt;
Вакцину вводят в область плеча (на границе нижней и средней трети плеча с наружной стороны либо в область над трехглавой мышцей плеча).&lt;br&gt;
Если введение в плечо невозможно, допустимо введение в наружную переднюю поверхность бедра в верхней и средней трети с соблюдением подкожной техники инъекции.&lt;/p&gt;</t>
  </si>
  <si>
    <t>Подкожно.
Не вводить в сосудистое русло!
Вакцину вводят в область плеча (на границе нижней и средней трети плеча с наружной стороны либо в область над трехглавой мышцей плеча).
Если введение в плечо невозможно, допустимо введение в наружную переднюю поверхность бедра в верхней и средней трети с соблюдением подкожной техники инъекции.</t>
  </si>
  <si>
    <t>&lt;p&gt;Вакцину вводят внутримышечно, рекомендуемое место введения: детям до 2-х&amp;nbsp;летнего возраста в переднелатеральную область бедра, детям старше 2-х&amp;nbsp;лет — в область дельтовидной мышцы. При невозможности введения в дельтовидную мышцу — препарат вводят в латеральную широкую мышцу бедра (в средней трети).&lt;br&gt;
&lt;b&gt;Не вводить в сосудистое русло!&lt;/b&gt;&lt;/p&gt;</t>
  </si>
  <si>
    <r>
      <rPr>
        <sz val="10"/>
        <color theme="1"/>
        <rFont val="Arial"/>
      </rPr>
      <t xml:space="preserve">Вакцину вводят внутримышечно, рекомендуемое место введения: детям до 2-х летнего возраста в переднелатеральную область бедра, детям старше 2-х лет — в область дельтовидной мышцы. При невозможности введения в дельтовидную мышцу — препарат вводят в латеральную широкую мышцу бедра (в средней трети).
</t>
    </r>
    <r>
      <rPr>
        <b/>
        <sz val="10"/>
        <color theme="1"/>
        <rFont val="Arial"/>
      </rPr>
      <t>Не вводить в сосудистое русло!</t>
    </r>
  </si>
  <si>
    <t>&lt;p&gt;АД-М анатоксин вводят внутримышечно в верхний наружный квадрант ягодицы или передне-латеральную часть бедра, или глубоко подкожно (подросткам и взрослым) в подлопаточную область в дозе 0,5&amp;nbsp;мл (разовая доза).&lt;/p&gt;</t>
  </si>
  <si>
    <t>АД-М анатоксин вводят внутримышечно в верхний наружный квадрант ягодицы или передне-латеральную часть бедра, или глубоко подкожно (подросткам и взрослым) в подлопаточную область в дозе 0,5 мл (разовая доза).</t>
  </si>
  <si>
    <t>&lt;p&gt;АС-анатоксин для доноров вводят глубоко подкожно в подлопаточную область.&lt;/p&gt;</t>
  </si>
  <si>
    <t>АС-анатоксин для доноров вводят глубоко подкожно в подлопаточную область.</t>
  </si>
  <si>
    <t>&lt;p&gt;Вакцину применяют накожно методом скарификации или методом множественного накалывания. Местом вакцинации служит наружная поверхность плеча на 8-10&amp;nbsp;см ниже плечевого сустава, свободная от вакцинальных рубцов.&lt;/p&gt;</t>
  </si>
  <si>
    <t>Вакцину применяют накожно методом скарификации или методом множественного накалывания. Местом вакцинации служит наружная поверхность плеча на 8-10 см ниже плечевого сустава, свободная от вакцинальных рубцов.</t>
  </si>
  <si>
    <t>&lt;p&gt;Вакцину АКДС-Геп В следует вводить глубоко внутримышечно в среднюю треть переднелатеральной поверхности бедра в дозе 0,5&amp;nbsp;мл.&lt;br&gt;
Не вводить в сосудистое русло.&lt;/p&gt;</t>
  </si>
  <si>
    <t>Вакцину АКДС-Геп В следует вводить глубоко внутримышечно в среднюю треть переднелатеральной поверхности бедра в дозе 0,5 мл.
Не вводить в сосудистое русло.</t>
  </si>
  <si>
    <t>&lt;p&gt;Препарат предназначен для подкожного введения. Восстановленную растворителем вакцину вводят однократно подкожно в подлопаточную область в дозе 0,25&amp;nbsp;мл.&lt;br&gt;
Вакцину Е сыпнотифозную комбинированную живую (ЖКСВ-Е) ни при каких случаях не допускается вводить в сосудистое русло!&lt;/p&gt;</t>
  </si>
  <si>
    <t>Препарат предназначен для подкожного введения. Восстановленную растворителем вакцину вводят однократно подкожно в подлопаточную область в дозе 0,25 мл.
Вакцину Е сыпнотифозную комбинированную живую (ЖКСВ-Е) ни при каких случаях не допускается вводить в сосудистое русло!</t>
  </si>
  <si>
    <r>
      <rPr>
        <sz val="10"/>
        <color theme="1"/>
        <rFont val="Arial"/>
      </rPr>
      <t xml:space="preserve">&lt;p&gt;Препарат предназначен для подкожного введения. Вакцину вводят подкожно в область левого плеча на 8-10&amp;nbsp;см ниже плечевого сустава.&lt;br&gt;
Не вводить в сосудистое русло!&lt;/p&gt;
</t>
    </r>
    <r>
      <rPr>
        <i/>
        <sz val="10"/>
        <color theme="1"/>
        <rFont val="Arial"/>
      </rPr>
      <t>&lt;p&gt;</t>
    </r>
    <r>
      <rPr>
        <b/>
        <sz val="10"/>
        <color theme="1"/>
        <rFont val="Arial"/>
      </rPr>
      <t>&lt;b&gt;Повторное введение вакцины ОспаВир не допускается!&lt;/b&gt;</t>
    </r>
    <r>
      <rPr>
        <i/>
        <sz val="10"/>
        <color theme="1"/>
        <rFont val="Arial"/>
      </rPr>
      <t>&lt;/p&gt;</t>
    </r>
  </si>
  <si>
    <t>Препарат предназначен для подкожного введения. Вакцину вводят подкожно в область левого плеча на 8-10 см ниже плечевого сустава.
Не вводить в сосудистое русло!
Повторное введение вакцины ОспаВир не допускается!</t>
  </si>
  <si>
    <t>&lt;p&gt;Внутримышечно. Вакцину вводят в верхненаружный квадрант ягодицы с до- и постинъекционной обработкой места инъекции 70%-ным этиловым спиртом. Препарат перед применением должен иметь температуру (36±1)°C.&lt;br&gt;
Не вводить в сосудистое русло!&lt;/p&gt;</t>
  </si>
  <si>
    <t>Внутримышечно. Вакцину вводят в верхненаружный квадрант ягодицы с до- и постинъекционной обработкой места инъекции 70%-ным этиловым спиртом. Препарат перед применением должен иметь температуру (36±1)°C.
Не вводить в сосудистое русло!</t>
  </si>
  <si>
    <t>&lt;p&gt;Внутрикожно в верхнюю треть наружной поверхности плеча — в область дельтовидной мышцы.&lt;br&gt;
Не вводить в сосудистое русло.&lt;/p&gt;</t>
  </si>
  <si>
    <t>Внутрикожно в верхнюю треть наружной поверхности плеча — в область дельтовидной мышцы.
Не вводить в сосудистое русло.</t>
  </si>
  <si>
    <t>&lt;p&gt;Не вводить внутривенно. Не вводить внутрикожно.&lt;br&gt;
Для подкожного введения.&lt;br&gt;
Вакцинацию проводят однократно подкожно шприцем под наружный угол лопатки или в область дельтовидной мышцы плеча в дозе 0,5&amp;nbsp;мл для всех возрастных групп не позднее, чем за 10&amp;nbsp;суток до выезда в энзоотичный район.&lt;/p&gt;</t>
  </si>
  <si>
    <t>Не вводить внутривенно. Не вводить внутрикожно.
Для подкожного введения.
Вакцинацию проводят однократно подкожно шприцем под наружный угол лопатки или в область дельтовидной мышцы плеча в дозе 0,5 мл для всех возрастных групп не позднее, чем за 10 суток до выезда в энзоотичный район.</t>
  </si>
  <si>
    <t>&lt;p&gt;Не вводить внутривенно!&lt;br&gt;
Вакцину вводят двукратно, подкожно с интервалом 21-28&amp;nbsp;дней, в дозе 0,5&amp;nbsp;мл (1&amp;nbsp;доза), в верхнюю треть наружной поверхности плеча в область дельтовидной мышцы.&lt;/p&gt;</t>
  </si>
  <si>
    <t>Не вводить внутривенно!
Вакцину вводят двукратно, подкожно с интервалом 21-28 дней, в дозе 0,5 мл (1 доза), в верхнюю треть наружной поверхности плеча в область дельтовидной мышцы.</t>
  </si>
  <si>
    <t>&lt;p&gt;Вакцина предназначена только для внутримышечного введения. Строго запрещено внутривенное введение лекарственного препарата. Вакцину вводят в дельтовидную мышцу (верхнюю треть наружной поверхности плеча) в дозировке 0,5&amp;nbsp;мл, при невозможности в латеральную широкую мышцу бедра.&lt;/p&gt;</t>
  </si>
  <si>
    <t>Вакцина предназначена только для внутримышечного введения. Строго запрещено внутривенное введение лекарственного препарата. Вакцину вводят в дельтовидную мышцу (верхнюю треть наружной поверхности плеча) в дозировке 0,5 мл, при невозможности в латеральную широкую мышцу бедра.</t>
  </si>
  <si>
    <t>&lt;p&gt;Вакцину стафилококковую лечебную вводят подкожно в область плеча или в подлопаточную область.&lt;/p&gt;</t>
  </si>
  <si>
    <t>Вакцину стафилококковую лечебную вводят подкожно в область плеча или в подлопаточную область.</t>
  </si>
  <si>
    <t>&lt;p&gt;Вводить внутримышечно.&lt;br&gt;
Не вводить внутривенно.&lt;/p&gt;</t>
  </si>
  <si>
    <t>Вводить внутримышечно.
Не вводить внутривенно.</t>
  </si>
  <si>
    <t>&lt;p&gt;При наличии показаний препарат вводят подкожно в подлопаточную область в первые 72&amp;nbsp;ч после поступления больных в стационар или в период предоперационной подготовки.&lt;/p&gt;</t>
  </si>
  <si>
    <t>При наличии показаний препарат вводят подкожно в подлопаточную область в первые 72 ч после поступления больных в стационар или в период предоперационной подготовки.</t>
  </si>
  <si>
    <t>&lt;p&gt;Вакцину вводят внутримышечно:
&lt;ul&gt;&lt;li&gt;детям младшего возраста (1-2&amp;nbsp;года) — в верхненаружную поверхность средней части бедра;&lt;/li&gt;
&lt;li&gt;подросткам (до 19 лет) и детям старшего возраста (более 2-х&amp;nbsp;лет) — в дельтовидную мышцу.&lt;/li&gt;&lt;/ul&gt;
Больным с нарушением свертываемости крови вакцину следует вводить подкожно.&lt;br&gt;
При невозможности введения в дельтовидную мышцу возможно введение в передненаружную поверхность бедра.&lt;br&gt;
&lt;b&gt;Не вводить в сосудистое русло!&lt;/b&gt;&lt;/p&gt;</t>
  </si>
  <si>
    <r>
      <rPr>
        <sz val="10"/>
        <color theme="1"/>
        <rFont val="Arial"/>
      </rPr>
      <t>Вакцину вводят внутримышечно:
• детям младшего возраста (1-2 года) — в верхненаружную поверхность средней части бедра;
• подросткам (до 19 лет) и детям старшего возраста (более 2-х лет) — в дельтовидную мышцу.
Больным с нарушением свертываемости крови вакцину следует вводить подкожно.
При невозможности введения в дельтовидную мышцу возможно введение в передненаружную поверхность бедра.</t>
    </r>
    <r>
      <rPr>
        <b/>
        <sz val="10"/>
        <color theme="1"/>
        <rFont val="Arial"/>
      </rPr>
      <t xml:space="preserve">
Не вводить в сосудистое русло!</t>
    </r>
  </si>
  <si>
    <r>
      <rPr>
        <b/>
        <i/>
        <sz val="10"/>
        <color theme="1"/>
        <rFont val="Arial"/>
      </rPr>
      <t>&lt;p&gt;&lt;i&gt;Вакцина предназначена только для перорального применения.</t>
    </r>
    <r>
      <rPr>
        <sz val="10"/>
        <color theme="1"/>
        <rFont val="Arial"/>
      </rPr>
      <t>&lt;/i&gt;&lt;br&gt;
Вакцину применяют только по эпидемическим показаниям!&lt;br&gt;&lt;br&gt;
Вакцину применяют по 4&amp;nbsp;капли на прием. Прививочную дозу вакцины закапывают в рот прилагаемой к флакону крышкой-капельницей или пипеткой за 1&amp;nbsp;час до еды. Запивать вакцину водой или какой-либо другой жидкостью, а также есть или пить в течение часа после прививки не разрешается.&lt;/p&gt;</t>
    </r>
  </si>
  <si>
    <r>
      <rPr>
        <b/>
        <i/>
        <sz val="10"/>
        <color theme="1"/>
        <rFont val="Arial"/>
      </rPr>
      <t>Вакцина предназначена только для перорального применения.</t>
    </r>
    <r>
      <rPr>
        <sz val="10"/>
        <color theme="1"/>
        <rFont val="Arial"/>
      </rPr>
      <t xml:space="preserve">
Вакцину применяют только по эпидемическим показаниям!
Вакцину применяют по 4 капли на прием. Прививочную дозу вакцины закапывают в рот прилагаемой к флакону крышкой-капельницей или пипеткой за 1 час до еды. Запивать вакцину водой или какой-либо другой жидкостью, а также есть или пить в течение часа после прививки не разрешается.</t>
    </r>
  </si>
  <si>
    <t>&lt;p&gt;Препарат дозируют согласно прилагаемому вкладышу (1/2&amp;nbsp;часть таблетки, разделенная по риске, одна или несколько таблеток) в зависимости от специфической активности серии (указано на внутренней упаковке). Таблетированный препарат разжевывают и держат во рту до полного растворения, но не менее 2-3&amp;nbsp;мин, после чего в течение 30&amp;nbsp;мин не рекомендуется пить, курить и принимать пищу.&lt;/p&gt;</t>
  </si>
  <si>
    <t>Препарат дозируют согласно прилагаемому вкладышу (1/2 часть таблетки, разделенная по риске, одна или несколько таблеток) в зависимости от специфической активности серии (указано на внутренней упаковке). Таблетированный препарат разжевывают и держат во рту до полного растворения, но не менее 2-3 мин, после чего в течение 30 мин не рекомендуется пить, курить и принимать пищу.</t>
  </si>
  <si>
    <t>&lt;p&gt;Препарат применяют в виде инстилляций в мочевой пузырь. [...]&lt;br&gt;
Уро-БЦЖ медак вводят в мочевой пузырь под низким давлением при помощи эластичного уретрального катетера. Введенная суспензия Уро-БЦЖ медак должна оставаться в мочевом пузыре, по возможности, в течение 2-х&amp;nbsp;ч. В течение этого времени необходимо обеспечить достаточный контакт суспензии препарата со всей слизистой оболочкой мочевого пузыря. Для этого пациенту следует менять положение тела и как можно больше двигаться. Лежачих больных необходимо переворачивать со спины на живот и наоборот каждые 15&amp;nbsp;мин. Через два часа после инстилляции пациенту следует опорожнить мочевой пузырь, желательно в сидячем положении.&lt;br&gt;&lt;br&gt;
Препарат Уро-БЦЖ медак не должен применяться для подкожного, внутрикожного, внутримышечного или внутривенного введения, а также с целью вакцинации.&lt;/p&gt;</t>
  </si>
  <si>
    <t>Препарат применяют в виде инстилляций в мочевой пузырь. [...]
Уро-БЦЖ медак вводят в мочевой пузырь под низким давлением при помощи эластичного уретрального катетера. Введенная суспензия Уро-БЦЖ медак должна оставаться в мочевом пузыре, по возможности, в течение 2-х ч. В течение этого времени необходимо обеспечить достаточный контакт суспензии препарата со всей слизистой оболочкой мочевого пузыря. Для этого пациенту следует менять положение тела и как можно больше двигаться. Лежачих больных необходимо переворачивать со спины на живот и наоборот каждые 15 мин. Через два часа после инстилляции пациенту следует опорожнить мочевой пузырь, желательно в сидячем положении.
Препарат Уро-БЦЖ медак не должен применяться для подкожного, внутрикожного, внутримышечного или внутривенного введения, а также с целью вакцинации.</t>
  </si>
  <si>
    <t>&lt;p&gt;Вакцину вводят однократно, подкожно, в дозе 0,5&amp;nbsp;мл, в область наружной поверхности плеча на несколько сантиметров ниже плечевого сустава.&lt;/p&gt;</t>
  </si>
  <si>
    <t>Вакцину вводят однократно, подкожно, в дозе 0,5 мл, в область наружной поверхности плеча на несколько сантиметров ниже плечевого сустава.</t>
  </si>
  <si>
    <t>&lt;p&gt;Вакцину вводят в дозе 0,5&amp;nbsp;мл внутримышечно или глубоко подкожно преимущественно в верхнюю треть наружной поверхности плеча — в область дельтовидной мышцы, детям младшего возраста — в переднебоковую поверхность бедра внутримышечно.&lt;br&gt;
Не вводить внутривенно!&lt;/p&gt;</t>
  </si>
  <si>
    <t>Вакцину вводят в дозе 0,5 мл внутримышечно или глубоко подкожно преимущественно в верхнюю треть наружной поверхности плеча — в область дельтовидной мышцы, детям младшего возраста — в переднебоковую поверхность бедра внутримышечно.
Не вводить внутривенно!</t>
  </si>
  <si>
    <t>&lt;p&gt;Вакцину вводят однократно в дозе 0,5&amp;nbsp;мл внутримышечно или глубоко подкожно в верхнюю треть наружной поверхности плеча (в область дельтовидной мышцы).&lt;br&gt;
Не вводить внутривенно!&lt;/p&gt;</t>
  </si>
  <si>
    <t>Вакцину вводят однократно в дозе 0,5 мл внутримышечно или глубоко подкожно в верхнюю треть наружной поверхности плеча (в область дельтовидной мышцы).
Не вводить внутривенно!</t>
  </si>
  <si>
    <t>&lt;p&gt;Вакцину вводят интраназально с помощью распылителя-дозатора одноразового использования (РД), двукратно с интервалом 10&amp;nbsp;дней.&lt;br&gt;
Только для интраназального введения. Не вводить в сосудистое русло!&lt;br&gt;
Препарат вводится раздельно в каждый носовой ход.&lt;/p&gt;</t>
  </si>
  <si>
    <t>Вакцину вводят интраназально с помощью распылителя-дозатора одноразового использования (РД), двукратно с интервалом 10 дней.
Только для интраназального введения. Не вводить в сосудистое русло!
Препарат вводится раздельно в каждый носовой ход.</t>
  </si>
  <si>
    <t>&lt;p&gt;Вакцину вводят однократно внутримышечно в верхнюю треть наружной поверхности плеча (в область дельтовидной мышцы). При невозможности введения в дельтовидную мышцу — препарат вводят в латеральную широкую мышцу бедра (в средней трети).&lt;br&gt;
Не вводить в сосудистое русло!&lt;/p&gt;</t>
  </si>
  <si>
    <t>Вакцину вводят однократно внутримышечно в верхнюю треть наружной поверхности плеча (в область дельтовидной мышцы). При невозможности введения в дельтовидную мышцу — препарат вводят в латеральную широкую мышцу бедра (в средней трети).
Не вводить в сосудистое русло!</t>
  </si>
  <si>
    <t>&lt;p&gt;Вакцину вводят однократно в дозе 0,5&amp;nbsp;мл внутримышечно или глубоко подкожно в верхнюю треть наружной поверхности плеча (в дельтовидную мышцу).
Больным с иммунодефицитом и получающим иммуносупрессивную терапию возможно введение вакцины двукратно по 0,5&amp;nbsp;мл с интервалом 4&amp;nbsp;недели.&lt;br&gt;
Не вводить внутривенно!&lt;/p&gt;</t>
  </si>
  <si>
    <t>Вакцину вводят однократно в дозе 0,5 мл внутримышечно или глубоко подкожно в верхнюю треть наружной поверхности плеча (в дельтовидную мышцу).
Больным с иммунодефицитом и получающим иммуносупрессивную терапию возможно введение вакцины двукратно по 0,5 мл с интервалом 4 недели.
Не вводить внутривенно!</t>
  </si>
  <si>
    <t>&lt;p&gt;Интраназально с помощью распылителя — дозатора одноразового использования.&lt;br&gt;
Только для интраназального введения. Не вводить в сосудистое русло!&lt;br&gt;
Препарат вводится раздельно в каждый носовой ход.&lt;/p&gt;</t>
  </si>
  <si>
    <t>Интраназально с помощью распылителя — дозатора одноразового использования.
Только для интраназального введения. Не вводить в сосудистое русло!
Препарат вводится раздельно в каждый носовой ход.</t>
  </si>
  <si>
    <t>&lt;p&gt;Препарат вводят внутрикожно в область внутренней поверхности предплечья с чередованием рук, с помощью шприца в разовой дозе 0,2&amp;nbsp;мл (контроль — образование "лимонной корочки").&lt;/p&gt;</t>
  </si>
  <si>
    <t>Препарат вводят внутрикожно в область внутренней поверхности предплечья с чередованием рук, с помощью шприца в разовой дозе 0,2 мл (контроль — образование "лимонной корочки").</t>
  </si>
  <si>
    <t>&lt;p&gt;Интраназально с помощью распылителя-дозатора одноразового использования (РД) двукратно с интервалом 10&amp;nbsp;дней.&lt;br&gt;
Только для интраназального введения. Не вводить в сосудистое русло!&lt;br&gt;
Препарат вводится раздельно в каждый носовой ход.&lt;/p&gt;</t>
  </si>
  <si>
    <t>Интраназально с помощью распылителя-дозатора одноразового использования (РД) двукратно с интервалом 10 дней.
Только для интраназального введения. Не вводить в сосудистое русло!
Препарат вводится раздельно в каждый носовой ход.</t>
  </si>
  <si>
    <t>&lt;p&gt;Вакцину вводят внутримышечно [...].&lt;br&gt;
Не вводить в сосудистое русло!&lt;/p&gt;</t>
  </si>
  <si>
    <t>Вакцину вводят внутримышечно [...].
Не вводить в сосудистое русло!</t>
  </si>
  <si>
    <t>&lt;p&gt;Вакцину вводят подкожно в верхнюю часть плеча в область дельтовидной мышцы в объеме 0,5&amp;nbsp;мл.&lt;/p&gt;</t>
  </si>
  <si>
    <t>Вакцину вводят подкожно в верхнюю часть плеча в область дельтовидной мышцы в объеме 0,5 мл.</t>
  </si>
  <si>
    <t>&lt;p&gt;Тетраанатоксин очищенный адсорбированный вводят подкожно в подлопаточную область (на 1&amp;nbsp;см от нижнего угла лопатки к задней срединной линии).&lt;br&gt;
Тетраанатоксин очищенный адсорбированный не допускается вводить в сосудистое русло.&lt;/p&gt;</t>
  </si>
  <si>
    <t>Тетраанатоксин очищенный адсорбированный вводят подкожно в подлопаточную область (на 1 см от нижнего угла лопатки к задней срединной линии).
Тетраанатоксин очищенный адсорбированный не допускается вводить в сосудистое русло.</t>
  </si>
  <si>
    <t>&lt;p&gt;Лекарственный препарат вводят глубоко подкожно в область нижнего угла лопатки.&lt;/p&gt;</t>
  </si>
  <si>
    <t>Лекарственный препарат вводят глубоко подкожно в область нижнего угла лопатки.</t>
  </si>
  <si>
    <t>&lt;p&gt;Лекарственный препарат «Анатоксин стафилококковый очищенный» вводят подкожно под нижний угол лопатки, чередуя правую и левую стороны при каждой последующей инъекции. Внутримышечное применение лекарственного препарата не допускается.&lt;/p&gt;</t>
  </si>
  <si>
    <t>Лекарственный препарат «Анатоксин стафилококковый очищенный» вводят подкожно под нижний угол лопатки, чередуя правую и левую стороны при каждой последующей инъекции. Внутримышечное применение лекарственного препарата не допускается.</t>
  </si>
  <si>
    <t>&lt;p&gt;Имурон-вак применяют внутрипузырно. [...]&lt;br&gt;
Катетеризацию мочевого пузыря производят эластичным катетером, не травмируя слизистую уретры и мочевого пузыря. После опорожнения мочевого пузыря его следует промыть 0,9% раствором натрия хлорида для инъекций и убедиться, что в промывной жидкости отсутствует примесь крови. После этого разовую терапевтическую дозу препарата разводят в 50&amp;nbsp;мл 0,9% раствора натрия хлорида для инъекций и вводят по катетеру в мочевой пузырь. Больного просят удерживать раствор в мочевом пузыре в течение 2&amp;nbsp;ч. Желательно, чтобы в течение этого времени пациент двигался, менял положение тела каждые 15&amp;nbsp;минут для равномерного контакта препарата со стенками мочевого пузыря. Через 2&amp;nbsp;ч мочевой пузырь опорожняется в емкость, содержащую не менее 500&amp;nbsp;мл аттестованного дезинфицирующего раствора (следуя режимам дезинфекции, указанным в инструкции по применению).&lt;/p&gt;</t>
  </si>
  <si>
    <t>Имурон-вак применяют внутрипузырно. [...]
Катетеризацию мочевого пузыря производят эластичным катетером, не травмируя слизистую уретры и мочевого пузыря. После опорожнения мочевого пузыря его следует промыть 0,9% раствором натрия хлорида для инъекций и убедиться, что в промывной жидкости отсутствует примесь крови. После этого разовую терапевтическую дозу препарата разводят в 50 мл 0,9% раствора натрия хлорида для инъекций и вводят по катетеру в мочевой пузырь. Больного просят удерживать раствор в мочевом пузыре в течение 2 ч. Желательно, чтобы в течение этого времени пациент двигался, менял положение тела каждые 15 минут для равномерного контакта препарата со стенками мочевого пузыря. Через 2 ч мочевой пузырь опорожняется в емкость, содержащую не менее 500 мл аттестованного дезинфицирующего раствора (следуя режимам дезинфекции, указанным в инструкции по применению).</t>
  </si>
  <si>
    <r>
      <rPr>
        <sz val="10"/>
        <color theme="1"/>
        <rFont val="Arial"/>
      </rPr>
      <t>Вакцину вводят внутримышечно:
• детям младшего возраста (1-2 года) — в верхненаружную поверхность средней части бедра;
• подросткам (до 19 лет) и детям старшего возраста (более 2-х лет) — в дельтовидную мышцу.
Больным с нарушением свертываемости крови вакцину следует вводить подкожно.
При невозможности введения в дельтовидную мышцу возможно введение в передненаружную поверхность бедра.</t>
    </r>
    <r>
      <rPr>
        <b/>
        <sz val="10"/>
        <color theme="1"/>
        <rFont val="Arial"/>
      </rPr>
      <t xml:space="preserve">
Не вводить в сосудистое русло!</t>
    </r>
  </si>
  <si>
    <t>&lt;p&gt;Вакцину вводят внутримышечно, рекомендуемое место введения — переднелатеральная поверхность верхней части бедра у младенцев и детей до 2-х&amp;nbsp;лет, и дельтовидная мышца — для детей более старшего возраста (возможно с 15-месячного возраста).&lt;br&gt;&lt;br&gt;
Не вводить в сосудистое русло, внутрикожно или подкожно.&lt;/p&gt;</t>
  </si>
  <si>
    <t>Вакцину вводят внутримышечно, рекомендуемое место введения — переднелатеральная поверхность верхней части бедра у младенцев и детей до 2-х лет, и дельтовидная мышца — для детей более старшего возраста (возможно с 15-месячного возраста).
Не вводить в сосудистое русло, внутрикожно или подкожно.</t>
  </si>
  <si>
    <t>&lt;p&gt;Для внутримышечного введения. Вводят внутримышечно в дозе 0,5&amp;nbsp;мл. Лекарственный препарат вводят в дельтовидную мышцу (верхнюю треть наружной поверхности плеча). При невозможности введения в дельтовидную мышцу — вводят в латеральную широкую мышцу бедра.&lt;br&gt;
Строго запрещено внутривенное введение лекарственного препарата.&lt;/p&gt;</t>
  </si>
  <si>
    <t>Для внутримышечного введения. Вводят внутримышечно в дозе 0,5 мл. Лекарственный препарат вводят в дельтовидную мышцу (верхнюю треть наружной поверхности плеча). При невозможности введения в дельтовидную мышцу — вводят в латеральную широкую мышцу бедра.
Строго запрещено внутривенное введение лекарственного препарата.</t>
  </si>
  <si>
    <t>&lt;p&gt;Для интраназального введения.&lt;br&gt;
Лекарственный препарат вводят при помощи дозирующего устройства (насадка-распылитель на шприц для назального применения лекарственных средств вертикального типа) поочередно в оба носовых хода на вдохе.&lt;br&gt;
Вакцинацию проводят трехкратно с интервалом 21&amp;nbsp;сутки в дозе 0,5&amp;nbsp;мл.&lt;/p&gt;</t>
  </si>
  <si>
    <t>Для интраназального введения.
Лекарственный препарат вводят при помощи дозирующего устройства (насадка­-распылитель на шприц для назального применения лекарственных средств вертикального типа) поочередно в оба носовых хода на вдохе.
Вакцинацию проводят трехкратно с интервалом 21 сутки в дозе 0,5 мл.</t>
  </si>
  <si>
    <t>&lt;p&gt;Только для внутримышечного введения.&lt;br&gt;
Вакцина вводится внутримышечно, предпочтительно в дельтовидную мышцу плеча. При невозможности введения в дельтовидную мышцу, препарат вводят в латеральную широкую мышцу бедра (в средней трети).&lt;br&gt;
Цегардекс нельзя вводить внутрисосудисто. Подкожное и внутрикожное введение не изучались.&lt;/p&gt;</t>
  </si>
  <si>
    <t>Только для внутримышечного введения.
Вакцина вводится внутримышечно, предпочтительно в дельтовидную мышцу плеча. При невозможности введения в дельтовидную мышцу, препарат вводят в латеральную широкую мышцу бедра (в средней трети).
Цегардекс нельзя вводить внутрисосудисто. Подкожное и внутрикожное введение не изучались.</t>
  </si>
  <si>
    <t>&lt;p&gt;Вакцину следует вводить внутримышечно, принимая во внимание возраст вакцинируемого (или пациента): детям в возрасте от 9 до 12&amp;nbsp;месяцев — в переднебоковую область бедра; детям от 12&amp;nbsp;месяцев и старше и взрослым — предпочтительно в дельтовидную мышцу плеча.&lt;br&gt;
При невозможности введения в дельтовидную мышцу, препарат вводят в латеральную широкую мышцу бедра (в средней трети).&lt;br&gt;
Вакцину МЕНВЭЙД нельзя вводить внутрисосудисто. Перед введением необходимо убедиться, что игла не попала в кровеносный сосуд. Подкожное и внутрикожное введение не изучались.&lt;/p&gt;</t>
  </si>
  <si>
    <t>Вакцину следует вводить внутримышечно, принимая во внимание возраст вакцинируемого (или пациента): детям в возрасте от 9 до 12 месяцев — в переднебоковую область бедра; детям от 12 месяцев и старше и взрослым — предпочтительно в дельтовидную мышцу плеча.
При невозможности введения в дельтовидную мышцу, препарат вводят в латеральную широкую мышцу бедра (в средней трети).
Вакцину МЕНВЭЙД нельзя вводить внутрисосудисто. Перед введением необходимо убедиться, что игла не попала в кровеносный сосуд. Подкожное и внутрикожное введение не изучались.</t>
  </si>
  <si>
    <r>
      <rPr>
        <sz val="10"/>
        <color theme="1"/>
        <rFont val="Arial"/>
      </rPr>
      <t xml:space="preserve">&lt;p&gt;Вакцину Хирораб необходимо вводить внутримышечно в дельтовидную мышцу, у детей&amp;nbsp;младшего возраста (до 18&amp;nbsp;месяцев) — в переднюю латеральную поверхность бедра.&lt;br&gt;
</t>
    </r>
    <r>
      <rPr>
        <b/>
        <sz val="10"/>
        <color theme="1"/>
        <rFont val="Arial"/>
      </rPr>
      <t>&lt;b&gt;Вакцину ни при каких обстоятельствах нельзя вводить внутрисосудисто!&lt;/b&gt;</t>
    </r>
    <r>
      <rPr>
        <sz val="10"/>
        <color theme="1"/>
        <rFont val="Arial"/>
      </rPr>
      <t>&lt;br&gt;
[...] Не следует вводить вакцину в ягодичную мышцу или подкожно, так как в этом случае может не развиться адекватный иммунный ответ.&lt;br&gt;&lt;/p&gt;</t>
    </r>
  </si>
  <si>
    <r>
      <rPr>
        <sz val="10"/>
        <color theme="1"/>
        <rFont val="Arial"/>
      </rPr>
      <t xml:space="preserve">Вакцину Хирораб необходимо вводить внутримышечно в дельтовидную мышцу, у детей младшего возраста (до 18 месяцев) — в переднюю латеральную поверхность бедра.
</t>
    </r>
    <r>
      <rPr>
        <b/>
        <sz val="10"/>
        <color theme="1"/>
        <rFont val="Arial"/>
      </rPr>
      <t>Вакцину ни при каких обстоятельствах нельзя вводить внутрисосудисто!</t>
    </r>
    <r>
      <rPr>
        <sz val="10"/>
        <color theme="1"/>
        <rFont val="Arial"/>
      </rPr>
      <t xml:space="preserve">
[...] Не следует вводить вакцину в ягодичную мышцу или подкожно, так как в этом случае 
может не развиться адекватный иммунный ответ.</t>
    </r>
  </si>
  <si>
    <t>&lt;p&gt;Только для внутримышечного введения.&lt;br&gt;
Препарат вводят в разовой дозе 0,5&amp;nbsp;мл внутримышечно. Предпочтительным местом проведения вакцинации у младенцев является переднебоковая поверхность бедра (латеральная широкая мышца бедра), а у детей и взрослых — дельтовидная мышца плеча.&lt;br&gt;
При невозможности введения в дельтовидную мышцу — препарат вводят в латеральную широкую мышцу бедра (в средней трети). Превенар&amp;nbsp;20 следует вводить с осторожностью, избегая инъекции в нервы или в области около нервов и в кровеносные сосуды.&lt;/p&gt;</t>
  </si>
  <si>
    <t>Только для внутримышечного введения.
Препарат вводят в разовой дозе 0,5 мл внутримышечно. Предпочтительным местом проведения вакцинации у младенцев является переднебоковая поверхность бедра (латеральная широкая мышца бедра), а у детей и взрослых — дельтовидная мышца плеча.
При невозможности введения в дельтовидную мышцу — препарат вводят в латеральную широкую мышцу бедра (в средней трети). Превенар 20 следует вводить с осторожностью, избегая инъекции в нервы или в области около нервов и в кровеносные сосуды.</t>
  </si>
  <si>
    <t>&lt;p&gt;Вакцину вводят внутримышечно в дельтовидную мышцу плеча.&lt;br&gt;
При невозможности введения в плечо, допускается введение вакцины в наружную и переднюю поверхность бедра в верхней и средней трети.&lt;br&gt;
Вакцину нельзя вводить в ягодичную мышцу.&lt;br&gt;
Не вводить в сосудистое русло.&lt;br&gt;
Вакцину не следует вводить подкожно.&lt;/p&gt;</t>
  </si>
  <si>
    <t>Вакцину вводят внутримышечно в дельтовидную мышцу плеча.
При невозможности введения в плечо, допускается введение вакцины в наружную и переднюю поверхность бедра в верхней и средней трети.
Вакцину нельзя вводить в ягодичную мышцу.
Не вводить в сосудистое русло.
Вакцину не следует вводить подкожно.</t>
  </si>
  <si>
    <t>&lt;p&gt;Иммунизацию следует проводить только посредством внутримышечной инъекции.&lt;br&gt;
У младенцев рекомендуемым местом инъекции является переднелатеральная поверхность бедра. У лиц старше 1&amp;nbsp;года рекомендуемым местом инъекции является переднелатеральная поверхность бедра или дельтовидная мышца.&lt;/p&gt;</t>
  </si>
  <si>
    <t>Иммунизацию следует проводить только посредством внутримышечной инъекции.
У младенцев рекомендуемым местом инъекции является переднелатеральная поверхность бедра. У лиц старше 1 года рекомендуемым местом инъекции является переднелатеральная поверхность бедра или дельтовидная мышца.</t>
  </si>
  <si>
    <t>vaccine_ID</t>
  </si>
  <si>
    <t>vaccine_code_name</t>
  </si>
  <si>
    <t>age_from_ID</t>
  </si>
  <si>
    <t>age_from_value</t>
  </si>
  <si>
    <t>age_through_ID</t>
  </si>
  <si>
    <t>age_through_value</t>
  </si>
  <si>
    <t>route_of_administration_ID</t>
  </si>
  <si>
    <t>route_of_administration_name</t>
  </si>
  <si>
    <t>pop_up_comment_text_route_of_administration</t>
  </si>
  <si>
    <r>
      <rPr>
        <b/>
        <sz val="10"/>
        <color theme="1"/>
        <rFont val="Arial"/>
      </rPr>
      <t xml:space="preserve">Почему на иллюстрации изображен младенец, хотя эту вакцину можно вводить только с 6 лет?
</t>
    </r>
    <r>
      <rPr>
        <sz val="10"/>
        <color theme="1"/>
        <rFont val="Arial"/>
      </rPr>
      <t>Действительно, внутримышечное введение вакцин в бедро — это способ, который чаще всего используют для младенцев и детей раннего возраста. Однако в некоторых инструкциях — особенно для давно использующихся вакцин — могут встретиться устаревшие способы введения, как, например, в ягодицу. Хотя в ягодицу вводить вакцины нельзя!
Поскольку мы опираемся на официальный источник — инструкцию из ГРЛС, — мы не можем просто по своему желанию, даже если это разумно, изменить способ введения. Нет ничего страшного в том, что эта вакцина будет введена неоптимальным способом, а именно в бедро, — зато это будет по инструкции. С другой стороны, если вакцину введут так, как это было бы разумнее для ребенка этого возраста — внутримышечно в дельтовидную мышцу, — также не стоит настаивать на буквальном следовании инструкции.</t>
    </r>
  </si>
  <si>
    <r>
      <rPr>
        <b/>
        <sz val="10"/>
        <color theme="1"/>
        <rFont val="Arial"/>
      </rPr>
      <t xml:space="preserve">Почему на иллюстрации изображен младенец, хотя эту вакцину можно вводить только с 6 лет?
</t>
    </r>
    <r>
      <rPr>
        <sz val="10"/>
        <color theme="1"/>
        <rFont val="Arial"/>
      </rPr>
      <t>Действительно, внутримышечное введение вакцин в бедро — это способ, который чаще всего используют для младенцев и детей раннего возраста. Однако в некоторых инструкциях — особенно для давно использующихся вакцин — могут встретиться устаревшие способы введения, как, например, в ягодицу. Хотя в ягодицу вводить вакцины нельзя!
Поскольку мы опираемся на официальный источник — инструкцию из ГРЛС, — мы не можем просто по своему желанию, даже если это разумно, изменить способ введения. Нет ничего страшного в том, что эта вакцина будет введена неоптимальным способом, а именно в бедро, — зато это будет по инструкции. С другой стороны, если вакцину введут так, как это было бы разумнее для ребенка этого возраста — внутримышечно в дельтовидную мышцу, — также не стоит настаивать на буквальном следовании инструкции.</t>
    </r>
  </si>
  <si>
    <t>10.09.2022</t>
  </si>
  <si>
    <t>14.09.2022</t>
  </si>
  <si>
    <r>
      <rPr>
        <b/>
        <sz val="10"/>
        <color theme="1"/>
        <rFont val="Arial"/>
      </rPr>
      <t xml:space="preserve">Почему на иллюстрации изображен младенец, хотя эту вакцину можно вводить только с 6 лет?
</t>
    </r>
    <r>
      <rPr>
        <sz val="10"/>
        <color theme="1"/>
        <rFont val="Arial"/>
      </rPr>
      <t>Действительно, внутримышечное введение вакцин в бедро — это способ, который чаще всего используют для младенцев и детей раннего возраста. Однако в некоторых инструкциях — особенно для давно использующихся вакцин — могут встретиться устаревшие способы введения, как, например, в ягодицу. Хотя в ягодицу вводить вакцины нельзя!
Поскольку мы опираемся на официальный источник — инструкцию из ГРЛС, — мы не можем просто по своему желанию, даже если это разумно, изменить способ введения. Нет ничего страшного в том, что эта вакцина будет введена неоптимальным способом, а именно в бедро, — зато это будет по инструкции. С другой стороны, если вакцину введут так, как это было бы разумнее для ребенка этого возраста — внутримышечно в дельтовидную мышцу, — также не стоит настаивать на буквальном следовании инструкции.</t>
    </r>
  </si>
  <si>
    <t>image_ID</t>
  </si>
  <si>
    <t>image_link_Google_Drive</t>
  </si>
  <si>
    <t>image_path</t>
  </si>
  <si>
    <t>icon_ID</t>
  </si>
  <si>
    <t>icon_link_Google_Drive</t>
  </si>
  <si>
    <t>icon_path</t>
  </si>
  <si>
    <t>внутримышечно в передненаружную область бедра</t>
  </si>
  <si>
    <t>https://drive.google.com/file/d/1BEGV85TPwxY0BBNDBHxwhmPuCg95sotI/view?usp=sharing</t>
  </si>
  <si>
    <t>~/vax_leaflet_final_illustrations/1.jpg</t>
  </si>
  <si>
    <t>https://drive.google.com/file/d/1vYQ-IK0qMv-dsunZvKCijsYSRzhnxWm4/view?usp=sharing</t>
  </si>
  <si>
    <t>~/vax_leaflet_icons/vax_leaflet_routes_of_administration_icons/1.svg</t>
  </si>
  <si>
    <t>перорально: капли</t>
  </si>
  <si>
    <t>https://drive.google.com/file/d/1SGDQirV3pQDNmDYradbbFKaUiPI8ShWa/view?usp=sharing</t>
  </si>
  <si>
    <t>~/vax_leaflet_final_illustrations/2.jpg</t>
  </si>
  <si>
    <t>https://drive.google.com/file/d/1wtr6_qOX6t9tXmxSdERoodLagZ1KWd_Z/view?usp=sharing</t>
  </si>
  <si>
    <t>~/vax_leaflet_icons/vax_leaflet_routes_of_administration_icons/2.svg</t>
  </si>
  <si>
    <t>внутримышечно в дельтовидную мышцу</t>
  </si>
  <si>
    <t>https://drive.google.com/file/d/1ut3WKJEx5yGhlE2usxGxXZGfv4fa2-ln/view?usp=sharing</t>
  </si>
  <si>
    <t>~/vax_leaflet_final_illustrations/3.jpg</t>
  </si>
  <si>
    <t>взрослым и детям от 6 лет</t>
  </si>
  <si>
    <t>https://drive.google.com/file/d/1zjEWOi_06Y8kMXjB6OkMmL7sN4T162J0/view?usp=sharing</t>
  </si>
  <si>
    <t>~/vax_leaflet_final_illustrations/4.jpg</t>
  </si>
  <si>
    <t>27.01.2023</t>
  </si>
  <si>
    <t>ребенку 2–3 лет</t>
  </si>
  <si>
    <t>https://drive.google.com/file/d/1ooKKB0y6C68OormjpADrn7U7uByylfjD/view?usp=share_link</t>
  </si>
  <si>
    <t>~/vax_leaflet_final_illustrations/5.jpg</t>
  </si>
  <si>
    <t>ребенку 4–5 лет</t>
  </si>
  <si>
    <t>подкожно в область дельтовидной мышцы</t>
  </si>
  <si>
    <t>https://drive.google.com/file/d/1tcdlIs0bU-zr3s9l6xnkGIvl_rmQRUvo/view?usp=sharing</t>
  </si>
  <si>
    <t>~/vax_leaflet_final_illustrations/6.jpg</t>
  </si>
  <si>
    <t>https://drive.google.com/file/d/14qUJvIka1UebtVLEooiL6AkbjmsHqwpo/view?usp=sharing</t>
  </si>
  <si>
    <t>~/vax_leaflet_icons/vax_leaflet_routes_of_administration_icons/3.svg</t>
  </si>
  <si>
    <t>подкожно между нижней и средней третью плеча</t>
  </si>
  <si>
    <t>https://drive.google.com/file/d/1blthajM2frGRHHmvDU2G_cLuTDORZR3T/view?usp=sharing</t>
  </si>
  <si>
    <t>~/vax_leaflet_final_illustrations/7.jpg</t>
  </si>
  <si>
    <t>подкожно в подлопаточную область</t>
  </si>
  <si>
    <t>https://drive.google.com/file/d/1IOqAXHGOyRhcNKnFKwLUb-MAx9yywgbG/view?usp=sharing</t>
  </si>
  <si>
    <t>~/vax_leaflet_final_illustrations/8.jpg</t>
  </si>
  <si>
    <t>подкожно в область бедра</t>
  </si>
  <si>
    <t>https://drive.google.com/file/d/1P1MX19Fjh6G2fA-iSu-1dl9Um4Qr6cuY/view?usp=sharing</t>
  </si>
  <si>
    <t>~/vax_leaflet_final_illustrations/9.jpg</t>
  </si>
  <si>
    <t>внутрикожно на границе верхней и средней трети левого плеча</t>
  </si>
  <si>
    <t>https://drive.google.com/file/d/1RFjxvQCv_0oGcxzeKSzwOwod3qijaMsk/view?usp=sharing</t>
  </si>
  <si>
    <t>~/vax_leaflet_final_illustrations/10.jpg</t>
  </si>
  <si>
    <t>https://drive.google.com/file/d/1nx8SqY1MMyO2bNrGEVTxp80iM2DHootO/view?usp=sharing</t>
  </si>
  <si>
    <t>~/vax_leaflet_icons/vax_leaflet_routes_of_administration_icons/4.svg</t>
  </si>
  <si>
    <t>в подкожную клетчатку живота</t>
  </si>
  <si>
    <t>https://drive.google.com/file/d/1CgNpABW9UBrdvR0Uqg0HtOJTdFL3EyZA/view?usp=sharing</t>
  </si>
  <si>
    <t>~/vax_leaflet_final_illustrations/11.jpg</t>
  </si>
  <si>
    <t>накожно</t>
  </si>
  <si>
    <t>no_illustration</t>
  </si>
  <si>
    <t>https://drive.google.com/file/d/1WApELkqKekfgA7XFV06iJsnZQkMVkU7D/view?usp=share_link</t>
  </si>
  <si>
    <t>~/vax_leaflet_final_illustrations/no_illustration.png</t>
  </si>
  <si>
    <t>https://drive.google.com/file/d/17mABfwFLnThbtCEpqArlecNt2nJT9xno/view?usp=sharing</t>
  </si>
  <si>
    <t>~/vax_leaflet_icons/vax_leaflet_routes_of_administration_icons/6.svg</t>
  </si>
  <si>
    <t>01.06.2023</t>
  </si>
  <si>
    <t>перорально: таблетки</t>
  </si>
  <si>
    <t>https://drive.google.com/file/d/19kMtBFImj2lFU0lNYK3TNVhbKobULRUM/view?usp=sharing</t>
  </si>
  <si>
    <t>~/vax_leaflet_icons/vax_leaflet_routes_of_administration_icons/7.svg</t>
  </si>
  <si>
    <t>интраназально</t>
  </si>
  <si>
    <t>https://drive.google.com/file/d/1zjymkngl09HCZ7MjZM-SIBr54JfoffCo/view?usp=sharing</t>
  </si>
  <si>
    <t>~/vax_leaflet_icons/vax_leaflet_routes_of_administration_icons/8.svg</t>
  </si>
  <si>
    <t>ингаляционно</t>
  </si>
  <si>
    <t>no image</t>
  </si>
  <si>
    <t>подкожно в верхнюю треть плеча</t>
  </si>
  <si>
    <t>https://drive.google.com/file/d/1zoMtelpRG8FtxwC_rQtKO5XcQL3JyWRT/view?usp=share_link</t>
  </si>
  <si>
    <t>~/vax_leaflet_final_illustrations/16.jpg</t>
  </si>
  <si>
    <t>внутрикожно во внутреннюю поверхность предплечья</t>
  </si>
  <si>
    <t>внутримышечно в верхненаружный квадрант ягодицы</t>
  </si>
  <si>
    <t>инстилляция в мочевой пузырь</t>
  </si>
  <si>
    <t>age_from_id</t>
  </si>
  <si>
    <t>age_from_chronological_ID</t>
  </si>
  <si>
    <t>0 дней</t>
  </si>
  <si>
    <t>6 недель</t>
  </si>
  <si>
    <t>2 месяцев</t>
  </si>
  <si>
    <t>3 месяцев</t>
  </si>
  <si>
    <t>6 месяцев</t>
  </si>
  <si>
    <t>8 месяцев</t>
  </si>
  <si>
    <t>9 месяцев</t>
  </si>
  <si>
    <t>12 месяцев</t>
  </si>
  <si>
    <t>24 месяцев (2 лет)</t>
  </si>
  <si>
    <t>36 месяцев (3 лет)</t>
  </si>
  <si>
    <t>4 лет</t>
  </si>
  <si>
    <t>6 лет</t>
  </si>
  <si>
    <t>7 лет</t>
  </si>
  <si>
    <t>9 лет</t>
  </si>
  <si>
    <t>12 лет</t>
  </si>
  <si>
    <t>14 лет</t>
  </si>
  <si>
    <t>16 лет</t>
  </si>
  <si>
    <t>18 лет</t>
  </si>
  <si>
    <t>25 месяцев (2 лет 1 месяца)</t>
  </si>
  <si>
    <t>8 лет</t>
  </si>
  <si>
    <t>1 года 7 месяцев</t>
  </si>
  <si>
    <t>19 лет</t>
  </si>
  <si>
    <t>5 лет</t>
  </si>
  <si>
    <t>1 месяц</t>
  </si>
  <si>
    <t>15 месяцев</t>
  </si>
  <si>
    <t>20 месяцев</t>
  </si>
  <si>
    <t>age_through_id</t>
  </si>
  <si>
    <t>age_through_chronological_ID</t>
  </si>
  <si>
    <t>32 недель</t>
  </si>
  <si>
    <t>3 лет 11 месяцев</t>
  </si>
  <si>
    <t>15 лет</t>
  </si>
  <si>
    <t>17 лет</t>
  </si>
  <si>
    <t>45 лет</t>
  </si>
  <si>
    <t>50 лет</t>
  </si>
  <si>
    <t>55 лет</t>
  </si>
  <si>
    <t>58 лет</t>
  </si>
  <si>
    <t>60 лет</t>
  </si>
  <si>
    <t>64 лет</t>
  </si>
  <si>
    <t>∞</t>
  </si>
  <si>
    <t>18 месяцев</t>
  </si>
  <si>
    <t>2 лет 11 месяцев</t>
  </si>
  <si>
    <t>35 месяцев (2 лет 11 месяцев)</t>
  </si>
  <si>
    <t>11 месяцев</t>
  </si>
  <si>
    <t>47 месяцев (4 лет 11 месяцев)</t>
  </si>
  <si>
    <t>23 месяцев</t>
  </si>
  <si>
    <t>11 лет</t>
  </si>
  <si>
    <t>6 месяцев</t>
  </si>
  <si>
    <t>25 лет</t>
  </si>
  <si>
    <t>85 лет</t>
  </si>
  <si>
    <t>vaccine_name</t>
  </si>
  <si>
    <t>reference_link</t>
  </si>
  <si>
    <t>reference_text</t>
  </si>
  <si>
    <t>reference_location</t>
  </si>
  <si>
    <t>legacy_reference_link</t>
  </si>
  <si>
    <t>https://pediatriya-spb.ru/wp-content/uploads/%D0%9C%D0%B5%D1%82%D0%BE%D0%B4%D0%B8%D1%87%D0%B5%D1%81%D0%BA%D0%B8%D0%B5-%D1%80%D0%B5%D0%BA%D0%BE%D0%BC%D0%B5%D0%BD%D0%B4%D0%B0%D1%86%D0%B8%D0%B8-%D0%BF%D0%BE-%D0%B2%D0%B0%D0%BA%D1%86%D0%B8%D0%BD%D0%B0%D1%86%D0%B8%D0%B8-%D0%9C%D0%97-21.01.2022.pdf</t>
  </si>
  <si>
    <t>При отсутствии вакцинации против туберкулеза в родильном доме она может быть проведена младенцам до 2 месяцев жизни при отсутствии противопоказаний, далее только туберкулинотрицательным детям до 7 лет. При необходимости проведения ревакцинации против туберкулеза следует соблюдать минимальный интервал 5 лет и вводить не позже 7-летнего возраста (включительно).</t>
  </si>
  <si>
    <t>http://www.allergen.ru/docs/newsletter_whoping_cough_vaccination_march_2019.pdf</t>
  </si>
  <si>
    <t>АДС-анатоксин применяют:
1. Детям, переболевшим коклюшем (с 3-месячного возраста до достижения 6-летнего возраста).
2. Детям, имеющим противопоказания к введению АКДС-вакцины.
3. Детям в возрасте 4 – 5 лет включительно, ранее не привитым против дифтерии и столбняка.</t>
  </si>
  <si>
    <t>Способ применения и дозы</t>
  </si>
  <si>
    <t>infection_id</t>
  </si>
  <si>
    <t>infection_name</t>
  </si>
  <si>
    <t>calendar</t>
  </si>
  <si>
    <t>столбняк</t>
  </si>
  <si>
    <t>национальный календарь</t>
  </si>
  <si>
    <t>дифтерия</t>
  </si>
  <si>
    <t>грипп</t>
  </si>
  <si>
    <t>гепатит A</t>
  </si>
  <si>
    <t>сверх календаря</t>
  </si>
  <si>
    <t>коклюш</t>
  </si>
  <si>
    <t>гепатит B</t>
  </si>
  <si>
    <t>менингококк</t>
  </si>
  <si>
    <t>корь</t>
  </si>
  <si>
    <t>полиомиелит</t>
  </si>
  <si>
    <t>клещевой энцефалит</t>
  </si>
  <si>
    <t>туберкулез</t>
  </si>
  <si>
    <t>паротит</t>
  </si>
  <si>
    <t>краснуха</t>
  </si>
  <si>
    <t>бешенство</t>
  </si>
  <si>
    <t>чума</t>
  </si>
  <si>
    <t>ковид</t>
  </si>
  <si>
    <t>пневмококк</t>
  </si>
  <si>
    <t>гемофильная инфекция типа b</t>
  </si>
  <si>
    <t>вирус папилломы человека</t>
  </si>
  <si>
    <t>другие</t>
  </si>
  <si>
    <t>бруцеллез</t>
  </si>
  <si>
    <t>сибирская язва</t>
  </si>
  <si>
    <t>брюшной тиф</t>
  </si>
  <si>
    <t>ветряная оспа</t>
  </si>
  <si>
    <t>ротавирус</t>
  </si>
  <si>
    <t>желтая лихорадка</t>
  </si>
  <si>
    <t>туляремия</t>
  </si>
  <si>
    <t>лептоспироз</t>
  </si>
  <si>
    <t>лихорадка Ку</t>
  </si>
  <si>
    <t>холера</t>
  </si>
  <si>
    <t>шигеллез</t>
  </si>
  <si>
    <t>вирус простого герпеса</t>
  </si>
  <si>
    <t>опоясывающий герпес</t>
  </si>
  <si>
    <t>оспа</t>
  </si>
  <si>
    <t>эболавирус</t>
  </si>
  <si>
    <t>сыпной тиф</t>
  </si>
  <si>
    <t>гонококк</t>
  </si>
  <si>
    <t>дизентерия</t>
  </si>
  <si>
    <t>стафилококк</t>
  </si>
  <si>
    <t>синегнойная палочка</t>
  </si>
  <si>
    <t>протей</t>
  </si>
  <si>
    <t>рак мочевого пузыря</t>
  </si>
  <si>
    <t>птичий грипп</t>
  </si>
  <si>
    <t>ботулизм</t>
  </si>
  <si>
    <t>infection_ID</t>
  </si>
  <si>
    <t>contraindication_ID</t>
  </si>
  <si>
    <t>contraindication_name</t>
  </si>
  <si>
    <t>contraindication_long_name</t>
  </si>
  <si>
    <t>to_show_on_main_page</t>
  </si>
  <si>
    <t>гиперчувствительность к компонентам</t>
  </si>
  <si>
    <t>гиперчувствительность к компонентам вакцины</t>
  </si>
  <si>
    <t>no</t>
  </si>
  <si>
    <t>недоношенность</t>
  </si>
  <si>
    <t>yes</t>
  </si>
  <si>
    <t>внутриутробная гипотрофия</t>
  </si>
  <si>
    <t>низкая масса тела</t>
  </si>
  <si>
    <t>острое заболевание</t>
  </si>
  <si>
    <t>обострение хронического заболевания</t>
  </si>
  <si>
    <t>иммунодефицит</t>
  </si>
  <si>
    <t>злокачественное новообразование</t>
  </si>
  <si>
    <t>осложнение на вакцину у членов семьи</t>
  </si>
  <si>
    <t>ВИЧ</t>
  </si>
  <si>
    <t>ВИЧ-инфекция</t>
  </si>
  <si>
    <t>ВИЧ у матери</t>
  </si>
  <si>
    <t>ВИЧ-инфекция у матери или отсутствие обследования на ВИЧ-инфекцию</t>
  </si>
  <si>
    <t>энцефалопатия после вакцинации</t>
  </si>
  <si>
    <t>энцефалопатия в течение 7 дней после вакцинации</t>
  </si>
  <si>
    <t>прогрессирующее неврологическое заболевание</t>
  </si>
  <si>
    <t>прогрессирующее заболевание нервной системы</t>
  </si>
  <si>
    <t>афебрильные судороги</t>
  </si>
  <si>
    <t>афебрильные судороги в анамнезе</t>
  </si>
  <si>
    <t>сильная общая реакция на предыдущее введение вакцины</t>
  </si>
  <si>
    <t>сильная общая реакция (повышение температуры в первые двое суток до 40 °С и выше, появление в месте введения отека и гиперемии свыше 8 см в диаметре) или осложнение на предыдущее введение этой вакцины</t>
  </si>
  <si>
    <t>аллергия на дрожжи</t>
  </si>
  <si>
    <t>аллергическая реакция на дрожжи</t>
  </si>
  <si>
    <t>нарушение свертываемости крови</t>
  </si>
  <si>
    <t>осложнение на предыдущее введение вакцины</t>
  </si>
  <si>
    <t>положительная реакция Манту</t>
  </si>
  <si>
    <t>тяжелые аллергические реакции</t>
  </si>
  <si>
    <t>тяжелые аллергические реакции в анамнезе</t>
  </si>
  <si>
    <t>беременность</t>
  </si>
  <si>
    <t>грудное вскармливание</t>
  </si>
  <si>
    <t>аллергия на куриный белок</t>
  </si>
  <si>
    <t>аллергия на аминогликозиды</t>
  </si>
  <si>
    <t>тяжелое нарушение функции почек</t>
  </si>
  <si>
    <t>тяжелое заболевание сердца</t>
  </si>
  <si>
    <t>иммуносупрессивная терапия</t>
  </si>
  <si>
    <t>лучевая терапия</t>
  </si>
  <si>
    <t>иммунодефицит у родственников</t>
  </si>
  <si>
    <t>гиперчувствительность к лактозе</t>
  </si>
  <si>
    <t>повышенная чувствительность к дифтерийному анатоксину</t>
  </si>
  <si>
    <t>аномалия развития кишечника</t>
  </si>
  <si>
    <t>проживание в доме ребенка</t>
  </si>
  <si>
    <t>сердечно-сосудистая недостаточность</t>
  </si>
  <si>
    <t>хроническое заболевание почек</t>
  </si>
  <si>
    <t>хроническое заболевание печени</t>
  </si>
  <si>
    <t>хроническое заболевание эндокринной системы</t>
  </si>
  <si>
    <t>системное заболевание соединительной ткани</t>
  </si>
  <si>
    <t>гиперчувствительность к антибиотикам</t>
  </si>
  <si>
    <t>инвагинация кишечника</t>
  </si>
  <si>
    <t>инвагинация кишечника в анамнезе</t>
  </si>
  <si>
    <t>порок развития желудочно-кишечного тракта</t>
  </si>
  <si>
    <t>врожденные пороки развития желудочно-кишечного тракта, предрасполагающие к инвагинации кишечника</t>
  </si>
  <si>
    <t>диарея</t>
  </si>
  <si>
    <t>рвота</t>
  </si>
  <si>
    <t>непереносимость фруктозы</t>
  </si>
  <si>
    <t>нарушение всасывания глюкозо-галактозного комплекса</t>
  </si>
  <si>
    <t>недостаточность сахаразы</t>
  </si>
  <si>
    <t>недостаточность изомальтазы</t>
  </si>
  <si>
    <t>бронхиальная астма</t>
  </si>
  <si>
    <t>аутоиммунное заболевание</t>
  </si>
  <si>
    <t>эпилепсия</t>
  </si>
  <si>
    <t>эпилепсия с частыми припадками</t>
  </si>
  <si>
    <t>болезни крови</t>
  </si>
  <si>
    <t>неврологическое заболевание</t>
  </si>
  <si>
    <t>заболевание вилочковой железы</t>
  </si>
  <si>
    <t>удаленный тимус</t>
  </si>
  <si>
    <t>перенесенная туляремия в анамнезе</t>
  </si>
  <si>
    <t>распространенное рецидивирующее заболевание кожи</t>
  </si>
  <si>
    <t>аллергия</t>
  </si>
  <si>
    <t>аллергическое заболевание</t>
  </si>
  <si>
    <t>хроническое заболевание органов дыхания</t>
  </si>
  <si>
    <t>геморрагический диатез</t>
  </si>
  <si>
    <t>коксиеллез</t>
  </si>
  <si>
    <t>аллергия на молочный белок</t>
  </si>
  <si>
    <t>переливание крови или плазмы</t>
  </si>
  <si>
    <t>введение иммуноглобулина</t>
  </si>
  <si>
    <t>хроническое заболевание желчных путей</t>
  </si>
  <si>
    <t>хроническое заболевание сердца</t>
  </si>
  <si>
    <t>высокая температура тела</t>
  </si>
  <si>
    <t>аллергия на формальдегид</t>
  </si>
  <si>
    <t>гипотрофия III степени</t>
  </si>
  <si>
    <t>предоперационный период</t>
  </si>
  <si>
    <t>повышенная чувствительность к столбнячному анатоксину</t>
  </si>
  <si>
    <t>анатомические дефекты, повышающие риск гемофильной инфекции</t>
  </si>
  <si>
    <t>злокачественное заболевание крови</t>
  </si>
  <si>
    <t>болезни системы кровообращения</t>
  </si>
  <si>
    <t>рахит II и III степени</t>
  </si>
  <si>
    <t>хроническое заболевание желудочно-кишечного тракта</t>
  </si>
  <si>
    <t>инфекции мочевого пузыря и мочевыводящих путей в активной фазе</t>
  </si>
  <si>
    <t>облучение мочевого пузыря в анамнезе</t>
  </si>
  <si>
    <t>перфорация мочевого пузыря</t>
  </si>
  <si>
    <t>заболевания надпочечников</t>
  </si>
  <si>
    <t>герпетическая инфекция в активной стадии</t>
  </si>
  <si>
    <t>тимомегалия</t>
  </si>
  <si>
    <t>фенилкетонурия</t>
  </si>
  <si>
    <t>ринит</t>
  </si>
  <si>
    <t>ingredients_text_w/o_html</t>
  </si>
  <si>
    <t>ingredients_text_html</t>
  </si>
  <si>
    <t>ingredients_date</t>
  </si>
  <si>
    <t>ingredients_view_number</t>
  </si>
  <si>
    <t>ingredients_version</t>
  </si>
  <si>
    <t>ingredients_version_link</t>
  </si>
  <si>
    <r>
      <rPr>
        <sz val="10"/>
        <color theme="1"/>
        <rFont val="Arial"/>
      </rPr>
      <t xml:space="preserve">1 доза (0,1 мл) содержит:
Действующее вещество: микробные клетки </t>
    </r>
    <r>
      <rPr>
        <i/>
        <sz val="10"/>
        <color theme="1"/>
        <rFont val="Arial"/>
      </rPr>
      <t>Mycobacterium bovis BCG-I</t>
    </r>
    <r>
      <rPr>
        <sz val="10"/>
        <color theme="1"/>
        <rFont val="Arial"/>
      </rPr>
      <t xml:space="preserve"> — 0,05 мг*.
Полный перечень вспомогательных веществ приведен в разделе 6.1.
Препарат не содержит консервантов и антибиотиков.
Выпускается в комплекте с растворителем — натрия хлорид растворитель для приготовления лекарственных форм для инъекций 0,9 %.
* расчетное содержание в 1 дозе.
</t>
    </r>
    <r>
      <rPr>
        <b/>
        <sz val="10"/>
        <color theme="1"/>
        <rFont val="Arial"/>
      </rPr>
      <t>6.1. Перечень вспомогательных веществ</t>
    </r>
    <r>
      <rPr>
        <sz val="10"/>
        <color theme="1"/>
        <rFont val="Arial"/>
      </rPr>
      <t xml:space="preserve">
</t>
    </r>
    <r>
      <rPr>
        <i/>
        <sz val="10"/>
        <color theme="1"/>
        <rFont val="Arial"/>
      </rPr>
      <t>Лиофилизат</t>
    </r>
    <r>
      <rPr>
        <sz val="10"/>
        <color theme="1"/>
        <rFont val="Arial"/>
      </rPr>
      <t>:
• Натрия глутамата моногидрат.</t>
    </r>
  </si>
  <si>
    <r>
      <rPr>
        <sz val="10"/>
        <color theme="1"/>
        <rFont val="Arial"/>
      </rPr>
      <t xml:space="preserve">&lt;p&gt;1&amp;nbsp;доза (0,1&amp;nbsp;мл) содержит:&lt;br&gt;&lt;br&gt;
Действующее вещество: микробные клетки &lt;i&gt;Mycobacterium bovis BCG-I&lt;/i&gt; — 0,05&amp;nbsp;мг*.&lt;br&gt;
Полный перечень вспомогательных веществ приведен в разделе&amp;nbsp;6.1.&lt;br&gt;
Препарат не содержит консервантов и антибиотиков.&lt;br&gt;
Выпускается в комплекте с растворителем — натрия хлорид растворитель для приготовления лекарственных форм для инъекций 0,9&amp;nbsp;%.&lt;br&gt;&lt;br&gt;
*&amp;nbsp;расчетное содержание в 1&amp;nbsp;дозе.&lt;br&gt;&lt;br&gt;
</t>
    </r>
    <r>
      <rPr>
        <b/>
        <sz val="10"/>
        <color theme="1"/>
        <rFont val="Arial"/>
      </rPr>
      <t>&lt;b&gt;6.1.&amp;nbsp;Перечень вспомогательных веществ</t>
    </r>
    <r>
      <rPr>
        <sz val="10"/>
        <color theme="1"/>
        <rFont val="Arial"/>
      </rPr>
      <t xml:space="preserve">&lt;/b&gt;&lt;br&gt;&lt;br&gt;
</t>
    </r>
    <r>
      <rPr>
        <i/>
        <sz val="10"/>
        <color theme="1"/>
        <rFont val="Arial"/>
      </rPr>
      <t>&lt;i&gt;Лиофилизат</t>
    </r>
    <r>
      <rPr>
        <sz val="10"/>
        <color theme="1"/>
        <rFont val="Arial"/>
      </rPr>
      <t>:&lt;/i&gt;
&lt;ul&gt;&lt;li&gt;Натрия глутамата моногидрат.&lt;/li&gt;&lt;/ul&gt;&lt;/p&gt;</t>
    </r>
  </si>
  <si>
    <t>добавлено Елена Савинова</t>
  </si>
  <si>
    <r>
      <rPr>
        <sz val="10"/>
        <color theme="1"/>
        <rFont val="Arial"/>
      </rPr>
      <t xml:space="preserve">1 доза (0,1 мл) содержит:
Действующее вещество: микробные клетки Mycobacterium bovis BCG-I — 0,025 мг*.
Полный перечень вспомогательных веществ приведен в разделе 6.1.
Препарат не содержит консервантов и антибиотиков.
Выпускается в комплекте с растворителем — натрия хлорид растворитель для приготовления лекарственных форм для инъекций 0,9 %.
* расчетное содержание в 1 дозе.
</t>
    </r>
    <r>
      <rPr>
        <b/>
        <sz val="10"/>
        <color theme="1"/>
        <rFont val="Arial"/>
      </rPr>
      <t>6.1. Перечень вспомогательных веществ</t>
    </r>
    <r>
      <rPr>
        <sz val="10"/>
        <color theme="1"/>
        <rFont val="Arial"/>
      </rPr>
      <t xml:space="preserve">
• Натрия глутамата моногидрат.</t>
    </r>
  </si>
  <si>
    <r>
      <rPr>
        <sz val="10"/>
        <color theme="1"/>
        <rFont val="Arial"/>
      </rPr>
      <t xml:space="preserve">&lt;p&gt;1&amp;nbsp;доза (0,1&amp;nbsp;мл) содержит:&lt;br&gt;&lt;br&gt;
Действующее вещество: микробные клетки &lt;i&gt;Mycobacterium bovis BCG-I&lt;/i&gt; — 0,025&amp;nbsp;мг*.&lt;br&gt;
Полный перечень вспомогательных веществ приведен в разделе&amp;nbsp;6.1.&lt;br&gt;
Препарат не содержит консервантов и антибиотиков.&lt;br&gt;
Выпускается в комплекте с растворителем — натрия хлорид растворитель для приготовления лекарственных форм для инъекций 0,9&amp;nbsp;%.&lt;br&gt;&lt;br&gt;
*&amp;nbsp;расчетное содержание в 1&amp;nbsp;дозе.&lt;br&gt;&lt;br&gt;
</t>
    </r>
    <r>
      <rPr>
        <b/>
        <sz val="10"/>
        <color theme="1"/>
        <rFont val="Arial"/>
      </rPr>
      <t>&lt;b&gt;6.1.&amp;nbsp;Перечень вспомогательных веществ</t>
    </r>
    <r>
      <rPr>
        <sz val="10"/>
        <color theme="1"/>
        <rFont val="Arial"/>
      </rPr>
      <t>&lt;/b&gt;
&lt;ul&gt;&lt;li&gt;Натрия глутамата моногидрат.&lt;/li&gt;&lt;/ul&gt;&lt;/p&gt;</t>
    </r>
  </si>
  <si>
    <t>проверено Елена Савинова</t>
  </si>
  <si>
    <r>
      <rPr>
        <sz val="10"/>
        <color theme="1"/>
        <rFont val="Arial"/>
      </rPr>
      <t xml:space="preserve">В одной дозе содержится:
• 0,05 мг Микобактерий вакцинного штамма </t>
    </r>
    <r>
      <rPr>
        <i/>
        <sz val="10"/>
        <color theme="1"/>
        <rFont val="Arial"/>
      </rPr>
      <t>Mycobacterium bovis</t>
    </r>
    <r>
      <rPr>
        <sz val="10"/>
        <color theme="1"/>
        <rFont val="Arial"/>
      </rPr>
      <t>, субштамм BCG-1 (Russia).
Перечень вспомогательных веществ:
• Стабилизатор — натрия глутамат моногидрат — не более 0,3 мг;
• Раствор натрия хлорида 0,9 % для инъекций — до 0,1 мл.</t>
    </r>
  </si>
  <si>
    <r>
      <rPr>
        <sz val="10"/>
        <color theme="1"/>
        <rFont val="Arial"/>
      </rPr>
      <t>&lt;p&gt;В одной дозе содержится:
&lt;ul&gt;&lt;li&gt;0,05&amp;nbsp;мг Микобактерий вакцинного штамма &lt;i&gt;</t>
    </r>
    <r>
      <rPr>
        <i/>
        <sz val="10"/>
        <color theme="1"/>
        <rFont val="Arial"/>
      </rPr>
      <t>Mycobacterium bovis&lt;/i&gt;</t>
    </r>
    <r>
      <rPr>
        <sz val="10"/>
        <color theme="1"/>
        <rFont val="Arial"/>
      </rPr>
      <t>, субштамм BCG-1 (Russia).&lt;/li&gt;&lt;/ul&gt;
Перечень вспомогательных веществ:
&lt;ul&gt;&lt;li&gt;Стабилизатор — натрия глутамат моногидрат — не более 0,3&amp;nbsp;мг;&lt;/li&gt;
&lt;li&gt;Раствор натрия хлорида 0,9&amp;nbsp;% для инъекций — до 0,1&amp;nbsp;мл.&lt;/li&gt;&lt;/ul&gt;&lt;/p&gt;</t>
    </r>
  </si>
  <si>
    <t>В одной дозе содержится:
• 0,025 мг Микобактерий вакцинного штамма Mycobacterium bovis, субштамм BCG-1 (Russia).
Перечень вспомогательных веществ:
• Стабилизатор — натрия глутамат моногидрат — не более 0,15 мг;
• Раствор натрия хлорида 0,9 % для инъекций — до 0,1 мл.</t>
  </si>
  <si>
    <t>&lt;p&gt;В одной дозе содержится:
&lt;ul&gt;&lt;li&gt;0,025&amp;nbsp;мг Микобактерий вакцинного штамма Mycobacterium bovis, субштамм BCG-1 (Russia).&lt;/li&gt;&lt;/ul&gt;
Перечень вспомогательных веществ:
&lt;ul&gt;&lt;li&gt;Стабилизатор — натрия глутамат моногидрат — не более 0,15&amp;nbsp;мг;&lt;/li&gt;
&lt;li&gt;Раствор натрия хлорида 0,9&amp;nbsp;% для инъекций — до 0,1&amp;nbsp;мл.&lt;/li&gt;&lt;/ul&gt;&lt;/p&gt;</t>
  </si>
  <si>
    <t>1 доза (0,5 мл) вакцины содержит:
Действующие вещества:
• анатоксин дифтерийный¹·³ — не менее 30 МЕ;
• анатоксин столбнячный²·³ — не менее 40 МЕ;
• анатоксин коклюшный (АК)³ — 25 мкг;
• гемагглютинин филаментозный (ФГА)³ — 25 мкг;
• пертактин (ПРН)³ (белок наружной мембраны 69 кДа) — 8 мкг.
¹ Содержание дифтерийного анатоксина 25 Lf (флоккулирующих единиц).
² Содержание столбнячного анатоксина 10 Lf (флоккулирующих единиц).
³ Адсорбированный на алюминия гидроксиде (0,5 мг в пересчете на алюминий).
Перечень вспомогательных веществ:
• Натрия хлорид.
• Вода для инъекций.</t>
  </si>
  <si>
    <t>&lt;p&gt;1&amp;nbsp;доза (0,5&amp;nbsp;мл) вакцины содержит:&lt;br&gt;&lt;br&gt;
&lt;i&gt;Действующие вещества:&lt;/i&gt;
&lt;ul&gt;&lt;li&gt;анатоксин дифтерийный¹&lt;sup&gt;,&lt;/sup&gt;³ — не менее 30&amp;nbsp;МЕ;&lt;/li&gt;
&lt;li&gt;анатоксин столбнячный²&lt;sup&gt;,&lt;/sup&gt;³ — не менее 40&amp;nbsp;МЕ;&lt;/li&gt;
&lt;li&gt;анатоксин коклюшный (АК)³ — 25&amp;nbsp;мкг;&lt;/li&gt;
&lt;li&gt;гемагглютинин филаментозный (ФГА)³ — 25&amp;nbsp;мкг;&lt;/li&gt;
&lt;li&gt;пертактин (ПРН)³ (белок наружной мембраны 69&amp;nbsp;кДа) — 8&amp;nbsp;мкг.&lt;/li&gt;&lt;/ul&gt;
¹&amp;nbsp;Содержание дифтерийного анатоксина 25&amp;nbsp;Lf (флоккулирующих единиц).&lt;br&gt;
²&amp;nbsp;Содержание столбнячного анатоксина 10&amp;nbsp;Lf (флоккулирующих единиц).&lt;br&gt;
³&amp;nbsp;Адсорбированный на алюминия гидроксиде (0,5&amp;nbsp;мг в пересчете на алюминий).&lt;br&gt;&lt;br&gt;
&lt;i&gt;Перечень вспомогательных веществ:&lt;/i&gt;
&lt;ul&gt;&lt;li&gt;Натрия хлорид.&lt;/li&gt;
&lt;li&gt;Вода для инъекций.&lt;/li&gt;&lt;/ul&gt;&lt;/p&gt;</t>
  </si>
  <si>
    <r>
      <rPr>
        <sz val="10"/>
        <color theme="1"/>
        <rFont val="Arial"/>
      </rPr>
      <t xml:space="preserve">В 1 дозе (0,5 мл) содержится:
</t>
    </r>
    <r>
      <rPr>
        <i/>
        <sz val="10"/>
        <color theme="1"/>
        <rFont val="Arial"/>
      </rPr>
      <t>Препарат с консервантом.</t>
    </r>
    <r>
      <rPr>
        <sz val="10"/>
        <color theme="1"/>
        <rFont val="Arial"/>
      </rPr>
      <t xml:space="preserve">
Действующие вещества:
• анатоксин дифтерийный¹ — 15 флокулирующих единиц (Lf);
• анатоксин столбнячный¹ — 5 единиц связывания (EC);
• коклюшная суспензия инактивированная — 10 млрд коклюшных микробных клеток.
¹ - Адсорбированный на алюминия гидроксиде (в пересчете на Al³⁺) — не более 0,55 мг;
</t>
    </r>
    <r>
      <rPr>
        <i/>
        <sz val="10"/>
        <color theme="1"/>
        <rFont val="Arial"/>
      </rPr>
      <t>Препарат без консерванта.</t>
    </r>
    <r>
      <rPr>
        <sz val="10"/>
        <color theme="1"/>
        <rFont val="Arial"/>
      </rPr>
      <t xml:space="preserve">
Действующие вещества:
• анатоксин дифтерийный¹ — 15 флокулирующих единиц (Lf);
• анатоксин столбнячный¹ — 5 единиц связывания (EC);
• коклюшная суспензия инактивированная без тиомерсала — 10 млрд коклюшных микробных клеток.
¹ - Адсорбированный на алюминия гидроксиде (в пересчете на Al³⁺) — не более 0,55 мг;
Перечень вспомогательных веществ:
</t>
    </r>
    <r>
      <rPr>
        <i/>
        <sz val="10"/>
        <color theme="1"/>
        <rFont val="Arial"/>
      </rPr>
      <t>Препарат с консервантом</t>
    </r>
    <r>
      <rPr>
        <sz val="10"/>
        <color theme="1"/>
        <rFont val="Arial"/>
      </rPr>
      <t xml:space="preserve">.
• Алюминия гидроксид;
• Формальдегид;
• Консервант — тиомерсал.
</t>
    </r>
    <r>
      <rPr>
        <i/>
        <sz val="10"/>
        <color theme="1"/>
        <rFont val="Arial"/>
      </rPr>
      <t>Препарат без консерванта</t>
    </r>
    <r>
      <rPr>
        <sz val="10"/>
        <color theme="1"/>
        <rFont val="Arial"/>
      </rPr>
      <t>.
• Алюминия гидроксид;
• Формальдегид.</t>
    </r>
  </si>
  <si>
    <r>
      <rPr>
        <sz val="10"/>
        <color theme="1"/>
        <rFont val="Arial"/>
      </rPr>
      <t xml:space="preserve">&lt;p&gt;В 1&amp;nbsp;дозе (0,5&amp;nbsp;мл) содержится:&lt;br&gt;&lt;br&gt;
</t>
    </r>
    <r>
      <rPr>
        <i/>
        <sz val="10"/>
        <color theme="1"/>
        <rFont val="Arial"/>
      </rPr>
      <t>&lt;i&gt;Препарат с консервантом.</t>
    </r>
    <r>
      <rPr>
        <sz val="10"/>
        <color theme="1"/>
        <rFont val="Arial"/>
      </rPr>
      <t xml:space="preserve">&lt;/i&gt;&lt;br&gt;&lt;br&gt;
Действующие вещества:
&lt;ul&gt;&lt;li&gt;анатоксин дифтерийный¹ — 15&amp;nbsp;флокулирующих единиц (Lf);&lt;/li&gt;
&lt;li&gt;анатоксин столбнячный¹ — 5&amp;nbsp;единиц связывания (EC);&lt;/li&gt;
&lt;li&gt;коклюшная суспензия инактивированная — 10&amp;nbsp;млрд коклюшных микробных клеток.&lt;/li&gt;&lt;/ul&gt;
¹&amp;nbsp;- Адсорбированный на алюминия гидроксиде (в пересчете на Al³⁺) — не более 0,55&amp;nbsp;мг;&lt;br&gt;&lt;br&gt;
</t>
    </r>
    <r>
      <rPr>
        <i/>
        <sz val="10"/>
        <color theme="1"/>
        <rFont val="Arial"/>
      </rPr>
      <t>&lt;i&gt;Препарат без консерванта.</t>
    </r>
    <r>
      <rPr>
        <sz val="10"/>
        <color theme="1"/>
        <rFont val="Arial"/>
      </rPr>
      <t xml:space="preserve">&lt;/i&gt;&lt;br&gt;&lt;br&gt;
Действующие вещества:
&lt;ul&gt;&lt;li&gt;анатоксин дифтерийный¹ — 15&amp;nbsp;флокулирующих единиц (Lf);&lt;/li&gt;
&lt;li&gt;анатоксин столбнячный¹ — 5&amp;nbsp;единиц связывания (EC);&lt;/li&gt;
&lt;li&gt;коклюшная суспензия инактивированная без тиомерсала — 10&amp;nbsp;млрд коклюшных микробных клеток.&lt;/li&gt;&lt;/ul&gt;
¹&amp;nbsp;- Адсорбированный на алюминия гидроксиде (в пересчете на Al³⁺) — не более 0,55&amp;nbsp;мг;&lt;br&gt;&lt;br&gt;
Перечень вспомогательных веществ:&lt;br&gt;&lt;br&gt;
</t>
    </r>
    <r>
      <rPr>
        <i/>
        <sz val="10"/>
        <color theme="1"/>
        <rFont val="Arial"/>
      </rPr>
      <t>&lt;i&gt;Препарат с консервантом.</t>
    </r>
    <r>
      <rPr>
        <sz val="10"/>
        <color theme="1"/>
        <rFont val="Arial"/>
      </rPr>
      <t xml:space="preserve">&lt;/i&gt;
&lt;ul&gt;&lt;li&gt;Алюминия гидроксид;&lt;/li&gt;
&lt;li&gt;Формальдегид;&lt;/li&gt;
&lt;li&gt;Консервант — тиомерсал.&lt;/li&gt;&lt;/ul&gt;
</t>
    </r>
    <r>
      <rPr>
        <i/>
        <sz val="10"/>
        <color theme="1"/>
        <rFont val="Arial"/>
      </rPr>
      <t>&lt;i&gt;Препарат без консерванта</t>
    </r>
    <r>
      <rPr>
        <sz val="10"/>
        <color theme="1"/>
        <rFont val="Arial"/>
      </rPr>
      <t>.&lt;/i&gt;
&lt;ul&gt;&lt;li&gt;Алюминия гидроксид;&lt;/li&gt;
&lt;li&gt;Формальдегид.&lt;/li&gt;&lt;/ul&gt;&lt;/p&gt;</t>
    </r>
  </si>
  <si>
    <t>АКДС-вакцина состоит из взвеси убитых коклюшных микробов и очищенных дифтерийного и столбнячного анатоксинов, сорбированных на алюминия гидроксиде.
В одной дозе препарата (0,5 мл) содержится 10 международных единиц (МЕ) инактивированных коклюшных микробов, 15 флокулирующих единиц (Lf) дифтерийного, 5 единиц связывания (EC) столбнячного анатоксинов, от 0,25 до 0,55 мг алюминия гидроксида в пересчете на алюминий (сорбент), от 42,5 до 57,5 мкг тиомерсала (консервант).</t>
  </si>
  <si>
    <t>&lt;p&gt;В одной дозе препарата (0,5&amp;nbsp;мл) содержится 10&amp;nbsp;международных единиц (МЕ) инактивированных коклюшных микробов, 15&amp;nbsp;флокулирующих единиц (Lf) дифтерийного, 5&amp;nbsp;единиц связывания (EC) столбнячного анатоксинов, от 0,25 до 0,55&amp;nbsp;мг алюминия гидроксида в пересчете на алюминий (сорбент), от 42,5 до 57,5&amp;nbsp;мкг тиомерсала (консервант).&lt;/p&gt;</t>
  </si>
  <si>
    <t xml:space="preserve">Препарат содержит в одной дозе (0,5 мл): 15 флокулирующих единиц (Lf) дифтерийного, 5 единиц связывания (EC) столбнячного анатоксинов, 10 млрд коклюшных бактерий, 5 мкг HBsAg, 0,4 мг алюминия гидроксида (Al³⁺), 50 мкг мертиолята (консервант). </t>
  </si>
  <si>
    <t>&lt;p&gt;Препарат содержит в одной дозе (0,5&amp;nbsp;мл): 15&amp;nbsp;флокулирующих единиц (Lf) дифтерийного, 5&amp;nbsp;единиц связывания (EC) столбнячного анатоксинов, 10&amp;nbsp;млрд коклюшных бактерий, 5&amp;nbsp;мкг HBsAg, 0,4&amp;nbsp;мг алюминия гидроксида (Al³⁺), 50&amp;nbsp;мкг мертиолята (консервант).&lt;/p&gt;</t>
  </si>
  <si>
    <r>
      <rPr>
        <sz val="10"/>
        <color theme="1"/>
        <rFont val="Arial"/>
      </rPr>
      <t xml:space="preserve">Действующими веществами являются:
После восстановления 1 доза (0,5 мл) содержит:
</t>
    </r>
    <r>
      <rPr>
        <i/>
        <sz val="10"/>
        <color theme="1"/>
        <rFont val="Arial"/>
      </rPr>
      <t>Изначально в виде суспензии:</t>
    </r>
    <r>
      <rPr>
        <sz val="10"/>
        <color theme="1"/>
        <rFont val="Arial"/>
      </rPr>
      <t xml:space="preserve">
• Анатоксин дифтерийный¹ — 30 Lf (≥ 30 МЕ²)³;
• Анатоксин столбнячный¹ — 10 LF (≥ 40 МЕ⁴)³;
• Анатоксин коклюшный¹ — 25 мкг;
• Гемагглютинин филаментозный¹ — 25 мкг;
• Вирус полиомиелита 1-го типа инактивированный (Mahoney)⁵ — 40 единиц D антигена⁶;
• Вирус полиомиелита 2-го типа инактивированный (MEF-1)⁵ — 8 единиц D антигена⁶;
• Вирус полиомиелита 3-го типа инактивированный (Saukett)⁵ — 32 единицы D антигена⁶.
</t>
    </r>
    <r>
      <rPr>
        <i/>
        <sz val="10"/>
        <color theme="1"/>
        <rFont val="Arial"/>
      </rPr>
      <t xml:space="preserve">
Изначально в виде лиофилизата для приготовления суспензии:</t>
    </r>
    <r>
      <rPr>
        <sz val="10"/>
        <color theme="1"/>
        <rFont val="Arial"/>
      </rPr>
      <t xml:space="preserve">
• Полисахарид </t>
    </r>
    <r>
      <rPr>
        <i/>
        <sz val="10"/>
        <color theme="1"/>
        <rFont val="Arial"/>
      </rPr>
      <t>Haemophilus influenzae</t>
    </r>
    <r>
      <rPr>
        <sz val="10"/>
        <color theme="1"/>
        <rFont val="Arial"/>
      </rPr>
      <t xml:space="preserve"> тип </t>
    </r>
    <r>
      <rPr>
        <i/>
        <sz val="10"/>
        <color theme="1"/>
        <rFont val="Arial"/>
      </rPr>
      <t>b</t>
    </r>
    <r>
      <rPr>
        <sz val="10"/>
        <color theme="1"/>
        <rFont val="Arial"/>
      </rPr>
      <t xml:space="preserve"> (полирибозилрибитол фосфат) — 10 мкг,
конъюгированный со столбнячным анатоксином — 18-30 мкг.
¹ — адсорбирован на алюминия гидроксида гидрате (0,3 мг в пересчете на алюминий);
² — в качестве среднего значения, нижний предел доверительного интервала (р = 0,95) не менее 20 МЕ/доза;
³ — или эквивалентная активность, определенная при оценке иммуногенности;
⁴ — нижний предел доверительного интервала (р = 0,95);
⁵ — культивированный на клетках VERO;
⁶ — или эквивалентное содержание антигена, определенное подходящим иммунохимическим методом.
Антибиотики (стрептомицин, неомицин и полимиксин В) и глутаральдегид используются при производстве вакцины, но не присутствуют в определяемых количествах в конечном продукте.
Вспомогательные вещества, наличие которых надо учитывать в составе вакцины: фенилаланин
Перечень вспомогательных веществ:
</t>
    </r>
    <r>
      <rPr>
        <i/>
        <sz val="10"/>
        <color theme="1"/>
        <rFont val="Arial"/>
      </rPr>
      <t>Суспензия для внутримышечного введения:</t>
    </r>
    <r>
      <rPr>
        <sz val="10"/>
        <color theme="1"/>
        <rFont val="Arial"/>
      </rPr>
      <t xml:space="preserve">
• Алюминия гидроксида гидрат;
• Раствор формальдегида;
• Феноксиэтанол;
• Этанол безводный;
• Среда Хенкса 199 (10×) без фенолового красного (представляет собой сложную смесь аминокислот (включая фенилаланин), минералов, витаминов и других компонентов (таких как глюкоза), разведенную в воде для инъекций);
• Натрия гидроксид или ледяная уксусная кислота используются для корректировки рН;
• Вода для инъекций.
</t>
    </r>
    <r>
      <rPr>
        <i/>
        <sz val="10"/>
        <color theme="1"/>
        <rFont val="Arial"/>
      </rPr>
      <t>Лиофилизат для приготовления суспензии для внутримышечного введения:</t>
    </r>
    <r>
      <rPr>
        <sz val="10"/>
        <color theme="1"/>
        <rFont val="Arial"/>
      </rPr>
      <t xml:space="preserve">
• Трометамол;
• Сахароза;
• Концентрированная хлористоводородная кислота для корректировки рН (до 7,2 ± 0,1).</t>
    </r>
  </si>
  <si>
    <r>
      <rPr>
        <sz val="10"/>
        <color theme="1"/>
        <rFont val="Arial"/>
      </rPr>
      <t xml:space="preserve">&lt;p&gt;Действующими веществами являются:&lt;br&gt;
После восстановления 1&amp;nbsp;доза (0,5&amp;nbsp;мл) содержит:&lt;br&gt;&lt;br&gt;
</t>
    </r>
    <r>
      <rPr>
        <i/>
        <sz val="10"/>
        <color theme="1"/>
        <rFont val="Arial"/>
      </rPr>
      <t>&lt;i&gt;Изначально в виде суспензии:&lt;/i&gt;</t>
    </r>
    <r>
      <rPr>
        <sz val="10"/>
        <color theme="1"/>
        <rFont val="Arial"/>
      </rPr>
      <t xml:space="preserve">
&lt;ul&gt;&lt;li&gt;Анатоксин дифтерийный¹ — 30&amp;nbsp;Lf (≥&amp;nbsp;30&amp;nbsp;МЕ²)³;&lt;/li&gt;
&lt;li&gt;Анатоксин столбнячный¹ — 10&amp;nbsp;LF (≥&amp;nbsp;40&amp;nbsp;МЕ⁴)³;&lt;/li&gt;
&lt;li&gt;Анатоксин коклюшный¹ — 25&amp;nbsp;мкг;&lt;/li&gt;
&lt;li&gt;Гемагглютинин филаментозный¹ — 25&amp;nbsp;мкг;&lt;/li&gt;
&lt;li&gt;Вирус полиомиелита 1-го&amp;nbsp;типа инактивированный (Mahoney)⁵ — 40&amp;nbsp;единиц D&amp;nbsp;антигена⁶;&lt;/li&gt;
&lt;li&gt;Вирус полиомиелита 2-го&amp;nbsp;типа инактивированный (MEF-1)⁵ — 8&amp;nbsp;единиц D&amp;nbsp;антигена⁶;&lt;/li&gt;
&lt;li&gt;Вирус полиомиелита 3-го&amp;nbsp;типа инактивированный (Saukett)⁵ — 32&amp;nbsp;единицы D&amp;nbsp;антигена⁶.&lt;/li&gt;&lt;/ul&gt;
</t>
    </r>
    <r>
      <rPr>
        <i/>
        <sz val="10"/>
        <color theme="1"/>
        <rFont val="Arial"/>
      </rPr>
      <t xml:space="preserve">
&lt;i&gt;Изначально в виде лиофилизата для приготовления суспензии:</t>
    </r>
    <r>
      <rPr>
        <sz val="10"/>
        <color theme="1"/>
        <rFont val="Arial"/>
      </rPr>
      <t xml:space="preserve">&lt;/i&gt;
&lt;ul&gt;&lt;li&gt;Полисахарид </t>
    </r>
    <r>
      <rPr>
        <i/>
        <sz val="10"/>
        <color theme="1"/>
        <rFont val="Arial"/>
      </rPr>
      <t>Haemophilus influenzae</t>
    </r>
    <r>
      <rPr>
        <sz val="10"/>
        <color theme="1"/>
        <rFont val="Arial"/>
      </rPr>
      <t xml:space="preserve"> тип </t>
    </r>
    <r>
      <rPr>
        <i/>
        <sz val="10"/>
        <color theme="1"/>
        <rFont val="Arial"/>
      </rPr>
      <t>b</t>
    </r>
    <r>
      <rPr>
        <sz val="10"/>
        <color theme="1"/>
        <rFont val="Arial"/>
      </rPr>
      <t xml:space="preserve"> (полирибозилрибитол фосфат) — 10&amp;nbsp;мкг,&lt;br&gt;
конъюгированный со столбнячным анатоксином — 18-30&amp;nbsp;мкг.&lt;/li&gt;&lt;/ul&gt;
¹ — адсорбирован на алюминия гидроксида гидрате (0,3&amp;nbsp;мг в пересчете на алюминий);&lt;br&gt;
² — в качестве среднего значения, нижний предел доверительного интервала (р&amp;nbsp;=&amp;nbsp;0,95) не менее 20&amp;nbsp;МЕ/доза;&lt;br&gt;
³ — или эквивалентная активность, определенная при оценке иммуногенности;&lt;br&gt;
⁴ — нижний предел доверительного интервала (р&amp;nbsp;=&amp;nbsp;0,95);&lt;br&gt;
⁵ — культивированный на клетках VERO;&lt;br&gt;
⁶ — или эквивалентное содержание антигена, определенное подходящим иммунохимическим методом.&lt;br&gt;&lt;br&gt;
Антибиотики (стрептомицин, неомицин и полимиксин В) и глутаральдегид используются при производстве вакцины, но не присутствуют в определяемых количествах в конечном продукте.&lt;br&gt;
Вспомогательные вещества, наличие которых надо учитывать в составе вакцины: фенилаланин&lt;br&gt;&lt;br&gt;
Перечень вспомогательных веществ:&lt;br&gt;
</t>
    </r>
    <r>
      <rPr>
        <i/>
        <sz val="10"/>
        <color theme="1"/>
        <rFont val="Arial"/>
      </rPr>
      <t>&lt;i&gt;Суспензия для внутримышечного введения:</t>
    </r>
    <r>
      <rPr>
        <sz val="10"/>
        <color theme="1"/>
        <rFont val="Arial"/>
      </rPr>
      <t xml:space="preserve">&lt;/i&gt;
&lt;ul&gt;&lt;li&gt;Алюминия гидроксида гидрат;&lt;/li&gt;
&lt;li&gt;Раствор формальдегида;&lt;/li&gt;
&lt;li&gt;Феноксиэтанол;&lt;/li&gt;
&lt;li&gt;Этанол безводный;&lt;/li&gt;
&lt;li&gt;Среда Хенкса&amp;nbsp;199 (10×) без фенолового красного (представляет собой сложную смесь аминокислот (включая фенилаланин), минералов, витаминов и других компонентов (таких как глюкоза), разведенную в воде для инъекций);&lt;/li&gt;
&lt;li&gt;Натрия гидроксид или ледяная уксусная кислота используются для корректировки рН;&lt;/li&gt;
&lt;li&gt;Вода для инъекций.&lt;/li&gt;&lt;/ul&gt;
</t>
    </r>
    <r>
      <rPr>
        <i/>
        <sz val="10"/>
        <color theme="1"/>
        <rFont val="Arial"/>
      </rPr>
      <t>&lt;i&gt;Лиофилизат для приготовления суспензии для внутримышечного введения:</t>
    </r>
    <r>
      <rPr>
        <sz val="10"/>
        <color theme="1"/>
        <rFont val="Arial"/>
      </rPr>
      <t>&lt;/i&gt;
&lt;ul&gt;&lt;li&gt;Трометамол;&lt;/li&gt;
&lt;li&gt;Сахароза;&lt;/li&gt;
&lt;li&gt;Концентрированная хлористоводородная кислота для корректировки рН (до 7,2&amp;nbsp;±&amp;nbsp;0,1).&lt;/li&gt;&lt;/ul&gt;&lt;/p&gt;</t>
    </r>
  </si>
  <si>
    <t>zaytseva@vaccina.info не нашла символ запятой в верхнем индексе, который бы нормально копировался сюда, поэтому здесь и далее в столбце "ingredients_text_w/o_html" вместо него символ "·". В столбце "ingredients_text_html" запятая в верхнем индексе поставлена с помощью тэга &lt;sup&gt;.</t>
  </si>
  <si>
    <r>
      <rPr>
        <sz val="10"/>
        <color theme="1"/>
        <rFont val="Arial"/>
      </rPr>
      <t xml:space="preserve">1 доза (0,5 мл) вакцины содержит:
Вакцина для профилактики дифтерии, столбняка, коклюша (бесклеточная), полиомиелита (инактивированная), гепатита В комбинированная, адсорбированная
</t>
    </r>
    <r>
      <rPr>
        <i/>
        <sz val="10"/>
        <color theme="1"/>
        <rFont val="Arial"/>
      </rPr>
      <t>Действующие вещества:</t>
    </r>
    <r>
      <rPr>
        <sz val="10"/>
        <color theme="1"/>
        <rFont val="Arial"/>
      </rPr>
      <t xml:space="preserve">
• Анатоксин дифтерийный¹·³ — Не менее 30 МЕ;
• Анатоксин столбнячный²·³ — Не менее 40 МЕ;
• Анатоксин коклюшный (АК)³ — 25 мкг;
• Гемагглютинин филаментозный (ФГА)³ — 25 мкг;
• Пертактин (белок наружной мембраны 69 кДа)³ — 8 мкг;
• Антиген поверхностный рекомбинантный вируса гепатита B (HBsAg)⁴ — 10 мкг;
• Вирус полиомиелита тип 1 инактивированный — 40 ЕД D-антигена;
• Вирус полиомиелита тип 2 инактивированный — 8 ЕД D-антигена;
• Вирус полиомиелита тип 3 инактивированный — 32 ЕД D-антигена.
Вакцина для профилактики инфекции, вызываемой </t>
    </r>
    <r>
      <rPr>
        <i/>
        <sz val="10"/>
        <color theme="1"/>
        <rFont val="Arial"/>
      </rPr>
      <t>Haemophilus influenzae</t>
    </r>
    <r>
      <rPr>
        <sz val="10"/>
        <color theme="1"/>
        <rFont val="Arial"/>
      </rPr>
      <t xml:space="preserve"> тип </t>
    </r>
    <r>
      <rPr>
        <i/>
        <sz val="10"/>
        <color theme="1"/>
        <rFont val="Arial"/>
      </rPr>
      <t>b</t>
    </r>
    <r>
      <rPr>
        <sz val="10"/>
        <color theme="1"/>
        <rFont val="Arial"/>
      </rPr>
      <t xml:space="preserve"> конъюгированная, адсорбированная
</t>
    </r>
    <r>
      <rPr>
        <i/>
        <sz val="10"/>
        <color theme="1"/>
        <rFont val="Arial"/>
      </rPr>
      <t>Действующее вещество:</t>
    </r>
    <r>
      <rPr>
        <sz val="10"/>
        <color theme="1"/>
        <rFont val="Arial"/>
      </rPr>
      <t xml:space="preserve">
• Капсульный полисахарид </t>
    </r>
    <r>
      <rPr>
        <i/>
        <sz val="10"/>
        <color theme="1"/>
        <rFont val="Arial"/>
      </rPr>
      <t>Haemophilus influenzae</t>
    </r>
    <r>
      <rPr>
        <sz val="10"/>
        <color theme="1"/>
        <rFont val="Arial"/>
      </rPr>
      <t xml:space="preserve"> тип </t>
    </r>
    <r>
      <rPr>
        <i/>
        <sz val="10"/>
        <color theme="1"/>
        <rFont val="Arial"/>
      </rPr>
      <t>b</t>
    </r>
    <r>
      <rPr>
        <sz val="10"/>
        <color theme="1"/>
        <rFont val="Arial"/>
      </rPr>
      <t xml:space="preserve">⁴ — 10 мкг;
конъюгированный со столбнячным анатоксином — ≈25 мкг.
¹ Содержание дифтерийного анатоксина 25 Lf (флоккулирующих единиц).
² Содержание столбнячного анатоксина 10 Lf (флоккулирующих единиц).
³ Адсорбированный на алюминия гидроксиде (0,5 мг в пересчете на алюминий).
⁴ Адсорбированный на алюминия фосфате (0,32 мг в пересчете на алюминий).
</t>
    </r>
    <r>
      <rPr>
        <i/>
        <sz val="10"/>
        <color theme="1"/>
        <rFont val="Arial"/>
      </rPr>
      <t>Перечень вспомогательных веществ:</t>
    </r>
    <r>
      <rPr>
        <sz val="10"/>
        <color theme="1"/>
        <rFont val="Arial"/>
      </rPr>
      <t xml:space="preserve">
Вакцина для профилактики дифтерии, столбняка, коклюша (бесклеточная), полиомиелита (инактивированная), гепатита В комбинированная, адсорбированная:
• Натрия хлорид.
• Среда 199 (М 199)¹ (включая аминокислоты).
• Вода для инъекций.
¹ Состав среды 199 (М 199):
кальция хлорида дигидрат, железа нитрата нонагидрат, калия хлорид, калия дигидрофосфат, магния сульфата гептагидрат, натрия хлорид, натрия гидрокарбонат, натрия гидрофосфат, L-аланин, L-аргинина гидрохлорид, L-аспарагиновая кислота, L-цистеина гидрохлорид, L-цистин, L-глутаминовая кислота, L-глутамин, глицин, L-гистидина гидрохлорида моногидрат, L-гидроксипролин, L-изолейцин, L-лейцин, L-лизина гидрохлорид, L-метионин, L-фенилаланин, L-пролин, L-серин, L-треонин, L-триптофан, L-тирозин, L-валин, аскорбиновая кислота, альфа-токоферол, биотин, кальциферол, кальция пантотенат, холина хлорид, фолиевая кислота, инозитол, менадион, никотиновая кислота, никотинамид, пара-аминобензойная кислота, пиридоксаль гидрохлорид, пиридоксина гидрохлорид, рибофлавин, тиамина гидрохлорид, ретинола ацетат, аденин, аденозина фосфат, аденозина трифосфат натрия, холестерол, дезоксирибоза, глюкоза, глутатион, гуанина гидрохлорид, гипоксантин, рибоза, натрия ацетат, тимин, твин-80, урацил, ксантин.
Вакцина для профилактики инфекции, вызываемой </t>
    </r>
    <r>
      <rPr>
        <i/>
        <sz val="10"/>
        <color theme="1"/>
        <rFont val="Arial"/>
      </rPr>
      <t>Haemophilus influenzae</t>
    </r>
    <r>
      <rPr>
        <sz val="10"/>
        <color theme="1"/>
        <rFont val="Arial"/>
      </rPr>
      <t xml:space="preserve"> тип </t>
    </r>
    <r>
      <rPr>
        <i/>
        <sz val="10"/>
        <color theme="1"/>
        <rFont val="Arial"/>
      </rPr>
      <t>b</t>
    </r>
    <r>
      <rPr>
        <sz val="10"/>
        <color theme="1"/>
        <rFont val="Arial"/>
      </rPr>
      <t>, конъюгированная, адсорбированная:
• Лактоза.
Данный препарат содержит менее 1 ммоль (23 мг) натрия на 1 дозу, то есть по сути не содержит натрия.</t>
    </r>
  </si>
  <si>
    <r>
      <rPr>
        <sz val="10"/>
        <color theme="1"/>
        <rFont val="Arial"/>
      </rPr>
      <t xml:space="preserve">&lt;p&gt;1&amp;nbsp;доза (0,5&amp;nbsp;мл) вакцины содержит:&lt;br&gt;&lt;br&gt;
Вакцина для профилактики дифтерии, столбняка, коклюша (бесклеточная), полиомиелита (инактивированная), гепатита В комбинированная, адсорбированная
</t>
    </r>
    <r>
      <rPr>
        <i/>
        <sz val="10"/>
        <color theme="1"/>
        <rFont val="Arial"/>
      </rPr>
      <t>&lt;ul&gt;&lt;i&gt;Действующие вещества:&lt;/i&gt;</t>
    </r>
    <r>
      <rPr>
        <sz val="10"/>
        <color theme="1"/>
        <rFont val="Arial"/>
      </rPr>
      <t xml:space="preserve">
&lt;li&gt;Анатоксин дифтерийный¹&lt;sup&gt;,&lt;/sup&gt;³ — Не менее 30&amp;nbsp;МЕ;&lt;/li&gt;
&lt;li&gt;Анатоксин столбнячный²&lt;sup&gt;,&lt;/sup&gt;³ — Не менее 40&amp;nbsp;МЕ;&lt;/li&gt;
&lt;li&gt;Анатоксин коклюшный (АК)³ — 25&amp;nbsp;мкг;&lt;/li&gt;
&lt;li&gt;Гемагглютинин филаментозный (ФГА)³ — 25&amp;nbsp;мкг;&lt;/li&gt;
&lt;li&gt;Пертактин (белок наружной мембраны 69&amp;nbsp;кДа)³ — 8&amp;nbsp;мкг;&lt;/li&gt;
&lt;li&gt;Антиген поверхностный рекомбинантный вируса гепатита B (HBsAg)⁴ — 10&amp;nbsp;мкг;&lt;/li&gt;
&lt;li&gt;Вирус полиомиелита тип&amp;nbsp;1 инактивированный — 40&amp;nbsp;ЕД D-антигена;&lt;/li&gt;
&lt;li&gt;Вирус полиомиелита тип&amp;nbsp;2 инактивированный — 8&amp;nbsp;ЕД D-антигена;&lt;/li&gt;
&lt;li&gt;Вирус полиомиелита тип&amp;nbsp;3 инактивированный — 32&amp;nbsp;ЕД D-антигена.&lt;/li&gt;&lt;/ul&gt;
Вакцина для профилактики инфекции, вызываемой &lt;i&gt;</t>
    </r>
    <r>
      <rPr>
        <i/>
        <sz val="10"/>
        <color theme="1"/>
        <rFont val="Arial"/>
      </rPr>
      <t>Haemophilus influenzae&lt;/i&gt;</t>
    </r>
    <r>
      <rPr>
        <sz val="10"/>
        <color theme="1"/>
        <rFont val="Arial"/>
      </rPr>
      <t xml:space="preserve"> тип &lt;i&gt;</t>
    </r>
    <r>
      <rPr>
        <i/>
        <sz val="10"/>
        <color theme="1"/>
        <rFont val="Arial"/>
      </rPr>
      <t>b&lt;/i&gt;</t>
    </r>
    <r>
      <rPr>
        <sz val="10"/>
        <color theme="1"/>
        <rFont val="Arial"/>
      </rPr>
      <t xml:space="preserve"> конъюгированная, адсорбированная
</t>
    </r>
    <r>
      <rPr>
        <i/>
        <sz val="10"/>
        <color theme="1"/>
        <rFont val="Arial"/>
      </rPr>
      <t>&lt;ul&gt;&lt;i&gt;Действующее вещество:&lt;/i&gt;</t>
    </r>
    <r>
      <rPr>
        <sz val="10"/>
        <color theme="1"/>
        <rFont val="Arial"/>
      </rPr>
      <t xml:space="preserve">
&lt;li&gt;Капсульный полисахарид </t>
    </r>
    <r>
      <rPr>
        <i/>
        <sz val="10"/>
        <color theme="1"/>
        <rFont val="Arial"/>
      </rPr>
      <t>Haemophilus influenzae</t>
    </r>
    <r>
      <rPr>
        <sz val="10"/>
        <color theme="1"/>
        <rFont val="Arial"/>
      </rPr>
      <t xml:space="preserve"> тип </t>
    </r>
    <r>
      <rPr>
        <i/>
        <sz val="10"/>
        <color theme="1"/>
        <rFont val="Arial"/>
      </rPr>
      <t>b</t>
    </r>
    <r>
      <rPr>
        <sz val="10"/>
        <color theme="1"/>
        <rFont val="Arial"/>
      </rPr>
      <t xml:space="preserve">⁴ — 10&amp;nbsp;мкг;&lt;br&gt;
конъюгированный со столбнячным анатоксином — ≈25&amp;nbsp;мкг.&lt;/li&gt;&lt;/ul&gt;
¹ Содержание дифтерийного анатоксина 25&amp;nbsp;Lf (флоккулирующих единиц).&lt;br&gt;
² Содержание столбнячного анатоксина 10&amp;nbsp;Lf (флоккулирующих единиц).&lt;br&gt;
³ Адсорбированный на алюминия гидроксиде (0,5&amp;nbsp;мг в пересчете на алюминий).&lt;br&gt;
⁴ Адсорбированный на алюминия фосфате (0,32&amp;nbsp;мг в пересчете на алюминий).&lt;/p&gt;
</t>
    </r>
    <r>
      <rPr>
        <i/>
        <sz val="10"/>
        <color theme="1"/>
        <rFont val="Arial"/>
      </rPr>
      <t>&lt;p&gt;&lt;i&gt;Перечень вспомогательных веществ:</t>
    </r>
    <r>
      <rPr>
        <sz val="10"/>
        <color theme="1"/>
        <rFont val="Arial"/>
      </rPr>
      <t xml:space="preserve">&lt;/i&gt;&lt;br&gt;&lt;br&gt;
Вакцина для профилактики дифтерии, столбняка, коклюша (бесклеточная), полиомиелита (инактивированная), гепатита В комбинированная, адсорбированная:
&lt;ul&gt;&lt;li&gt;Натрия хлорид.&lt;/li&gt;
&lt;li&gt;Среда&amp;nbsp;199 (М&amp;nbsp;199)¹ (включая аминокислоты).&lt;/li&gt;
&lt;li&gt;Вода для инъекций.&lt;/li&gt;&lt;/ul&gt;
¹ Состав среды&amp;nbsp;199 (М&amp;nbsp;199):&lt;br&gt;
кальция хлорида дигидрат, железа нитрата нонагидрат, калия хлорид, калия дигидрофосфат, магния сульфата гептагидрат, натрия хлорид, натрия гидрокарбонат, натрия гидрофосфат, L-аланин, L-аргинина гидрохлорид, L-аспарагиновая кислота, L-цистеина гидрохлорид, L-цистин, L-глутаминовая кислота, L-глутамин, глицин, L-гистидина гидрохлорида моногидрат, L-гидроксипролин, L-изолейцин, L-лейцин, L-лизина гидрохлорид, L-метионин, L-фенилаланин, L-пролин, L-серин, L-треонин, L-триптофан, L-тирозин, L-валин, аскорбиновая кислота, альфа-токоферол, биотин, кальциферол, кальция пантотенат, холина хлорид, фолиевая кислота, инозитол, менадион, никотиновая кислота, никотинамид, пара-аминобензойная кислота, пиридоксаль гидрохлорид, пиридоксина гидрохлорид, рибофлавин, тиамина гидрохлорид, ретинола ацетат, аденин, аденозина фосфат, аденозина трифосфат натрия, холестерол, дезоксирибоза, глюкоза, глутатион, гуанина гидрохлорид, гипоксантин, рибоза, натрия ацетат, тимин, твин-80, урацил, ксантин.&lt;br&gt;&lt;br&gt;
Вакцина для профилактики инфекции, вызываемой </t>
    </r>
    <r>
      <rPr>
        <i/>
        <sz val="10"/>
        <color theme="1"/>
        <rFont val="Arial"/>
      </rPr>
      <t>&lt;i&gt;Haemophilus influenzae</t>
    </r>
    <r>
      <rPr>
        <sz val="10"/>
        <color theme="1"/>
        <rFont val="Arial"/>
      </rPr>
      <t>&lt;/i&gt; тип &lt;i&gt;</t>
    </r>
    <r>
      <rPr>
        <i/>
        <sz val="10"/>
        <color theme="1"/>
        <rFont val="Arial"/>
      </rPr>
      <t>b&lt;/i&gt;</t>
    </r>
    <r>
      <rPr>
        <sz val="10"/>
        <color theme="1"/>
        <rFont val="Arial"/>
      </rPr>
      <t>, конъюгированная, адсорбированная:
&lt;ul&gt;&lt;li&gt;Лактоза.&lt;/li&gt;&lt;/ul&gt;
Данный препарат содержит менее 1&amp;nbsp;ммоль (23&amp;nbsp;мг) натрия на 1&amp;nbsp;дозу, то есть по сути не содержит натрия.&lt;/p&gt;</t>
    </r>
  </si>
  <si>
    <r>
      <rPr>
        <sz val="10"/>
        <color theme="1"/>
        <rFont val="Arial"/>
      </rPr>
      <t xml:space="preserve">1 доза (0,5 мл) содержит действующие вещества:
• Антиген вируса гепатита В поверхностный рекомбинантный (HBsAg) (серотип ay и/или ad)¹ — 10 мкг;
• дифтерийный анатоксин очищенный концентрированный жидкий (ОКДА)¹ — 5 Lf (флокулирующих единиц);
• столбнячный анатоксин очищенный концентрированный жидкий (ОКСА)¹ — 5 ЕС (антитоксинсвязывающих единиц).
¹ — адсорбированный на алюминия гидроксиде (Al³⁺) — 0,45 мг.
</t>
    </r>
    <r>
      <rPr>
        <i/>
        <sz val="10"/>
        <color theme="1"/>
        <rFont val="Arial"/>
      </rPr>
      <t>Перечень вспомогательных веществ:</t>
    </r>
    <r>
      <rPr>
        <sz val="10"/>
        <color theme="1"/>
        <rFont val="Arial"/>
      </rPr>
      <t xml:space="preserve">
• Тиомерсал (консервант).</t>
    </r>
  </si>
  <si>
    <r>
      <rPr>
        <sz val="10"/>
        <color theme="1"/>
        <rFont val="Arial"/>
      </rPr>
      <t xml:space="preserve">&lt;p&gt;1&amp;nbsp;доза (0,5&amp;nbsp;мл) содержит действующие вещества:
&lt;ul&gt;&lt;li&gt;Антиген вируса гепатита&amp;nbsp;В поверхностный рекомбинантный (HBsAg) (серотип ay и/или ad)¹ — 10&amp;nbsp;мкг;&lt;/li&gt;
&lt;li&gt;дифтерийный анатоксин очищенный концентрированный жидкий (ОКДА)¹ — 5&amp;nbsp;Lf (флокулирующих единиц);&lt;/li&gt;
&lt;li&gt;столбнячный анатоксин очищенный концентрированный жидкий (ОКСА)¹ — 5&amp;nbsp;ЕС (антитоксинсвязывающих единиц).&lt;/li&gt;&lt;/ul&gt;
¹&amp;nbsp;—&amp;nbsp;адсорбированный на алюминия гидроксиде (Al³⁺) — 0,45&amp;nbsp;мг.&lt;br&gt;&lt;br&gt;
</t>
    </r>
    <r>
      <rPr>
        <i/>
        <sz val="10"/>
        <color theme="1"/>
        <rFont val="Arial"/>
      </rPr>
      <t>&lt;i&gt;Перечень вспомогательных веществ:&lt;/i&gt;</t>
    </r>
    <r>
      <rPr>
        <sz val="10"/>
        <color theme="1"/>
        <rFont val="Arial"/>
      </rPr>
      <t xml:space="preserve">
&lt;ul&gt;&lt;li&gt;Тиомерсал (консервант).&lt;/li&gt;&lt;/ul&gt;&lt;/p&gt;</t>
    </r>
  </si>
  <si>
    <r>
      <rPr>
        <sz val="10"/>
        <color theme="1"/>
        <rFont val="Arial"/>
      </rPr>
      <t xml:space="preserve">В 1 дозе (0,5 мл) содержится:
</t>
    </r>
    <r>
      <rPr>
        <i/>
        <sz val="10"/>
        <color theme="1"/>
        <rFont val="Arial"/>
      </rPr>
      <t>Препарат с консервантом и без консерванта</t>
    </r>
    <r>
      <rPr>
        <sz val="10"/>
        <color theme="1"/>
        <rFont val="Arial"/>
      </rPr>
      <t xml:space="preserve">
Действующее вещество:
• Анатоксин дифтерийный¹ — 5 Lf.
Вспомогательные вещества, наличие которых надо учитывать в составе лекарственного препарата:
• Содержит формальдегид — не более 50 мкг.
¹ Адсорбированный на алюминия гидроксиде (в пересчете на Al³⁺) — не более 0,55 мг.
Полный перечень вспомогательных веществ приведен в разделе 6.1.
</t>
    </r>
    <r>
      <rPr>
        <b/>
        <sz val="10"/>
        <color theme="1"/>
        <rFont val="Arial"/>
      </rPr>
      <t>6.1. Перечень вспомогательных веществ</t>
    </r>
    <r>
      <rPr>
        <sz val="10"/>
        <color theme="1"/>
        <rFont val="Arial"/>
      </rPr>
      <t xml:space="preserve">
</t>
    </r>
    <r>
      <rPr>
        <i/>
        <sz val="10"/>
        <color theme="1"/>
        <rFont val="Arial"/>
      </rPr>
      <t>Препарат с консервантом:</t>
    </r>
    <r>
      <rPr>
        <sz val="10"/>
        <color theme="1"/>
        <rFont val="Arial"/>
      </rPr>
      <t xml:space="preserve">
• Алюминия гидроксид
• Тиомерсал (консервант)
</t>
    </r>
    <r>
      <rPr>
        <i/>
        <sz val="10"/>
        <color theme="1"/>
        <rFont val="Arial"/>
      </rPr>
      <t>Препарат без консерванта:</t>
    </r>
    <r>
      <rPr>
        <sz val="10"/>
        <color theme="1"/>
        <rFont val="Arial"/>
      </rPr>
      <t xml:space="preserve">
• Алюминия гидроксид</t>
    </r>
  </si>
  <si>
    <r>
      <rPr>
        <sz val="10"/>
        <color theme="1"/>
        <rFont val="Arial"/>
      </rPr>
      <t xml:space="preserve">&lt;p&gt;В 1&amp;nbsp;дозе (0,5&amp;nbsp;мл) содержится:&lt;br&gt;&lt;br&gt;
</t>
    </r>
    <r>
      <rPr>
        <i/>
        <sz val="10"/>
        <color theme="1"/>
        <rFont val="Arial"/>
      </rPr>
      <t>&lt;i&gt;Препарат с консервантом и без консерванта</t>
    </r>
    <r>
      <rPr>
        <sz val="10"/>
        <color theme="1"/>
        <rFont val="Arial"/>
      </rPr>
      <t xml:space="preserve">&lt;/i&gt;&lt;br&gt;&lt;br&gt;
Действующее вещество:
&lt;ul&gt;&lt;li&gt;Анатоксин дифтерийный¹ — 5&amp;nbsp;Lf.&lt;/li&gt;&lt;/ul&gt;
Вспомогательные вещества, наличие которых надо учитывать в составе лекарственного препарата:
&lt;ul&gt;&lt;li&gt;Содержит формальдегид — не более 50&amp;nbsp;мкг.&lt;/li&gt;&lt;/ul&gt;
¹&amp;nbsp;Адсорбированный на алюминия гидроксиде (в пересчете на Al³⁺) — не более 0,55&amp;nbsp;мг.&lt;br&gt;&lt;br&gt;
Полный перечень вспомогательных веществ приведен в разделе&amp;nbsp;6.1.&lt;/p&gt;
</t>
    </r>
    <r>
      <rPr>
        <b/>
        <sz val="10"/>
        <color theme="1"/>
        <rFont val="Arial"/>
      </rPr>
      <t>&lt;p&gt;&lt;b&gt;6.1.&amp;nbsp;Перечень вспомогательных веществ</t>
    </r>
    <r>
      <rPr>
        <sz val="10"/>
        <color theme="1"/>
        <rFont val="Arial"/>
      </rPr>
      <t xml:space="preserve">&lt;/b&gt;&lt;br&gt;&lt;br&gt;
</t>
    </r>
    <r>
      <rPr>
        <i/>
        <sz val="10"/>
        <color theme="1"/>
        <rFont val="Arial"/>
      </rPr>
      <t>&lt;i&gt;Препарат с консервантом:</t>
    </r>
    <r>
      <rPr>
        <sz val="10"/>
        <color theme="1"/>
        <rFont val="Arial"/>
      </rPr>
      <t xml:space="preserve">&lt;/i&gt;
&lt;ul&gt;&lt;li&gt;Алюминия гидроксид&lt;/li&gt;
&lt;li&gt;Тиомерсал (консервант)&lt;/li&gt;&lt;/ul&gt;
</t>
    </r>
    <r>
      <rPr>
        <i/>
        <sz val="10"/>
        <color theme="1"/>
        <rFont val="Arial"/>
      </rPr>
      <t>&lt;i&gt;Препарат без консерванта:</t>
    </r>
    <r>
      <rPr>
        <sz val="10"/>
        <color theme="1"/>
        <rFont val="Arial"/>
      </rPr>
      <t>&lt;/i&gt;
&lt;ul&gt;&lt;li&gt;Алюминия гидроксид&lt;/li&gt;&lt;/ul&gt;&lt;/p&gt;</t>
    </r>
  </si>
  <si>
    <r>
      <rPr>
        <sz val="10"/>
        <color theme="1"/>
        <rFont val="Arial"/>
      </rPr>
      <t xml:space="preserve">В 1 дозе (0,5 мл) содержится:
</t>
    </r>
    <r>
      <rPr>
        <i/>
        <sz val="10"/>
        <color theme="1"/>
        <rFont val="Arial"/>
      </rPr>
      <t>Препарат с консервантом:</t>
    </r>
    <r>
      <rPr>
        <sz val="10"/>
        <color theme="1"/>
        <rFont val="Arial"/>
      </rPr>
      <t xml:space="preserve">
Действующие вещества:
• Анатоксин дифтерийный¹ — 30 Lf;
• Анатоксин столбнячный¹ — 10 ЕС.
Вспомогательные вещества, наличие которых надо учитывать в составе лекарственного препарата: тиомерсал.
Содержит формальдегид — не более 50 мкг.
</t>
    </r>
    <r>
      <rPr>
        <i/>
        <sz val="10"/>
        <color theme="1"/>
        <rFont val="Arial"/>
      </rPr>
      <t>Препарат без консерванта:</t>
    </r>
    <r>
      <rPr>
        <sz val="10"/>
        <color theme="1"/>
        <rFont val="Arial"/>
      </rPr>
      <t xml:space="preserve">
Действующие вещества:
• Анатоксин дифтерийный¹ — 30 Lf;
• Анатоксин столбнячный¹ — 10 ЕС.
Содержит формальдегид — не более 50 мкг.
¹ Адсорбированный на алюминия гидроксиде (в пересчете на Al³⁺) — не более 0,55 мг.
Полный перечень вспомогательных веществ приведен в разделе 6.1.
</t>
    </r>
    <r>
      <rPr>
        <b/>
        <sz val="10"/>
        <color theme="1"/>
        <rFont val="Arial"/>
      </rPr>
      <t>6.1. Перечень вспомогательных веществ</t>
    </r>
    <r>
      <rPr>
        <sz val="10"/>
        <color theme="1"/>
        <rFont val="Arial"/>
      </rPr>
      <t xml:space="preserve">
</t>
    </r>
    <r>
      <rPr>
        <i/>
        <sz val="10"/>
        <color theme="1"/>
        <rFont val="Arial"/>
      </rPr>
      <t>Препарат с консервантом:</t>
    </r>
    <r>
      <rPr>
        <sz val="10"/>
        <color theme="1"/>
        <rFont val="Arial"/>
      </rPr>
      <t xml:space="preserve">
• Алюминия гидроксид
• Тиомерсал (консервант)
</t>
    </r>
    <r>
      <rPr>
        <i/>
        <sz val="10"/>
        <color theme="1"/>
        <rFont val="Arial"/>
      </rPr>
      <t>Препарат без консерванта:</t>
    </r>
    <r>
      <rPr>
        <sz val="10"/>
        <color theme="1"/>
        <rFont val="Arial"/>
      </rPr>
      <t xml:space="preserve">
• Алюминия гидроксид</t>
    </r>
  </si>
  <si>
    <r>
      <rPr>
        <sz val="10"/>
        <color theme="1"/>
        <rFont val="Arial"/>
      </rPr>
      <t xml:space="preserve">&lt;p&gt;В 1&amp;nbsp;дозе (0,5&amp;nbsp;мл) содержится:&lt;br&gt;&lt;br&gt;
&lt;i&gt;Препарат с консервантом:&lt;/i&gt;&lt;br&gt;&lt;br&gt;
Действующие вещества:
&lt;ul&gt;&lt;li&gt;Анатоксин дифтерийный¹ — 30&amp;nbsp;Lf;&lt;/li&gt;
&lt;li&gt;Анатоксин столбнячный¹ — 10&amp;nbsp;ЕС.&lt;/li&gt;&lt;/ul&gt;
Вспомогательные вещества, наличие которых надо учитывать в составе лекарственного препарата: тиомерсал.&lt;br&gt;
Содержит формальдегид — не более 50&amp;nbsp;мкг.&lt;br&gt;&lt;br&gt;
&lt;i&gt;Препарат без консерванта:&lt;/i&gt;&lt;br&gt;&lt;br&gt;
Действующие вещества:
&lt;ul&gt;&lt;li&gt;Анатоксин дифтерийный¹ — 30&amp;nbsp;Lf;&lt;/li&gt;
&lt;li&gt;Анатоксин столбнячный¹ — 10&amp;nbsp;ЕС.&lt;/li&gt;&lt;/ul&gt;
Содержит формальдегид — не более 50&amp;nbsp;мкг.&lt;br&gt;&lt;br&gt;
¹&amp;nbsp;Адсорбированный на алюминия гидроксиде (в пересчете на Al³⁺) — не более 0,55&amp;nbsp;мг.&lt;br&gt;&lt;br&gt;
Полный перечень вспомогательных веществ приведен в разделе&amp;nbsp;6.1.&lt;/p&gt;
</t>
    </r>
    <r>
      <rPr>
        <b/>
        <sz val="10"/>
        <color theme="1"/>
        <rFont val="Arial"/>
      </rPr>
      <t>&lt;p&gt;&lt;b&gt;6.1.&amp;nbsp;Перечень вспомогательных веществ</t>
    </r>
    <r>
      <rPr>
        <sz val="10"/>
        <color theme="1"/>
        <rFont val="Arial"/>
      </rPr>
      <t>&lt;/b&gt;&lt;br&gt;&lt;br&gt;
&lt;i&gt;Препарат с консервантом:&lt;/i&gt;
&lt;ul&gt;&lt;li&gt;Алюминия гидроксид&lt;/li&gt;
&lt;li&gt;Тиомерсал (консервант)&lt;/li&gt;&lt;/ul&gt;
&lt;i&gt;Препарат без консерванта:&lt;/i&gt;
&lt;ul&gt;&lt;li&gt;Алюминия гидроксид&lt;/li&gt;&lt;/ul&gt;&lt;/p&gt;</t>
    </r>
  </si>
  <si>
    <r>
      <rPr>
        <sz val="10"/>
        <color theme="1"/>
        <rFont val="Arial"/>
      </rPr>
      <t xml:space="preserve">В 1 дозе (0,5 мл) содержится:
</t>
    </r>
    <r>
      <rPr>
        <i/>
        <sz val="10"/>
        <color theme="1"/>
        <rFont val="Arial"/>
      </rPr>
      <t>Препарат с консервантом:</t>
    </r>
    <r>
      <rPr>
        <sz val="10"/>
        <color theme="1"/>
        <rFont val="Arial"/>
      </rPr>
      <t xml:space="preserve">
Действующие вещества:
• Анатоксин дифтерийный¹ — 5 Lf;
• Анатоксин столбнячный¹ — 5 ЕС.
Вспомогательные вещества:
• Формальдегид — не более 50 мкг.
¹ Адсорбированный на алюминия гидроксиде (в пересчете на Al³⁺) — не более 0,55 мг.
</t>
    </r>
    <r>
      <rPr>
        <i/>
        <sz val="10"/>
        <color theme="1"/>
        <rFont val="Arial"/>
      </rPr>
      <t>Препарат без консерванта:</t>
    </r>
    <r>
      <rPr>
        <sz val="10"/>
        <color theme="1"/>
        <rFont val="Arial"/>
      </rPr>
      <t xml:space="preserve">
Действующие вещества:
• Анатоксин дифтерийный¹ — 5 Lf;
• Анатоксин столбнячный¹ — 5 ЕС.
Вспомогательные вещества:
• Формальдегид — не более 50 мкг.
¹ Адсорбированный на алюминия гидроксиде (в пересчете на Al³⁺) — не более 0,55 мг.
Полный перечень вспомогательных веществ приведен в разделе 6.1.
</t>
    </r>
    <r>
      <rPr>
        <b/>
        <sz val="10"/>
        <color theme="1"/>
        <rFont val="Arial"/>
      </rPr>
      <t>6.1. Перечень вспомогательных веществ</t>
    </r>
    <r>
      <rPr>
        <sz val="10"/>
        <color theme="1"/>
        <rFont val="Arial"/>
      </rPr>
      <t xml:space="preserve">
</t>
    </r>
    <r>
      <rPr>
        <i/>
        <sz val="10"/>
        <color theme="1"/>
        <rFont val="Arial"/>
      </rPr>
      <t>Препарат с консервантом:</t>
    </r>
    <r>
      <rPr>
        <sz val="10"/>
        <color theme="1"/>
        <rFont val="Arial"/>
      </rPr>
      <t xml:space="preserve">
• Алюминия гидроксид (в пересчете на алюминий Аl³⁺)
• Тиомерсал (консервант)
</t>
    </r>
    <r>
      <rPr>
        <i/>
        <sz val="10"/>
        <color theme="1"/>
        <rFont val="Arial"/>
      </rPr>
      <t>Препарат без консерванта:</t>
    </r>
    <r>
      <rPr>
        <sz val="10"/>
        <color theme="1"/>
        <rFont val="Arial"/>
      </rPr>
      <t xml:space="preserve">
• Алюминия гидроксид (в пересчете на алюминий Аl³⁺)</t>
    </r>
  </si>
  <si>
    <r>
      <rPr>
        <sz val="10"/>
        <color theme="1"/>
        <rFont val="Arial"/>
      </rPr>
      <t xml:space="preserve">&lt;p&gt;В 1&amp;nbsp;дозе (0,5&amp;nbsp;мл) содержится:&lt;br&gt;&lt;br&gt;
</t>
    </r>
    <r>
      <rPr>
        <i/>
        <sz val="10"/>
        <color theme="1"/>
        <rFont val="Arial"/>
      </rPr>
      <t>&lt;i&gt;Препарат с консервантом:</t>
    </r>
    <r>
      <rPr>
        <sz val="10"/>
        <color theme="1"/>
        <rFont val="Arial"/>
      </rPr>
      <t xml:space="preserve">&lt;/i&gt;&lt;br&gt;&lt;br&gt;
Действующие вещества:
&lt;ul&gt;&lt;li&gt;Анатоксин дифтерийный¹ — 5&amp;nbsp;Lf;&lt;/li&gt;
&lt;li&gt;Анатоксин столбнячный¹ — 5&amp;nbsp;ЕС.&lt;/li&gt;&lt;/ul&gt;
Вспомогательные вещества:
&lt;ul&gt;&lt;li&gt;Формальдегид — не более 50&amp;nbsp;мкг.&lt;/li&gt;&lt;/ul&gt;
¹&amp;nbsp;Адсорбированный на алюминия гидроксиде (в пересчете на Al³⁺) — не более 0,55&amp;nbsp;мг.&lt;br&gt;&lt;br&gt;
</t>
    </r>
    <r>
      <rPr>
        <i/>
        <sz val="10"/>
        <color theme="1"/>
        <rFont val="Arial"/>
      </rPr>
      <t>&lt;i&gt;Препарат без консерванта:</t>
    </r>
    <r>
      <rPr>
        <sz val="10"/>
        <color theme="1"/>
        <rFont val="Arial"/>
      </rPr>
      <t xml:space="preserve">&lt;/i&gt;&lt;br&gt;&lt;br&gt;
Действующие вещества:
&lt;ul&gt;&lt;li&gt;Анатоксин дифтерийный¹ — 5&amp;nbsp;Lf;&lt;/li&gt;
&lt;li&gt;Анатоксин столбнячный¹ — 5&amp;nbsp;ЕС.&lt;/li&gt;&lt;/ul&gt;
Вспомогательные вещества:
&lt;ul&gt;&lt;li&gt;Формальдегид — не более 50&amp;nbsp;мкг.&lt;/li&gt;&lt;/ul&gt;
¹&amp;nbsp;Адсорбированный на алюминия гидроксиде (в пересчете на Al³⁺) — не более 0,55&amp;nbsp;мг.&lt;br&gt;&lt;br&gt;
Полный перечень вспомогательных веществ приведен в разделе&amp;nbsp;6.1.&lt;/p&gt;
</t>
    </r>
    <r>
      <rPr>
        <b/>
        <sz val="10"/>
        <color theme="1"/>
        <rFont val="Arial"/>
      </rPr>
      <t>&lt;p&gt;&lt;b&gt;6.1.&amp;nbsp;Перечень вспомогательных веществ</t>
    </r>
    <r>
      <rPr>
        <sz val="10"/>
        <color theme="1"/>
        <rFont val="Arial"/>
      </rPr>
      <t xml:space="preserve">&lt;/b&gt;&lt;br&gt;&lt;br&gt;
</t>
    </r>
    <r>
      <rPr>
        <i/>
        <sz val="10"/>
        <color theme="1"/>
        <rFont val="Arial"/>
      </rPr>
      <t>&lt;i&gt;Препарат с консервантом:</t>
    </r>
    <r>
      <rPr>
        <sz val="10"/>
        <color theme="1"/>
        <rFont val="Arial"/>
      </rPr>
      <t xml:space="preserve">&lt;/i&gt;
&lt;ul&gt;&lt;li&gt;Алюминия гидроксид (в пересчете на алюминий Аl³⁺)&lt;/li&gt;
&lt;li&gt;Тиомерсал (консервант)&lt;/li&gt;&lt;/ul&gt;
</t>
    </r>
    <r>
      <rPr>
        <i/>
        <sz val="10"/>
        <color theme="1"/>
        <rFont val="Arial"/>
      </rPr>
      <t>&lt;i&gt;Препарат без консерванта:</t>
    </r>
    <r>
      <rPr>
        <sz val="10"/>
        <color theme="1"/>
        <rFont val="Arial"/>
      </rPr>
      <t>&lt;/i&gt;
&lt;ul&gt;&lt;li&gt;Алюминия гидроксид (в пересчете на алюминий Аl³⁺)&lt;/li&gt;&lt;/ul&gt;&lt;/p&gt;</t>
    </r>
  </si>
  <si>
    <t>В одной дозе препарата (0,5 мл) содержится:
Активные вещества: 5 флокулирующих единиц (Lf) дифтерийного и 5 единиц связывания (EC) столбнячного анатоксинов.
Вспомогательные вещества: от 0,25 до 0,55 мг алюминия гидроксида в пересчете на алюминий (сорбент), от 42,5 до 57,5 мкг тиомерсала (консервант).</t>
  </si>
  <si>
    <t>&lt;p&gt;В одной дозе препарата (0,5&amp;nbsp;мл) содержится:&lt;/p&gt;
&lt;p&gt;Активные вещества: 5&amp;nbsp;флокулирующих единиц (Lf) дифтерийного и 5&amp;nbsp;единиц связывания (EC) столбнячного анатоксинов.&lt;/p&gt;
&lt;p&gt;Вспомогательные вещества: от 0,25 до 0,55&amp;nbsp;мг алюминия гидроксида в пересчете на алюминий (сорбент), от 42,5 до 57,5&amp;nbsp;мкг тиомерсала (консервант).&lt;/p&gt;</t>
  </si>
  <si>
    <t>1 доза вакцины (0,5 мл) содержит действующие вещества:
• Столбнячный анатоксин, адсорбированный¹ — 5 Lf (не менее 20 ME).
• Дифтерийный анатоксин, адсорбированный¹ — 2 Lf (не менее 2 ME).
• Бесклеточная коклюшная вакцина, содержащая:
коклюшный анатоксин (КА), адсорбированный¹ — 2,5 мкг.
филаментозный гемагглютинин (ФГА), адсорбированный¹ — 5 мкг.
агглютиногены фимбрий типов 2 и 3 (ФИМ), адсорбированные¹ — 5 мкг.
пертактин (ПРН), адсорбированный¹ — 3 мкг.
¹ — адсорбирована на алюминия фосфате (в пересчете на алюминий) — 1,5 мг (0,33 мг).
Остаточные продукты производственного процесса, присутствующие в 1 дозе вакцины (0,5 мл) в следовых количествах (указано их расчетное количество): формальдегид (≤ 5 мкг) и глутаральдегид (&lt; 50 нг).
Перечень вспомогательных веществ:
• Алюминия фосфат.
• 2-феноксиэтанол (не консервант).
• Вода для инъекций.</t>
  </si>
  <si>
    <t>&lt;p&gt;1&amp;nbsp;доза вакцины (0,5&amp;nbsp;мл) содержит действующие вещества:
&lt;ul&gt;&lt;li&gt;Столбнячный анатоксин, адсорбированный¹ — 5&amp;nbsp;Lf (не менее 20&amp;nbsp;ME).&lt;/li&gt;
&lt;li&gt;Дифтерийный анатоксин, адсорбированный¹ — 2&amp;nbsp;Lf (не менее 2&amp;nbsp;ME).&lt;/li&gt;
&lt;li&gt;Бесклеточная коклюшная вакцина, содержащая:&lt;br&gt;
коклюшный анатоксин (КА), адсорбированный¹ — 2,5&amp;nbsp;мкг.&lt;br&gt;
филаментозный гемагглютинин (ФГА), адсорбированный¹ — 5&amp;nbsp;мкг.&lt;br&gt;
агглютиногены фимбрий типов 2 и 3 (ФИМ), адсорбированные¹ — 5&amp;nbsp;мкг.&lt;br&gt;
пертактин (ПРН), адсорбированный¹ — 3&amp;nbsp;мкг.&lt;/li&gt;&lt;/ul&gt;
¹ — адсорбирована на алюминия фосфате (в пересчете на алюминий) — 1,5&amp;nbsp;мг (0,33&amp;nbsp;мг).&lt;/p&gt;
&lt;p&gt;Остаточные продукты производственного процесса, присутствующие в 1&amp;nbsp;дозе вакцины (0,5&amp;nbsp;мл) в следовых количествах (указано их расчетное количество): формальдегид (≤&amp;nbsp;5&amp;nbsp;мкг) и глутаральдегид (&lt;&amp;nbsp;50&amp;nbsp;нг).&lt;/p&gt;
&lt;p&gt;Перечень вспомогательных веществ:
&lt;ul&gt;&lt;li&gt;Алюминия фосфат.
&lt;li&gt;2-феноксиэтанол (не консервант).&lt;/li&gt;
&lt;li&gt;Вода для инъекций.&lt;/li&gt;&lt;/ul&gt;&lt;/p&gt;</t>
  </si>
  <si>
    <r>
      <rPr>
        <sz val="10"/>
        <color theme="1"/>
        <rFont val="Arial"/>
      </rPr>
      <t xml:space="preserve">1 прививочная доза для взрослых (1 мл) содержит:
</t>
    </r>
    <r>
      <rPr>
        <i/>
        <sz val="10"/>
        <color theme="1"/>
        <rFont val="Arial"/>
      </rPr>
      <t>Действующее вещество:</t>
    </r>
    <r>
      <rPr>
        <sz val="10"/>
        <color theme="1"/>
        <rFont val="Arial"/>
      </rPr>
      <t xml:space="preserve">
Инактивированный антиген вируса гепатита А (АГ ВГА) — не менее 320 ИФА ЕД.
</t>
    </r>
    <r>
      <rPr>
        <i/>
        <sz val="10"/>
        <color theme="1"/>
        <rFont val="Arial"/>
      </rPr>
      <t>Вспомогательные вещества:</t>
    </r>
    <r>
      <rPr>
        <sz val="10"/>
        <color theme="1"/>
        <rFont val="Arial"/>
      </rPr>
      <t xml:space="preserve">
Алюминия гидроксид, формальдегид, 0,01 М фосфатно-солевой буферный раствор (натрия гидрофосфата додекагидрат, натрия хлорид, вода для инъекций).
Вакцина не содержит консервантов и антибиотиков.
1 прививочная доза для детей (0,5 мл) содержит:
</t>
    </r>
    <r>
      <rPr>
        <i/>
        <sz val="10"/>
        <color theme="1"/>
        <rFont val="Arial"/>
      </rPr>
      <t>Действующее вещество:</t>
    </r>
    <r>
      <rPr>
        <sz val="10"/>
        <color theme="1"/>
        <rFont val="Arial"/>
      </rPr>
      <t xml:space="preserve">
Инактивированный антиген вируса гепатита А (АГ ВГА) — не менее 160 ИФА ЕД.
</t>
    </r>
    <r>
      <rPr>
        <i/>
        <sz val="10"/>
        <color theme="1"/>
        <rFont val="Arial"/>
      </rPr>
      <t>Вспомогательные вещества:</t>
    </r>
    <r>
      <rPr>
        <sz val="10"/>
        <color theme="1"/>
        <rFont val="Arial"/>
      </rPr>
      <t xml:space="preserve">
Алюминия гидроксид, формальдегид, 0,01 М фосфатно-солевой буферный раствор (натрия гидрофосфата додекагидрат, натрия хлорид, вода для инъекций). 
Вакцина не содержит консервантов и антибиотиков.</t>
    </r>
  </si>
  <si>
    <r>
      <rPr>
        <sz val="10"/>
        <color theme="1"/>
        <rFont val="Arial"/>
      </rPr>
      <t xml:space="preserve">&lt;p&gt;1&amp;nbsp;прививочная доза для взрослых (1&amp;nbsp;мл) содержит:&lt;/p&gt;
</t>
    </r>
    <r>
      <rPr>
        <i/>
        <sz val="10"/>
        <color theme="1"/>
        <rFont val="Arial"/>
      </rPr>
      <t>&lt;p&gt;&lt;i&gt;Действующее вещество:</t>
    </r>
    <r>
      <rPr>
        <sz val="10"/>
        <color theme="1"/>
        <rFont val="Arial"/>
      </rPr>
      <t xml:space="preserve">&lt;/i&gt;
&lt;ul&gt;Инактивированный антиген вируса гепатита А (АГ ВГА) — не менее 320&amp;nbsp;ИФА ЕД.&lt;/ul&gt;
</t>
    </r>
    <r>
      <rPr>
        <i/>
        <sz val="10"/>
        <color theme="1"/>
        <rFont val="Arial"/>
      </rPr>
      <t>&lt;i&gt;Вспомогательные вещества:</t>
    </r>
    <r>
      <rPr>
        <sz val="10"/>
        <color theme="1"/>
        <rFont val="Arial"/>
      </rPr>
      <t xml:space="preserve">&lt;/i&gt;
&lt;ul&gt;Алюминия гидроксид, формальдегид, 0,01&amp;nbsp;М фосфатно-солевой буферный раствор (натрия гидрофосфата додекагидрат, натрия хлорид, вода для инъекций).&lt;/ul&gt;&lt;/p&gt;
&lt;p&gt;Вакцина не содержит консервантов и антибиотиков.&lt;/p&gt;
&lt;p&gt;1&amp;nbsp;прививочная доза для детей (0,5&amp;nbsp;мл) содержит:&lt;/p&gt;
</t>
    </r>
    <r>
      <rPr>
        <i/>
        <sz val="10"/>
        <color theme="1"/>
        <rFont val="Arial"/>
      </rPr>
      <t>&lt;p&gt;&lt;i&gt;Действующее вещество:</t>
    </r>
    <r>
      <rPr>
        <sz val="10"/>
        <color theme="1"/>
        <rFont val="Arial"/>
      </rPr>
      <t xml:space="preserve">&lt;/i&gt;
&lt;ul&gt;Инактивированный антиген вируса гепатита А (АГ ВГА) — не менее 160&amp;nbsp;ИФА ЕД.&lt;/ul&gt;
</t>
    </r>
    <r>
      <rPr>
        <i/>
        <sz val="10"/>
        <color theme="1"/>
        <rFont val="Arial"/>
      </rPr>
      <t>&lt;i&gt;Вспомогательные вещества:</t>
    </r>
    <r>
      <rPr>
        <sz val="10"/>
        <color theme="1"/>
        <rFont val="Arial"/>
      </rPr>
      <t>&lt;/i&gt;
&lt;ul&gt;Алюминия гидроксид, формальдегид, 0,01&amp;nbsp;М фосфатно-солевой буферный раствор (натрия гидрофосфата додекагидрат, натрия хлорид, вода для инъекций).&lt;/ul&gt;&lt;/p&gt;
&lt;p&gt;Вакцина не содержит консервантов и антибиотиков.&lt;/p&gt;</t>
    </r>
  </si>
  <si>
    <r>
      <rPr>
        <sz val="10"/>
        <color theme="1"/>
        <rFont val="Arial"/>
      </rPr>
      <t xml:space="preserve">1 доза для взрослых (1 мл) содержит:
</t>
    </r>
    <r>
      <rPr>
        <i/>
        <sz val="10"/>
        <color theme="1"/>
        <rFont val="Arial"/>
      </rPr>
      <t>Действующее вещество:</t>
    </r>
    <r>
      <rPr>
        <sz val="10"/>
        <color theme="1"/>
        <rFont val="Arial"/>
      </rPr>
      <t xml:space="preserve">
• Инактивированный антиген вируса гепатита А (АГ ВГА) — не менее 320 ИФА ЕД
(получен с использованием клеток почки зеленой мартышки 4647)
</t>
    </r>
    <r>
      <rPr>
        <i/>
        <sz val="10"/>
        <color theme="1"/>
        <rFont val="Arial"/>
      </rPr>
      <t>Адсорбент</t>
    </r>
    <r>
      <rPr>
        <sz val="10"/>
        <color theme="1"/>
        <rFont val="Arial"/>
      </rPr>
      <t xml:space="preserve">
• Алюминия гидроксид (в пересчете на Al³⁺) — 0,35-0,65 мг
Вакцина не содержит консервантов и антибиотиков.
</t>
    </r>
    <r>
      <rPr>
        <i/>
        <sz val="10"/>
        <color theme="1"/>
        <rFont val="Arial"/>
      </rPr>
      <t>Перечень вспомогательных веществ:</t>
    </r>
    <r>
      <rPr>
        <sz val="10"/>
        <color theme="1"/>
        <rFont val="Arial"/>
      </rPr>
      <t xml:space="preserve">
• Алюминия гидроксид;
• Формальдегид;
• 0,01&amp;nbsp;М фосфатно-солевой буферный раствор, содержащий:
- натрия гидрофосфата додекагидрат;
- натрия хлорид;
- воду для инъекций.</t>
    </r>
  </si>
  <si>
    <r>
      <rPr>
        <sz val="10"/>
        <color theme="1"/>
        <rFont val="Arial"/>
      </rPr>
      <t xml:space="preserve">&lt;p&gt;1&amp;nbsp;доза для взрослых (1&amp;nbsp;мл) содержит:&lt;br&gt;&lt;br&gt;
</t>
    </r>
    <r>
      <rPr>
        <i/>
        <sz val="10"/>
        <color theme="1"/>
        <rFont val="Arial"/>
      </rPr>
      <t>&lt;i&gt;Действующее вещество:</t>
    </r>
    <r>
      <rPr>
        <sz val="10"/>
        <color theme="1"/>
        <rFont val="Arial"/>
      </rPr>
      <t xml:space="preserve">&lt;/i&gt;
&lt;ul&gt;&lt;li&gt;Инактивированный антиген вируса гепатита А (АГ ВГА) — не менее 320&amp;nbsp;ИФА ЕД&lt;br&gt;
(получен с использованием клеток почки зеленой мартышки&amp;nbsp;4647)&lt;/li&gt;&lt;/ul&gt;
</t>
    </r>
    <r>
      <rPr>
        <i/>
        <sz val="10"/>
        <color theme="1"/>
        <rFont val="Arial"/>
      </rPr>
      <t>&lt;i&gt;Адсорбент</t>
    </r>
    <r>
      <rPr>
        <sz val="10"/>
        <color theme="1"/>
        <rFont val="Arial"/>
      </rPr>
      <t xml:space="preserve">&lt;/i&gt;
&lt;ul&gt;&lt;li&gt;Алюминия гидроксид (в пересчете на Al³⁺) — 0,35-0,65&amp;nbsp;мг&lt;/li&gt;&lt;/ul&gt;
Вакцина не содержит консервантов и антибиотиков.&lt;br&gt;&lt;br&gt;
</t>
    </r>
    <r>
      <rPr>
        <i/>
        <sz val="10"/>
        <color theme="1"/>
        <rFont val="Arial"/>
      </rPr>
      <t>&lt;i&gt;Перечень вспомогательных веществ:&lt;/i&gt;</t>
    </r>
    <r>
      <rPr>
        <sz val="10"/>
        <color theme="1"/>
        <rFont val="Arial"/>
      </rPr>
      <t xml:space="preserve">
&lt;ul&gt;&lt;li&gt;Алюминия гидроксид;&lt;/li&gt;
&lt;li&gt;Формальдегид;&lt;/li&gt;
&lt;li&gt;0,01&amp;nbsp;М фосфатно-солевой буферный раствор, содержащий:
&lt;ul&gt;&lt;li&gt;натрия гидрофосфата додекагидрат;&lt;/li&gt;
&lt;li&gt;натрия хлорид;&lt;/li&gt;
&lt;li&gt;воду для инъекций.&lt;/li&gt;&lt;/ul&gt;&lt;/p&gt;</t>
    </r>
  </si>
  <si>
    <r>
      <rPr>
        <sz val="10"/>
        <color theme="1"/>
        <rFont val="Arial"/>
      </rPr>
      <t xml:space="preserve">Одна прививочная доза содержит:
Действующее вещество:
• Антиген вируса гепатита А — 720 ИФА единиц.
Адъювант:
• Алюминия гидроксид — 0,25 мг.
Вакцина содержит следовые количества неомицина сульфата.
Вспомогательные вещества, наличие которых надо учитывать в составе лекарственного препарата: фенилаланин, натрия гидрофосфат, натрия хлорид, калия дигидрофосфат, калия хлорид.
Полный перечень вспомогательных веществ приведен в разделе 6.1.
</t>
    </r>
    <r>
      <rPr>
        <b/>
        <sz val="10"/>
        <color theme="1"/>
        <rFont val="Arial"/>
      </rPr>
      <t>6.1. Перечень вспомогательных веществ</t>
    </r>
    <r>
      <rPr>
        <sz val="10"/>
        <color theme="1"/>
        <rFont val="Arial"/>
      </rPr>
      <t xml:space="preserve">
• Алюминия гидроксид — 0,25 мг;
• Полисорбат-20 — 0,025 мг;
• Натрия гидрофосфат — Не более 0,575 мг;
• Калия дигидрофосфат — Не более 0,10 мг;
• Натрия хлорид — Не более 4,50 мг;
• Калия хлорид — Не более 0,115 мг;
• Аминокислотный компонент¹ — 1,50 мг;
• Вода для инъекций — до 0,5 мл.
¹ Аминокислотный компонент: L-аланин, L-аргинин, глицин, L-гистидин, L-изолейцин, L-лейцин, L-лизин, L-метионин, L-фенилаланин, L-пролин, L-серин, L-треонин, L-триптофан, L-тирозин, L-валин.</t>
    </r>
  </si>
  <si>
    <r>
      <rPr>
        <sz val="10"/>
        <color theme="1"/>
        <rFont val="Arial"/>
      </rPr>
      <t xml:space="preserve">&lt;p&gt;Одна прививочная доза содержит:&lt;br&gt;&lt;br&gt;
&lt;i&gt;Действующее вещество:&lt;/i&gt;
&lt;ul&gt;&lt;li&gt;Антиген вируса гепатита А — 720&amp;nbsp;ИФА единиц.&lt;/li&gt;&lt;/ul&gt;
&lt;i&gt;Адъювант:&lt;/i&gt;
&lt;ul&gt;&lt;li&gt;Алюминия гидроксид — 0,25&amp;nbsp;мг.&lt;/li&gt;&lt;/ul&gt;
Вакцина содержит следовые количества неомицина сульфата.&lt;br&gt;
Вспомогательные вещества, наличие которых надо учитывать в составе лекарственного препарата: фенилаланин, натрия гидрофосфат, натрия хлорид, калия дигидрофосфат, калия хлорид.&lt;br&gt;
Полный перечень вспомогательных веществ приведен в разделе&amp;nbsp;6.1.&lt;/p&gt;
</t>
    </r>
    <r>
      <rPr>
        <b/>
        <sz val="10"/>
        <color theme="1"/>
        <rFont val="Arial"/>
      </rPr>
      <t>&lt;p&gt;&lt;b&gt;6.1. Перечень вспомогательных веществ</t>
    </r>
    <r>
      <rPr>
        <sz val="10"/>
        <color theme="1"/>
        <rFont val="Arial"/>
      </rPr>
      <t>&lt;/b&gt;
&lt;ul&gt;&lt;li&gt;Алюминия гидроксид — 0,25&amp;nbsp;мг;&lt;/li&gt;
&lt;li&gt;Полисорбат-20 — 0,025&amp;nbsp;мг;&lt;/li&gt;
&lt;li&gt;Натрия гидрофосфат — Не более 0,575&amp;nbsp;мг;&lt;/li&gt;
&lt;li&gt;Калия дигидрофосфат — Не более 0,10&amp;nbsp;мг;&lt;/li&gt;
&lt;li&gt;Натрия хлорид — Не более 4,50&amp;nbsp;мг;&lt;/li&gt;
&lt;li&gt;Калия хлорид — Не более 0,115&amp;nbsp;мг;&lt;/li&gt;
&lt;li&gt;Аминокислотный компонент¹ — 1,50&amp;nbsp;мг;&lt;/li&gt;
&lt;li&gt;Вода для инъекций — до 0,5&amp;nbsp;мл.&lt;/li&gt;&lt;/ul&gt;
¹&amp;nbsp;Аминокислотный компонент: L-аланин, L-аргинин, глицин, L-гистидин, L-изолейцин, L-лейцин, L-лизин, L-метионин, L-фенилаланин, L-пролин, L-серин, L-треонин, L-триптофан, L-тирозин, L-валин.&lt;/p&gt;</t>
    </r>
  </si>
  <si>
    <r>
      <rPr>
        <sz val="10"/>
        <color theme="1"/>
        <rFont val="Arial"/>
      </rPr>
      <t xml:space="preserve">Одна прививочная доза содержит:
Действующее вещество:
• Антиген вируса гепатита А — 1440 ИФА единиц.
Адъювант:
• Алюминия гидроксид — 0,50 мг.
Вакцина содержит следовые количества неомицина сульфата.
Вспомогательные вещества, наличие которых надо учитывать в составе лекарственного препарата: фенилаланин, натрия гидрофосфат, натрия хлорид, калия дигидрофосфат, калия хлорид.
Полный перечень вспомогательных веществ приведен в разделе 6.1.
</t>
    </r>
    <r>
      <rPr>
        <b/>
        <sz val="10"/>
        <color theme="1"/>
        <rFont val="Arial"/>
      </rPr>
      <t>6.1. Перечень вспомогательных веществ</t>
    </r>
    <r>
      <rPr>
        <sz val="10"/>
        <color theme="1"/>
        <rFont val="Arial"/>
      </rPr>
      <t xml:space="preserve">
• Алюминия гидроксид — 0,50 мг;
• Полисорбат-20 — 0,050 мг;
• Натрия гидрофосфат — Не более 1,150 мг;
• Калия дигидрофосфат — Не более 0,20 мг;
• Натрия хлорид — Не более 9,00 мг;
• Калия хлорид — Не более 0,230 мг;
• Аминокислотный компонент¹ — 3,00 мг;
• Вода для инъекций — до 1,0 мл.
¹ Аминокислотный компонент: L-аланин, L-аргинин, глицин, L-гистидин, L-изолейцин, L-лейцин, L-лизин, L-метионин, L-фенилаланин, L-пролин, L-серин, L-треонин, L-триптофан, L-тирозин, L-валин.</t>
    </r>
  </si>
  <si>
    <r>
      <rPr>
        <sz val="10"/>
        <color theme="1"/>
        <rFont val="Arial"/>
      </rPr>
      <t xml:space="preserve">&lt;p&gt;Одна прививочная доза содержит:&lt;br&gt;&lt;br&gt;
&lt;i&gt;Действующее вещество:&lt;/i&gt;
&lt;ul&gt;&lt;li&gt;Антиген вируса гепатита А — 1440&amp;nbsp;ИФА единиц.&lt;/li&gt;&lt;/ul&gt;
&lt;i&gt;Адъювант:&lt;/i&gt;
&lt;ul&gt;&lt;li&gt;Алюминия гидроксид — 0,50&amp;nbsp;мг.&lt;/li&gt;&lt;/ul&gt;
Вакцина содержит следовые количества неомицина сульфата.&lt;br&gt;
Вспомогательные вещества, наличие которых надо учитывать в составе лекарственного препарата: фенилаланин, натрия гидрофосфат, натрия хлорид, калия дигидрофосфат, калия хлорид.&lt;br&gt;
Полный перечень вспомогательных веществ приведен в разделе&amp;nbsp;6.1.&lt;/p&gt;
</t>
    </r>
    <r>
      <rPr>
        <b/>
        <sz val="10"/>
        <color theme="1"/>
        <rFont val="Arial"/>
      </rPr>
      <t>&lt;p&gt;&lt;b&gt;6.1. Перечень вспомогательных веществ</t>
    </r>
    <r>
      <rPr>
        <sz val="10"/>
        <color theme="1"/>
        <rFont val="Arial"/>
      </rPr>
      <t>&lt;/b&gt;
&lt;ul&gt;&lt;li&gt;Алюминия гидроксид — 0,50&amp;nbsp;мг;&lt;/li&gt;
&lt;li&gt;Полисорбат-20 — 0,050&amp;nbsp;мг;&lt;/li&gt;
&lt;li&gt;Натрия гидрофосфат — Не более 1,150&amp;nbsp;мг;&lt;/li&gt;
&lt;li&gt;Калия дигидрофосфат — Не более 0,20&amp;nbsp;мг;&lt;/li&gt;
&lt;li&gt;Натрия хлорид — Не более 9,00&amp;nbsp;мг;&lt;/li&gt;
&lt;li&gt;Калия хлорид — Не более 0,230&amp;nbsp;мг;&lt;/li&gt;
&lt;li&gt;Аминокислотный компонент¹ — 3,00&amp;nbsp;мг;&lt;/li&gt;
&lt;li&gt;Вода для инъекций — до 1,0&amp;nbsp;мл.&lt;/li&gt;&lt;/ul&gt;
¹&amp;nbsp;Аминокислотный компонент: L-аланин, L-аргинин, глицин, L-гистидин, L-изолейцин, L-лейцин, L-лизин, L-метионин, L-фенилаланин, L-пролин, L-серин, L-треонин, L-триптофан, L-тирозин, L-валин.&lt;/p&gt;</t>
    </r>
  </si>
  <si>
    <r>
      <rPr>
        <sz val="10"/>
        <color theme="1"/>
        <rFont val="Arial"/>
      </rPr>
      <t xml:space="preserve">На 1 дозу (0,5 мл):
</t>
    </r>
    <r>
      <rPr>
        <i/>
        <sz val="10"/>
        <color theme="1"/>
        <rFont val="Arial"/>
      </rPr>
      <t>Активный компонент:</t>
    </r>
    <r>
      <rPr>
        <sz val="10"/>
        <color theme="1"/>
        <rFont val="Arial"/>
      </rPr>
      <t xml:space="preserve">
• Вирус гепатита А¹·² инактивированный — 80 единиц антигена³.
¹ - штамм GBM, культивированный в культуре диплоидных клеток человека MRC-5;
² - инактивированный формальдегидом и адсорбированный на алюминия гидроксиде;
³ - содержание антигена выражено с использованием внутреннего референс-стандарта компании-производителя.
</t>
    </r>
    <r>
      <rPr>
        <i/>
        <sz val="10"/>
        <color theme="1"/>
        <rFont val="Arial"/>
      </rPr>
      <t>Вспомогательные вещества:</t>
    </r>
    <r>
      <rPr>
        <sz val="10"/>
        <color theme="1"/>
        <rFont val="Arial"/>
      </rPr>
      <t xml:space="preserve">
• Алюминия гидроксид (в пересчете на алюминий) — 0,15 мг, 2-феноксиэтанол — 2,5 мкл, формальдегид — 12,5 мкг, среда Хэнкс 199⁴ — до 0,5 мл, кислота хлористоводородная или натрия гидроксид для регулировки значения pH.
• Неомицин (производственная примесь) — не более 5 мкг/мл.
⁴ - среда Хэнкс 199 (без фенолового красного) является смесью аминокислот (D,L-аланин, L-аргинина гидрохлорид, D,L-аспарагиновая кислота, L-цистеина гидрохлорида моногидрат, L-цистина дигидрохлорид, D,L-глутаминовой кислоты моногидрат, L-глутамин, глицин, L-гистидина гидрохлорида моногидрат, D,L-изолейцин, L-гидроксипролин, D,L-лейцин, L-лизина гидрохлорид, D,L-метионин, D,L-фенилаланин, L-пролин, D,L-серин, D,L-треонин, D,L-триптофан, L-тирозин динатрия, D,L-валин), минеральных солей(кальция хлорид безводный, железа нитрата нонагидрат, калия хлорид, магния сульфата гептагидрат, натрия хлорид, калия дигидрофосфат, натрия гидрофосфат безводный), витаминов (аскорбиновая кислота, D-биотин, эргокальциферол, кальция пантотенат, холина хлорид, фолиевая кислота, I-инозитол, менадион, никотиновая кислота, никотинамид, парааминобензойная кислота, пиридоксаля гидрохлорид, пиридоксина гидрохлорид, рибофлавин, тиамина гидрохлорид, ретинола ацетат, альфа-токоферола фосфат натрия) и других компонентов (аденина сульфат, трифосаденин динатрия, аденозина фосфат, холестерол, дезоксирибоза, декстроза, глутатион восстановленный, гуанина гидрохлорид, гипоксантин динатрия, рибоза, натрия ацетат, тимин, полисорбат 80, урацил, ксантин динатрия), растворенных в воде для инъекций.</t>
    </r>
  </si>
  <si>
    <r>
      <rPr>
        <sz val="10"/>
        <color theme="1"/>
        <rFont val="Arial"/>
      </rPr>
      <t xml:space="preserve">&lt;p&gt;На 1&amp;nbsp;дозу (0,5&amp;nbsp;мл):&lt;/p&gt;
</t>
    </r>
    <r>
      <rPr>
        <i/>
        <sz val="10"/>
        <color theme="1"/>
        <rFont val="Arial"/>
      </rPr>
      <t>&lt;p&gt;&lt;i&gt;Активный компонент:&lt;/i&gt;</t>
    </r>
    <r>
      <rPr>
        <sz val="10"/>
        <color theme="1"/>
        <rFont val="Arial"/>
      </rPr>
      <t xml:space="preserve">
&lt;ul&gt;&lt;li&gt;Вирус гепатита&amp;nbsp;А¹&lt;sup&gt;,&lt;/sup&gt;² инактивированный — 80&amp;nbsp;единиц антигена³.&lt;/li&gt;&lt;/ul&gt;&lt;/p&gt;
&lt;p&gt;¹ - штамм GBM, культивированный в культуре диплоидных клеток человека MRC-5;&lt;br&gt;
² - инактивированный формальдегидом и адсорбированный на алюминия гидроксиде;&lt;br&gt;
³ - содержание антигена выражено с использованием внутреннего референс-стандарта компании-производителя.&lt;/p&gt;
</t>
    </r>
    <r>
      <rPr>
        <i/>
        <sz val="10"/>
        <color theme="1"/>
        <rFont val="Arial"/>
      </rPr>
      <t>&lt;p&gt;&lt;i&gt;Вспомогательные вещества:&lt;/i&gt;</t>
    </r>
    <r>
      <rPr>
        <sz val="10"/>
        <color theme="1"/>
        <rFont val="Arial"/>
      </rPr>
      <t xml:space="preserve">
&lt;ul&gt;&lt;li&gt;Алюминия гидроксид (в пересчете на алюминий) — 0,15&amp;nbsp;мг, 2-феноксиэтанол — 2,5&amp;nbsp;мкл, формальдегид — 12,5&amp;nbsp;мкг, среда Хэнкс&amp;nbsp;199⁴ — до 0,5&amp;nbsp;мл, кислота хлористоводородная или натрия гидроксид для регулировки значения pH.&lt;/li&gt;
&lt;li&gt;Неомицин (производственная примесь) — не более 5&amp;nbsp;мкг/мл.&lt;/li&gt;&lt;/ul&gt;&lt;/p&gt;
&lt;p&gt;⁴ - среда Хэнкс&amp;nbsp;199 (без фенолового красного) является смесью аминокислот (D,L-аланин, L-аргинина гидрохлорид, D,L-аспарагиновая кислота, L-цистеина гидрохлорида моногидрат, L-цистина дигидрохлорид, D,L-глутаминовой кислоты моногидрат, L-глутамин, глицин, L-гистидина гидрохлорида моногидрат, D,L-изолейцин, L-гидроксипролин, D,L-лейцин, L-лизина гидрохлорид, D,L-метионин, D,L-фенилаланин, L-пролин, D,L-серин, D,L-треонин, D,L-триптофан, L-тирозин динатрия, D,L-валин), минеральных солей(кальция хлорид безводный, железа нитрата нонагидрат, калия хлорид, магния сульфата гептагидрат, натрия хлорид, калия дигидрофосфат, натрия гидрофосфат безводный), витаминов (аскорбиновая кислота, D-биотин, эргокальциферол, кальция пантотенат, холина хлорид, фолиевая кислота, I-инозитол, менадион, никотиновая кислота, никотинамид, парааминобензойная кислота, пиридоксаля гидрохлорид, пиридоксина гидрохлорид, рибофлавин, тиамина гидрохлорид, ретинола ацетат, альфа-токоферола фосфат натрия) и других компонентов (аденина сульфат, трифосаденин динатрия, аденозина фосфат, холестерол, дезоксирибоза, декстроза, глутатион восстановленный, гуанина гидрохлорид, гипоксантин динатрия, рибоза, натрия ацетат, тимин, полисорбат 80, урацил, ксантин динатрия), растворенных в воде для инъекций.&lt;/p&gt;</t>
    </r>
  </si>
  <si>
    <t>https://grls.rosminzdrav.ru/InstrImg/2021/10/06/1474149/bd8cf367-32be-419a-a06f-cb35a0ecd9d1.pdf</t>
  </si>
  <si>
    <t>На 1 дозу (0,5 мл):
Активный компонент:
• Вирус гепатита А¹·² инактивированный — 160 единиц антигена³.
¹ - штамм GBM, культивированный в культуре диплоидных клеток человека MRC-5;
² - инактивированный формальдегидом и адсорбированный на алюминия гидроксиде;
³ - содержание антигена выражено с использованием внутреннего референс-стандарта компании-производителя.
Вспомогательные вещества:
• Алюминия гидроксид (в пересчете на алюминий) — 0,3 мг, 2-феноксиэтанол — 2,5 мкл, формальдегид — 12,5 мкг, среда Хэнкс 199⁴ — до 0,5 мл, кислота хлористоводородная или натрия гидроксид для регулировки значения pH.
• Неомицин (производственная примесь) — не более 5 мкг/мл.
⁴ - среда Хэнкс 199 (без фенолового красного) является смесью аминокислот (D,L-аланин, L-аргинина гидрохлорид, D,L-аспарагиновая кислота, L-цистеина гидрохлорида моногидрат, L-цистина дигидрохлорид, D,L-глутаминовой кислоты моногидрат, L-глутамин, глицин, L-гистидина гидрохлорида моногидрат, D,L-изолейцин, L-гидроксипролин, D,L-лейцин, L-лизина гидрохлорид, D,L-метионин, D,L-фенилаланин, L-пролин, D,L-серин, D,L-треонин, D,L-триптофан, L-тирозин динатрия, D,L-валин), минеральных солей(кальция хлорид безводный, железа нитрата нонагидрат, калия хлорид, магния сульфата гептагидрат, натрия хлорид, калия дигидрофосфат, натрия гидрофосфат безводный), витаминов (аскорбиновая кислота, D-биотин, эргокальциферол, кальция пантотенат, холина хлорид, фолиевая кислота, I-инозитол, менадион, никотиновая кислота, никотинамид, парааминобензойная кислота, пиридоксаля гидрохлорид, пиридоксина гидрохлорид, рибофлавин, тиамина гидрохлорид, ретинола ацетат, альфа-токоферола фосфат натрия) и других компонентов (аденина сульфат, трифосаденин динатрия, аденозина фосфат, холестерол, дезоксирибоза, декстроза, глутатион восстановленный, гуанина гидрохлорид, гипоксантин динатрия, рибоза, натрия ацетат, тимин, полисорбат 80, урацил, ксантин динатрия), растворенных в воде для инъекций.</t>
  </si>
  <si>
    <t>&lt;p&gt;На 1&amp;nbsp;дозу (0,5&amp;nbsp;мл):&lt;/p&gt;
&lt;p&gt;&lt;i&gt;Активный компонент:&lt;/i&gt;
&lt;ul&gt;&lt;li&gt;Вирус гепатита&amp;nbsp;А¹&lt;sup&gt;,&lt;/sup&gt;² инактивированный — 160&amp;nbsp;единиц антигена³.&lt;/li&gt;&lt;/ul&gt;&lt;/p&gt;
&lt;p&gt;¹ - штамм GBM, культивированный в культуре диплоидных клеток человека MRC-5;&lt;br&gt;
² - инактивированный формальдегидом и адсорбированный на алюминия гидроксиде;&lt;br&gt;
³ - содержание антигена выражено с использованием внутреннего референс-стандарта компании-производителя.&lt;/p&gt;
&lt;p&gt;&lt;i&gt;Вспомогательные вещества:&lt;/i&gt;
&lt;ul&gt;&lt;li&gt;Алюминия гидроксид (в пересчете на алюминий) — 0,3&amp;nbsp;мг, 2-феноксиэтанол — 2,5&amp;nbsp;мкл, формальдегид — 12,5&amp;nbsp;мкг, среда Хэнкс&amp;nbsp;199⁴ — до 0,5&amp;nbsp;мл, кислота хлористоводородная или натрия гидроксид для регулировки значения pH.&lt;/li&gt;
&lt;li&gt;Неомицин (производственная примесь) — не более 5&amp;nbsp;мкг/мл.&lt;/li&gt;&lt;/ul&gt;&lt;/p&gt;
&lt;p&gt;⁴ - среда Хэнкс&amp;nbsp;199 (без фенолового красного) является смесью аминокислот (D,L-аланин, L-аргинина гидрохлорид, D,L-аспарагиновая кислота, L-цистеина гидрохлорида моногидрат, L-цистина дигидрохлорид, D,L-глутаминовой кислоты моногидрат, L-глутамин, глицин, L-гистидина гидрохлорида моногидрат, D,L-изолейцин, L-гидроксипролин, D,L-лейцин, L-лизина гидрохлорид, D,L-метионин, D,L-фенилаланин, L-пролин, D,L-серин, D,L-треонин, D,L-триптофан, L-тирозин динатрия, D,L-валин), минеральных солей(кальция хлорид безводный, железа нитрата нонагидрат, калия хлорид, магния сульфата гептагидрат, натрия хлорид, калия дигидрофосфат, натрия гидрофосфат безводный), витаминов (аскорбиновая кислота, D-биотин, эргокальциферол, кальция пантотенат, холина хлорид, фолиевая кислота, I-инозитол, менадион, никотиновая кислота, никотинамид, парааминобензойная кислота, пиридоксаля гидрохлорид, пиридоксина гидрохлорид, рибофлавин, тиамина гидрохлорид, ретинола ацетат, альфа-токоферола фосфат натрия) и других компонентов (аденина сульфат, трифосаденин динатрия, аденозина фосфат, холестерол, дезоксирибоза, декстроза, глутатион восстановленный, гуанина гидрохлорид, гипоксантин динатрия, рибоза, натрия ацетат, тимин, полисорбат 80, урацил, ксантин динатрия), растворенных в воде для инъекций.&lt;/p&gt;</t>
  </si>
  <si>
    <r>
      <rPr>
        <sz val="10"/>
        <color theme="1"/>
        <rFont val="Arial"/>
      </rPr>
      <t xml:space="preserve">1 детская доза (0,5 мл) вакцины содержит: 
</t>
    </r>
    <r>
      <rPr>
        <i/>
        <sz val="10"/>
        <color theme="1"/>
        <rFont val="Arial"/>
      </rPr>
      <t>Действующее вещество:</t>
    </r>
    <r>
      <rPr>
        <sz val="10"/>
        <color theme="1"/>
        <rFont val="Arial"/>
      </rPr>
      <t xml:space="preserve"> очищенный поверхностный антиген вируса гепатита В (HBsAg) — 10 мкг.
</t>
    </r>
    <r>
      <rPr>
        <i/>
        <sz val="10"/>
        <color theme="1"/>
        <rFont val="Arial"/>
      </rPr>
      <t>Вспомогательные вещества:</t>
    </r>
    <r>
      <rPr>
        <sz val="10"/>
        <color theme="1"/>
        <rFont val="Arial"/>
      </rPr>
      <t xml:space="preserve"> алюминия гидроксид — 0,25 мг.
</t>
    </r>
    <r>
      <rPr>
        <i/>
        <sz val="10"/>
        <color theme="1"/>
        <rFont val="Arial"/>
      </rPr>
      <t>Компоненты буферного раствора:</t>
    </r>
    <r>
      <rPr>
        <sz val="10"/>
        <color theme="1"/>
        <rFont val="Arial"/>
      </rPr>
      <t xml:space="preserve"> натрия хлорид; натрия гидрофосфат; натрия дигидрофосфата дигидрат; 2 М раствор натрия гидроксида до рН 6,95–7,05; вода для инъекций.
Данный препарат содержит менее 1 ммоль (23 мг) натрия на дозу.</t>
    </r>
  </si>
  <si>
    <t>&lt;p&gt;1&amp;nbsp;детская доза (0,5&amp;nbsp;мл) вакцины содержит:&lt;/p&gt;
&lt;p&gt;&lt;i&gt;Действующее вещество:&lt;/i&gt; очищенный поверхностный антиген вируса гепатита В (HBsAg) — 10&amp;nbsp;мкг.&lt;/p&gt;
&lt;p&gt;&lt;i&gt;Вспомогательные вещества:&lt;/i&gt; алюминия гидроксид — 0,25&amp;nbsp;мг.&lt;/p&gt;
&lt;p&gt;&lt;i&gt;Компоненты буферного раствора:&lt;/i&gt; натрия хлорид; натрия гидрофосфат; натрия дигидрофосфата дигидрат; 2&amp;nbsp;М раствор натрия гидроксида до рН&amp;nbsp;6,95–7,05; вода для инъекций.&lt;/p&gt;
&lt;p&gt;Данный препарат содержит менее 1&amp;nbsp;ммоль (23&amp;nbsp;мг) натрия на дозу.&lt;/p&gt;</t>
  </si>
  <si>
    <r>
      <rPr>
        <sz val="10"/>
        <color theme="1"/>
        <rFont val="Arial"/>
      </rPr>
      <t xml:space="preserve">1 доза для детей (0,5 мл) содержит:
• Антиген вируса гепатита В поверхностный рекомбинантный (HBsAg) (серотип </t>
    </r>
    <r>
      <rPr>
        <i/>
        <sz val="10"/>
        <color theme="1"/>
        <rFont val="Arial"/>
      </rPr>
      <t>ау</t>
    </r>
    <r>
      <rPr>
        <sz val="10"/>
        <color theme="1"/>
        <rFont val="Arial"/>
      </rPr>
      <t xml:space="preserve"> и/или </t>
    </r>
    <r>
      <rPr>
        <i/>
        <sz val="10"/>
        <color theme="1"/>
        <rFont val="Arial"/>
      </rPr>
      <t>ad</t>
    </r>
    <r>
      <rPr>
        <sz val="10"/>
        <color theme="1"/>
        <rFont val="Arial"/>
      </rPr>
      <t xml:space="preserve">)¹·² — 10 мкг
¹ Получен из дрожжевых клеток </t>
    </r>
    <r>
      <rPr>
        <i/>
        <sz val="10"/>
        <color theme="1"/>
        <rFont val="Arial"/>
      </rPr>
      <t>Saccharomyces cerevisiae</t>
    </r>
    <r>
      <rPr>
        <sz val="10"/>
        <color theme="1"/>
        <rFont val="Arial"/>
      </rPr>
      <t xml:space="preserve"> (серотип </t>
    </r>
    <r>
      <rPr>
        <i/>
        <sz val="10"/>
        <color theme="1"/>
        <rFont val="Arial"/>
      </rPr>
      <t>ау</t>
    </r>
    <r>
      <rPr>
        <sz val="10"/>
        <color theme="1"/>
        <rFont val="Arial"/>
      </rPr>
      <t xml:space="preserve">) и/или </t>
    </r>
    <r>
      <rPr>
        <i/>
        <sz val="10"/>
        <color theme="1"/>
        <rFont val="Arial"/>
      </rPr>
      <t>Hansenula polymorpha</t>
    </r>
    <r>
      <rPr>
        <sz val="10"/>
        <color theme="1"/>
        <rFont val="Arial"/>
      </rPr>
      <t xml:space="preserve"> (серотип </t>
    </r>
    <r>
      <rPr>
        <i/>
        <sz val="10"/>
        <color theme="1"/>
        <rFont val="Arial"/>
      </rPr>
      <t xml:space="preserve">ау </t>
    </r>
    <r>
      <rPr>
        <sz val="10"/>
        <color theme="1"/>
        <rFont val="Arial"/>
      </rPr>
      <t xml:space="preserve">и/или </t>
    </r>
    <r>
      <rPr>
        <i/>
        <sz val="10"/>
        <color theme="1"/>
        <rFont val="Arial"/>
      </rPr>
      <t>ad</t>
    </r>
    <r>
      <rPr>
        <sz val="10"/>
        <color theme="1"/>
        <rFont val="Arial"/>
      </rPr>
      <t xml:space="preserve">) по технологии рекомбинантной ДНК.
² Адсорбированный на алюминия гидроксиде (0,25 мг Al³⁺).
</t>
    </r>
    <r>
      <rPr>
        <i/>
        <sz val="10"/>
        <color theme="1"/>
        <rFont val="Arial"/>
      </rPr>
      <t>Перечень вспомогательных веществ:</t>
    </r>
    <r>
      <rPr>
        <sz val="10"/>
        <color theme="1"/>
        <rFont val="Arial"/>
      </rPr>
      <t xml:space="preserve">
• Натрия дигидрофосфат дигидрат;
• Натрия хлорид;
• Натрия гидроксид;
• Вода для инъекций.</t>
    </r>
  </si>
  <si>
    <r>
      <rPr>
        <sz val="10"/>
        <color theme="1"/>
        <rFont val="Arial"/>
      </rPr>
      <t>&lt;p&gt;1&amp;nbsp;доза для детей (0,5&amp;nbsp;мл) содержит:
&lt;ul&gt;&lt;li&gt;Антиген вируса гепатита В поверхностный рекомбинантный (HBsAg) (серотип &lt;i&gt;</t>
    </r>
    <r>
      <rPr>
        <i/>
        <sz val="10"/>
        <color theme="1"/>
        <rFont val="Arial"/>
      </rPr>
      <t>ау&lt;/i&gt;</t>
    </r>
    <r>
      <rPr>
        <sz val="10"/>
        <color theme="1"/>
        <rFont val="Arial"/>
      </rPr>
      <t xml:space="preserve"> и/или &lt;i&gt;</t>
    </r>
    <r>
      <rPr>
        <i/>
        <sz val="10"/>
        <color theme="1"/>
        <rFont val="Arial"/>
      </rPr>
      <t>ad&lt;/i&gt;</t>
    </r>
    <r>
      <rPr>
        <sz val="10"/>
        <color theme="1"/>
        <rFont val="Arial"/>
      </rPr>
      <t xml:space="preserve">)¹&lt;sup&gt;,&lt;/sup&gt;² — 10&amp;nbsp;мкг&lt;/li&gt;&lt;/ul&gt;
¹&amp;nbsp;Получен из дрожжевых клеток </t>
    </r>
    <r>
      <rPr>
        <i/>
        <sz val="10"/>
        <color theme="1"/>
        <rFont val="Arial"/>
      </rPr>
      <t>&lt;i&gt;Saccharomyces cerevisiae&lt;/i&gt;</t>
    </r>
    <r>
      <rPr>
        <sz val="10"/>
        <color theme="1"/>
        <rFont val="Arial"/>
      </rPr>
      <t xml:space="preserve"> (серотип &lt;i&gt;</t>
    </r>
    <r>
      <rPr>
        <i/>
        <sz val="10"/>
        <color theme="1"/>
        <rFont val="Arial"/>
      </rPr>
      <t>ау&lt;/i&gt;</t>
    </r>
    <r>
      <rPr>
        <sz val="10"/>
        <color theme="1"/>
        <rFont val="Arial"/>
      </rPr>
      <t xml:space="preserve">) и/или </t>
    </r>
    <r>
      <rPr>
        <i/>
        <sz val="10"/>
        <color theme="1"/>
        <rFont val="Arial"/>
      </rPr>
      <t>&lt;i&gt;Hansenula polymorpha&lt;/i&gt;</t>
    </r>
    <r>
      <rPr>
        <sz val="10"/>
        <color theme="1"/>
        <rFont val="Arial"/>
      </rPr>
      <t xml:space="preserve"> (серотип </t>
    </r>
    <r>
      <rPr>
        <i/>
        <sz val="10"/>
        <color theme="1"/>
        <rFont val="Arial"/>
      </rPr>
      <t xml:space="preserve">&lt;i&gt;ау&lt;/i&gt; </t>
    </r>
    <r>
      <rPr>
        <sz val="10"/>
        <color theme="1"/>
        <rFont val="Arial"/>
      </rPr>
      <t>и/или &lt;i&gt;</t>
    </r>
    <r>
      <rPr>
        <i/>
        <sz val="10"/>
        <color theme="1"/>
        <rFont val="Arial"/>
      </rPr>
      <t>ad&lt;/i&gt;</t>
    </r>
    <r>
      <rPr>
        <sz val="10"/>
        <color theme="1"/>
        <rFont val="Arial"/>
      </rPr>
      <t xml:space="preserve">) по технологии рекомбинантной ДНК.&lt;br&gt;
²&amp;nbsp;Адсорбированный на алюминия гидроксиде (0,25&amp;nbsp;мг Al³⁺).&lt;br&gt;&lt;br&gt;
</t>
    </r>
    <r>
      <rPr>
        <i/>
        <sz val="10"/>
        <color theme="1"/>
        <rFont val="Arial"/>
      </rPr>
      <t>&lt;i&gt;Перечень вспомогательных веществ:&lt;/i&gt;</t>
    </r>
    <r>
      <rPr>
        <sz val="10"/>
        <color theme="1"/>
        <rFont val="Arial"/>
      </rPr>
      <t xml:space="preserve">
&lt;ul&gt;&lt;li&gt;Натрия дигидрофосфат дигидрат;&lt;/li&gt;
&lt;li&gt;Натрия хлорид;&lt;/li&gt;
&lt;li&gt;Натрия гидроксид;&lt;/li&gt;
&lt;li&gt;Вода для инъекций.&lt;/li&gt;&lt;/ul&gt;&lt;/p&gt;</t>
    </r>
  </si>
  <si>
    <r>
      <rPr>
        <sz val="10"/>
        <color theme="1"/>
        <rFont val="Arial"/>
      </rPr>
      <t xml:space="preserve">Доза для детей (0,5 мл):
</t>
    </r>
    <r>
      <rPr>
        <i/>
        <sz val="10"/>
        <color theme="1"/>
        <rFont val="Arial"/>
      </rPr>
      <t>Активный компонент:</t>
    </r>
    <r>
      <rPr>
        <sz val="10"/>
        <color theme="1"/>
        <rFont val="Arial"/>
      </rPr>
      <t xml:space="preserve">
• Поверхностный антиген вируса гепатита В (HBsAg) очищенный — 10 мкг.
</t>
    </r>
    <r>
      <rPr>
        <i/>
        <sz val="10"/>
        <color theme="1"/>
        <rFont val="Arial"/>
      </rPr>
      <t>Вспомогательные вещества:</t>
    </r>
    <r>
      <rPr>
        <sz val="10"/>
        <color theme="1"/>
        <rFont val="Arial"/>
      </rPr>
      <t xml:space="preserve">
• Гель алюминия гидроксида (по алюминию) — 0,25 мг.
• Калия дигидрофосфат (буферный агент) — q.s.
• Натрия гидрофосфат (буферный агент) — q.s.
• Натрия хлорид — 4,25 мг.
• Вода для инъекций — до 0,5 мл.</t>
    </r>
  </si>
  <si>
    <r>
      <rPr>
        <sz val="10"/>
        <color theme="1"/>
        <rFont val="Arial"/>
      </rPr>
      <t xml:space="preserve">&lt;p&gt;Доза для детей (0,5&amp;nbsp;мл):&lt;/p&gt;
</t>
    </r>
    <r>
      <rPr>
        <i/>
        <sz val="10"/>
        <color theme="1"/>
        <rFont val="Arial"/>
      </rPr>
      <t>&lt;p&gt;&lt;i&gt;Активный компонент:&lt;/i&gt;</t>
    </r>
    <r>
      <rPr>
        <sz val="10"/>
        <color theme="1"/>
        <rFont val="Arial"/>
      </rPr>
      <t xml:space="preserve">
&lt;ul&gt;&lt;li&gt;Поверхностный антиген вируса гепатита В (HBsAg) очищенный — 10&amp;nbsp;мкг.&lt;/li&gt;&lt;/ul&gt;
</t>
    </r>
    <r>
      <rPr>
        <i/>
        <sz val="10"/>
        <color theme="1"/>
        <rFont val="Arial"/>
      </rPr>
      <t>&lt;i&gt;Вспомогательные вещества:&lt;/i&gt;</t>
    </r>
    <r>
      <rPr>
        <sz val="10"/>
        <color theme="1"/>
        <rFont val="Arial"/>
      </rPr>
      <t xml:space="preserve">
&lt;ul&gt;&lt;li&gt;Гель алюминия гидроксида (по алюминию) — 0,25&amp;nbsp;мг.&lt;/li&gt;
&lt;li&gt;Калия дигидрофосфат (буферный агент) — q.s.&lt;/li&gt;
&lt;li&gt;Натрия гидрофосфат (буферный агент) — q.s.&lt;/li&gt;
&lt;li&gt;Натрия хлорид — 4,25&amp;nbsp;мг.&lt;/li&gt;
&lt;li&gt;Вода для инъекций — до 0,5&amp;nbsp;мл.&lt;/li&gt;&lt;/ul&gt;&lt;/p&gt;</t>
    </r>
  </si>
  <si>
    <r>
      <rPr>
        <sz val="10"/>
        <color theme="1"/>
        <rFont val="Arial"/>
      </rPr>
      <t xml:space="preserve">Доза для взрослых (1,0 мл):
</t>
    </r>
    <r>
      <rPr>
        <i/>
        <sz val="10"/>
        <color theme="1"/>
        <rFont val="Arial"/>
      </rPr>
      <t>Активный компонент:</t>
    </r>
    <r>
      <rPr>
        <sz val="10"/>
        <color theme="1"/>
        <rFont val="Arial"/>
      </rPr>
      <t xml:space="preserve">
• Поверхностный антиген вируса гепатита В (HBsAg) очищенный — 20 мкг.
</t>
    </r>
    <r>
      <rPr>
        <i/>
        <sz val="10"/>
        <color theme="1"/>
        <rFont val="Arial"/>
      </rPr>
      <t>Вспомогательные вещества:</t>
    </r>
    <r>
      <rPr>
        <sz val="10"/>
        <color theme="1"/>
        <rFont val="Arial"/>
      </rPr>
      <t xml:space="preserve">
• Гель алюминия гидроксида (по алюминию) — 0,50 мг.
• Калия дигидрофосфат (буферный агент) — q.s.
• Натрия гидрофосфат (буферный агент) — q.s.
• Натрия хлорид — 8,50 мг.
• Вода для инъекций — до 1,0 мл.</t>
    </r>
  </si>
  <si>
    <r>
      <rPr>
        <sz val="10"/>
        <color theme="1"/>
        <rFont val="Arial"/>
      </rPr>
      <t xml:space="preserve">&lt;p&gt;Доза для взрослых (1,0&amp;nbsp;мл):&lt;/p&gt;
</t>
    </r>
    <r>
      <rPr>
        <i/>
        <sz val="10"/>
        <color theme="1"/>
        <rFont val="Arial"/>
      </rPr>
      <t>&lt;p&gt;&lt;i&gt;Активный компонент:&lt;/i&gt;</t>
    </r>
    <r>
      <rPr>
        <sz val="10"/>
        <color theme="1"/>
        <rFont val="Arial"/>
      </rPr>
      <t xml:space="preserve">
&lt;ul&gt;&lt;li&gt;Поверхностный антиген вируса гепатита В (HBsAg) очищенный — 20&amp;nbsp;мкг.&lt;/li&gt;&lt;/ul&gt;
</t>
    </r>
    <r>
      <rPr>
        <i/>
        <sz val="10"/>
        <color theme="1"/>
        <rFont val="Arial"/>
      </rPr>
      <t>&lt;i&gt;Вспомогательные вещества:&lt;/i&gt;</t>
    </r>
    <r>
      <rPr>
        <sz val="10"/>
        <color theme="1"/>
        <rFont val="Arial"/>
      </rPr>
      <t xml:space="preserve">
&lt;ul&gt;&lt;li&gt;Гель алюминия гидроксида (по алюминию) — 0,50&amp;nbsp;мг.&lt;/li&gt;
&lt;li&gt;Калия дигидрофосфат (буферный агент) — q.s.&lt;/li&gt;
&lt;li&gt;Натрия гидрофосфат (буферный агент) — q.s.&lt;/li&gt;
&lt;li&gt;Натрия хлорид — 8,50&amp;nbsp;мг.&lt;/li&gt;
&lt;li&gt;Вода для инъекций — до 1,0&amp;nbsp;мл.&lt;/li&gt;&lt;/ul&gt;&lt;/p&gt;</t>
    </r>
  </si>
  <si>
    <r>
      <rPr>
        <sz val="10"/>
        <color theme="1"/>
        <rFont val="Arial"/>
      </rPr>
      <t xml:space="preserve">1 прививочная доза (0,5 мл) содержит: 
</t>
    </r>
    <r>
      <rPr>
        <i/>
        <sz val="10"/>
        <color theme="1"/>
        <rFont val="Arial"/>
      </rPr>
      <t>Действующие вещества:</t>
    </r>
    <r>
      <rPr>
        <sz val="10"/>
        <color theme="1"/>
        <rFont val="Arial"/>
      </rPr>
      <t xml:space="preserve">
• L1 протеин вируса папилломы человека типа 16 (ВПЧ-16L1) — 20 мкг.
• L1 протеин вируса папилломы человека типа 18 (ВПЧ-18L1) — 20 мкг.
</t>
    </r>
    <r>
      <rPr>
        <i/>
        <sz val="10"/>
        <color theme="1"/>
        <rFont val="Arial"/>
      </rPr>
      <t>Адъювантная система AS04:</t>
    </r>
    <r>
      <rPr>
        <sz val="10"/>
        <color theme="1"/>
        <rFont val="Arial"/>
      </rPr>
      <t xml:space="preserve">
• Алюминия гидроксид — 0,5 мг.
• 3-О-дезацил-4’-монофосфориллипид А — 50 мкг.
</t>
    </r>
    <r>
      <rPr>
        <i/>
        <sz val="10"/>
        <color theme="1"/>
        <rFont val="Arial"/>
      </rPr>
      <t>Перечень вспомогательных веществ:</t>
    </r>
    <r>
      <rPr>
        <sz val="10"/>
        <color theme="1"/>
        <rFont val="Arial"/>
      </rPr>
      <t xml:space="preserve">
• Натрия хлорид — 4,4 мг.
• Натрия дигидрофосфата дигидрат — 0,624 мг.
• Вода для инъекций — q.s. до 0,5 мл.</t>
    </r>
  </si>
  <si>
    <r>
      <rPr>
        <sz val="10"/>
        <color theme="1"/>
        <rFont val="Arial"/>
      </rPr>
      <t xml:space="preserve">&lt;p&gt;1&amp;nbsp;прививочная доза (0,5&amp;nbsp;мл) содержит:&lt;/p&gt;
</t>
    </r>
    <r>
      <rPr>
        <i/>
        <sz val="10"/>
        <color theme="1"/>
        <rFont val="Arial"/>
      </rPr>
      <t>&lt;p&gt;&lt;i&gt;Действующие вещества:&lt;/i&gt;</t>
    </r>
    <r>
      <rPr>
        <sz val="10"/>
        <color theme="1"/>
        <rFont val="Arial"/>
      </rPr>
      <t xml:space="preserve">
&lt;ul&gt;&lt;li&gt;L1&amp;nbsp;протеин вируса папилломы человека типа&amp;nbsp;16 (ВПЧ-16L1) — 20&amp;nbsp;мкг.&lt;/li&gt;
&lt;li&gt;L1&amp;nbsp;протеин вируса папилломы человека типа&amp;nbsp;18 (ВПЧ-18L1) — 20&amp;nbsp;мкг.&lt;/li&gt;&lt;/ul&gt;
</t>
    </r>
    <r>
      <rPr>
        <i/>
        <sz val="10"/>
        <color theme="1"/>
        <rFont val="Arial"/>
      </rPr>
      <t>&lt;i&gt;</t>
    </r>
    <r>
      <rPr>
        <sz val="10"/>
        <color theme="1"/>
        <rFont val="Arial"/>
      </rPr>
      <t>Адъювантная система AS04:&lt;/i&gt;
&lt;ul&gt;&lt;li&gt;Алюминия гидроксид — 0,5&amp;nbsp;мг.&lt;/li&gt;
&lt;li&gt;3-О-дезацил-4’-монофосфориллипид&amp;nbsp;А — 50&amp;nbsp;мкг.&lt;/li&gt;&lt;/ul&gt;
&lt;i&gt;Перечень вспомогательных веществ:&lt;/i&gt;
&lt;ul&gt;&lt;li&gt;Натрия хлорид — 4,4&amp;nbsp;мг.&lt;/li&gt;
&lt;li&gt;Натрия дигидрофосфата дигидрат — 0,624&amp;nbsp;мг.&lt;/li&gt;
&lt;li&gt;Вода для инъекций — q.s. до 0,5&amp;nbsp;мл.&lt;/li&gt;&lt;/ul&gt;&lt;/p&gt;</t>
    </r>
  </si>
  <si>
    <r>
      <rPr>
        <sz val="10"/>
        <color theme="1"/>
        <rFont val="Arial"/>
      </rPr>
      <t xml:space="preserve">Одна доза (0,5 мл) содержит 
</t>
    </r>
    <r>
      <rPr>
        <i/>
        <sz val="10"/>
        <color theme="1"/>
        <rFont val="Arial"/>
      </rPr>
      <t>Действующие вещества:</t>
    </r>
    <r>
      <rPr>
        <sz val="10"/>
        <color theme="1"/>
        <rFont val="Arial"/>
      </rPr>
      <t xml:space="preserve"> рекомбинантные антигены — L1 белок вируса папилломы человека в следующих количествах: тип 6 — 20 мкг, тип 11 — 40 мкг, тип 16 — 40 мкг, тип 18 — 20 мкг.
</t>
    </r>
    <r>
      <rPr>
        <i/>
        <sz val="10"/>
        <color theme="1"/>
        <rFont val="Arial"/>
      </rPr>
      <t>Перечень вспомогательных веществ:</t>
    </r>
    <r>
      <rPr>
        <sz val="10"/>
        <color theme="1"/>
        <rFont val="Arial"/>
      </rPr>
      <t xml:space="preserve">
• Алюминий в виде алюминия гидроксифосфата сульфата аморфного.
• Натрия хлорид.
• L-гистидин.
• Полисорбат-80.
• Натрия борат.
• Вода для инъекций.
Консервантов и антибиотиков не содержит.</t>
    </r>
  </si>
  <si>
    <r>
      <rPr>
        <sz val="10"/>
        <color theme="1"/>
        <rFont val="Arial"/>
      </rPr>
      <t xml:space="preserve">&lt;p&gt;Одна доза (0,5&amp;nbsp;мл) содержит &lt;/p&gt;
</t>
    </r>
    <r>
      <rPr>
        <i/>
        <sz val="10"/>
        <color theme="1"/>
        <rFont val="Arial"/>
      </rPr>
      <t>&lt;p&gt;&lt;i&gt;Действующие вещества:&lt;/i&gt;</t>
    </r>
    <r>
      <rPr>
        <sz val="10"/>
        <color theme="1"/>
        <rFont val="Arial"/>
      </rPr>
      <t xml:space="preserve"> рекомбинантные антигены — L1&amp;nbsp;белок вируса папилломы человека в следующих количествах: тип&amp;nbsp;6 — 20&amp;nbsp;мкг, тип&amp;nbsp;11 — 40&amp;nbsp;мкг, тип&amp;nbsp;16 — 40&amp;nbsp;мкг, тип&amp;nbsp;18 — 20&amp;nbsp;мкг.&lt;/p&gt;
</t>
    </r>
    <r>
      <rPr>
        <i/>
        <sz val="10"/>
        <color theme="1"/>
        <rFont val="Arial"/>
      </rPr>
      <t>&lt;p&gt;&lt;i&gt;</t>
    </r>
    <r>
      <rPr>
        <sz val="10"/>
        <color theme="1"/>
        <rFont val="Arial"/>
      </rPr>
      <t>Перечень вспомогательных веществ:&lt;/i&gt;
&lt;ul&gt;&lt;li&gt;Алюминий в виде алюминия гидроксифосфата сульфата аморфного.&lt;/li&gt;
&lt;li&gt;Натрия хлорид.&lt;/li&gt;
&lt;li&gt;L-гистидин.&lt;/li&gt;
&lt;li&gt;Полисорбат-80.&lt;/li&gt;
&lt;li&gt;Натрия борат.&lt;/li&gt;
&lt;li&gt;Вода для инъекций.&lt;/li&gt;&lt;/ul&gt;
Консервантов и антибиотиков не содержит.&lt;/p&gt;</t>
    </r>
  </si>
  <si>
    <r>
      <rPr>
        <sz val="10"/>
        <color theme="1"/>
        <rFont val="Arial"/>
      </rPr>
      <t xml:space="preserve">1 доза (0,5 мл) содержит:
</t>
    </r>
    <r>
      <rPr>
        <i/>
        <sz val="10"/>
        <color theme="1"/>
        <rFont val="Arial"/>
      </rPr>
      <t>Компонент I</t>
    </r>
    <r>
      <rPr>
        <sz val="10"/>
        <color theme="1"/>
        <rFont val="Arial"/>
      </rPr>
      <t xml:space="preserve">
рекомбинантные аденовирусные частицы 26 серотипа¹, содержащие ген белка S вируса SARS-CoV-2² — (1,0±0,5)х10¹¹ частиц;
</t>
    </r>
    <r>
      <rPr>
        <i/>
        <sz val="10"/>
        <color theme="1"/>
        <rFont val="Arial"/>
      </rPr>
      <t>Компонент II</t>
    </r>
    <r>
      <rPr>
        <sz val="10"/>
        <color theme="1"/>
        <rFont val="Arial"/>
      </rPr>
      <t xml:space="preserve">
рекомбинантные аденовирусные частицы 5 серотипа¹, содержащие ген белка S вируса SARS-CoV-2² — (1,0±0,5)х10¹¹ частиц.
¹ получены из клеток человека (НЕК29З) после трансдукции этих клеток.
² вариант ХВВ штамма омикрон коронавируса SARS-CoV-2.
Перечень вспомогательных веществ:
</t>
    </r>
    <r>
      <rPr>
        <i/>
        <sz val="10"/>
        <color theme="1"/>
        <rFont val="Arial"/>
      </rPr>
      <t>Компонент I</t>
    </r>
    <r>
      <rPr>
        <sz val="10"/>
        <color theme="1"/>
        <rFont val="Arial"/>
      </rPr>
      <t xml:space="preserve">
• Трис(гидроксиметил)аминометан;
• Натрия хлорид;
• Сахароза;
• Полисорбат 80;
• Магния хлорида гексагидрат;
• ЭДТА динатриевая соль дигидрат;
• Этанол 95 %;
• Вода для инъекций.
</t>
    </r>
    <r>
      <rPr>
        <i/>
        <sz val="10"/>
        <color theme="1"/>
        <rFont val="Arial"/>
      </rPr>
      <t>Компонент II</t>
    </r>
    <r>
      <rPr>
        <sz val="10"/>
        <color theme="1"/>
        <rFont val="Arial"/>
      </rPr>
      <t xml:space="preserve">
• Трис(гидроксиметил)аминометан;
• Натрия хлорид;
• Сахароза;
• Полисорбат 80;
• Магния хлорида гексагидрат;
• ЭДТА динатриевая соль дигидрат;
• Этанол 95 %;
• Вода для инъекций.</t>
    </r>
  </si>
  <si>
    <r>
      <rPr>
        <sz val="10"/>
        <color theme="1"/>
        <rFont val="Arial"/>
      </rPr>
      <t xml:space="preserve">&lt;p&gt;1&amp;nbsp;доза (0,5&amp;nbsp;мл) содержит:
</t>
    </r>
    <r>
      <rPr>
        <i/>
        <sz val="10"/>
        <color theme="1"/>
        <rFont val="Arial"/>
      </rPr>
      <t>&lt;ul&gt;&lt;i&gt;Компонент&amp;nbsp;I&lt;/i&gt;</t>
    </r>
    <r>
      <rPr>
        <sz val="10"/>
        <color theme="1"/>
        <rFont val="Arial"/>
      </rPr>
      <t xml:space="preserve">&lt;br&gt;
&lt;li&gt;рекомбинантные аденовирусные частицы 26&amp;nbsp;серотипа¹, содержащие ген белка&amp;nbsp;S вируса SARS-CoV-2² — (1,0±0,5)х10¹¹&amp;nbsp;частиц;&lt;/li&gt;&lt;br&gt;
</t>
    </r>
    <r>
      <rPr>
        <i/>
        <sz val="10"/>
        <color theme="1"/>
        <rFont val="Arial"/>
      </rPr>
      <t>&lt;i&gt;Компонент&amp;nbsp;II&lt;/i&gt;&lt;br&gt;</t>
    </r>
    <r>
      <rPr>
        <sz val="10"/>
        <color theme="1"/>
        <rFont val="Arial"/>
      </rPr>
      <t xml:space="preserve">
&lt;li&gt;рекомбинантные аденовирусные частицы 5&amp;nbsp;серотипа¹, содержащие ген белка&amp;nbsp;S вируса SARS-CoV-2² — (1,0±0,5)х10¹¹&amp;nbsp;частиц.&lt;/li&gt;&lt;/ul&gt;
¹&amp;nbsp;получены из клеток человека (НЕК29З) после трансдукции этих клеток.&lt;br&gt;
²&amp;nbsp;вариант ХВВ штамма омикрон коронавируса SARS-CoV-2.&lt;br&gt;&lt;br&gt;
Перечень вспомогательных веществ:
</t>
    </r>
    <r>
      <rPr>
        <i/>
        <sz val="10"/>
        <color theme="1"/>
        <rFont val="Arial"/>
      </rPr>
      <t>&lt;ul&gt;&lt;i&gt;Компонент&amp;nbsp;I&lt;/i&gt;&lt;br&gt;</t>
    </r>
    <r>
      <rPr>
        <sz val="10"/>
        <color theme="1"/>
        <rFont val="Arial"/>
      </rPr>
      <t xml:space="preserve">
&lt;li&gt;Трис(гидроксиметил)аминометан;&lt;/li&gt;
&lt;li&gt;Натрия хлорид;&lt;/li&gt;
&lt;li&gt;Сахароза;&lt;/li&gt;
&lt;li&gt;Полисорбат&amp;nbsp;80;&lt;/li&gt;
&lt;li&gt;Магния хлорида гексагидрат;&lt;/li&gt;
&lt;li&gt;ЭДТА динатриевая соль дигидрат;&lt;/li&gt;
&lt;li&gt;Этанол 95&amp;nbsp;%;&lt;/li&gt;
&lt;li&gt;Вода для инъекций.&lt;/li&gt;&lt;br&gt;
</t>
    </r>
    <r>
      <rPr>
        <i/>
        <sz val="10"/>
        <color theme="1"/>
        <rFont val="Arial"/>
      </rPr>
      <t>&lt;i&gt;Компонент&amp;nbsp;II&lt;/i&gt;&lt;br&gt;</t>
    </r>
    <r>
      <rPr>
        <sz val="10"/>
        <color theme="1"/>
        <rFont val="Arial"/>
      </rPr>
      <t xml:space="preserve">
&lt;li&gt;Трис(гидроксиметил)аминометан;&lt;/li&gt;
&lt;li&gt;Натрия хлорид;&lt;/li&gt;
&lt;li&gt;Сахароза;&lt;/li&gt;
&lt;li&gt;Полисорбат&amp;nbsp;80;&lt;/li&gt;
&lt;li&gt;Магния хлорида гексагидрат;&lt;/li&gt;
&lt;li&gt;ЭДТА динатриевая соль дигидрат;&lt;/li&gt;
&lt;li&gt;Этанол 95&amp;nbsp;%;&lt;/li&gt;
&lt;li&gt;Вода для инъекций.&lt;/li&gt;&lt;/ul&gt;&lt;/p&gt;</t>
    </r>
  </si>
  <si>
    <r>
      <rPr>
        <sz val="10"/>
        <color theme="1"/>
        <rFont val="Arial"/>
      </rPr>
      <t xml:space="preserve">Состав на 1 дозу:
Компонент I содержит:
</t>
    </r>
    <r>
      <rPr>
        <i/>
        <sz val="10"/>
        <color theme="1"/>
        <rFont val="Arial"/>
      </rPr>
      <t xml:space="preserve">Действующее вещество: </t>
    </r>
    <r>
      <rPr>
        <sz val="10"/>
        <color theme="1"/>
        <rFont val="Arial"/>
      </rPr>
      <t xml:space="preserve">рекомбинантные аденовирусные частицы 26 серотипа, содержащие ген белка S вируса SARS-CoV-2, в количестве (1,0±0,5)х10¹¹ частиц.
</t>
    </r>
    <r>
      <rPr>
        <i/>
        <sz val="10"/>
        <color theme="1"/>
        <rFont val="Arial"/>
      </rPr>
      <t xml:space="preserve">Вспомогательные вещества: </t>
    </r>
    <r>
      <rPr>
        <sz val="10"/>
        <color theme="1"/>
        <rFont val="Arial"/>
      </rPr>
      <t xml:space="preserve">трис(гидроксиметил)аминометан — 0,24 мг, натрия хлорид — 1,40 мг, сахароза — 73,5 мг, магния хлорида гексагидрат — 20,4 мкг, ЭДТА динатриевая соль дигидрат — 3,8 мкг, полисорбат 80 — 0,05 мкг.
Компонент II содержит:
</t>
    </r>
    <r>
      <rPr>
        <i/>
        <sz val="10"/>
        <color theme="1"/>
        <rFont val="Arial"/>
      </rPr>
      <t xml:space="preserve">Действующее вещество: </t>
    </r>
    <r>
      <rPr>
        <sz val="10"/>
        <color theme="1"/>
        <rFont val="Arial"/>
      </rPr>
      <t xml:space="preserve">рекомбинантные аденовирусные частицы 5 серотипа, содержащие ген белка S вируса SARS-CoV-2, в количестве (1,0±0,5)х10¹¹ частиц.
</t>
    </r>
    <r>
      <rPr>
        <i/>
        <sz val="10"/>
        <color theme="1"/>
        <rFont val="Arial"/>
      </rPr>
      <t xml:space="preserve">Вспомогательные вещества: </t>
    </r>
    <r>
      <rPr>
        <sz val="10"/>
        <color theme="1"/>
        <rFont val="Arial"/>
      </rPr>
      <t>трис(гидроксиметил)аминометан — 0,24 мг, натрия хлорид — 1,40 мг, сахароза — 73,5 мг, магния хлорида гексагидрат — 20,4 мкг, ЭДТА динатриевая соль дигидрат — 3,8 мкг, полисорбат 80 — 0,05 мкг.</t>
    </r>
  </si>
  <si>
    <r>
      <rPr>
        <sz val="10"/>
        <color theme="1"/>
        <rFont val="Arial"/>
      </rPr>
      <t xml:space="preserve">&lt;p&gt;Состав на 1&amp;nbsp;дозу:&lt;/p&gt;
&lt;p&gt;Компонент&amp;nbsp;I содержит:&lt;/p&gt;
</t>
    </r>
    <r>
      <rPr>
        <i/>
        <sz val="10"/>
        <color theme="1"/>
        <rFont val="Arial"/>
      </rPr>
      <t xml:space="preserve">&lt;p&gt;&lt;i&gt;Действующее вещество:&lt;/i&gt; </t>
    </r>
    <r>
      <rPr>
        <sz val="10"/>
        <color theme="1"/>
        <rFont val="Arial"/>
      </rPr>
      <t xml:space="preserve">рекомбинантные аденовирусные частицы 26&amp;nbsp;серотипа, содержащие ген белка&amp;nbsp;S вируса SARS-CoV-2, в количестве (1,0±0,5)х10¹¹&amp;nbsp;частиц.&lt;/p&gt;
</t>
    </r>
    <r>
      <rPr>
        <i/>
        <sz val="10"/>
        <color theme="1"/>
        <rFont val="Arial"/>
      </rPr>
      <t xml:space="preserve">&lt;p&gt;&lt;i&gt;Вспомогательные вещества:&lt;/i&gt; </t>
    </r>
    <r>
      <rPr>
        <sz val="10"/>
        <color theme="1"/>
        <rFont val="Arial"/>
      </rPr>
      <t xml:space="preserve">трис(гидроксиметил)аминометан — 0,24&amp;nbsp;мг, натрия хлорид — 1,40&amp;nbsp;мг, сахароза — 73,5&amp;nbsp;мг, магния хлорида гексагидрат — 20,4&amp;nbsp;мкг, ЭДТА динатриевая соль дигидрат — 3,8&amp;nbsp;мкг, полисорбат&amp;nbsp;80 — 0,05&amp;nbsp;мкг.&lt;/p&gt;
&lt;p&gt;Компонент&amp;nbsp;II содержит:&lt;/p&gt;
</t>
    </r>
    <r>
      <rPr>
        <i/>
        <sz val="10"/>
        <color theme="1"/>
        <rFont val="Arial"/>
      </rPr>
      <t xml:space="preserve">&lt;p&gt;&lt;i&gt;Действующее вещество:&lt;/i&gt; </t>
    </r>
    <r>
      <rPr>
        <sz val="10"/>
        <color theme="1"/>
        <rFont val="Arial"/>
      </rPr>
      <t xml:space="preserve">рекомбинантные аденовирусные частицы 5&amp;nbsp;серотипа, содержащие ген белка&amp;nbsp;S вируса SARS-CoV-2, в количестве (1,0±0,5)х10¹¹&amp;nbsp;частиц.&lt;/p&gt;
</t>
    </r>
    <r>
      <rPr>
        <i/>
        <sz val="10"/>
        <color theme="1"/>
        <rFont val="Arial"/>
      </rPr>
      <t xml:space="preserve">&lt;p&gt;&lt;i&gt;Вспомогательные вещества:&lt;/i&gt; </t>
    </r>
    <r>
      <rPr>
        <sz val="10"/>
        <color theme="1"/>
        <rFont val="Arial"/>
      </rPr>
      <t>трис(гидроксиметил)аминометан — 0,24&amp;nbsp;мг, натрия хлорид — 1,40&amp;nbsp;мг, сахароза — 73,5&amp;nbsp;мг, магния хлорида гексагидрат — 20,4&amp;nbsp;мкг, ЭДТА динатриевая соль дигидрат — 3,8&amp;nbsp;мкг, полисорбат&amp;nbsp;80 — 0,05&amp;nbsp;мкг.&lt;/p&gt;</t>
    </r>
  </si>
  <si>
    <t>https://grls.rosminzdrav.ru/InstrImg/2022/03/24/1479420/567f4c1a-9b51-46b3-aa9d-6be72c91e48b.pdf</t>
  </si>
  <si>
    <r>
      <rPr>
        <sz val="10"/>
        <color theme="1"/>
        <rFont val="Arial"/>
      </rPr>
      <t xml:space="preserve">1 доза (0,5 мл) вакцины содержит:
</t>
    </r>
    <r>
      <rPr>
        <i/>
        <sz val="10"/>
        <color theme="1"/>
        <rFont val="Arial"/>
      </rPr>
      <t>Действующие вещества:</t>
    </r>
    <r>
      <rPr>
        <sz val="10"/>
        <color theme="1"/>
        <rFont val="Arial"/>
      </rPr>
      <t xml:space="preserve">
• пептидный антиген № 1 белка S вируса SARS-CoV-2, конъюгированный на белок-носитель — (75±15) мкг;
• пептидный антиген № 2 белка S вируса SARS-CoV-2, конъюгированный на белок-носитель — (75±15) мкг;
• пептидный антиген № 3 белка S вируса SARS-CoV-2, конъюгированный на белок-носитель — (75±15) мкг.
</t>
    </r>
    <r>
      <rPr>
        <i/>
        <sz val="10"/>
        <color theme="1"/>
        <rFont val="Arial"/>
      </rPr>
      <t>Вспомогательные вещества:</t>
    </r>
    <r>
      <rPr>
        <sz val="10"/>
        <color theme="1"/>
        <rFont val="Arial"/>
      </rPr>
      <t xml:space="preserve">
• алюминия гидроксид в пересчете на (Al³⁺) — (0,60±0,10) мг;
• калия дигидрофосфат — (0,12±0,01) мг;
• калия хлорид — (0,10±0,01) мг;
• натрия гидрофосфата додекагидрат — (1,82±0,10) мг;
• натрия хлорид — (4,00±0,20) мг;
• вода для инъекций — до 0,5 мл.
Консервантов и антибиотиков не содержит.</t>
    </r>
  </si>
  <si>
    <r>
      <rPr>
        <sz val="10"/>
        <color theme="1"/>
        <rFont val="Arial"/>
      </rPr>
      <t xml:space="preserve">&lt;p&gt;1&amp;nbsp;доза (0,5&amp;nbsp;мл) вакцины содержит:&lt;/p&gt;
</t>
    </r>
    <r>
      <rPr>
        <i/>
        <sz val="10"/>
        <color theme="1"/>
        <rFont val="Arial"/>
      </rPr>
      <t>&lt;p&gt;&lt;i&gt;Действующие вещества:&lt;/i&gt;</t>
    </r>
    <r>
      <rPr>
        <sz val="10"/>
        <color theme="1"/>
        <rFont val="Arial"/>
      </rPr>
      <t xml:space="preserve">
&lt;ul&gt;&lt;li&gt;пептидный антиген №&amp;nbsp;1 белка&amp;nbsp;S вируса SARS-CoV-2, конъюгированный на белок-носитель — (75±15)&amp;nbsp;мкг;&lt;/li&gt;
&lt;li&gt;пептидный антиген №&amp;nbsp;2 белка&amp;nbsp;S вируса SARS-CoV-2, конъюгированный на белок-носитель — (75±15)&amp;nbsp;мкг;&lt;/li&gt;
&lt;li&gt;пептидный антиген №&amp;nbsp;3 белка&amp;nbsp;S вируса SARS-CoV-2, конъюгированный на белок-носитель — (75±15)&amp;nbsp;мкг.&lt;/li&gt;&lt;/ul&gt;
</t>
    </r>
    <r>
      <rPr>
        <i/>
        <sz val="10"/>
        <color theme="1"/>
        <rFont val="Arial"/>
      </rPr>
      <t>&lt;i&gt;Вспомогательные вещества:</t>
    </r>
    <r>
      <rPr>
        <sz val="10"/>
        <color theme="1"/>
        <rFont val="Arial"/>
      </rPr>
      <t>&lt;/i&gt;
&lt;ul&gt;&lt;li&gt;алюминия гидроксид в пересчете на (Al³⁺) — (0,60±0,10)&amp;nbsp;мг;&lt;/li&gt;
&lt;li&gt;калия дигидрофосфат — (0,12±0,01)&amp;nbsp;мг;&lt;/li&gt;
&lt;li&gt;калия хлорид — (0,10±0,01)&amp;nbsp;мг;&lt;/li&gt;
&lt;li&gt;натрия гидрофосфата додекагидрат — (1,82±0,10)&amp;nbsp;мг;&lt;/li&gt;
&lt;li&gt;натрия хлорид — (4,00±0,20)&amp;nbsp;мг;&lt;/li&gt;
&lt;li&gt;вода для инъекций — до 0,5&amp;nbsp;мл.&lt;/li&gt;&lt;/ul&gt;
Консервантов и антибиотиков не содержит.&lt;/p&gt;</t>
    </r>
  </si>
  <si>
    <r>
      <rPr>
        <sz val="10"/>
        <color theme="1"/>
        <rFont val="Arial"/>
      </rPr>
      <t xml:space="preserve">1 доза (0,5 мл) содержит:
</t>
    </r>
    <r>
      <rPr>
        <i/>
        <sz val="10"/>
        <color theme="1"/>
        <rFont val="Arial"/>
      </rPr>
      <t>Вакцина без консерванта</t>
    </r>
    <r>
      <rPr>
        <sz val="10"/>
        <color theme="1"/>
        <rFont val="Arial"/>
      </rPr>
      <t xml:space="preserve">:
• гемагглютинин вируса гриппа подтипа A(H₁N₁) — 5 мкг;
• гемагглютинин вируса гриппа подтипа A(H₃N₂) — 5 мкг;
• гемагглютинин вируса гриппа типа В — 11 мкг;
• азоксимера бромид (Полиоксидоний) — 500 мкг.
</t>
    </r>
    <r>
      <rPr>
        <i/>
        <sz val="10"/>
        <color theme="1"/>
        <rFont val="Arial"/>
      </rPr>
      <t>Вакцина с консервантом</t>
    </r>
    <r>
      <rPr>
        <sz val="10"/>
        <color theme="1"/>
        <rFont val="Arial"/>
      </rPr>
      <t>:
• гемагглютинин вируса гриппа подтипа A(H₁N₁) — 5 мкг;
• гемагглютинин вируса гриппа подтипа A(H₃N₂) — 5 мкг;
• гемагглютинин вируса гриппа типа В — 11 мкг;
• азоксимера бромид (Полиоксидоний) — 500 мкг;
• консервант — тиомерсал (мертиолят) — (50,0±7,5) мкг.
Примечание. 1. На стадиях производства препарата в качестве растворителя и стабилизатора pH используется фосфатный буферный раствор (ФБР):
для препарата без консерванта ФБР №1,
препарата с консервантом — ФБР №2.
Состав ФБР №1: 9 г натрия хлорида, 1,5 г натрия гидрофосфата, 0,12 – 0,14 г калия дигидрофосфата, вода для инъекций до 1 л.
Состав ФБР №2: 9 г натрия хлорида, 1,5 г натрия гидрофосфата, 0,12 – 0,14 г калия дигидрофосфата, 0,85 мл тиомерсала (мертиолята) раствора 1%, вода для инъекций до 1 л.
2. Полиоксидоний представляет собой смесь активного вещества полиоксидония (азоксимера бромида) и вспомогательных веществ: маннитола, повидона и бета-каротена водного раствора, получаемая в результате непрерывного технологического цикла.</t>
    </r>
  </si>
  <si>
    <r>
      <rPr>
        <sz val="10"/>
        <color theme="1"/>
        <rFont val="Arial"/>
      </rPr>
      <t xml:space="preserve">&lt;p&gt;1&amp;nbsp;доза (0,5&amp;nbsp;мл) содержит:&lt;/p&gt;
</t>
    </r>
    <r>
      <rPr>
        <i/>
        <sz val="10"/>
        <color theme="1"/>
        <rFont val="Arial"/>
      </rPr>
      <t>&lt;p&gt;&lt;i&gt;Вакцина без консерванта:&lt;/i&gt;</t>
    </r>
    <r>
      <rPr>
        <sz val="10"/>
        <color theme="1"/>
        <rFont val="Arial"/>
      </rPr>
      <t xml:space="preserve">
&lt;ul&gt;&lt;li&gt;гемагглютинин вируса гриппа подтипа&amp;nbsp;A(H₁N₁) — 5&amp;nbsp;мкг;&lt;/li&gt;
&lt;li&gt;гемагглютинин вируса гриппа подтипа&amp;nbsp;A(H₃N₂) — 5&amp;nbsp;мкг;&lt;/li&gt;
&lt;li&gt;гемагглютинин вируса гриппа типа&amp;nbsp;В — 11&amp;nbsp;мкг;&lt;/li&gt;
&lt;li&gt;азоксимера бромид (Полиоксидоний) — 500&amp;nbsp;мкг.&lt;/li&gt;&lt;/ul&gt;
</t>
    </r>
    <r>
      <rPr>
        <i/>
        <sz val="10"/>
        <color theme="1"/>
        <rFont val="Arial"/>
      </rPr>
      <t>&lt;i&gt;Вакцина с консервантом</t>
    </r>
    <r>
      <rPr>
        <sz val="10"/>
        <color theme="1"/>
        <rFont val="Arial"/>
      </rPr>
      <t>:&lt;/i&gt;
&lt;ul&gt;&lt;li&gt;гемагглютинин вируса гриппа подтипа&amp;nbsp;A(H₁N₁) — 5&amp;nbsp;мкг;&lt;/li&gt;
&lt;li&gt;гемагглютинин вируса гриппа подтипа&amp;nbsp;A(H₃N₂) — 5&amp;nbsp;мкг;&lt;/li&gt;
&lt;li&gt;гемагглютинин вируса гриппа типа&amp;nbsp;В — 11&amp;nbsp;мкг;&lt;/li&gt;
&lt;li&gt;азоксимера бромид (Полиоксидоний) — 500&amp;nbsp;мкг;&lt;/li&gt;
&lt;li&gt;консервант — тиомерсал (мертиолят) — (50,0±7,5)&amp;nbsp;мкг.&lt;/li&gt;&lt;/ul&gt;&lt;/p&gt;
&lt;p&gt;&lt;ul&gt;Примечание. 1. На стадиях производства препарата в качестве растворителя и стабилизатора pH используется фосфатный буферный раствор (ФБР):&lt;br&gt;
для препарата без консерванта ФБР&amp;nbsp;№1,&lt;br&gt;
препарата с консервантом — ФБР&amp;nbsp;№2.&lt;br&gt;
Состав ФБР&amp;nbsp;№1: 9&amp;nbsp;г натрия хлорида, 1,5&amp;nbsp;г натрия гидрофосфата, 0,12&amp;nbsp;–&amp;nbsp;0,14&amp;nbsp;г калия дигидрофосфата, вода для инъекций до 1&amp;nbsp;л.&lt;br&gt;
Состав ФБР&amp;nbsp;№2: 9&amp;nbsp;г натрия хлорида, 1,5&amp;nbsp;г натрия гидрофосфата, 0,12&amp;nbsp;–&amp;nbsp;0,14&amp;nbsp;г калия дигидрофосфата, 0,85&amp;nbsp;мл тиомерсала (мертиолята) раствора 1%, вода для инъекций до 1&amp;nbsp;л.&lt;br&gt;
2. Полиоксидоний представляет собой смесь активного вещества полиоксидония (азоксимера бромида) и вспомогательных веществ: маннитола, повидона и бета-каротена водного раствора, получаемая в результате непрерывного технологического цикла.&lt;/ul&gt;&lt;/p&gt;</t>
    </r>
  </si>
  <si>
    <t>Одна иммунизирующая доза (0,5 мл) содержит по 5 мкг гемагглютинина эпидемически актуальных штаммов вирусов гриппа подтипов A (H₁N₁ и H₃N₂) и 11 мкг гемагглютинина вируса гриппа типа В, 500 мкг иммуноадъюванта Полиоксидоний® в фосфатно-солевом буферном растворе; консервант: мертиолят — 50 мкг.</t>
  </si>
  <si>
    <t>&lt;p&gt;Одна иммунизирующая доза (0,5&amp;nbsp;мл) содержит по 5&amp;nbsp;мкг гемагглютинина эпидемически актуальных штаммов вирусов гриппа подтипов&amp;nbsp;A (H₁N₁ и H₃N₂) и 11&amp;nbsp;мкг гемагглютинина вируса гриппа типа&amp;nbsp;В, 500&amp;nbsp;мкг иммуноадъюванта Полиоксидоний® в фосфатно-солевом буферном растворе; консервант: мертиолят — 50&amp;nbsp;мкг.&lt;/p&gt;</t>
  </si>
  <si>
    <t>1 доза (0,5 мл) содержит:
Действующие вещества:
Антиген вируса гриппа типа А (H₁N₁)* с содержанием гемагглютинина — 5 мкг
Антиген вируса гриппа типа А (H₃N₂)* с содержанием гемагглютинина — 5 мкг
Антиген вируса гриппа типа В* с содержанием гемагглютинина — 5 мкг
Полиоксидоний® (Азоксимера бромид) — 500 мкг
* Штаммы антигенов вируса гриппа в соответствии с рекомендациями Всемирной организации здравоохранения (ВОЗ) на текущий эпидемический сезон для Северного полушария.
Вакцинные штаммы выращены на куриных эмбрионах.
Перечень вспомогательных веществ:
Фосфатно-солевой буферный раствор
Состав фосфатно-солевого буферного раствора на 1 дозу (0,5 мл) лекарственного средства: калия хлорид — 100 мкг, калия дигидрофосфат — 100 мкг, динатрия гидрофосфат дигидрат — 670 мкг, натрия хлорид — 4000 мкг, вода для инъекций — до 0,5 мл.
Данный препарат содержит менее 1 ммоль (23 мг) натрия на 1 дозу, то есть по сути не содержит натрия.
Данный препарат содержит калий менее 1 ммоль (39 мг) на 1 дозу, то есть по сути не содержит калия.</t>
  </si>
  <si>
    <t>&lt;p&gt;1&amp;nbsp;доза (0,5&amp;nbsp;мл) содержит:&lt;br&gt;&lt;br&gt;
&lt;i&gt;Действующие вещества:&lt;/i&gt;
&lt;ul&gt;&lt;li&gt;Антиген вируса гриппа типа А (H₁N₁)* с содержанием гемагглютинина — 5&amp;nbsp;мкг&lt;/li&gt;
&lt;li&gt;Антиген вируса гриппа типа А (H₃N₂)* с содержанием гемагглютинина — 5&amp;nbsp;мкг&lt;/li&gt;
&lt;li&gt;Антиген вируса гриппа типа В* с содержанием гемагглютинина — 5&amp;nbsp;мкг&lt;/li&gt;
&lt;li&gt;Полиоксидоний® (Азоксимера бромид) — 500&amp;nbsp;мкг&lt;/li&gt;&lt;/ul&gt;
*&amp;nbsp;Штаммы антигенов вируса гриппа в соответствии с рекомендациями Всемирной организации здравоохранения (ВОЗ) на текущий эпидемический сезон для Северного полушария.&lt;br&gt;&lt;br&gt;
Вакцинные штаммы выращены на куриных эмбрионах.&lt;/p&gt;
&lt;p&gt;&lt;i&gt;Перечень вспомогательных веществ:&lt;/i&gt;
&lt;ul&gt;&lt;li&gt;Фосфатно-солевой буферный раствор&lt;/li&gt;
Состав фосфатно-солевого буферного раствора на 1&amp;nbsp;дозу (0,5&amp;nbsp;мл) лекарственного средства: калия хлорид — 100&amp;nbsp;мкг, калия дигидрофосфат — 100&amp;nbsp;мкг, динатрия гидрофосфат дигидрат — 670&amp;nbsp;мкг, натрия хлорид — 4000&amp;nbsp;мкг, вода для инъекций — до 0,5&amp;nbsp;мл.&lt;/ul&gt;
Данный препарат содержит менее 1&amp;nbsp;ммоль (23&amp;nbsp;мг) натрия на 1&amp;nbsp;дозу, то есть по сути не содержит натрия.&lt;br&gt;
Данный препарат содержит калий менее 1&amp;nbsp;ммоль (39&amp;nbsp;мг) на 1&amp;nbsp;дозу, то есть по сути не содержит калия.&lt;/p&gt;</t>
  </si>
  <si>
    <r>
      <rPr>
        <sz val="10"/>
        <color theme="1"/>
        <rFont val="Arial"/>
      </rPr>
      <t xml:space="preserve">Действующие вещества*: гемагглютинин вируса гриппа подтипа А(H₁N₁); гемагглютинин вируса гриппа подтипа А(H₃N₂); гемагглютинин вируса гриппа типа В.
0,5 мл (1 доза) содержит:
</t>
    </r>
    <r>
      <rPr>
        <i/>
        <sz val="10"/>
        <color theme="1"/>
        <rFont val="Arial"/>
      </rPr>
      <t>Вакцина с консервантом</t>
    </r>
    <r>
      <rPr>
        <sz val="10"/>
        <color theme="1"/>
        <rFont val="Arial"/>
      </rPr>
      <t xml:space="preserve">
• гемагглютинин вируса гриппа подтипа A(H₁N₁) — 5 мкг;
• гемагглютинин вируса гриппа подтипа A(H₃N₂) —  5 мкг;
• гемагглютинин вируса гриппа типа В — 11 мкг.
</t>
    </r>
    <r>
      <rPr>
        <i/>
        <sz val="10"/>
        <color theme="1"/>
        <rFont val="Arial"/>
      </rPr>
      <t>Вакцина без консерванта</t>
    </r>
    <r>
      <rPr>
        <sz val="10"/>
        <color theme="1"/>
        <rFont val="Arial"/>
      </rPr>
      <t xml:space="preserve">
• гемагглютинин вируса гриппа подтипа A(H₁N₁) — 5 мкг;
• гемагглютинин вируса гриппа подтипа A(H₃N₂) — 5 мкг;
• гемагглютинин вируса гриппа типа В — 11 мкг.
* Действующие вещества выделены из очищенных вирионов вируса гриппа А и В, полученных из вируссодержащей аллантоисной жидкости куриных эмбрионов от клинически здоровых кур с использованием в производственном процессе двух технологий (эритроцитарной или безэритроцитарной).
Штаммовый состав вакцины соответствует рекомендациям Всемирной организации здравоохранения (ВОЗ) для Северного полушария.
Вакцина содержит адъювант: сополимер 2-метил-5-винилпиридина и N-винилпирролидона (торговое наименование — СОВИДОН) — 500 мкг.
СОВИГРИПП Вакцина гриппозная инактивированная субъединичная может содержать следы яиц (белки куриного яйца, в том числе овальбумин не более 0,1 мкг/мл).
Перечень вспомогательных веществ:
</t>
    </r>
    <r>
      <rPr>
        <i/>
        <sz val="10"/>
        <color theme="1"/>
        <rFont val="Arial"/>
      </rPr>
      <t>Вакцина с консервантом</t>
    </r>
    <r>
      <rPr>
        <sz val="10"/>
        <color theme="1"/>
        <rFont val="Arial"/>
      </rPr>
      <t xml:space="preserve">
• Сополимер 2-метил-5-винилпиридина и N-винилпирролидона (адъювант).
• Тиомерсал (консервант).
• Фосфатно-солевой буферный раствор (натрия хлорид, динатрия гидрофосфат додекагидрат, калия дигидрофосфат, тиомерсал, вода для инъекций).
</t>
    </r>
    <r>
      <rPr>
        <i/>
        <sz val="10"/>
        <color theme="1"/>
        <rFont val="Arial"/>
      </rPr>
      <t>Вакцина без консерванта</t>
    </r>
    <r>
      <rPr>
        <sz val="10"/>
        <color theme="1"/>
        <rFont val="Arial"/>
      </rPr>
      <t xml:space="preserve">
• Сополимер 2-метил-5-винилпиридина и N-винилпирролидона (адъювант).
• Фосфатно-солевой буферный раствор (натрия хлорид, динатрия гидрофосфат додекагидрат, калия дигидрофосфат, вода для инъекций).</t>
    </r>
  </si>
  <si>
    <r>
      <rPr>
        <sz val="10"/>
        <color theme="1"/>
        <rFont val="Arial"/>
      </rPr>
      <t xml:space="preserve">&lt;p&gt;Действующие вещества*: гемагглютинин вируса гриппа подтипа А(H₁N₁); гемагглютинин вируса гриппа подтипа А(H₃N₂); гемагглютинин вируса гриппа типа В.&lt;br&gt;&lt;br&gt;
0,5&amp;nbsp;мл (1&amp;nbsp;доза) содержит:&lt;br&gt;
</t>
    </r>
    <r>
      <rPr>
        <i/>
        <sz val="10"/>
        <color theme="1"/>
        <rFont val="Arial"/>
      </rPr>
      <t>&lt;i&gt;Вакцина с консервантом&lt;/i&gt;</t>
    </r>
    <r>
      <rPr>
        <sz val="10"/>
        <color theme="1"/>
        <rFont val="Arial"/>
      </rPr>
      <t xml:space="preserve">
&lt;ul&gt;&lt;li&gt;гемагглютинин вируса гриппа подтипа&amp;nbsp;A(H₁N₁) — 5&amp;nbsp;мкг;&lt;/li&gt;
&lt;li&gt;гемагглютинин вируса гриппа подтипа&amp;nbsp;A(H₃N₂) — 5&amp;nbsp;мкг;&lt;/li&gt;
&lt;li&gt;гемагглютинин вируса гриппа типа&amp;nbsp;В — 11&amp;nbsp;мкг.&lt;/li&gt;&lt;/ul&gt;
</t>
    </r>
    <r>
      <rPr>
        <i/>
        <sz val="10"/>
        <color theme="1"/>
        <rFont val="Arial"/>
      </rPr>
      <t>&lt;i&gt;Вакцина без консерванта&lt;/i&gt;</t>
    </r>
    <r>
      <rPr>
        <sz val="10"/>
        <color theme="1"/>
        <rFont val="Arial"/>
      </rPr>
      <t xml:space="preserve">
&lt;ul&gt;&lt;li&gt;гемагглютинин вируса гриппа подтипа&amp;nbsp;A(H₁N₁) — 5&amp;nbsp;мкг;&lt;/li&gt;
&lt;li&gt;гемагглютинин вируса гриппа подтипа&amp;nbsp;A(H₃N₂) — 5&amp;nbsp;мкг;&lt;/li&gt;
&lt;li&gt;гемагглютинин вируса гриппа типа&amp;nbsp;В — 11&amp;nbsp;мкг.&lt;/li&gt;&lt;/ul&gt;
*&amp;nbsp;Действующие вещества выделены из очищенных вирионов вируса гриппа А и В, полученных из вируссодержащей аллантоисной жидкости куриных эмбрионов от клинически здоровых кур с использованием в производственном процессе двух технологий (эритроцитарной или безэритроцитарной).&lt;br&gt;&lt;br&gt;
Штаммовый состав вакцины соответствует рекомендациям Всемирной организации здравоохранения (ВОЗ) для Северного полушария.&lt;br&gt;
Вакцина содержит адъювант: сополимер 2-метил-5-винилпиридина и N-винилпирролидона (торговое наименование — СОВИДОН) — 500&amp;nbsp;мкг.&lt;br&gt;
СОВИГРИПП Вакцина гриппозная инактивированная субъединичная может содержать следы яиц (белки куриного яйца, в том числе овальбумин не более 0,1&amp;nbsp;мкг/мл).&lt;br&gt;&lt;br&gt;
Перечень вспомогательных веществ:&lt;br&gt;
</t>
    </r>
    <r>
      <rPr>
        <i/>
        <sz val="10"/>
        <color theme="1"/>
        <rFont val="Arial"/>
      </rPr>
      <t>&lt;i&gt;Вакцина с консервантом</t>
    </r>
    <r>
      <rPr>
        <sz val="10"/>
        <color theme="1"/>
        <rFont val="Arial"/>
      </rPr>
      <t xml:space="preserve">&lt;/i&gt;
&lt;ul&gt;&lt;li&gt;Сополимер 2-метил-5-винилпиридина и N-винилпирролидона (адъювант).&lt;/li&gt;
&lt;li&gt;Тиомерсал (консервант).&lt;/li&gt;
&lt;li&gt;Фосфатно-солевой буферный раствор (натрия хлорид, динатрия гидрофосфат додекагидрат, калия дигидрофосфат, тиомерсал, вода для инъекций).&lt;/li&gt;&lt;/ul&gt;
</t>
    </r>
    <r>
      <rPr>
        <i/>
        <sz val="10"/>
        <color theme="1"/>
        <rFont val="Arial"/>
      </rPr>
      <t>&lt;i&gt;Вакцина без консерванта&lt;/i&gt;</t>
    </r>
    <r>
      <rPr>
        <sz val="10"/>
        <color theme="1"/>
        <rFont val="Arial"/>
      </rPr>
      <t xml:space="preserve">
&lt;ul&gt;&lt;li&gt;Сополимер 2-метил-5-винилпиридина и N-винилпирролидона (адъювант).&lt;/li&gt;
&lt;li&gt;Фосфатно-солевой буферный раствор (натрия хлорид, динатрия гидрофосфат додекагидрат, калия дигидрофосфат, вода для инъекций).&lt;/li&gt;&lt;/ul&gt;&lt;/p&gt;</t>
    </r>
  </si>
  <si>
    <r>
      <rPr>
        <sz val="10"/>
        <color theme="1"/>
        <rFont val="Arial"/>
      </rPr>
      <t xml:space="preserve">1 доза (0,5 мл) содержит
</t>
    </r>
    <r>
      <rPr>
        <i/>
        <sz val="10"/>
        <color theme="1"/>
        <rFont val="Arial"/>
      </rPr>
      <t>Действующие вещества:</t>
    </r>
    <r>
      <rPr>
        <sz val="10"/>
        <color theme="1"/>
        <rFont val="Arial"/>
      </rPr>
      <t xml:space="preserve">
Вирусы гриппа, культивированные на куриных эмбрионах, инактивированные, расщепленные, представленные штаммами, эквивалентными следующим:
• А/(H₁N₁) — (15±2,0) мкг ГА;
• А/(H₃N₂) — (15±2,0) мкг ГА;
• В/ — (15±2,0) мкг ГА.
</t>
    </r>
    <r>
      <rPr>
        <i/>
        <sz val="10"/>
        <color theme="1"/>
        <rFont val="Arial"/>
      </rPr>
      <t>Перечень вспомогательных веществ:</t>
    </r>
    <r>
      <rPr>
        <sz val="10"/>
        <color theme="1"/>
        <rFont val="Arial"/>
      </rPr>
      <t xml:space="preserve">
Консервант – мертиолят или не содержит консерванта, фосфатно-солевой буферный раствор (натрия хлорид, динатрия гидрофосфат дигидрат, натрия дигидрофосфат дигидрат, вода для инъекций).</t>
    </r>
  </si>
  <si>
    <t>&lt;p&gt;1&amp;nbsp;доза (0,5&amp;nbsp;мл) содержит&lt;/p&gt;
&lt;p&gt;&lt;i&gt;Действующие вещества:&lt;/i&gt;&lt;br&gt;
Вирусы гриппа, культивированные на куриных эмбрионах, инактивированные, расщепленные, представленные штаммами, эквивалентными следующим:
&lt;ul&gt;&lt;li&gt;А/(H₁N₁) — (15±2,0)&amp;nbsp;мкг ГА;&lt;/li&gt;
&lt;li&gt;А/(H₃N₂) — (15±2,0)&amp;nbsp;мкг ГА;&lt;/li&gt;
&lt;li&gt;В/ — (15±2,0)&amp;nbsp;мкг ГА.&lt;/li&gt;&lt;/ul&gt;
&lt;i&gt;Перечень вспомогательных веществ:&lt;/i&gt;&lt;br&gt;
Консервант – мертиолят или не содержит консерванта, фосфатно-солевой буферный раствор (натрия хлорид, динатрия гидрофосфат дигидрат, натрия дигидрофосфат дигидрат, вода для инъекций).&lt;/p&gt;</t>
  </si>
  <si>
    <r>
      <rPr>
        <sz val="10"/>
        <color theme="1"/>
        <rFont val="Arial"/>
      </rPr>
      <t xml:space="preserve">1 доза (0,5 мл) содержит:
</t>
    </r>
    <r>
      <rPr>
        <i/>
        <sz val="10"/>
        <color theme="1"/>
        <rFont val="Arial"/>
      </rPr>
      <t>Препарат с консервантом:</t>
    </r>
    <r>
      <rPr>
        <sz val="10"/>
        <color theme="1"/>
        <rFont val="Arial"/>
      </rPr>
      <t xml:space="preserve">
• Гемагглютинин вируса гриппа подтипа А(Н1N1)¹·² — 15 мкг
• Гемагглютинин вируса гриппа подтипа A(H3N2)¹·² — 15 мкг
• Гемагглютинин вируса гриппа типа В¹·² — 15 мкг
</t>
    </r>
    <r>
      <rPr>
        <i/>
        <sz val="10"/>
        <color theme="1"/>
        <rFont val="Arial"/>
      </rPr>
      <t>Препарат без консерванта:</t>
    </r>
    <r>
      <rPr>
        <sz val="10"/>
        <color theme="1"/>
        <rFont val="Arial"/>
      </rPr>
      <t xml:space="preserve">
• Гемагглютинин вируса гриппа подтипа А(Н1N1)¹·² — 15 мкг
• Гемагглютинин вируса гриппа подтипа A(H3N2)¹·² — 15 мкг
• Гемагглютинин вируса гриппа типа В¹·² — 15 мкг
¹ Действующие вещества выделены из очищенных вирионов вируса гриппа А и В, полученных из вируссодержащей аллантоисной жидкости куриных эмбрионов.
² Штаммовый состав вакцины изменяется каждый год в соответствии с эпидемиологической ситуацией и рекомендациями Всемирной организации здравоохранения (ВОЗ) для Северного полушария.
</t>
    </r>
    <r>
      <rPr>
        <i/>
        <sz val="10"/>
        <color theme="1"/>
        <rFont val="Arial"/>
      </rPr>
      <t>Вспомогательные вещества препарата с консервантом:</t>
    </r>
    <r>
      <rPr>
        <sz val="10"/>
        <color theme="1"/>
        <rFont val="Arial"/>
      </rPr>
      <t xml:space="preserve">
• Тиомерсал (консервант)
• Тритон Х-100 (стабилизатор)
• Фосфатно-солевой буферный раствор
</t>
    </r>
    <r>
      <rPr>
        <i/>
        <sz val="10"/>
        <color theme="1"/>
        <rFont val="Arial"/>
      </rPr>
      <t>Вспомогательные вещества препарата без консерванта:</t>
    </r>
    <r>
      <rPr>
        <sz val="10"/>
        <color theme="1"/>
        <rFont val="Arial"/>
      </rPr>
      <t xml:space="preserve">
• Тритон Х-100 (стабилизатор)
• Фосфатно-солевой буферный раствор
Состав фосфатно-солевого буферного раствора на дозу лекарственного препарата (0,5 мл): натрия хлорид, динатрия фосфата додекагидрат, калия дигидрофосфат, вода для инъекций.</t>
    </r>
  </si>
  <si>
    <t>&lt;p&gt;1&amp;nbsp;доза (0,5&amp;nbsp;мл) содержит:&lt;br&gt;&lt;br&gt;
&lt;i&gt;Препарат с консервантом:&lt;/i&gt;
&lt;ul&gt;&lt;li&gt;Гемагглютинин вируса гриппа подтипа А(Н1N1)¹&lt;sup&gt;,&lt;/sup&gt;² — 15&amp;nbsp;мкг&lt;/li&gt;
&lt;li&gt;Гемагглютинин вируса гриппа подтипа A(H3N2)¹&lt;sup&gt;,&lt;/sup&gt;² — 15&amp;nbsp;мкг&lt;/li&gt;
&lt;li&gt;Гемагглютинин вируса гриппа типа В¹&lt;sup&gt;,&lt;/sup&gt;² — 15&amp;nbsp;мкг&lt;/li&gt;&lt;/ul&gt;
&lt;i&gt;Препарат без консерванта:&lt;/i&gt;
&lt;ul&gt;&lt;li&gt;Гемагглютинин вируса гриппа подтипа А(Н1N1)¹&lt;sup&gt;,&lt;/sup&gt;² — 15&amp;nbsp;мкг&lt;/li&gt;
&lt;li&gt;Гемагглютинин вируса гриппа подтипа A(H3N2)¹&lt;sup&gt;,&lt;/sup&gt;² — 15&amp;nbsp;мкг&lt;/li&gt;
&lt;li&gt;Гемагглютинин вируса гриппа типа В¹&lt;sup&gt;,&lt;/sup&gt;² — 15&amp;nbsp;мкг&lt;/li&gt;&lt;/ul&gt;
¹ Действующие вещества выделены из очищенных вирионов вируса гриппа А и В, полученных из вируссодержащей аллантоисной жидкости куриных эмбрионов.&lt;br&gt;
² Штаммовый состав вакцины изменяется каждый год в соответствии с эпидемиологической ситуацией и рекомендациями Всемирной организации здравоохранения (ВОЗ) для Северного полушария.&lt;br&gt;&lt;br&gt;
&lt;i&gt;Вспомогательные вещества препарата с консервантом:&lt;/i&gt;
&lt;ul&gt;&lt;li&gt;Тиомерсал (консервант)&lt;/li&gt;
&lt;li&gt;Тритон Х-100 (стабилизатор)&lt;/li&gt;
&lt;li&gt;Фосфатно-солевой буферный раствор&lt;/li&gt;&lt;/ul&gt;
&lt;i&gt;Вспомогательные вещества препарата без консерванта:&lt;/i&gt;
&lt;ul&gt;&lt;li&gt;Тритон Х-100 (стабилизатор)&lt;/li&gt;
&lt;li&gt;Фосфатно-солевой буферный раствор&lt;/li&gt;&lt;/ul&gt;
Состав фосфатно-солевого буферного раствора на дозу лекарственного препарата (0,5&amp;nbsp;мл): натрия хлорид, динатрия фосфата додекагидрат, калия дигидрофосфат, вода для инъекций.&lt;/p&gt;</t>
  </si>
  <si>
    <r>
      <rPr>
        <sz val="10"/>
        <color theme="1"/>
        <rFont val="Arial"/>
      </rPr>
      <t xml:space="preserve">На 1 дозу вакцины (0,5 мл):
</t>
    </r>
    <r>
      <rPr>
        <i/>
        <sz val="10"/>
        <color theme="1"/>
        <rFont val="Arial"/>
      </rPr>
      <t>Действующие вещества</t>
    </r>
    <r>
      <rPr>
        <sz val="10"/>
        <color theme="1"/>
        <rFont val="Arial"/>
      </rPr>
      <t xml:space="preserve">:
Вирусы гриппа, культивированные на куриных эмбрионах, инактивированные расщепленные, представленные штаммами, эквивалентными следующим:
• А/(H₁N₁)* — 15 мкг гемагглютинина;
• А/(H₃N₂)* — 15 мкг гемагглютинина;
• В/* — 15 мкг гемагглютинина.
* - Указываются актуальные штаммы, рекомендованные ВОЗ и решением ЕС для Северного полушария на текущий эпидемический сезон.
</t>
    </r>
    <r>
      <rPr>
        <i/>
        <sz val="10"/>
        <color theme="1"/>
        <rFont val="Arial"/>
      </rPr>
      <t>Вспомогательные вещества:</t>
    </r>
    <r>
      <rPr>
        <sz val="10"/>
        <color theme="1"/>
        <rFont val="Arial"/>
      </rPr>
      <t xml:space="preserve">
• Буферный раствор, содержащий натрия хлорид, калия хлорид, натрия гидрофосфата дигидрат, калия дигидрофосфат, воду для инъекций — до 0,5 мл.
Не содержит адъювантов и консервантов. 
Производственные примеси (в следовых количествах): формальдегид, октоксинол-9, неомицин, овальбумин.</t>
    </r>
  </si>
  <si>
    <r>
      <rPr>
        <sz val="10"/>
        <color theme="1"/>
        <rFont val="Arial"/>
      </rPr>
      <t xml:space="preserve">&lt;p&gt;На 1&amp;nbsp;дозу вакцины (0,5&amp;nbsp;мл):&lt;/p&gt;
</t>
    </r>
    <r>
      <rPr>
        <i/>
        <sz val="10"/>
        <color theme="1"/>
        <rFont val="Arial"/>
      </rPr>
      <t>&lt;p&gt;&lt;i&gt;Действующие вещества</t>
    </r>
    <r>
      <rPr>
        <sz val="10"/>
        <color theme="1"/>
        <rFont val="Arial"/>
      </rPr>
      <t xml:space="preserve">:&lt;/i&gt;&lt;/p&gt;
&lt;p&gt;Вирусы гриппа, культивированные на куриных эмбрионах, инактивированные расщепленные, представленные штаммами, эквивалентными следующим:
&lt;ul&gt;&lt;li&gt;А/(H₁N₁)* — 15&amp;nbsp;мкг гемагглютинина;&lt;/li&gt;
&lt;li&gt;А/(H₃N₂)* — 15&amp;nbsp;мкг гемагглютинина;&lt;/li&gt;
&lt;li&gt;В/* — 15&amp;nbsp;мкг гемагглютинина.&lt;/li&gt;&lt;/ul&gt;&lt;/p&gt;
&lt;p&gt;* - Указываются актуальные штаммы, рекомендованные ВОЗ и решением ЕС для Северного полушария на текущий эпидемический сезон.&lt;/p&gt;
</t>
    </r>
    <r>
      <rPr>
        <i/>
        <sz val="10"/>
        <color theme="1"/>
        <rFont val="Arial"/>
      </rPr>
      <t>&lt;p&gt;&lt;i&gt;Вспомогательные вещества:</t>
    </r>
    <r>
      <rPr>
        <sz val="10"/>
        <color theme="1"/>
        <rFont val="Arial"/>
      </rPr>
      <t>&lt;/i&gt;
&lt;ul&gt;&lt;li&gt;Буферный раствор, содержащий натрия хлорид, калия хлорид, натрия гидрофосфата дигидрат, калия дигидрофосфат, воду для инъекций — до 0,5&amp;nbsp;мл.&lt;/li&gt;&lt;/ul&gt;&lt;/p&gt;
&lt;p&gt;Не содержит адъювантов и консервантов.&lt;p&gt;
&lt;p&gt;Производственные примеси (в следовых количествах): формальдегид, октоксинол-9, неомицин, овальбумин.&lt;/p&gt;</t>
    </r>
  </si>
  <si>
    <r>
      <rPr>
        <sz val="10"/>
        <color theme="1"/>
        <rFont val="Arial"/>
      </rPr>
      <t xml:space="preserve">1 доза (0,5 мл) содержит: 
• Гемагглютинин вируса гриппа¹ подтипа A(H1N1)²·³ — 15 мкг 
• Гемагглютинин вируса гриппа¹ подтипа A(H3N2)²·³ — 15 мкг 
• Гемагглютинин вируса гриппа¹ подтипа B²·³ — 15 мкг
¹ Выращены на куриных эмбрионах здоровых кур.
² После названия типа антигена выносится название штамма, рекомендованного Всемирной организацией здравоохранения (ВОЗ) на текущий эпидемический сезон гриппа для Северного полушария.
³ Штаммовый состав вакцины соответствует рекомендациям Всемирной организации здравоохранения (ВОЗ) для Северного полушария и решению компетентного регуляторного органа по составу гриппозных вакцин в отношении данного сезона (год/год).
</t>
    </r>
    <r>
      <rPr>
        <i/>
        <sz val="10"/>
        <color theme="1"/>
        <rFont val="Arial"/>
      </rPr>
      <t>Перечень вспомогательных веществ:</t>
    </r>
    <r>
      <rPr>
        <sz val="10"/>
        <color theme="1"/>
        <rFont val="Arial"/>
      </rPr>
      <t xml:space="preserve">
• Калия хлорид;
• Калия дигидрофосфат;
• Динатрия фосфата дигидрат;
• Натрия хлорид;
• Кальция хлорида дигидрат;
• Магния хлорида гексагидрат;
• Вода для инъекций.</t>
    </r>
  </si>
  <si>
    <t>&lt;p&gt;1&amp;nbsp;доза (0,5&amp;nbsp;мл) содержит: 
&lt;ul&gt;&lt;li&gt;Гемагглютинин вируса гриппа¹ подтипа A(H1N1)²&lt;sup&gt;,&lt;/sup&gt;³ — 15 &amp;nbsp;мкг&lt;/li&gt;
&lt;li&gt;Гемагглютинин вируса гриппа¹ подтипа A(H3N2)²&lt;sup&gt;,&lt;/sup&gt;³ — 15&amp;nbsp;мкг&lt;/li&gt;
&lt;li&gt;Гемагглютинин вируса гриппа¹ подтипа B²&lt;sup&gt;,&lt;/sup&gt;³ — 15&amp;nbsp;мкг&lt;/li&gt;&lt;/ul&gt;
¹&amp;nbsp;Выращены на куриных эмбрионах здоровых кур.&lt;br&gt;
²&amp;nbsp;После названия типа антигена выносится название штамма, рекомендованного Всемирной организацией здравоохранения (ВОЗ) на текущий эпидемический сезон гриппа для Северного полушария.&lt;br&gt;
³&amp;nbsp;Штаммовый состав вакцины соответствует рекомендациям Всемирной организации здравоохранения (ВОЗ) для Северного полушария и решению компетентного регуляторного органа по составу гриппозных вакцин в отношении данного сезона (год/год).&lt;br&gt;&lt;br&gt;
&lt;i&gt;Перечень вспомогательных веществ:&lt;/i&gt;
&lt;ul&gt;&lt;li&gt;Калия хлорид;&lt;/li&gt;
&lt;li&gt;Калия дигидрофосфат;&lt;/li&gt;
&lt;li&gt;Динатрия фосфата дигидрат;&lt;/li&gt;
&lt;li&gt;Натрия хлорид;&lt;/li&gt;
&lt;li&gt;Кальция хлорида дигидрат;&lt;/li&gt;
&lt;li&gt;Магния хлорида гексагидрат;&lt;/li&gt;
&lt;li&gt;Вода для инъекций.&lt;/li&gt;&lt;/ul&gt;&lt;/p&gt;</t>
  </si>
  <si>
    <r>
      <rPr>
        <sz val="10"/>
        <color theme="1"/>
        <rFont val="Arial"/>
      </rPr>
      <t xml:space="preserve">0,5 мл (1 доза) содержит
</t>
    </r>
    <r>
      <rPr>
        <i/>
        <sz val="10"/>
        <color theme="1"/>
        <rFont val="Arial"/>
      </rPr>
      <t>Действующие вещества</t>
    </r>
    <r>
      <rPr>
        <sz val="10"/>
        <color theme="1"/>
        <rFont val="Arial"/>
      </rPr>
      <t xml:space="preserve">:
• Антиген вируса гриппа типа A (H₁N₁) — (15±2,0) мкг ГА;
• Антиген вируса гриппа типа А (H₃N₂) — (15±2,0) мкг ГА;
• Антиген вируса гриппа типа В (линия Yamagata) — (15±2,0) мкг ГА;
• Антиген вируса гриппа типа В (линия Victoria) — (15±2,0) мкг ГА.
</t>
    </r>
    <r>
      <rPr>
        <i/>
        <sz val="10"/>
        <color theme="1"/>
        <rFont val="Arial"/>
      </rPr>
      <t>Перечень вспомогательных веществ:</t>
    </r>
    <r>
      <rPr>
        <sz val="10"/>
        <color theme="1"/>
        <rFont val="Arial"/>
      </rPr>
      <t xml:space="preserve">
Полисорбат 80, октоксинол-10, фосфатно-солевой буферный раствор (натрия хлорид, динатрия гидрофосфат дигидрат, натрия дигидрофосфат дигидрат, вода для инъекций).
Ультрикс® Квадри содержит менее 1 ммоль (23 мг) натрия на дозу, то есть, по сути, не содержит натрия.
Ультрикс® Квадри может содержать следовые количества яичного белка — овальбумина (не более 1 мкг на дозу), используемого в производственном процессе.</t>
    </r>
  </si>
  <si>
    <r>
      <rPr>
        <sz val="10"/>
        <color theme="1"/>
        <rFont val="Arial"/>
      </rPr>
      <t xml:space="preserve">&lt;p&gt;0,5&amp;nbsp;мл (1&amp;nbsp;доза) содержит&lt;/p&gt;
</t>
    </r>
    <r>
      <rPr>
        <i/>
        <sz val="10"/>
        <color theme="1"/>
        <rFont val="Arial"/>
      </rPr>
      <t>&lt;p&gt;&lt;i&gt;Действующие вещества:</t>
    </r>
    <r>
      <rPr>
        <sz val="10"/>
        <color theme="1"/>
        <rFont val="Arial"/>
      </rPr>
      <t xml:space="preserve">&lt;/i&gt;
&lt;ul&gt;&lt;li&gt;Антиген вируса гриппа типа&amp;nbsp;A (H₁N₁) — (15±2,0)&amp;nbsp;мкг ГА;&lt;/li&gt;
&lt;li&gt;Антиген вируса гриппа типа&amp;nbsp;А (H₃N₂) — (15±2,0)&amp;nbsp;мкг ГА;&lt;/li&gt;
&lt;li&gt;Антиген вируса гриппа типа&amp;nbsp;В (линия Yamagata) — (15±2,0)&amp;nbsp;мкг ГА;&lt;/li&gt;
&lt;li&gt;Антиген вируса гриппа типа&amp;nbsp;В (линия Victoria) — (15±2,0)&amp;nbsp;мкг ГА.&lt;/li&gt;&lt;/ul&gt;
</t>
    </r>
    <r>
      <rPr>
        <i/>
        <sz val="10"/>
        <color theme="1"/>
        <rFont val="Arial"/>
      </rPr>
      <t>&lt;i&gt;</t>
    </r>
    <r>
      <rPr>
        <sz val="10"/>
        <color theme="1"/>
        <rFont val="Arial"/>
      </rPr>
      <t>Перечень вспомогательных веществ:&lt;/i&gt;&lt;br&gt;
Полисорбат&amp;nbsp;80, октоксинол-10, фосфатно-солевой буферный раствор (натрия хлорид, динатрия гидрофосфат дигидрат, натрия дигидрофосфат дигидрат, вода для инъекций).&lt;br&gt;&lt;br&gt;
Ультрикс® Квадри содержит менее 1&amp;nbsp;ммоль (23&amp;nbsp;мг) натрия на дозу, то есть, по сути, не содержит натрия.&lt;br&gt;
Ультрикс® Квадри может содержать следовые количества яичного белка — овальбумина (не более 1&amp;nbsp;мкг на дозу), используемого в производственном процессе.&lt;/p&gt;</t>
    </r>
  </si>
  <si>
    <r>
      <rPr>
        <sz val="10"/>
        <color theme="1"/>
        <rFont val="Arial"/>
      </rPr>
      <t xml:space="preserve">1 доза (0,5 мл) содержит:
</t>
    </r>
    <r>
      <rPr>
        <i/>
        <sz val="10"/>
        <color theme="1"/>
        <rFont val="Arial"/>
      </rPr>
      <t>Действующие вещества:</t>
    </r>
    <r>
      <rPr>
        <sz val="10"/>
        <color theme="1"/>
        <rFont val="Arial"/>
      </rPr>
      <t xml:space="preserve">
• Антиген вируса гриппа типа A (H₁N₁)* с содержанием гемагглютинина — 5 мкг.
• Антиген вируса гриппа типа A (H₃N₂)* с содержанием гемагглютинина — 5 мкг.
• Антиген вируса гриппа типа В (линия Yamagata)* с содержанием гемагглютинина — 5 мкг.
• Антиген вируса гриппа типа В (линия Victoria)* с содержанием гемагглютинина — 5 мкг.
• Полиоксидоний®, субстанция-лиофилизат (Азоксимера бромид) — 500 мкг.
* Штаммы антигенов вируса гриппа в соответствии с рекомендациями Всемирной организации здравоохранения (ВОЗ) на текущий эпидемический сезон для Северного полушария.
Вакцинные штаммы выращены на куриных эмбрионах.
</t>
    </r>
    <r>
      <rPr>
        <i/>
        <sz val="10"/>
        <color theme="1"/>
        <rFont val="Arial"/>
      </rPr>
      <t>Перечень вспомогательных веществ:</t>
    </r>
    <r>
      <rPr>
        <sz val="10"/>
        <color theme="1"/>
        <rFont val="Arial"/>
      </rPr>
      <t xml:space="preserve">
• Фосфатно-солевой буферный раствор.
В составе фосфатно-солевого буферного раствора: калия хлорид, калия дигидрофосфат, динатрия гидрофосфат дигидрат, натрия хлорид, вода для инъекций.</t>
    </r>
  </si>
  <si>
    <t>&lt;p&gt;1&amp;nbsp;доза (0,5&amp;nbsp;мл) содержит:&lt;br&gt;&lt;br&gt;
&lt;i&gt;Действующие вещества:&lt;/i&gt;
&lt;ul&gt;&lt;li&gt;Антиген вируса гриппа типа&amp;nbsp;A (H₁N₁)* с содержанием гемагглютинина — 5&amp;nbsp;мкг.&lt;/li&gt;
&lt;li&gt;Антиген вируса гриппа типа&amp;nbsp;A (H₃N₂)* с содержанием гемагглютинина — 5&amp;nbsp;мкг.&lt;/li&gt;
&lt;li&gt;Антиген вируса гриппа типа&amp;nbsp;В (линия Yamagata)* с содержанием гемагглютинина — 5&amp;nbsp;мкг.&lt;/li&gt;
&lt;li&gt;Антиген вируса гриппа типа&amp;nbsp;В (линия Victoria)* с содержанием гемагглютинина — 5&amp;nbsp;мкг.&lt;/li&gt;
&lt;li&gt;Полиоксидоний®, субстанция-лиофилизат (Азоксимера бромид) — 500&amp;nbsp;мкг.&lt;/li&gt;&lt;/ul&gt;
*&amp;nbsp;Штаммы антигенов вируса гриппа в соответствии с рекомендациями Всемирной организации здравоохранения (ВОЗ) на текущий эпидемический сезон для Северного полушария.&lt;br&gt;
Вакцинные штаммы выращены на куриных эмбрионах.&lt;br&gt;&lt;br&gt;
&lt;i&gt;Перечень вспомогательных веществ:&lt;/i&gt;
&lt;ul&gt;&lt;li&gt;Фосфатно-солевой буферный раствор.&lt;/li&gt;
В составе фосфатно-солевого буферного раствора: калия хлорид, калия дигидрофосфат, динатрия гидрофосфат дигидрат, натрия хлорид, вода для инъекций.&lt;/ul&gt;&lt;/p&gt;</t>
  </si>
  <si>
    <r>
      <rPr>
        <sz val="10"/>
        <color theme="1"/>
        <rFont val="Arial"/>
      </rPr>
      <t xml:space="preserve">Одна прививочная доза препарата содержит:
• Вирус кори — не менее 1000 (3,0 lg) тканевых цитопатогенных доз (ТЦД₅₀).
• Содержит остаточную (технологическую) примесь гентамицина сульфат — не более 20 мкг.
</t>
    </r>
    <r>
      <rPr>
        <i/>
        <sz val="10"/>
        <color theme="1"/>
        <rFont val="Arial"/>
      </rPr>
      <t>Перечень вспомогательных веществ:</t>
    </r>
    <r>
      <rPr>
        <sz val="10"/>
        <color theme="1"/>
        <rFont val="Arial"/>
      </rPr>
      <t xml:space="preserve">
• водный раствор ЛС-18¹;
• желатина раствор 10%.
¹ Состав водного раствора ЛС-18: сахароза, лактоза, натрий глутаминовокислый, глицин, L-пролин, Хенкса сухая смесь с феноловым красным, вода для инъекций.</t>
    </r>
  </si>
  <si>
    <r>
      <rPr>
        <sz val="10"/>
        <color theme="1"/>
        <rFont val="Arial"/>
      </rPr>
      <t xml:space="preserve">&lt;p&gt;Одна прививочная доза препарата содержит:
&lt;ul&gt;&lt;li&gt;Вирус кори — не менее 1000&amp;nbsp;(3,0&amp;nbsp;lg) тканевых цитопатогенных доз (ТЦД₅₀).&lt;/li&gt;
&lt;li&gt;Содержит остаточную (технологическую) примесь гентамицина сульфат — не более 20&amp;nbsp;мкг.&lt;/li&gt;&lt;/ul&gt;
</t>
    </r>
    <r>
      <rPr>
        <i/>
        <sz val="10"/>
        <color theme="1"/>
        <rFont val="Arial"/>
      </rPr>
      <t>&lt;i&gt;Перечень вспомогательных веществ:</t>
    </r>
    <r>
      <rPr>
        <sz val="10"/>
        <color theme="1"/>
        <rFont val="Arial"/>
      </rPr>
      <t>&lt;/i&gt;
&lt;ul&gt;&lt;li&gt;водный раствор ЛС-18¹;&lt;/li&gt;
&lt;li&gt;желатина раствор 10%.&lt;/li&gt;&lt;/ul&gt;
¹&amp;nbsp;Состав водного раствора ЛС-18: сахароза, лактоза, натрий глутаминовокислый, глицин, L-пролин, Хенкса сухая смесь с феноловым красным, вода для инъекций.&lt;/p&gt;</t>
    </r>
  </si>
  <si>
    <r>
      <rPr>
        <sz val="10"/>
        <color theme="1"/>
        <rFont val="Arial"/>
      </rPr>
      <t xml:space="preserve">После восстановления 1 доза (0,5 мл) содержит:
• Вирус кори¹, штамм Эдмонстон-Загреб (живой, аттенуированный) — не менее 1000 (3,0 lg) ТЦД₅₀²
¹ культивированный на диплоидных клетках человека MRC-5
² ТЦД₅₀ — статистически определяемое количество вируса, которое должно инфицировать 50% клеточной культуры
Перечень вспомогательных веществ
</t>
    </r>
    <r>
      <rPr>
        <i/>
        <sz val="10"/>
        <color theme="1"/>
        <rFont val="Arial"/>
      </rPr>
      <t>Лиофилизат:</t>
    </r>
    <r>
      <rPr>
        <sz val="10"/>
        <color theme="1"/>
        <rFont val="Arial"/>
      </rPr>
      <t xml:space="preserve">
• сорбитол;
• частично гидролизованный желатин L-гистидин;
• L-аланин;
• трицин;
• L-аргинина гидрохлорид лактальбумина гидролизат;
• среда МЕМ.
</t>
    </r>
    <r>
      <rPr>
        <i/>
        <sz val="10"/>
        <color theme="1"/>
        <rFont val="Arial"/>
      </rPr>
      <t>Растворитель:</t>
    </r>
    <r>
      <rPr>
        <sz val="10"/>
        <color theme="1"/>
        <rFont val="Arial"/>
      </rPr>
      <t xml:space="preserve">
• вода для инъекций.</t>
    </r>
  </si>
  <si>
    <r>
      <rPr>
        <sz val="10"/>
        <color theme="1"/>
        <rFont val="Arial"/>
      </rPr>
      <t xml:space="preserve">&lt;p&gt;После восстановления 1&amp;nbsp;доза (0,5&amp;nbsp;мл) содержит:
&lt;ul&gt;&lt;li&gt;Вирус кори¹, штамм Эдмонстон-Загреб (живой, аттенуированный) — не менее 1000&amp;nbsp;(3,0&amp;nbsp;lg)&amp;nbsp;ТЦД₅₀²&lt;/li&gt;&lt;/ul&gt;
¹ культивированный на диплоидных клетках человека MRC-5&lt;br&gt;
² ТЦД₅₀ — статистически определяемое количество вируса, которое должно инфицировать 50% клеточной культуры&lt;br&gt;&lt;br&gt;
Перечень вспомогательных веществ&lt;br&gt;&lt;br&gt;
</t>
    </r>
    <r>
      <rPr>
        <i/>
        <sz val="10"/>
        <color theme="1"/>
        <rFont val="Arial"/>
      </rPr>
      <t>&lt;i&gt;Лиофилизат:&lt;/i&gt;</t>
    </r>
    <r>
      <rPr>
        <sz val="10"/>
        <color theme="1"/>
        <rFont val="Arial"/>
      </rPr>
      <t xml:space="preserve">
&lt;ul&gt;&lt;li&gt;сорбитол;&lt;/li&gt;
&lt;li&gt;частично гидролизованный желатин L-гистидин;&lt;/li&gt;
&lt;li&gt;L-аланин;&lt;/li&gt;
&lt;li&gt;трицин;&lt;/li&gt;
&lt;li&gt;L-аргинина гидрохлорид лактальбумина гидролизат;&lt;/li&gt;
&lt;li&gt;среда МЕМ.&lt;/li&gt;&lt;/ul&gt;
</t>
    </r>
    <r>
      <rPr>
        <i/>
        <sz val="10"/>
        <color theme="1"/>
        <rFont val="Arial"/>
      </rPr>
      <t>&lt;i&gt;Растворитель:&lt;/i&gt;</t>
    </r>
    <r>
      <rPr>
        <sz val="10"/>
        <color theme="1"/>
        <rFont val="Arial"/>
      </rPr>
      <t xml:space="preserve">
&lt;ul&gt;&lt;li&gt;вода для инъекций.&lt;/li&gt;&lt;/ul&gt;&lt;/p&gt;</t>
    </r>
  </si>
  <si>
    <t>Одна прививочная доза (0,5 мл) содержит:
• не менее 1000 тканевых цитопатогенных доз (ТЦД₅₀) вируса кори;
• стабилизатор — смесь 0,04-0,08 мл ЛС-18 и 0,001-0,002 г желатина;
• или смесь по 0,005-0,01 г сорбита и желатозы;
• гентамицина сульфат — не более 10 мкг.</t>
  </si>
  <si>
    <t>&lt;p&gt;Одна прививочная доза (0,5&amp;nbsp;мл) содержит:
&lt;ul&gt;&lt;li&gt;не менее 1000&amp;nbsp;тканевых цитопатогенных доз (ТЦД₅₀) вируса кори;&lt;/li&gt;
&lt;li&gt;стабилизатор — смесь 0,04-0,08&amp;nbsp;мл ЛС-18 и 0,001-0,002&amp;nbsp;г желатина;&lt;/li&gt;
&lt;li&gt;или смесь по 0,005-0,01&amp;nbsp;г сорбита и желатозы;&lt;/li&gt;
&lt;li&gt;гентамицина сульфат — не более 10&amp;nbsp;мкг.&lt;/li&gt;&lt;/ul&gt;&lt;/p&gt;</t>
  </si>
  <si>
    <r>
      <rPr>
        <sz val="10"/>
        <color theme="1"/>
        <rFont val="Arial"/>
      </rPr>
      <t xml:space="preserve">Одна прививочная доза препарата содержит:
</t>
    </r>
    <r>
      <rPr>
        <i/>
        <sz val="10"/>
        <color theme="1"/>
        <rFont val="Arial"/>
      </rPr>
      <t>Действующие вещества:</t>
    </r>
    <r>
      <rPr>
        <sz val="10"/>
        <color theme="1"/>
        <rFont val="Arial"/>
      </rPr>
      <t xml:space="preserve">
• вирус кори — не менее 1000 (3,0 lg) тканевых цитопатогенных доз (ТЦД₅₀); 
• вирус паротита — не менее 20000 (4,3 lg) ТЦД₅₀.
Примечание. Содержит остаточную (технологическую) примесь гентамицина сульфат — не более 20 мкг.
Перечень вспомогательных веществ:
• водный раствор ЛС-18¹;
• желатина раствор 10 %.
¹ Состав водного раствора ЛС-18: сахароза, лактоза, натрий глутаминовокислый, глицин, L-пролин, Хенкса сухая смесь с феноловым красным, вода для инъекций.</t>
    </r>
  </si>
  <si>
    <r>
      <rPr>
        <sz val="10"/>
        <color theme="1"/>
        <rFont val="Arial"/>
      </rPr>
      <t xml:space="preserve">&lt;p&gt;Одна прививочная доза препарата содержит:&lt;/p&gt;
</t>
    </r>
    <r>
      <rPr>
        <i/>
        <sz val="10"/>
        <color theme="1"/>
        <rFont val="Arial"/>
      </rPr>
      <t>&lt;p&gt;&lt;i&gt;Действующие вещества:</t>
    </r>
    <r>
      <rPr>
        <sz val="10"/>
        <color theme="1"/>
        <rFont val="Arial"/>
      </rPr>
      <t>&lt;/i&gt;
&lt;ul&gt;&lt;li&gt;вирус кори — не менее 1000&amp;nbsp;(3,0&amp;nbsp;lg)&amp;nbsp;тканевых цитопатогенных доз (ТЦД₅₀);&lt;/li&gt;
&lt;li&gt;вирус паротита — не менее 20000&amp;nbsp;(4,3&amp;nbsp;lg)&amp;nbsp;ТЦД₅₀.&lt;/li&gt;&lt;/ul&gt;
Примечание. Содержит остаточную (технологическую) примесь гентамицина сульфат — не более 20&amp;nbsp;мкг.&lt;/p&gt;
&lt;p&gt;&lt;i&gt;Перечень вспомогательных веществ:&lt;/i&gt;
&lt;ul&gt;&lt;li&gt;водный раствор ЛС-18¹;&lt;/li&gt;
&lt;li&gt;желатина раствор 10&amp;nbsp;%.&lt;/li&gt;&lt;/ul&gt;
¹&amp;nbsp;Состав водного раствора ЛС-18: сахароза, лактоза, натрий глутаминовокислый, глицин, L-пролин, Хенкса сухая смесь с феноловым красным, вода для инъекций.&lt;/p&gt;</t>
    </r>
  </si>
  <si>
    <r>
      <rPr>
        <i/>
        <sz val="10"/>
        <color theme="1"/>
        <rFont val="Arial"/>
      </rPr>
      <t>Действующие вещества:</t>
    </r>
    <r>
      <rPr>
        <sz val="10"/>
        <color theme="1"/>
        <rFont val="Arial"/>
      </rPr>
      <t xml:space="preserve">
После восстановления 1 доза (0,5 мл) содержит:
• Вирус кори¹, штамм Ленинград-16 (Л-16) (живой, аттенуированный) — не менее 1000 (3,0 lg) ТЦД₅₀²;
• Вирус краснухи³, штамм RA 27/3 (живой, аттенуированный) — не менее 1000 (3,0 lg) ТЦД₅₀²;
• Вирус паротита¹, штамм Ленинград-3 (Л-3) (живой, аттенуированный) — не менее 20000 (4,3 lg) ТЦД₅₀².
¹ культивированный на первичной культуре клеток эмбрионов перепелов;
² ТЦД₅₀ — 50-процентная тканевая цитопатическая доза;
³ культивированный на диплоидных клетках человека MRC-5.
</t>
    </r>
    <r>
      <rPr>
        <i/>
        <sz val="10"/>
        <color theme="1"/>
        <rFont val="Arial"/>
      </rPr>
      <t>Перечень вспомогательных веществ:</t>
    </r>
    <r>
      <rPr>
        <sz val="10"/>
        <color theme="1"/>
        <rFont val="Arial"/>
      </rPr>
      <t xml:space="preserve">
Лиофилизат:
• водный раствор ЛС-18;
• желатина раствор 10 %.
Состав водного раствора ЛС-18: сахароза, лактоза, натрий глутаминовокислый, глицин, L-пролин, Хенкса сухая смесь с феноловым красным, вода для инъекций.
Растворитель:
• вода для инъекций.</t>
    </r>
  </si>
  <si>
    <r>
      <rPr>
        <i/>
        <sz val="10"/>
        <color theme="1"/>
        <rFont val="Arial"/>
      </rPr>
      <t>&lt;p&gt;&lt;i&gt;Действующие вещества:&lt;/i&gt;&lt;br&gt;&lt;br&gt;</t>
    </r>
    <r>
      <rPr>
        <sz val="10"/>
        <color theme="1"/>
        <rFont val="Arial"/>
      </rPr>
      <t xml:space="preserve">
После восстановления 1&amp;nbsp;доза (0,5&amp;nbsp;мл) содержит:
&lt;ul&gt;&lt;li&gt;Вирус кори¹, штамм Ленинград-16 (Л-16) (живой, аттенуированный) — не&amp;nbsp;менее 1000&amp;nbsp;(3,0&amp;nbsp;lg)&amp;nbsp;ТЦД₅₀²;&lt;/li&gt;
&lt;li&gt;Вирус краснухи³, штамм RA&amp;nbsp;27/3 (живой, аттенуированный) — не&amp;nbsp;менее 1000&amp;nbsp;(3,0&amp;nbsp;lg)&amp;nbsp;ТЦД₅₀²;&lt;/li&gt;
&lt;li&gt;Вирус паротита¹, штамм Ленинград-3 (Л-3) (живой, аттенуированный) — не&amp;nbsp;менее 20000&amp;nbsp;(4,3&amp;nbsp;lg)&amp;nbsp;ТЦД₅₀².&lt;/li&gt;&lt;/ul&gt;
¹&amp;nbsp;культивированный на первичной культуре клеток эмбрионов перепелов;&lt;br&gt;
²&amp;nbsp;ТЦД₅₀ — 50-процентная тканевая цитопатическая доза;&lt;br&gt;
³&amp;nbsp;культивированный на диплоидных клетках человека MRC-5.&lt;br&gt;&lt;br&gt;
</t>
    </r>
    <r>
      <rPr>
        <i/>
        <sz val="10"/>
        <color theme="1"/>
        <rFont val="Arial"/>
      </rPr>
      <t>&lt;i&gt;Перечень вспомогательных веществ:&lt;/i&gt;&lt;br&gt;&lt;br&gt;</t>
    </r>
    <r>
      <rPr>
        <sz val="10"/>
        <color theme="1"/>
        <rFont val="Arial"/>
      </rPr>
      <t xml:space="preserve">
Лиофилизат:
&lt;ul&gt;&lt;li&gt;водный раствор ЛС-18;&lt;/li&gt;
&lt;li&gt;желатина раствор 10&amp;nbsp;%.&lt;/li&gt;
Состав водного раствора ЛС-18: сахароза, лактоза, натрий глутаминовокислый, глицин, L-пролин, Хенкса сухая смесь с феноловым красным, вода для инъекций.&lt;/ul&gt;
Растворитель:
&lt;ul&gt;&lt;li&gt;вода для инъекций.&lt;/li&gt;&lt;/ul&gt;&lt;/p&gt;</t>
    </r>
  </si>
  <si>
    <r>
      <rPr>
        <sz val="10"/>
        <color theme="1"/>
        <rFont val="Arial"/>
      </rPr>
      <t xml:space="preserve">1 доза содержит:
</t>
    </r>
    <r>
      <rPr>
        <i/>
        <sz val="10"/>
        <color theme="1"/>
        <rFont val="Arial"/>
      </rPr>
      <t>Действующие вещества:</t>
    </r>
    <r>
      <rPr>
        <sz val="10"/>
        <color theme="1"/>
        <rFont val="Arial"/>
      </rPr>
      <t xml:space="preserve">
• вирус кори с низкой вирулентностью, полученный из аттенуированного (Enders') штамма Edmonston и выращенный в культуре клеток куриного эмбриона, не менее 1000 ТЦД₅₀;
• вирус паротита, полученный из штамма Jeryl Lynn™ (уровень В) и выращенный в культуре клеток куриного эмбриона, не менее 12500 ТЦД₅₀;
• вирус краснухи, полученный из живого аттенуированного штамма Wistar RA 27/3 и выращенный в культуре диплоидных клеток легочных фибробластов человека (WI-38), не менее 1000 ТЦД₅₀.
</t>
    </r>
    <r>
      <rPr>
        <i/>
        <sz val="10"/>
        <color theme="1"/>
        <rFont val="Arial"/>
      </rPr>
      <t>Вспомогательные вещества:</t>
    </r>
    <r>
      <rPr>
        <sz val="10"/>
        <color theme="1"/>
        <rFont val="Arial"/>
      </rPr>
      <t xml:space="preserve">
натрия гидрофосфат 2,2 мг, натрия дигидрофосфата моногидрат 3,1 мг, натрия гидрокарбонат 0,5 мг, среда 199 с солями Хенкса 3,3 мг, среда MЕM Игла 0,1 мг, неомицина сульфат 25 мкг, феноловый красный 3,4 мкг, сорбитол 14,5 мг, калия гидрофосфат 30 мкг, калия дигидрофосфат 20 мкг, желатин гидролизованный 14,5 мг, сахароза 1,9 мг, натрия L-глутамата моногидрат 20 мкг.
Примечание: препарат содержит следовые количества альбумина человека рекомбинантного (не более 0,3 мг) и бычьего сывороточного альбумина (не более 50 нг).
Примечание: среда 199 с солями Хенкса представляет собой все порошкообразные Среды 199, которые входят в состав лекарственного препарата, включая Среду 199 с солями Хенкса, Среду 199 10Х модифицированную без глутамина и дополнительные компоненты витамин К и L-глутамин.
</t>
    </r>
    <r>
      <rPr>
        <i/>
        <sz val="10"/>
        <color theme="1"/>
        <rFont val="Arial"/>
      </rPr>
      <t>Стерильный растворитель:</t>
    </r>
    <r>
      <rPr>
        <sz val="10"/>
        <color theme="1"/>
        <rFont val="Arial"/>
      </rPr>
      <t xml:space="preserve">
• вода для инъекций: 0,7 мл.
Примечание: первичная упаковка содержит 0,7 мл растворителя для растворения лиофилизата до необходимого объема (0,7 мл). Избыток 0,2 мл необходим для компенсации потерь и обеспечения введения 1 дозы вакцины в объеме 0,5 мл.</t>
    </r>
  </si>
  <si>
    <r>
      <rPr>
        <sz val="10"/>
        <color theme="1"/>
        <rFont val="Arial"/>
      </rPr>
      <t xml:space="preserve">&lt;p&gt;1&amp;nbsp;доза содержит:&lt;/p&gt;
</t>
    </r>
    <r>
      <rPr>
        <i/>
        <sz val="10"/>
        <color theme="1"/>
        <rFont val="Arial"/>
      </rPr>
      <t>&lt;p&gt;&lt;i&gt;Действующие вещества:</t>
    </r>
    <r>
      <rPr>
        <sz val="10"/>
        <color theme="1"/>
        <rFont val="Arial"/>
      </rPr>
      <t xml:space="preserve">&lt;/i&gt;
&lt;ul&gt;&lt;li&gt;вирус кори с низкой вирулентностью, полученный из аттенуированного (Enders') штамма Edmonston и выращенный в культуре клеток куриного эмбриона, не менее 1000&amp;nbsp;ТЦД₅₀;&lt;/li&gt;
&lt;li&gt;вирус паротита, полученный из штамма Jeryl Lynn™ (уровень В) и выращенный в культуре клеток куриного эмбриона, не менее 12500&amp;nbsp;ТЦД₅₀;&lt;/li&gt;
&lt;li&gt;вирус краснухи, полученный из живого аттенуированного штамма Wistar&amp;nbsp;RA&amp;nbsp;27/3 и выращенный в культуре диплоидных клеток легочных фибробластов человека (WI-38), не менее 1000&amp;nbsp;ТЦД₅₀.&lt;/li&gt;&lt;/ul&gt;
</t>
    </r>
    <r>
      <rPr>
        <i/>
        <sz val="10"/>
        <color theme="1"/>
        <rFont val="Arial"/>
      </rPr>
      <t>&lt;i&gt;Вспомогательные вещества:</t>
    </r>
    <r>
      <rPr>
        <sz val="10"/>
        <color theme="1"/>
        <rFont val="Arial"/>
      </rPr>
      <t xml:space="preserve">&lt;/i&gt;
&lt;ul&gt;натрия гидрофосфат 2,2&amp;nbsp;мг, натрия дигидрофосфата моногидрат 3,1&amp;nbsp;мг, натрия гидрокарбонат 0,5&amp;nbsp;мг, среда&amp;nbsp;199 с солями Хенкса 3,3&amp;nbsp;мг, среда&amp;nbsp;MЕM&amp;nbsp;Игла 0,1&amp;nbsp;мг, неомицина сульфат 25&amp;nbsp;мкг, феноловый красный 3,4&amp;nbsp;мкг, сорбитол 14,5&amp;nbsp;мг, калия гидрофосфат 30&amp;nbsp;мкг, калия дигидрофосфат 20&amp;nbsp;мкг, желатин гидролизованный 14,5&amp;nbsp;мг, сахароза 1,9&amp;nbsp;мг, натрия L-глутамата моногидрат 20&amp;nbsp;мкг.&lt;/ul&gt;&lt;/p&gt;
&lt;p&gt;Примечание: препарат содержит следовые количества альбумина человека рекомбинантного (не более 0,3&amp;nbsp;мг) и бычьего сывороточного альбумина (не более 50&amp;nbsp;нг).&lt;/p&gt;
&lt;p&gt;Примечание: среда&amp;nbsp;199 с солями Хенкса представляет собой все порошкообразные Среды&amp;nbsp;199, которые входят в состав лекарственного препарата, включая Среду&amp;nbsp;199 с солями Хенкса, Среду&amp;nbsp;199&amp;nbsp;10Х модифицированную без глутамина и дополнительные компоненты витамин К и L-глутамин.&lt;/p&gt;
</t>
    </r>
    <r>
      <rPr>
        <i/>
        <sz val="10"/>
        <color theme="1"/>
        <rFont val="Arial"/>
      </rPr>
      <t>&lt;p&gt;&lt;i&gt;Стерильный растворитель:</t>
    </r>
    <r>
      <rPr>
        <sz val="10"/>
        <color theme="1"/>
        <rFont val="Arial"/>
      </rPr>
      <t>&lt;/i&gt;
&lt;ul&gt;&lt;li&gt;вода для инъекций: 0,7&amp;nbsp;мл.&lt;/li&gt;&lt;/ul&gt;
Примечание: первичная упаковка содержит 0,7&amp;nbsp;мл растворителя для растворения лиофилизата до необходимого объема (0,7&amp;nbsp;мл). Избыток 0,2&amp;nbsp;мл необходим для компенсации потерь и обеспечения введения 1&amp;nbsp;дозы вакцины в объеме 0,5&amp;nbsp;мл.&lt;/p&gt;</t>
    </r>
  </si>
  <si>
    <t>https://grls.rosminzdrav.ru/InstrImg/2022/09/20/1485497/ec14bfcf-e7ae-4d2a-8916-3a79e74272eb.pdf</t>
  </si>
  <si>
    <r>
      <rPr>
        <sz val="10"/>
        <color theme="1"/>
        <rFont val="Arial"/>
      </rPr>
      <t xml:space="preserve">Действующее вещество: очищенный капсульный специфический полисахарид штамма </t>
    </r>
    <r>
      <rPr>
        <i/>
        <sz val="10"/>
        <color theme="1"/>
        <rFont val="Arial"/>
      </rPr>
      <t xml:space="preserve">Neisseria meningitidis </t>
    </r>
    <r>
      <rPr>
        <sz val="10"/>
        <color theme="1"/>
        <rFont val="Arial"/>
      </rPr>
      <t>серогруппы А.
1 ампула содержит 250 мкг полисахарида.
Перечень вспомогательных веществ: лактозы моногидрат.
Растворитель: натрия хлорид растворитель для приготовления лекарственных форм для инъекций 0,9%.</t>
    </r>
  </si>
  <si>
    <r>
      <rPr>
        <sz val="10"/>
        <color theme="1"/>
        <rFont val="Arial"/>
      </rPr>
      <t xml:space="preserve">&lt;p&gt;Действующее вещество: очищенный капсульный специфический полисахарид штамма </t>
    </r>
    <r>
      <rPr>
        <i/>
        <sz val="10"/>
        <color theme="1"/>
        <rFont val="Arial"/>
      </rPr>
      <t xml:space="preserve">Neisseria meningitidis </t>
    </r>
    <r>
      <rPr>
        <sz val="10"/>
        <color theme="1"/>
        <rFont val="Arial"/>
      </rPr>
      <t>серогруппы А.&lt;br&gt;
1&amp;nbsp;ампула содержит 250&amp;nbsp;мкг полисахарида.&lt;br&gt;
Перечень вспомогательных веществ: лактозы моногидрат.&lt;br&gt;
Растворитель: натрия хлорид растворитель для приготовления лекарственных форм для инъекций 0,9%.&lt;/p&gt;</t>
    </r>
  </si>
  <si>
    <r>
      <rPr>
        <sz val="10"/>
        <color theme="1"/>
        <rFont val="Arial"/>
      </rPr>
      <t xml:space="preserve">Действующие вещества:
• очищенный капсульный специфический полисахарид штамма </t>
    </r>
    <r>
      <rPr>
        <i/>
        <sz val="10"/>
        <color theme="1"/>
        <rFont val="Arial"/>
      </rPr>
      <t>N. meningitidis</t>
    </r>
    <r>
      <rPr>
        <sz val="10"/>
        <color theme="1"/>
        <rFont val="Arial"/>
      </rPr>
      <t xml:space="preserve"> серогруппы А;
• очищенный капсульный специфический полисахарид штамма </t>
    </r>
    <r>
      <rPr>
        <i/>
        <sz val="10"/>
        <color theme="1"/>
        <rFont val="Arial"/>
      </rPr>
      <t>N. meningitidis</t>
    </r>
    <r>
      <rPr>
        <sz val="10"/>
        <color theme="1"/>
        <rFont val="Arial"/>
      </rPr>
      <t xml:space="preserve"> серогруппы С.
1 ампула содержит по 250 мкг каждого из полисахаридов.
Перечень вспомогательных веществ: лактозы моногидрат.
Растворитель: натрия хлорид растворитель для приготовления лекарственных форм для инъекций 0,9%.</t>
    </r>
  </si>
  <si>
    <r>
      <rPr>
        <sz val="10"/>
        <color theme="1"/>
        <rFont val="Arial"/>
      </rPr>
      <t xml:space="preserve">&lt;p&gt;Действующие вещества:
&lt;ul&gt;&lt;li&gt;очищенный капсульный специфический полисахарид штамма </t>
    </r>
    <r>
      <rPr>
        <i/>
        <sz val="10"/>
        <color theme="1"/>
        <rFont val="Arial"/>
      </rPr>
      <t>N. meningitidis</t>
    </r>
    <r>
      <rPr>
        <sz val="10"/>
        <color theme="1"/>
        <rFont val="Arial"/>
      </rPr>
      <t xml:space="preserve"> серогруппы А;&lt;/li&gt;
&lt;li&gt;очищенный капсульный специфический полисахарид штамма </t>
    </r>
    <r>
      <rPr>
        <i/>
        <sz val="10"/>
        <color theme="1"/>
        <rFont val="Arial"/>
      </rPr>
      <t>N. meningitidis</t>
    </r>
    <r>
      <rPr>
        <sz val="10"/>
        <color theme="1"/>
        <rFont val="Arial"/>
      </rPr>
      <t xml:space="preserve"> серогруппы С.&lt;/li&gt;&lt;/ul&gt;
1&amp;nbsp;ампула содержит по 250&amp;nbsp;мкг каждого из полисахаридов.&lt;br&gt;
Перечень вспомогательных веществ: лактозы моногидрат.&lt;br&gt;
Растворитель: натрия хлорид растворитель для приготовления лекарственных форм для инъекций 0,9%.&lt;/p&gt;</t>
    </r>
  </si>
  <si>
    <r>
      <rPr>
        <sz val="10"/>
        <color theme="1"/>
        <rFont val="Arial"/>
      </rPr>
      <t xml:space="preserve">Одна доза вакцины (0,5 мл) содержит:
</t>
    </r>
    <r>
      <rPr>
        <i/>
        <sz val="10"/>
        <color theme="1"/>
        <rFont val="Arial"/>
      </rPr>
      <t>Действующие вещества:</t>
    </r>
    <r>
      <rPr>
        <sz val="10"/>
        <color theme="1"/>
        <rFont val="Arial"/>
      </rPr>
      <t xml:space="preserve">
• Менингококковый полисахарид серогруппы А¹ — 4 мкг.
• Менингококковый полисахарид серогруппы C¹ — 4 мкг.
• Менингококковый полисахарид серогруппы Y¹ — 4 мкг.
• Менингококковый полисахарид серогруппы W-135¹ — 4 мкг.
¹ Конъюгированный с белком-носителем — дифтерийным анатоксином — ∼48 мкг.
</t>
    </r>
    <r>
      <rPr>
        <i/>
        <sz val="10"/>
        <color theme="1"/>
        <rFont val="Arial"/>
      </rPr>
      <t>Перечень вспомогательных веществ:</t>
    </r>
    <r>
      <rPr>
        <sz val="10"/>
        <color theme="1"/>
        <rFont val="Arial"/>
      </rPr>
      <t xml:space="preserve">
Натрия хлорид, натрия гидрофосфат, натрия дигидрофосфата моногидрат, вода для инъекций.</t>
    </r>
  </si>
  <si>
    <r>
      <rPr>
        <sz val="10"/>
        <color theme="1"/>
        <rFont val="Arial"/>
      </rPr>
      <t xml:space="preserve">&lt;p&gt;Одна доза вакцины (0,5&amp;nbsp;мл) содержит:&lt;br&gt;&lt;br&gt;
</t>
    </r>
    <r>
      <rPr>
        <i/>
        <sz val="10"/>
        <color theme="1"/>
        <rFont val="Arial"/>
      </rPr>
      <t>&lt;i&gt;Действующие вещества:&lt;/i&gt;</t>
    </r>
    <r>
      <rPr>
        <sz val="10"/>
        <color theme="1"/>
        <rFont val="Arial"/>
      </rPr>
      <t xml:space="preserve">
&lt;ul&gt;&lt;li&gt;Менингококковый полисахарид серогруппы А¹ — 4&amp;nbsp;мкг.&lt;/li&gt;
&lt;li&gt;Менингококковый полисахарид серогруппы C¹ — 4&amp;nbsp;мкг.&lt;/li&gt;
&lt;li&gt;Менингококковый полисахарид серогруппы Y¹ — 4&amp;nbsp;мкг.&lt;/li&gt;
&lt;li&gt;Менингококковый полисахарид серогруппы W-135¹ — 4&amp;nbsp;мкг.&lt;/li&gt;&lt;/ul&gt;
¹&amp;nbsp;Конъюгированный с белком-носителем — дифтерийным анатоксином — ∼48&amp;nbsp;мкг.&lt;br&gt;&lt;br&gt;
</t>
    </r>
    <r>
      <rPr>
        <i/>
        <sz val="10"/>
        <color theme="1"/>
        <rFont val="Arial"/>
      </rPr>
      <t>&lt;i&gt;Перечень вспомогательных веществ:</t>
    </r>
    <r>
      <rPr>
        <sz val="10"/>
        <color theme="1"/>
        <rFont val="Arial"/>
      </rPr>
      <t>&lt;/i&gt;&lt;br&gt;
Натрия хлорид, натрия гидрофосфат, натрия дигидрофосфата моногидрат, вода для инъекций.&lt;/p&gt;</t>
    </r>
  </si>
  <si>
    <r>
      <rPr>
        <sz val="10"/>
        <color theme="1"/>
        <rFont val="Arial"/>
      </rPr>
      <t xml:space="preserve">Одна прививочная доза препарата содержит:
• Вирус паротита — не менее 20000 (4,3 lg) тканевых цитопатогенных доз ТЦД₅₀.
Содержит остаточную (технологическую) примесь гентамицина сульфат не более 20 мкг.
</t>
    </r>
    <r>
      <rPr>
        <i/>
        <sz val="10"/>
        <color theme="1"/>
        <rFont val="Arial"/>
      </rPr>
      <t>Перечень вспомогательных веществ:</t>
    </r>
    <r>
      <rPr>
        <sz val="10"/>
        <color theme="1"/>
        <rFont val="Arial"/>
      </rPr>
      <t xml:space="preserve">
• водный раствор ЛС-18¹;
• желатина раствор 10%.
Примечание.
¹ Состав водного раствора ЛС-18: сахароза, лактоза, натрий глутаминовокислый, глицин, L-пролин, Хенкса сухая смесь с феноловым красным, вода для инъекций.</t>
    </r>
  </si>
  <si>
    <r>
      <rPr>
        <sz val="10"/>
        <color theme="1"/>
        <rFont val="Arial"/>
      </rPr>
      <t xml:space="preserve">&lt;p&gt;Одна прививочная доза препарата содержит:
&lt;ul&gt;&lt;li&gt;Вирус паротита — не менее 20000 (4,3&amp;nbsp;lg) тканевых цитопатогенных доз ТЦД₅₀.&lt;/li&gt;&lt;/ul&gt;
Содержит остаточную (технологическую) примесь гентамицина сульфат не более 20&amp;nbsp;мкг.&lt;br&gt;&lt;br&gt;
</t>
    </r>
    <r>
      <rPr>
        <i/>
        <sz val="10"/>
        <color theme="1"/>
        <rFont val="Arial"/>
      </rPr>
      <t>&lt;i&gt;Перечень вспомогательных веществ:</t>
    </r>
    <r>
      <rPr>
        <sz val="10"/>
        <color theme="1"/>
        <rFont val="Arial"/>
      </rPr>
      <t>&lt;/i&gt;
&lt;ul&gt;&lt;li&gt;водный раствор ЛС-18¹;&lt;/li&gt;
&lt;li&gt;желатина раствор 10%.&lt;/li&gt;&lt;/ul&gt;
Примечание.&lt;br&gt;
¹&amp;nbsp;Состав водного раствора ЛС-18: сахароза, лактоза, натрий глутаминовокислый, глицин, L-пролин, Хенкса сухая смесь с феноловым красным, вода для инъекций.&lt;/p&gt;</t>
    </r>
  </si>
  <si>
    <r>
      <rPr>
        <sz val="10"/>
        <color theme="1"/>
        <rFont val="Arial"/>
      </rPr>
      <t xml:space="preserve">Одна доза (0,5 мл) суспензии содержит:
</t>
    </r>
    <r>
      <rPr>
        <i/>
        <sz val="10"/>
        <color theme="1"/>
        <rFont val="Arial"/>
      </rPr>
      <t>Действующие вещества:</t>
    </r>
    <r>
      <rPr>
        <sz val="10"/>
        <color theme="1"/>
        <rFont val="Arial"/>
      </rPr>
      <t xml:space="preserve">
Пневмококковые конъюгаты¹ (полисахарид — CRM₁₉₇):
• пневмококковый полисахарид серотипа 1 — 2,2 мкг;
• пневмококковый полисахарид серотипа 3 — 2,2 мкг;
• пневмококковый полисахарид серотипа 4 — 2,2 мкг;
• пневмококковый полисахарид серотипа 5 — 2,2 мкг;
• пневмококковый полисахарид серотипа 6A — 2,2 мкг;
• пневмококковый полисахарид серотипа 6B — 4,4 мкг;
• пневмококковый полисахарид серотипа 7F — 2,2 мкг;
• пневмококковый полисахарид серотипа 9V — 2,2 мкг;
• пневмококковый полисахарид серотипа 14 — 2,2 мкг;
• пневмококковый олигосахарид серотипа 18C — 2,2 мкг;
• пневмококковый полисахарид серотипа 19A — 2,2 мкг;
• пневмококковый полисахарид серотипа 19F — 2,2 мкг;
• пневмококковый полисахарид серотипа 23F — 2,2 мкг.
¹ Конъюгированы с белком-носителем CRM₁₉₇ и адсорбированы на фосфате алюминия.
1 доза (0,5 мл) содержит приблизительно 32 мкг белка-носителя CRM₁₉₇ и 0,125 мг алюминия (в качестве адъюванта).
</t>
    </r>
    <r>
      <rPr>
        <i/>
        <sz val="10"/>
        <color theme="1"/>
        <rFont val="Arial"/>
      </rPr>
      <t>Перечень вспомогательных веществ:</t>
    </r>
    <r>
      <rPr>
        <sz val="10"/>
        <color theme="1"/>
        <rFont val="Arial"/>
      </rPr>
      <t xml:space="preserve">
• Натрия хлорид.
• Янтарная кислота.
• Полисорбат 80.
• Вода для инъекций.</t>
    </r>
  </si>
  <si>
    <r>
      <rPr>
        <sz val="10"/>
        <color theme="1"/>
        <rFont val="Arial"/>
      </rPr>
      <t xml:space="preserve">&lt;p&gt;Одна доза (0,5&amp;nbsp;мл) суспензии содержит:&lt;br&gt;&lt;br&gt;
</t>
    </r>
    <r>
      <rPr>
        <i/>
        <sz val="10"/>
        <color theme="1"/>
        <rFont val="Arial"/>
      </rPr>
      <t>&lt;i&gt;Действующие вещества:</t>
    </r>
    <r>
      <rPr>
        <sz val="10"/>
        <color theme="1"/>
        <rFont val="Arial"/>
      </rPr>
      <t xml:space="preserve">&lt;/i&gt;
&lt;ul&gt;Пневмококковые конъюгаты¹ (полисахарид — CRM₁₉₇):
&lt;li&gt;пневмококковый полисахарид серотипа 1 — 2,2&amp;nbsp;мкг;&lt;/li&gt;
&lt;li&gt;пневмококковый полисахарид серотипа 3 — 2,2&amp;nbsp;мкг;&lt;/li&gt;
&lt;li&gt;пневмококковый полисахарид серотипа 4 — 2,2&amp;nbsp;мкг;&lt;/li&gt;
&lt;li&gt;пневмококковый полисахарид серотипа 5 — 2,2&amp;nbsp;мкг;&lt;/li&gt;
&lt;li&gt;пневмококковый полисахарид серотипа 6A — 2,2&amp;nbsp;мкг;&lt;/li&gt;
&lt;li&gt;пневмококковый полисахарид серотипа 6B — 4,4&amp;nbsp;мкг;&lt;/li&gt;
&lt;li&gt;пневмококковый полисахарид серотипа 7F — 2,2&amp;nbsp;мкг;&lt;/li&gt;
&lt;li&gt;пневмококковый полисахарид серотипа 9V — 2,2&amp;nbsp;мкг;&lt;/li&gt;
&lt;li&gt;пневмококковый полисахарид серотипа 14 — 2,2&amp;nbsp;мкг;&lt;/li&gt;
&lt;li&gt;пневмококковый олигосахарид серотипа 18C — 2,2&amp;nbsp;мкг;&lt;/li&gt;
&lt;li&gt;пневмококковый полисахарид серотипа 19A — 2,2&amp;nbsp;мкг;&lt;/li&gt;
&lt;li&gt;пневмококковый полисахарид серотипа 19F — 2,2&amp;nbsp;мкг;&lt;/li&gt;
&lt;li&gt;пневмококковый полисахарид серотипа 23F — 2,2&amp;nbsp;мкг.&lt;/li&gt;&lt;/ul&gt;
¹&amp;nbsp;Конъюгированы с белком-носителем CRM₁₉₇ и адсорбированы на фосфате алюминия.&lt;/p&gt;
&lt;p&gt;1&amp;nbsp;доза (0,5&amp;nbsp;мл) содержит приблизительно 32&amp;nbsp;мкг белка-носителя CRM₁₉₇ и 0,125&amp;nbsp;мг алюминия (в качестве адъюванта).&lt;br&gt;&lt;br&gt;
</t>
    </r>
    <r>
      <rPr>
        <i/>
        <sz val="10"/>
        <color theme="1"/>
        <rFont val="Arial"/>
      </rPr>
      <t>&lt;i&gt;Перечень вспомогательных веществ:</t>
    </r>
    <r>
      <rPr>
        <sz val="10"/>
        <color theme="1"/>
        <rFont val="Arial"/>
      </rPr>
      <t>&lt;/i&gt;
&lt;ul&gt;&lt;li&gt;Натрия хлорид.&lt;/li&gt;
&lt;li&gt;Янтарная кислота.&lt;/li&gt;
&lt;li&gt;Полисорбат&amp;nbsp;80.&lt;/li&gt;
&lt;li&gt;Вода для инъекций.&lt;/li&gt;&lt;/ul&gt;&lt;/p&gt;</t>
    </r>
  </si>
  <si>
    <r>
      <rPr>
        <sz val="10"/>
        <color theme="1"/>
        <rFont val="Arial"/>
      </rPr>
      <t xml:space="preserve">1 доза (0,5 мл) содержит: 
</t>
    </r>
    <r>
      <rPr>
        <i/>
        <sz val="10"/>
        <color theme="1"/>
        <rFont val="Arial"/>
      </rPr>
      <t>Действующие вещества:</t>
    </r>
    <r>
      <rPr>
        <sz val="10"/>
        <color theme="1"/>
        <rFont val="Arial"/>
      </rPr>
      <t xml:space="preserve">
</t>
    </r>
    <r>
      <rPr>
        <i/>
        <sz val="10"/>
        <color theme="1"/>
        <rFont val="Arial"/>
      </rPr>
      <t>Полисахариды Streptococcus pneumoniae, конъюгированные с белками-носителями:</t>
    </r>
    <r>
      <rPr>
        <sz val="10"/>
        <color theme="1"/>
        <rFont val="Arial"/>
      </rPr>
      <t xml:space="preserve">
• Полисахарид серотипа 1 — 1 мкг/PD.
• Полисахарид серотипа 4 — 3 мкг/PD.
• Полисахарид серотипа 5 — 1 мкг/PD.
• Полисахарид серотипа 6B — 1 мкг/PD.
• Полисахарид серотипа 7F — 1 мкг/PD.
• Полисахарид серотипа 9V — 1 мкг/PD.
• Полисахарид серотипа 14 — 1 мкг/PD.
• Полисахарид серотипа 18C — 3 мкг/TT.
• Полисахарид серотипа 19F — - 3 мкг/DT.
• Полисахарид серотипа 23F — 1 мкг/PD.
</t>
    </r>
    <r>
      <rPr>
        <i/>
        <sz val="10"/>
        <color theme="1"/>
        <rFont val="Arial"/>
      </rPr>
      <t>Белки-носители (общее количество):</t>
    </r>
    <r>
      <rPr>
        <sz val="10"/>
        <color theme="1"/>
        <rFont val="Arial"/>
      </rPr>
      <t xml:space="preserve">
• PD: D-протеин Haemophilus influenzae — 9-16 мкг*.
• TT: анатоксин столбнячный — 5-10 мкг*.
• DT: анатоксин дифтерийный — 3-6 мкг*.
</t>
    </r>
    <r>
      <rPr>
        <i/>
        <sz val="10"/>
        <color theme="1"/>
        <rFont val="Arial"/>
      </rPr>
      <t>Вспомогательные вещества:</t>
    </r>
    <r>
      <rPr>
        <sz val="10"/>
        <color theme="1"/>
        <rFont val="Arial"/>
      </rPr>
      <t xml:space="preserve">
• Алюминия фосфат (в пересчете на алюминий) — 0,5 мг.
• Натрия хлорид — ∼4,4 мг.
• Вода для инъекций — до 0,5 мл.
* - Состав препарата основан на содержании полисахаридов, а индивидуальное содержание белка-носителя зависит от отношения «полисахарид/белок».</t>
    </r>
  </si>
  <si>
    <r>
      <rPr>
        <sz val="10"/>
        <color theme="1"/>
        <rFont val="Arial"/>
      </rPr>
      <t xml:space="preserve">&lt;p&gt;1&amp;nbsp;доза (0,5&amp;nbsp;мл) содержит:&lt;/p&gt;
</t>
    </r>
    <r>
      <rPr>
        <i/>
        <sz val="10"/>
        <color theme="1"/>
        <rFont val="Arial"/>
      </rPr>
      <t>&lt;p&gt;&lt;i&gt;Действующие вещества:&lt;/i&gt;</t>
    </r>
    <r>
      <rPr>
        <sz val="10"/>
        <color theme="1"/>
        <rFont val="Arial"/>
      </rPr>
      <t xml:space="preserve">
</t>
    </r>
    <r>
      <rPr>
        <i/>
        <sz val="10"/>
        <color theme="1"/>
        <rFont val="Arial"/>
      </rPr>
      <t>&lt;ul&gt;&lt;i&gt;Полисахариды Streptococcus pneumoniae, конъюгированные с белками-носителями:</t>
    </r>
    <r>
      <rPr>
        <sz val="10"/>
        <color theme="1"/>
        <rFont val="Arial"/>
      </rPr>
      <t xml:space="preserve">&lt;/i&gt;
&lt;li&gt;Полисахарид серотипа&amp;nbsp;1 — 1&amp;nbsp;мкг/PD.&lt;/li&gt;
&lt;li&gt;Полисахарид серотипа&amp;nbsp;4 — 3&amp;nbsp;мкг/PD.&lt;/li&gt;
&lt;li&gt;Полисахарид серотипа&amp;nbsp;5 — 1&amp;nbsp;мкг/PD.&lt;/li&gt;
&lt;li&gt;Полисахарид серотипа&amp;nbsp;6B — 1&amp;nbsp;мкг/PD.&lt;/li&gt;
&lt;li&gt;Полисахарид серотипа&amp;nbsp;7F — 1&amp;nbsp;мкг/PD.&lt;/li&gt;
&lt;li&gt;Полисахарид серотипа&amp;nbsp;9V — 1&amp;nbsp;мкг/PD.&lt;/li&gt;
&lt;li&gt;Полисахарид серотипа&amp;nbsp;14 — 1&amp;nbsp;мкг/PD.&lt;/li&gt;
&lt;li&gt;Полисахарид серотипа&amp;nbsp;18C — 3&amp;nbsp;мкг/TT.&lt;/li&gt;
&lt;li&gt;Полисахарид серотипа&amp;nbsp;19F — 3&amp;nbsp;мкг/DT.&lt;/li&gt;
&lt;li&gt;Полисахарид серотипа&amp;nbsp;23F — 1&amp;nbsp;мкг/PD.&lt;/li&gt;&lt;/ul&gt;
</t>
    </r>
    <r>
      <rPr>
        <i/>
        <sz val="10"/>
        <color theme="1"/>
        <rFont val="Arial"/>
      </rPr>
      <t>&lt;ul&gt;&lt;i&gt;Белки-носители (общее количество):</t>
    </r>
    <r>
      <rPr>
        <sz val="10"/>
        <color theme="1"/>
        <rFont val="Arial"/>
      </rPr>
      <t xml:space="preserve">&lt;/i&gt;
&lt;li&gt;PD: D-протеин Haemophilus influenzae — 9-16&amp;nbsp;мкг*.&lt;/li&gt;
&lt;li&gt;TT: анатоксин столбнячный — 5-10&amp;nbsp;мкг*.&lt;/li&gt;
&lt;li&gt;DT: анатоксин дифтерийный — 3-6&amp;nbsp;мкг*.&lt;/li&gt;&lt;/ul&gt;&lt;/p&gt;
</t>
    </r>
    <r>
      <rPr>
        <i/>
        <sz val="10"/>
        <color theme="1"/>
        <rFont val="Arial"/>
      </rPr>
      <t>&lt;p&gt;&lt;i&gt;Вспомогательные вещества</t>
    </r>
    <r>
      <rPr>
        <sz val="10"/>
        <color theme="1"/>
        <rFont val="Arial"/>
      </rPr>
      <t>:&lt;/i&gt;
&lt;ul&gt;&lt;li&gt;Алюминия фосфат (в пересчете на алюминий) — 0,5&amp;nbsp;мг.&lt;/li&gt;
&lt;li&gt;Натрия хлорид — ∼4,4&amp;nbsp;мг.&lt;/li&gt;
&lt;li&gt;Вода для инъекций — до 0,5&amp;nbsp;мл.&lt;/li&gt;&lt;/ul&gt;&lt;/p&gt;
&lt;p&gt;* - Состав препарата основан на содержании полисахаридов, а индивидуальное содержание белка-носителя зависит от отношения «полисахарид/белок».&lt;/p&gt;</t>
    </r>
  </si>
  <si>
    <r>
      <rPr>
        <sz val="10"/>
        <color theme="1"/>
        <rFont val="Arial"/>
      </rPr>
      <t xml:space="preserve">Одна доза (0,5 мл) содержит:
</t>
    </r>
    <r>
      <rPr>
        <i/>
        <sz val="10"/>
        <color theme="1"/>
        <rFont val="Arial"/>
      </rPr>
      <t>Действующие вещества</t>
    </r>
    <r>
      <rPr>
        <sz val="10"/>
        <color theme="1"/>
        <rFont val="Arial"/>
      </rPr>
      <t xml:space="preserve">:
</t>
    </r>
    <r>
      <rPr>
        <i/>
        <sz val="10"/>
        <color theme="1"/>
        <rFont val="Arial"/>
      </rPr>
      <t>Streptococcus pneumoniae</t>
    </r>
    <r>
      <rPr>
        <sz val="10"/>
        <color theme="1"/>
        <rFont val="Arial"/>
      </rPr>
      <t xml:space="preserve"> полисахариды (по датской номенклатуре серотипы 1, 2, 3, 4, 5, 6B, 7F, 8, 9N, 9V, 10А, 11А, 12F, 14, 15В, 17F, 18С, 19А, 19F, 20, 22F, 23F, 33F) по 25 мкг 
каждого серотипа.
</t>
    </r>
    <r>
      <rPr>
        <i/>
        <sz val="10"/>
        <color theme="1"/>
        <rFont val="Arial"/>
      </rPr>
      <t>Перечень вспомогательных веществ:</t>
    </r>
    <r>
      <rPr>
        <sz val="10"/>
        <color theme="1"/>
        <rFont val="Arial"/>
      </rPr>
      <t xml:space="preserve">
• Натрия хлорид.
• Фенол.
• Вода для инъекций.</t>
    </r>
  </si>
  <si>
    <r>
      <rPr>
        <sz val="10"/>
        <color theme="1"/>
        <rFont val="Arial"/>
      </rPr>
      <t xml:space="preserve">&lt;p&gt;Одна доза (0,5&amp;nbsp;мл) содержит:&lt;/p&gt;
</t>
    </r>
    <r>
      <rPr>
        <i/>
        <sz val="10"/>
        <color theme="1"/>
        <rFont val="Arial"/>
      </rPr>
      <t>&lt;p&gt;&lt;i&gt;Действующие вещества:&lt;/i&gt;&lt;br&gt;</t>
    </r>
    <r>
      <rPr>
        <sz val="10"/>
        <color theme="1"/>
        <rFont val="Arial"/>
      </rPr>
      <t xml:space="preserve">
</t>
    </r>
    <r>
      <rPr>
        <i/>
        <sz val="10"/>
        <color theme="1"/>
        <rFont val="Arial"/>
      </rPr>
      <t>&lt;i&gt;Streptococcus pneumoniae&lt;/i&gt;</t>
    </r>
    <r>
      <rPr>
        <sz val="10"/>
        <color theme="1"/>
        <rFont val="Arial"/>
      </rPr>
      <t xml:space="preserve"> полисахариды (по датской номенклатуре серотипы 1, 2, 3, 4, 5, 6B, 7F, 8, 9N, 9V, 10А, 11А, 12F, 14, 15В, 17F, 18С, 19А, 19F, 20, 22F, 23F, 33F) по 25&amp;nbsp;мкг 
каждого серотипа.&lt;br&gt;&lt;br&gt;
</t>
    </r>
    <r>
      <rPr>
        <i/>
        <sz val="10"/>
        <color theme="1"/>
        <rFont val="Arial"/>
      </rPr>
      <t>&lt;i&gt;</t>
    </r>
    <r>
      <rPr>
        <sz val="10"/>
        <color theme="1"/>
        <rFont val="Arial"/>
      </rPr>
      <t>Перечень вспомогательных веществ:&lt;/i&gt;
&lt;ul&gt;&lt;li&gt;Натрия хлорид.&lt;/li&gt;
&lt;li&gt;Фенол.&lt;/li&gt;
&lt;li&gt;Вода для инъекций.&lt;/li&gt;&lt;/ul&gt;&lt;/p&gt;</t>
    </r>
  </si>
  <si>
    <r>
      <rPr>
        <sz val="10"/>
        <color theme="1"/>
        <rFont val="Arial"/>
      </rPr>
      <t xml:space="preserve">Одна прививочная доза 0,2 мл — 4 капли содержит:
</t>
    </r>
    <r>
      <rPr>
        <i/>
        <sz val="10"/>
        <color theme="1"/>
        <rFont val="Arial"/>
      </rPr>
      <t>Действующее вещество:</t>
    </r>
    <r>
      <rPr>
        <sz val="10"/>
        <color theme="1"/>
        <rFont val="Arial"/>
      </rPr>
      <t xml:space="preserve">
Вирус полиомиелита, аттенуированный штамм Сэбина 2 типа  не менее 10⁵·⁰ инфекционных единиц (ИЕ) вируса, выраженных в тканевых цитопатогенных дозах (ТЦД₅₀).
</t>
    </r>
    <r>
      <rPr>
        <i/>
        <sz val="10"/>
        <color theme="1"/>
        <rFont val="Arial"/>
      </rPr>
      <t>Вспомогательные вещества:</t>
    </r>
    <r>
      <rPr>
        <sz val="10"/>
        <color theme="1"/>
        <rFont val="Arial"/>
      </rPr>
      <t xml:space="preserve">
Магния хлорид — 0,018 г.</t>
    </r>
  </si>
  <si>
    <r>
      <rPr>
        <sz val="10"/>
        <color theme="1"/>
        <rFont val="Arial"/>
      </rPr>
      <t xml:space="preserve">&lt;p&gt;Одна прививочная доза 0,2&amp;nbsp;мл — 4&amp;nbsp;капли содержит:&lt;/p&gt;
</t>
    </r>
    <r>
      <rPr>
        <i/>
        <sz val="10"/>
        <color theme="1"/>
        <rFont val="Arial"/>
      </rPr>
      <t>&lt;p&gt;&lt;i&gt;Действующее вещество:</t>
    </r>
    <r>
      <rPr>
        <sz val="10"/>
        <color theme="1"/>
        <rFont val="Arial"/>
      </rPr>
      <t xml:space="preserve">&lt;/i&gt;&lt;br&gt;
Вирус полиомиелита, аттенуированный штамм Сэбина 2&amp;nbsp;типа  не менее 10⁵&lt;sup&gt;,&lt;/sup&gt;⁰&amp;nbsp;инфекционных единиц (ИЕ) вируса, выраженных в тканевых цитопатогенных дозах (ТЦД₅₀).&lt;/p&gt;
</t>
    </r>
    <r>
      <rPr>
        <i/>
        <sz val="10"/>
        <color theme="1"/>
        <rFont val="Arial"/>
      </rPr>
      <t>&lt;p&gt;&lt;i&gt;Вспомогательные вещества:</t>
    </r>
    <r>
      <rPr>
        <sz val="10"/>
        <color theme="1"/>
        <rFont val="Arial"/>
      </rPr>
      <t>&lt;/i&gt;&lt;br&gt;
Магния хлорид — 0,018&amp;nbsp;г.&lt;/p&gt;</t>
    </r>
  </si>
  <si>
    <t>https://grls.rosminzdrav.ru/InstrImg/2022/07/11/1482961/7ca870d6-4357-4c0d-8ba4-f49b758dfd88.pdf</t>
  </si>
  <si>
    <r>
      <rPr>
        <sz val="10"/>
        <color theme="1"/>
        <rFont val="Arial"/>
      </rPr>
      <t xml:space="preserve">Одна доза 0,2 мл — 4 капли содержит:
</t>
    </r>
    <r>
      <rPr>
        <i/>
        <sz val="10"/>
        <color theme="1"/>
        <rFont val="Arial"/>
      </rPr>
      <t>Действующее вещество:</t>
    </r>
    <r>
      <rPr>
        <sz val="10"/>
        <color theme="1"/>
        <rFont val="Arial"/>
      </rPr>
      <t xml:space="preserve"> вирус полиомиелита, аттенуированные штаммы Сэбина тип 1 не менее 10⁶·⁰ ТЦД₅₀, тип 3 не менее 10⁵·⁵ ТЦД₅₀ инфекционных единиц (ИЕ) вируса, выраженных в тканевых цитопатогенных дозах (ТЦД₅₀).
</t>
    </r>
    <r>
      <rPr>
        <i/>
        <sz val="10"/>
        <color theme="1"/>
        <rFont val="Arial"/>
      </rPr>
      <t>Вспомогательные вещества:</t>
    </r>
    <r>
      <rPr>
        <sz val="10"/>
        <color theme="1"/>
        <rFont val="Arial"/>
      </rPr>
      <t xml:space="preserve"> магния хлорид 0,018 г.</t>
    </r>
  </si>
  <si>
    <r>
      <rPr>
        <sz val="10"/>
        <color theme="1"/>
        <rFont val="Arial"/>
      </rPr>
      <t xml:space="preserve">&lt;p&gt;Одна доза 0,2&amp;nbsp;мл — 4&amp;nbsp;капли содержит:&lt;/p&gt;
</t>
    </r>
    <r>
      <rPr>
        <i/>
        <sz val="10"/>
        <color theme="1"/>
        <rFont val="Arial"/>
      </rPr>
      <t>&lt;p&gt;&lt;i&gt;Действующее вещество:</t>
    </r>
    <r>
      <rPr>
        <sz val="10"/>
        <color theme="1"/>
        <rFont val="Arial"/>
      </rPr>
      <t xml:space="preserve">&lt;/i&gt; вирус полиомиелита, аттенуированные штаммы Сэбина тип&amp;nbsp;1 не менее 10⁶&lt;sup&gt;,&lt;/sup&gt;⁰&amp;nbsp;ТЦД₅₀, тип&amp;nbsp;3 не менее 10⁵&lt;sup&gt;,&lt;/sup&gt;⁵&amp;nbsp;ТЦД₅₀ инфекционных единиц (ИЕ) вируса, выраженных в тканевых цитопатогенных дозах (ТЦД₅₀).&lt;/p&gt;
</t>
    </r>
    <r>
      <rPr>
        <i/>
        <sz val="10"/>
        <color theme="1"/>
        <rFont val="Arial"/>
      </rPr>
      <t>&lt;p&gt;&lt;i&gt;Вспомогательные вещества:&lt;/i&gt;</t>
    </r>
    <r>
      <rPr>
        <sz val="10"/>
        <color theme="1"/>
        <rFont val="Arial"/>
      </rPr>
      <t xml:space="preserve"> магния хлорид 0,018&amp;nbsp;г.&lt;/p&gt;</t>
    </r>
  </si>
  <si>
    <r>
      <rPr>
        <sz val="10"/>
        <color theme="1"/>
        <rFont val="Arial"/>
      </rPr>
      <t xml:space="preserve">Состав на одну дозу (0,5 мл):
</t>
    </r>
    <r>
      <rPr>
        <i/>
        <sz val="10"/>
        <color theme="1"/>
        <rFont val="Arial"/>
      </rPr>
      <t>Активный компонент:</t>
    </r>
    <r>
      <rPr>
        <sz val="10"/>
        <color theme="1"/>
        <rFont val="Arial"/>
      </rPr>
      <t xml:space="preserve">
• вирус полиомиелита тип 1 — 40 ЕД D-антигена;
• вирус полиомиелита тип 2 — 8 ЕД D-антигена;
• вирус полиомиелита тип 3 — 32 ЕД D-антигена.
</t>
    </r>
    <r>
      <rPr>
        <i/>
        <sz val="10"/>
        <color theme="1"/>
        <rFont val="Arial"/>
      </rPr>
      <t>Вспомогательные вещества:</t>
    </r>
    <r>
      <rPr>
        <sz val="10"/>
        <color theme="1"/>
        <rFont val="Arial"/>
      </rPr>
      <t xml:space="preserve">
• 2-феноксиэтанол — 2,5 мг;
• формальдегид — 0,0125 мг;
 натрий-фосфатный буфер 0,1 М, pH 7, содержащий:
• натрия фосфат двузамещенный дигидрат — 0,43 мг;
• натрия фосфат однозамещенный моногидрат — 0,22 мг;
концентрированная жидкость для разведения, содержащая:
• натрия хлорид — 2,96 мг;
• калия хлорид — 0,16 мг;
• магния сульфат гептагидрат — 0,08 мг;
• феноловый красный — 0,008 мг;
• кальция хлорид дигидрат — 0,08 мг;
• вода для инъекций — до 0,5 мл.</t>
    </r>
  </si>
  <si>
    <r>
      <rPr>
        <sz val="10"/>
        <color theme="1"/>
        <rFont val="Arial"/>
      </rPr>
      <t xml:space="preserve">&lt;p&gt;Состав на одну дозу (0,5&amp;nbsp;мл):&lt;/p&gt;
</t>
    </r>
    <r>
      <rPr>
        <i/>
        <sz val="10"/>
        <color theme="1"/>
        <rFont val="Arial"/>
      </rPr>
      <t>&lt;p&gt;&lt;i&gt;Активный компонент:</t>
    </r>
    <r>
      <rPr>
        <sz val="10"/>
        <color theme="1"/>
        <rFont val="Arial"/>
      </rPr>
      <t xml:space="preserve">&lt;/i&gt;
&lt;ul&gt;&lt;li&gt;вирус полиомиелита тип&amp;nbsp;1 — 40&amp;nbsp;ЕД D-антигена;&lt;/li&gt;
&lt;li&gt;вирус полиомиелита тип&amp;nbsp;2 — 8&amp;nbsp;ЕД D-антигена;&lt;/li&gt;
&lt;li&gt;вирус полиомиелита тип&amp;nbsp;3 — 32&amp;nbsp;ЕД D-антигена.&lt;/li&gt;&lt;/ul&gt;
</t>
    </r>
    <r>
      <rPr>
        <i/>
        <sz val="10"/>
        <color theme="1"/>
        <rFont val="Arial"/>
      </rPr>
      <t>&lt;i&gt;Вспомогательные вещества:</t>
    </r>
    <r>
      <rPr>
        <sz val="10"/>
        <color theme="1"/>
        <rFont val="Arial"/>
      </rPr>
      <t>&lt;/i&gt;
&lt;ul&gt;&lt;li&gt;2-феноксиэтанол — 2,5&amp;nbsp;мг;&lt;/li&gt;
&lt;li&gt;формальдегид — 0,0125&amp;nbsp;мг;&lt;/li&gt;
натрий-фосфатный буфер&amp;nbsp;0,1&amp;nbsp;М, pH&amp;nbsp;7, содержащий:
&lt;li&gt;натрия фосфат двузамещенный дигидрат — 0,43&amp;nbsp;мг;&lt;/li&gt;
&lt;li&gt;натрия фосфат однозамещенный моногидрат — 0,22&amp;nbsp;мг;&lt;/li&gt;
концентрированная жидкость для разведения, содержащая:
&lt;li&gt;натрия хлорид — 2,96&amp;nbsp;мг;&lt;/li&gt;
&lt;li&gt;калия хлорид — 0,16&amp;nbsp;мг;&lt;/li&gt;
&lt;li&gt;магния сульфат гептагидрат — 0,08&amp;nbsp;мг;&lt;/li&gt;
&lt;li&gt;феноловый красный — 0,008&amp;nbsp;мг;&lt;/li&gt;
&lt;li&gt;кальция хлорид дигидрат — 0,08&amp;nbsp;мг;&lt;/li&gt;
&lt;li&gt;вода для инъекций — до 0,5&amp;nbsp;мл.&lt;/li&gt;&lt;/ul&gt;&lt;/p&gt;</t>
    </r>
  </si>
  <si>
    <r>
      <rPr>
        <sz val="10"/>
        <color theme="1"/>
        <rFont val="Arial"/>
      </rPr>
      <t xml:space="preserve">1 доза вакцины содержит:
</t>
    </r>
    <r>
      <rPr>
        <i/>
        <sz val="10"/>
        <color theme="1"/>
        <rFont val="Arial"/>
      </rPr>
      <t>Действующее вещество:</t>
    </r>
    <r>
      <rPr>
        <sz val="10"/>
        <color theme="1"/>
        <rFont val="Arial"/>
      </rPr>
      <t xml:space="preserve"> антиген вируса бешенства специфический инактивированный, штамм «Внуково-32» — не менее 2,5 Международных Единиц (МЕ).
</t>
    </r>
    <r>
      <rPr>
        <i/>
        <sz val="10"/>
        <color theme="1"/>
        <rFont val="Arial"/>
      </rPr>
      <t xml:space="preserve">Вспомогательные вещества:
</t>
    </r>
    <r>
      <rPr>
        <sz val="10"/>
        <color theme="1"/>
        <rFont val="Arial"/>
      </rPr>
      <t>• альбумин человека;
• сахароза;
• желатин.</t>
    </r>
  </si>
  <si>
    <r>
      <rPr>
        <sz val="10"/>
        <color theme="1"/>
        <rFont val="Arial"/>
      </rPr>
      <t xml:space="preserve">&lt;p&gt;1&amp;nbsp;доза вакцины содержит:&lt;/p&gt;
</t>
    </r>
    <r>
      <rPr>
        <i/>
        <sz val="10"/>
        <color theme="1"/>
        <rFont val="Arial"/>
      </rPr>
      <t>&lt;p&gt;&lt;i&gt;Действующее вещество:</t>
    </r>
    <r>
      <rPr>
        <sz val="10"/>
        <color theme="1"/>
        <rFont val="Arial"/>
      </rPr>
      <t>&lt;/i&gt; антиген вируса бешенства специфический инактивированный, штамм «Внуково-32» — не менее 2,5&amp;nbsp;Международных Единиц (МЕ).&lt;br&gt;&lt;br&gt;
&lt;i&gt;Вспомогательные вещества:&lt;/i&gt;
&lt;ul&gt;&lt;li&gt;альбумин человека;&lt;/li&gt;
&lt;li&gt;сахароза;&lt;/li&gt;
&lt;li&gt;желатин.&lt;/li&gt;&lt;/ul&gt;&lt;/p&gt;</t>
    </r>
  </si>
  <si>
    <r>
      <rPr>
        <sz val="10"/>
        <color theme="1"/>
        <rFont val="Arial"/>
      </rPr>
      <t xml:space="preserve">Состав на 1 дозу (1 мл):
</t>
    </r>
    <r>
      <rPr>
        <i/>
        <sz val="10"/>
        <color theme="1"/>
        <rFont val="Arial"/>
      </rPr>
      <t xml:space="preserve">Действующее вещество: </t>
    </r>
    <r>
      <rPr>
        <sz val="10"/>
        <color theme="1"/>
        <rFont val="Arial"/>
      </rPr>
      <t xml:space="preserve">
• Специфический антиген вируса бешенства штамм «Внуково-32» — не менее 2,5 МЕ.
</t>
    </r>
    <r>
      <rPr>
        <i/>
        <sz val="10"/>
        <color theme="1"/>
        <rFont val="Arial"/>
      </rPr>
      <t>Вспомогательные вещества:</t>
    </r>
    <r>
      <rPr>
        <sz val="10"/>
        <color theme="1"/>
        <rFont val="Arial"/>
      </rPr>
      <t xml:space="preserve">
• Альбумин человека* — 5 мг.
• Сахароза — 75 мг.
• Желатин — 10 мг.
* - В виде раствора для инфузий 10% или 20%.
Препарат не содержит консервантов и антибиотиков.
Одна доза восстановленного препарата составляет 1 мл.
Вакцина выпускается в комплекте с растворителем — вода для инъекций.</t>
    </r>
  </si>
  <si>
    <r>
      <rPr>
        <sz val="10"/>
        <color theme="1"/>
        <rFont val="Arial"/>
      </rPr>
      <t xml:space="preserve">&lt;p&gt;Состав на 1&amp;nbsp;дозу (1&amp;nbsp;мл):&lt;/p&gt;
</t>
    </r>
    <r>
      <rPr>
        <i/>
        <sz val="10"/>
        <color theme="1"/>
        <rFont val="Arial"/>
      </rPr>
      <t xml:space="preserve">&lt;p&gt;&lt;i&gt;Действующее вещество: </t>
    </r>
    <r>
      <rPr>
        <sz val="10"/>
        <color theme="1"/>
        <rFont val="Arial"/>
      </rPr>
      <t xml:space="preserve">&lt;/i&gt;
&lt;ul&gt;&lt;li&gt;Специфический антиген вируса бешенства штамм «Внуково-32» — не менее 2,5&amp;nbsp;МЕ.&lt;/li&gt;&lt;/ul&gt;
</t>
    </r>
    <r>
      <rPr>
        <i/>
        <sz val="10"/>
        <color theme="1"/>
        <rFont val="Arial"/>
      </rPr>
      <t>&lt;i&gt;Вспомогательные вещества:&lt;/i&gt;</t>
    </r>
    <r>
      <rPr>
        <sz val="10"/>
        <color theme="1"/>
        <rFont val="Arial"/>
      </rPr>
      <t xml:space="preserve">
&lt;ul&gt;&lt;li&gt;Альбумин человека* — 5&amp;nbsp;мг.&lt;/li&gt;
&lt;li&gt;Сахароза — 75&amp;nbsp;мг.&lt;/li&gt;
&lt;li&gt;Желатин — 10&amp;nbsp;мг.&lt;/li&gt;&lt;/ul&gt;&lt;/p&gt;
&lt;p&gt;* - В виде раствора для инфузий 10% или 20%.&lt;/p&gt;
&lt;p&gt;Препарат не содержит консервантов и антибиотиков.&lt;/p&gt;
&lt;p&gt;Одна доза восстановленного препарата составляет 1&amp;nbsp;мл.&lt;/p&gt;
&lt;p&gt;Вакцина выпускается в комплекте с растворителем — вода для инъекций.&lt;/p&gt;</t>
    </r>
  </si>
  <si>
    <t>Одна доза вакцины содержит вакцинный вирус бешенства, штамм «Внуково-32», инактивированный — не менее 0,5 Международных единиц (ME).
Вспомогательные вещества. Стабилизаторы — альбумин (раствор для инфузий 10%) в конечной концентрации 0,5%, сахар (сахароза) в конечной концентрации 7,5%; раствор желатина в конечной концентрации 1%. Содержание общего белка в препарате до добавления сахарозы и желатина от 0,7 до 1,3 мг/мл.
Выпускают в комплекте с растворителем — вода для инъекций.</t>
  </si>
  <si>
    <t>&lt;p&gt;Одна доза вакцины содержит вакцинный вирус бешенства, штамм «Внуково-32», инактивированный — не менее 0,5&amp;nbsp;Международных единиц (ME).&lt;/p&gt;
&lt;p&gt;Вспомогательные вещества. Стабилизаторы — альбумин (раствор для инфузий 10%) в конечной концентрации 0,5%, сахар (сахароза) в конечной концентрации 7,5%; раствор желатина в конечной концентрации 1%. Содержание общего белка в препарате до добавления сахарозы и желатина от 0,7 до 1,3&amp;nbsp;мг/мл.&lt;/p&gt;
&lt;p&gt;Выпускают в комплекте с растворителем — вода для инъекций.&lt;/p&gt;</t>
  </si>
  <si>
    <r>
      <rPr>
        <sz val="10"/>
        <color theme="1"/>
        <rFont val="Arial"/>
      </rPr>
      <t xml:space="preserve">Одна доза (2 мл) содержит:
</t>
    </r>
    <r>
      <rPr>
        <i/>
        <sz val="10"/>
        <color theme="1"/>
        <rFont val="Arial"/>
      </rPr>
      <t>Действующие вещества</t>
    </r>
    <r>
      <rPr>
        <sz val="10"/>
        <color theme="1"/>
        <rFont val="Arial"/>
      </rPr>
      <t xml:space="preserve">:
Живые реассортанты человеческого и бычьего ротавирусов, выращенные на культуре клеток Веро:
• Ротавирус типа G1 — не менее 2,2х10⁶ ИЕ*.
• Ротавирус типа G2 — не менее 2,8х10⁶ ИЕ*.
• Ротавирус типа G3 — не менее 2,2х10⁶ ИЕ*.
• Ротавирус типа G4 — не менее 2,0х10⁶ ИЕ*.
• Ротавирус типа PIA[8] — не менее 2,3х10⁶ ИЕ*.
* ИЕ – инфекционная единица.
</t>
    </r>
    <r>
      <rPr>
        <i/>
        <sz val="10"/>
        <color theme="1"/>
        <rFont val="Arial"/>
      </rPr>
      <t>Вспомогательные вещества:</t>
    </r>
    <r>
      <rPr>
        <sz val="10"/>
        <color theme="1"/>
        <rFont val="Arial"/>
      </rPr>
      <t xml:space="preserve">
Сахароза 1080 мг, натрия гидроксид 2,75 мг, натрия цитрата дигидрат 127 мг, натрия дигидрофосфата моногидрат 29,8 мг, полисорбат-80 от 0,17 до 0,86 мг, ротавирусный растворитель и среда LPKM-3. Суммарный объем культуральной среды LPKM-3 из вирусных белков и ротавирусного растворителя составляет 15% от общего объема вакцины.</t>
    </r>
  </si>
  <si>
    <r>
      <rPr>
        <sz val="10"/>
        <color theme="1"/>
        <rFont val="Arial"/>
      </rPr>
      <t xml:space="preserve">&lt;p&gt;Одна доза (2&amp;nbsp;мл) содержит:&lt;/p&gt;
</t>
    </r>
    <r>
      <rPr>
        <i/>
        <sz val="10"/>
        <color theme="1"/>
        <rFont val="Arial"/>
      </rPr>
      <t>&lt;p&gt;&lt;i&gt;Действующие вещества:&lt;/i&gt;</t>
    </r>
    <r>
      <rPr>
        <sz val="10"/>
        <color theme="1"/>
        <rFont val="Arial"/>
      </rPr>
      <t xml:space="preserve">&lt;br&gt;
Живые реассортанты человеческого и бычьего ротавирусов, выращенные на культуре клеток Веро:
&lt;ul&gt;&lt;li&gt;Ротавирус типа&amp;nbsp;G1 — не менее 2,2х10⁶&amp;nbsp;ИЕ*.&lt;/li&gt;
&lt;li&gt;Ротавирус типа&amp;nbsp;G2 — не менее 2,8х10⁶&amp;nbsp;ИЕ*.&lt;/li&gt;
&lt;li&gt;Ротавирус типа&amp;nbsp;G3 — не менее 2,2х10⁶&amp;nbsp;ИЕ*.&lt;/li&gt;
&lt;li&gt;Ротавирус типа&amp;nbsp;G4 — не менее 2,0х10⁶&amp;nbsp;ИЕ*.&lt;/li&gt;
&lt;li&gt;Ротавирус типа&amp;nbsp;PIA[8] — не менее 2,3х10⁶&amp;nbsp;ИЕ*.&lt;/li&gt;&lt;/ul&gt;
* ИЕ – инфекционная единица.&lt;/p&gt;
</t>
    </r>
    <r>
      <rPr>
        <i/>
        <sz val="10"/>
        <color theme="1"/>
        <rFont val="Arial"/>
      </rPr>
      <t>&lt;p&gt;&lt;i&gt;Вспомогательные вещества:</t>
    </r>
    <r>
      <rPr>
        <sz val="10"/>
        <color theme="1"/>
        <rFont val="Arial"/>
      </rPr>
      <t>&lt;/i&gt;&lt;br&gt;
Сахароза 1080&amp;nbsp;мг, натрия гидроксид 2,75&amp;nbsp;мг, натрия цитрата дигидрат 127&amp;nbsp;мг, натрия дигидрофосфата моногидрат 29,8&amp;nbsp;мг, полисорбат-80 от 0,17 до 0,86&amp;nbsp;мг, ротавирусный растворитель и среда LPKM-3. Суммарный объем культуральной среды LPKM-3 из вирусных белков и ротавирусного растворителя составляет 15% от общего объема вакцины.&lt;/p&gt;</t>
    </r>
  </si>
  <si>
    <t>https://grls.rosminzdrav.ru/InstrImg/2022/11/25/1488637/2d8b70a5-023e-45f6-a321-21ab12c43cb4.pdf</t>
  </si>
  <si>
    <t>Одна прививочная доза препарата (0,5 мл) содержит:
• вирус краснухи — не менее 1000 (3,0 lg) тканевых цитопатогенных доз (ТЦД₅₀).
Используют аттенуированный штамм вируса краснухи RA 27/3 культивированный на диплоидных клетках человека MRC-5.
Перечень вспомогательных веществ:
• водный раствор ЛС-18¹;
• желатина раствор 10%.
Примечание.
¹ Состав водного раствора ЛС-18: сахароза, лактоза, натрий глутаминовокислый, глицин, L-пролин, Хенкса сухая смесь с феноловым красным, вода для инъекций.</t>
  </si>
  <si>
    <t>&lt;p&gt;Одна прививочная доза препарата (0,5&amp;nbsp;мл) содержит:
&lt;ul&gt;&lt;li&gt;вирус краснухи — не менее 1000 (3,0&amp;nbsp;lg) тканевых цитопатогенных доз (ТЦД₅₀).&lt;/li&gt;&lt;/ul&gt;
Используют аттенуированный штамм вируса краснухи RA&amp;nbsp;27/3 культивированный на диплоидных клетках человека MRC-5.&lt;br&gt;&lt;br&gt;
&lt;i&gt;Перечень вспомогательных веществ:&lt;/i&gt;
&lt;ul&gt;&lt;li&gt;водный раствор ЛС-18¹;&lt;/li&gt;
&lt;li&gt;желатина раствор 10%.&lt;/li&gt;&lt;/ul&gt;
Примечание.&lt;br&gt;
¹&amp;nbsp;Состав водного раствора ЛС-18: сахароза, лактоза, натрий глутаминовокислый, глицин, L-пролин, Хенкса сухая смесь с феноловым красным, вода для инъекций.&lt;/p&gt;</t>
  </si>
  <si>
    <t>Одна прививочная доза вакцины (0,5 мл) содержит:
• не менее 1000 тканевых цитопатогенных доз (ТЦД₅₀) вакцинного штамма вируса краснухи Вистар RA 27/3;
• стабилизатор: сорбитол — 25 мг, желатоза — 12,5 мг.
Антибиотиков и консервантов не содержит.</t>
  </si>
  <si>
    <t>&lt;p&gt;Одна прививочная доза вакцины (0,5&amp;nbsp;мл) содержит:
&lt;ul&gt;&lt;li&gt;не менее 1000&amp;nbsp;тканевых цитопатогенных доз (ТЦД₅₀) вакцинного штамма вируса краснухи Вистар&amp;nbsp;RA&amp;nbsp;27/3;&lt;/li&gt;
&lt;li&gt;стабилизатор: сорбитол — 25&amp;nbsp;мг, желатоза — 12,5&amp;nbsp;мг.&lt;/li&gt;&lt;/ul&gt;&lt;/p&gt;
&lt;p&gt;Антибиотиков и консервантов не содержит.&lt;/p&gt;</t>
  </si>
  <si>
    <r>
      <rPr>
        <sz val="10"/>
        <color theme="1"/>
        <rFont val="Arial"/>
      </rPr>
      <t xml:space="preserve">В 1 дозе (0,5 мл) содержится:
</t>
    </r>
    <r>
      <rPr>
        <i/>
        <sz val="10"/>
        <color theme="1"/>
        <rFont val="Arial"/>
      </rPr>
      <t>Препарат с консервантом:</t>
    </r>
    <r>
      <rPr>
        <sz val="10"/>
        <color theme="1"/>
        <rFont val="Arial"/>
      </rPr>
      <t xml:space="preserve">
• Действующее вещество: Анатоксин столбнячный¹ — 10 ЕС.
• Содержит формальдегид — не более 100 мкг.
</t>
    </r>
    <r>
      <rPr>
        <i/>
        <sz val="10"/>
        <color theme="1"/>
        <rFont val="Arial"/>
      </rPr>
      <t>Препарат без консерванта:</t>
    </r>
    <r>
      <rPr>
        <sz val="10"/>
        <color theme="1"/>
        <rFont val="Arial"/>
      </rPr>
      <t xml:space="preserve">
• Действующее вещество: Анатоксин столбнячный¹ — 10 ЕС.
• Содержит формальдегид — не более 100 мкг.
¹ Адсорбированный на алюминия гидроксиде (в пересчете на Al³⁺) — не более 0,55 мг.
Полный перечень вспомогательных веществ приведен в разделе 6.1.
</t>
    </r>
    <r>
      <rPr>
        <b/>
        <sz val="10"/>
        <color theme="1"/>
        <rFont val="Arial"/>
      </rPr>
      <t>6.1. Перечень вспомогательных веществ</t>
    </r>
    <r>
      <rPr>
        <sz val="10"/>
        <color theme="1"/>
        <rFont val="Arial"/>
      </rPr>
      <t xml:space="preserve">
</t>
    </r>
    <r>
      <rPr>
        <i/>
        <sz val="10"/>
        <color theme="1"/>
        <rFont val="Arial"/>
      </rPr>
      <t>Препарат с консервантом:</t>
    </r>
    <r>
      <rPr>
        <sz val="10"/>
        <color theme="1"/>
        <rFont val="Arial"/>
      </rPr>
      <t xml:space="preserve">
• Алюминия гидроксид.
• Консервант — тиомерсал.
</t>
    </r>
    <r>
      <rPr>
        <i/>
        <sz val="10"/>
        <color theme="1"/>
        <rFont val="Arial"/>
      </rPr>
      <t>Препарат без консерванта:</t>
    </r>
    <r>
      <rPr>
        <sz val="10"/>
        <color theme="1"/>
        <rFont val="Arial"/>
      </rPr>
      <t xml:space="preserve">
• Алюминия гидроксид.</t>
    </r>
  </si>
  <si>
    <r>
      <rPr>
        <sz val="10"/>
        <color theme="1"/>
        <rFont val="Arial"/>
      </rPr>
      <t xml:space="preserve">&lt;p&gt;В 1&amp;nbsp;дозе (0,5&amp;nbsp;мл) содержится:&lt;br&gt;&lt;br&gt;
</t>
    </r>
    <r>
      <rPr>
        <i/>
        <sz val="10"/>
        <color theme="1"/>
        <rFont val="Arial"/>
      </rPr>
      <t>&lt;i&gt;Препарат с консервантом:</t>
    </r>
    <r>
      <rPr>
        <sz val="10"/>
        <color theme="1"/>
        <rFont val="Arial"/>
      </rPr>
      <t xml:space="preserve">&lt;/i&gt;
&lt;ul&gt;&lt;li&gt;Действующее вещество: Анатоксин столбнячный¹ — 10&amp;nbsp;ЕС.&lt;/li&gt;
&lt;li&gt;Содержит формальдегид — не более 100&amp;nbsp;мкг.&lt;/li&gt;&lt;/ul&gt;
</t>
    </r>
    <r>
      <rPr>
        <i/>
        <sz val="10"/>
        <color theme="1"/>
        <rFont val="Arial"/>
      </rPr>
      <t>&lt;i&gt;Препарат без консерванта:</t>
    </r>
    <r>
      <rPr>
        <sz val="10"/>
        <color theme="1"/>
        <rFont val="Arial"/>
      </rPr>
      <t xml:space="preserve">&lt;/i&gt;
&lt;ul&gt;&lt;li&gt;Действующее вещество: Анатоксин столбнячный¹ — 10&amp;nbsp;ЕС.&lt;/li&gt;
&lt;li&gt;Содержит формальдегид — не более 100&amp;nbsp;мкг.&lt;/li&gt;&lt;/ul&gt;
¹&amp;nbsp;Адсорбированный на алюминия гидроксиде (в пересчете на Al³⁺) — не более 0,55&amp;nbsp;мг.&lt;br&gt;&lt;br&gt;
Полный перечень вспомогательных веществ приведен в разделе&amp;nbsp;6.1.&lt;/p&gt;
</t>
    </r>
    <r>
      <rPr>
        <b/>
        <sz val="10"/>
        <color theme="1"/>
        <rFont val="Arial"/>
      </rPr>
      <t>&lt;p&gt;&lt;b&gt;6.1.&amp;nbsp;Перечень вспомогательных веществ</t>
    </r>
    <r>
      <rPr>
        <sz val="10"/>
        <color theme="1"/>
        <rFont val="Arial"/>
      </rPr>
      <t xml:space="preserve">&lt;/b&gt;&lt;br&gt;&lt;br&gt;
</t>
    </r>
    <r>
      <rPr>
        <i/>
        <sz val="10"/>
        <color theme="1"/>
        <rFont val="Arial"/>
      </rPr>
      <t>&lt;i&gt;Препарат с консервантом:</t>
    </r>
    <r>
      <rPr>
        <sz val="10"/>
        <color theme="1"/>
        <rFont val="Arial"/>
      </rPr>
      <t xml:space="preserve">&lt;/i&gt;
&lt;ul&gt;&lt;li&gt;Алюминия гидроксид.&lt;/li&gt;
&lt;li&gt;Консервант — тиомерсал.&lt;/li&gt;&lt;/ul&gt;
</t>
    </r>
    <r>
      <rPr>
        <i/>
        <sz val="10"/>
        <color theme="1"/>
        <rFont val="Arial"/>
      </rPr>
      <t>&lt;i&gt;Препарат без консерванта:</t>
    </r>
    <r>
      <rPr>
        <sz val="10"/>
        <color theme="1"/>
        <rFont val="Arial"/>
      </rPr>
      <t>&lt;/i&gt;
&lt;ul&gt;&lt;li&gt;Алюминия гидроксид.&lt;/li&gt;&lt;/ul&gt;&lt;/p&gt;</t>
    </r>
  </si>
  <si>
    <t>Разовая доза препарата (0,5 мл) содержит: 10 единиц связывания (ЕС) столбнячного анатоксина, не более 1,25 мг алюминия гидроксида в пересчете на алюминий (сорбент), от 42,5 до 57,5 мкг тиомерсал (консервант).</t>
  </si>
  <si>
    <t>&lt;p&gt;Разовая доза препарата (0,5&amp;nbsp;мл) содержит: 10&amp;nbsp;единиц связывания (ЕС) столбнячного анатоксина, не более 1,25&amp;nbsp;мг алюминия гидроксида в пересчете на алюминий (сорбент), от 42,5 до 57,5&amp;nbsp;мкг тиомерсал (консервант).&lt;/p&gt;</t>
  </si>
  <si>
    <r>
      <rPr>
        <i/>
        <sz val="10"/>
        <color theme="1"/>
        <rFont val="Arial"/>
      </rPr>
      <t>Активное вещество:</t>
    </r>
    <r>
      <rPr>
        <sz val="10"/>
        <color theme="1"/>
        <rFont val="Arial"/>
      </rPr>
      <t xml:space="preserve">
Одна доза для детей и подростков содержит 25 ЕД* антигена вируса гепатита А в 0,5 мл.
* - 1 ЕД соответствует около 1 нг белка вируса гепатита А.
</t>
    </r>
    <r>
      <rPr>
        <i/>
        <sz val="10"/>
        <color theme="1"/>
        <rFont val="Arial"/>
      </rPr>
      <t>Вспомогательные вещества:</t>
    </r>
    <r>
      <rPr>
        <sz val="10"/>
        <color theme="1"/>
        <rFont val="Arial"/>
      </rPr>
      <t xml:space="preserve">
Одна доза для детей и подростков в 0,5 мл содержит: алюминий (в виде алюминия гидроксифосфата сульфата аморфного) 0,225 мг, натрия бората декагидрат 0,035 мг, натрия хлорид 4,5 мг, воду для инъекций до 0,5 мл.</t>
    </r>
  </si>
  <si>
    <r>
      <rPr>
        <i/>
        <sz val="10"/>
        <color theme="1"/>
        <rFont val="Arial"/>
      </rPr>
      <t>&lt;p&gt;&lt;i&gt;Активное вещество:&lt;/i&gt;&lt;br&gt;</t>
    </r>
    <r>
      <rPr>
        <sz val="10"/>
        <color theme="1"/>
        <rFont val="Arial"/>
      </rPr>
      <t xml:space="preserve">
Одна доза для детей и подростков содержит 25&amp;nbsp;ЕД* антигена вируса гепатита&amp;nbsp;А в 0,5&amp;nbsp;мл.&lt;/p&gt;
&lt;p&gt;* - 1&amp;nbsp;ЕД соответствует около 1&amp;nbsp;нг белка вируса гепатита&amp;nbsp;А.&lt;/p&gt;
</t>
    </r>
    <r>
      <rPr>
        <i/>
        <sz val="10"/>
        <color theme="1"/>
        <rFont val="Arial"/>
      </rPr>
      <t>&lt;p&gt;&lt;i&gt;Вспомогательные вещества:&lt;/i&gt;&lt;br&gt;</t>
    </r>
    <r>
      <rPr>
        <sz val="10"/>
        <color theme="1"/>
        <rFont val="Arial"/>
      </rPr>
      <t xml:space="preserve">
Одна доза для детей и подростков в 0,5&amp;nbsp;мл содержит: алюминий (в виде алюминия гидроксифосфата сульфата аморфного) 0,225&amp;nbsp;мг, натрия бората декагидрат 0,035&amp;nbsp;мг, натрия хлорид 4,5&amp;nbsp;мг, воду для инъекций до 0,5&amp;nbsp;мл.&lt;/p&gt;</t>
    </r>
  </si>
  <si>
    <r>
      <rPr>
        <i/>
        <sz val="10"/>
        <color theme="1"/>
        <rFont val="Arial"/>
      </rPr>
      <t>Активное вещество:</t>
    </r>
    <r>
      <rPr>
        <sz val="10"/>
        <color theme="1"/>
        <rFont val="Arial"/>
      </rPr>
      <t xml:space="preserve">
Одна доза для взрослых содержит 50 ЕД* антигена вируса гепатита А в 1,0 мл.
* - 1 ЕД соответствует около 1 нг белка вируса гепатита А.
</t>
    </r>
    <r>
      <rPr>
        <i/>
        <sz val="10"/>
        <color theme="1"/>
        <rFont val="Arial"/>
      </rPr>
      <t>Вспомогательные вещества:</t>
    </r>
    <r>
      <rPr>
        <sz val="10"/>
        <color theme="1"/>
        <rFont val="Arial"/>
      </rPr>
      <t xml:space="preserve">
Одна доза для взрослых в 1,0 мл содержит: алюминий (в виде алюминия гидроксифосфата сульфата аморфного) 0,45 мг, натрия бората декагидрат 0,07 мг, натрия хлорид 9,0 мг, воду для инъекций до 1 мл.</t>
    </r>
  </si>
  <si>
    <r>
      <rPr>
        <i/>
        <sz val="10"/>
        <color theme="1"/>
        <rFont val="Arial"/>
      </rPr>
      <t>&lt;p&gt;&lt;i&gt;Активное вещество:&lt;/i&gt;&lt;br&gt;</t>
    </r>
    <r>
      <rPr>
        <sz val="10"/>
        <color theme="1"/>
        <rFont val="Arial"/>
      </rPr>
      <t xml:space="preserve">
Одна доза для взрослых содержит 50&amp;nbsp;ЕД* антигена вируса гепатита&amp;nbsp;А в 1,0&amp;nbsp;мл.&lt;/p&gt;
&lt;p&gt;* - 1&amp;nbsp;ЕД соответствует около 1&amp;nbsp;нг белка вируса гепатита&amp;nbsp;А.&lt;/p&gt;
</t>
    </r>
    <r>
      <rPr>
        <i/>
        <sz val="10"/>
        <color theme="1"/>
        <rFont val="Arial"/>
      </rPr>
      <t>&lt;p&gt;&lt;i&gt;Вспомогательные вещества:&lt;/i&gt;&lt;br&gt;</t>
    </r>
    <r>
      <rPr>
        <sz val="10"/>
        <color theme="1"/>
        <rFont val="Arial"/>
      </rPr>
      <t xml:space="preserve">
Одна доза для взрослых в 1,0&amp;nbsp;мл содержит: алюминий (в виде алюминия гидроксифосфата сульфата аморфного) 0,45&amp;nbsp;мг, натрия бората декагидрат 0,07&amp;nbsp;мг, натрия хлорид 9,0&amp;nbsp;мг, воду для инъекций до 1&amp;nbsp;мл.&lt;/p&gt;</t>
    </r>
  </si>
  <si>
    <t>Одна доза (0,5 мл) содержит:
• Антиген инактивированного вируса клещевого энцефалита¹·² — титр не менее 1:128;
¹ штамм «Софьин», полученный путем репродукции в первичной культуре клеток эмбрионов кур;
² сорбированный на алюминия гидроксиде (0,4 мг Al).
Перечень вспомогательных веществ:
• Альбумин человека;
• Сахароза;
• Соли буферной системы:
• Натрия хлорид;
• Трометамол.</t>
  </si>
  <si>
    <t>&lt;p&gt;Одна доза (0,5&amp;nbsp;мл) содержит:
&lt;ul&gt;&lt;li&gt;Антиген инактивированного вируса клещевого энцефалита¹&lt;sup&gt;,&lt;/sup&gt;² — титр не менее 1:128;&lt;/li&gt;&lt;/ul&gt;
¹&amp;nbsp;штамм «Софьин», полученный путем репродукции в первичной культуре клеток эмбрионов кур;&lt;br&gt;
²&amp;nbsp;сорбированный на алюминия гидроксиде (0,4&amp;nbsp;мг Al).&lt;br&gt;&lt;br&gt;
&lt;i&gt;Перечень вспомогательных веществ:&lt;/i&gt;
&lt;ul&gt;&lt;li&gt;Альбумин человека;&lt;/li&gt;
&lt;li&gt;Сахароза;&lt;/li&gt;
&lt;li&gt;Соли буферной системы:&lt;/li&gt;
&lt;li&gt;Натрия хлорид;&lt;/li&gt;
&lt;li&gt;Трометамол.&lt;/li&gt;&lt;/ul&gt;&lt;/p&gt;</t>
  </si>
  <si>
    <r>
      <rPr>
        <sz val="10"/>
        <color theme="1"/>
        <rFont val="Arial"/>
      </rPr>
      <t xml:space="preserve">Одна доза (0,25 мл) содержит:
• Антиген инактивированного вируса клещевого энцефалита¹·² — титр не менее 1:128;
¹ штамм «Софьин», полученный путем репродукции в первичной культуре клеток эмбрионов кур;
² сорбированный на алюминия гидроксиде (0,2 мг Al).
</t>
    </r>
    <r>
      <rPr>
        <i/>
        <sz val="10"/>
        <color theme="1"/>
        <rFont val="Arial"/>
      </rPr>
      <t>Перечень вспомогательных веществ:</t>
    </r>
    <r>
      <rPr>
        <sz val="10"/>
        <color theme="1"/>
        <rFont val="Arial"/>
      </rPr>
      <t xml:space="preserve">
• Альбумин человека;
• Сахароза;
• Соли буферной системы:
• Натрия хлорид;
• Трометамол.</t>
    </r>
  </si>
  <si>
    <t>&lt;p&gt;Одна доза (0,25&amp;nbsp;мл) содержит:
&lt;ul&gt;&lt;li&gt;Антиген инактивированного вируса клещевого энцефалита¹&lt;sup&gt;,&lt;/sup&gt;² — титр не менее 1:128;&lt;/li&gt;&lt;/ul&gt;
¹&amp;nbsp;штамм «Софьин», полученный путем репродукции в первичной культуре клеток эмбрионов кур;&lt;br&gt;
²&amp;nbsp;сорбированный на алюминия гидроксиде (0,2&amp;nbsp;мг Al).&lt;br&gt;&lt;br&gt;
&lt;i&gt;Перечень вспомогательных веществ:&lt;/i&gt;
&lt;ul&gt;&lt;li&gt;Альбумин человека;&lt;/li&gt;
&lt;li&gt;Сахароза;&lt;/li&gt;
&lt;li&gt;Соли буферной системы:&lt;/li&gt;
&lt;li&gt;Натрия хлорид;&lt;/li&gt;
&lt;li&gt;Трометамол.&lt;/li&gt;&lt;/ul&gt;&lt;/p&gt;</t>
  </si>
  <si>
    <r>
      <rPr>
        <sz val="10"/>
        <color theme="1"/>
        <rFont val="Arial"/>
      </rPr>
      <t xml:space="preserve">1 доза (0,5 мл) содержит:
</t>
    </r>
    <r>
      <rPr>
        <i/>
        <sz val="10"/>
        <color theme="1"/>
        <rFont val="Arial"/>
      </rPr>
      <t>Действующее вещество:</t>
    </r>
    <r>
      <rPr>
        <sz val="10"/>
        <color theme="1"/>
        <rFont val="Arial"/>
      </rPr>
      <t xml:space="preserve">
• Инактивированный антиген вируса клещевого энцефалита (КЭ), штамм «205» — от 0,6 до 3,0 мкг.
Вакцина содержит адъювант: алюминия гидроксид — 0,30-0,50 мг.
</t>
    </r>
    <r>
      <rPr>
        <i/>
        <sz val="10"/>
        <color theme="1"/>
        <rFont val="Arial"/>
      </rPr>
      <t>Перечень вспомогательных веществ:</t>
    </r>
    <r>
      <rPr>
        <sz val="10"/>
        <color theme="1"/>
        <rFont val="Arial"/>
      </rPr>
      <t xml:space="preserve">
• Алюминия гидроксид.
• Сахароза.
• Альбумин человека.
• Натрия хлорид.
• Динатрия гидрофосфат додекагидрат.
• Натрия дигидрофосфат дигидрат.</t>
    </r>
  </si>
  <si>
    <r>
      <rPr>
        <sz val="10"/>
        <color theme="1"/>
        <rFont val="Arial"/>
      </rPr>
      <t xml:space="preserve">&lt;p&gt;1&amp;nbsp;доза (0,5&amp;nbsp;мл) содержит:&lt;br&gt;&lt;br&gt;
</t>
    </r>
    <r>
      <rPr>
        <i/>
        <sz val="10"/>
        <color theme="1"/>
        <rFont val="Arial"/>
      </rPr>
      <t>&lt;i&gt;Действующее вещество:</t>
    </r>
    <r>
      <rPr>
        <sz val="10"/>
        <color theme="1"/>
        <rFont val="Arial"/>
      </rPr>
      <t xml:space="preserve">&lt;/i&gt;
&lt;ul&gt;&lt;li&gt;Инактивированный антиген вируса клещевого энцефалита (КЭ), штамм&amp;nbsp;«205» — от 0,6 до 3,0&amp;nbsp;мкг.&lt;/li&gt;&lt;/ul&gt;
Вакцина содержит адъювант: алюминия гидроксид — 0,30-0,50&amp;nbsp;мг.&lt;br&gt;&lt;br&gt;
</t>
    </r>
    <r>
      <rPr>
        <i/>
        <sz val="10"/>
        <color theme="1"/>
        <rFont val="Arial"/>
      </rPr>
      <t>&lt;i&gt;Перечень вспомогательных веществ:</t>
    </r>
    <r>
      <rPr>
        <sz val="10"/>
        <color theme="1"/>
        <rFont val="Arial"/>
      </rPr>
      <t>&lt;/i&gt;
&lt;ul&gt;&lt;li&gt;Алюминия гидроксид.&lt;/li&gt;
&lt;li&gt;Сахароза.&lt;/li&gt;
&lt;li&gt;Альбумин человека.&lt;/li&gt;
&lt;li&gt;Натрия хлорид.&lt;/li&gt;
&lt;li&gt;Динатрия гидрофосфат додекагидрат.&lt;/li&gt;
&lt;li&gt;Натрия дигидрофосфат дигидрат.&lt;/li&gt;&lt;/ul&gt;&lt;/p&gt;</t>
    </r>
  </si>
  <si>
    <r>
      <rPr>
        <i/>
        <sz val="10"/>
        <color theme="1"/>
        <rFont val="Arial"/>
      </rPr>
      <t>Действующее вещество:</t>
    </r>
    <r>
      <rPr>
        <sz val="10"/>
        <color theme="1"/>
        <rFont val="Arial"/>
      </rPr>
      <t xml:space="preserve">
• Инактивированный антиген вируса клещевого энцефалита (КЭ), штамм «205».
1 доза (0,25 мл) содержит от 0,3 до 1,5 мкг.
</t>
    </r>
    <r>
      <rPr>
        <i/>
        <sz val="10"/>
        <color theme="1"/>
        <rFont val="Arial"/>
      </rPr>
      <t>Перечень вспомогательных веществ:</t>
    </r>
    <r>
      <rPr>
        <sz val="10"/>
        <color theme="1"/>
        <rFont val="Arial"/>
      </rPr>
      <t xml:space="preserve">
• Алюминия гидроксид.
• Сахароза.
• Альбумин человека.
• Натрия хлорид.
• Динатрия гидрофосфат додекагидрат.
• Натрия дигидрофосфат дигидрат.</t>
    </r>
  </si>
  <si>
    <t>&lt;p&gt;&lt;i&gt;Действующее вещество:&lt;/i&gt;
&lt;ul&gt;&lt;li&gt;Инактивированный антиген вируса клещевого энцефалита (КЭ), штамм&amp;nbsp;«205».&lt;br&gt;
1&amp;nbsp;доза (0,25&amp;nbsp;мл) содержит от 0,3 до 1,5&amp;nbsp;мкг.&lt;/li&gt;&lt;/ul&gt;
&lt;i&gt;Перечень вспомогательных веществ:&lt;/i&gt;
&lt;ul&gt;&lt;li&gt;Алюминия гидроксид.&lt;/li&gt;
&lt;li&gt;Сахароза.&lt;/li&gt;
&lt;li&gt;Альбумин человека.&lt;/li&gt;
&lt;li&gt;Натрия хлорид.&lt;/li&gt;
&lt;li&gt;Динатрия гидрофосфат додекагидрат.&lt;/li&gt;
&lt;li&gt;Натрия дигидрофосфат дигидрат.&lt;/li&gt;&lt;/ul&gt;&lt;/p&gt;</t>
  </si>
  <si>
    <r>
      <rPr>
        <sz val="10"/>
        <color theme="1"/>
        <rFont val="Arial"/>
      </rPr>
      <t>1 доза (0,5 мл) содержит:
• Антиген инактивированного вируса клещевого энцефалита¹·² — титр не менее 1:128.
¹ штамм «Софьин», полученный путем репродукции в первичной культуре клеток эмбрионов кур.
² сорбированный на алюминия гидроксиде (0,4 мг Al).
Препарат не содержит антибиотиков и консервантов.
Перечень вспомогательных веществ:</t>
    </r>
    <r>
      <rPr>
        <i/>
        <sz val="10"/>
        <color theme="1"/>
        <rFont val="Arial"/>
      </rPr>
      <t xml:space="preserve">
Лиофилизат</t>
    </r>
    <r>
      <rPr>
        <sz val="10"/>
        <color theme="1"/>
        <rFont val="Arial"/>
      </rPr>
      <t xml:space="preserve">
• Альбумин человека;
• Сахароза;
• Желатин;
• Соли буферной системы:
-Натрия хлорид;
-Трисгидроксиметиламинометан.
</t>
    </r>
    <r>
      <rPr>
        <i/>
        <sz val="10"/>
        <color theme="1"/>
        <rFont val="Arial"/>
      </rPr>
      <t>Растворитель</t>
    </r>
    <r>
      <rPr>
        <sz val="10"/>
        <color theme="1"/>
        <rFont val="Arial"/>
      </rPr>
      <t xml:space="preserve">
• Алюминия гидроксида гель. Алюминия гидроксид используется в качестве адъюванта (сорбента).
• Вода для инъекций.</t>
    </r>
  </si>
  <si>
    <r>
      <rPr>
        <sz val="10"/>
        <color theme="1"/>
        <rFont val="Arial"/>
      </rPr>
      <t>&lt;p&gt;1&amp;nbsp;доза (0,5&amp;nbsp;мл) содержит:
&lt;ul&gt;&lt;li&gt;Антиген инактивированного вируса клещевого энцефалита¹&lt;sup&gt;.&lt;/sup&gt;² — титр не менее 1:128.&lt;/li&gt;&lt;/ul&gt;
¹&amp;nbsp;штамм «Софьин», полученный путем репродукции в первичной культуре клеток эмбрионов кур.&lt;br&gt;
²&amp;nbsp;сорбированный на алюминия гидроксиде (0,4&amp;nbsp;мг Al).&lt;br&gt;&lt;br&gt;
Препарат не содержит антибиотиков и консервантов.&lt;br&gt;&lt;br&gt;
Перечень вспомогательных веществ:</t>
    </r>
    <r>
      <rPr>
        <i/>
        <sz val="10"/>
        <color theme="1"/>
        <rFont val="Arial"/>
      </rPr>
      <t>&lt;br&gt;&lt;br&gt;
&lt;i&gt;Лиофилизат&lt;/i&gt;</t>
    </r>
    <r>
      <rPr>
        <sz val="10"/>
        <color theme="1"/>
        <rFont val="Arial"/>
      </rPr>
      <t xml:space="preserve">
&lt;ul&gt;&lt;li&gt;Альбумин человека;&lt;/li&gt;
&lt;li&gt;Сахароза;&lt;/li&gt;
&lt;li&gt;Желатин;&lt;/li&gt;
&lt;li&gt;Соли буферной системы:&lt;br&gt;
-Натрия хлорид;&lt;br&gt;
-Трисгидроксиметиламинометан.&lt;/li&gt;&lt;/ul&gt;
</t>
    </r>
    <r>
      <rPr>
        <i/>
        <sz val="10"/>
        <color theme="1"/>
        <rFont val="Arial"/>
      </rPr>
      <t>&lt;i&gt;Растворитель&lt;/i&gt;</t>
    </r>
    <r>
      <rPr>
        <sz val="10"/>
        <color theme="1"/>
        <rFont val="Arial"/>
      </rPr>
      <t xml:space="preserve">
&lt;ul&gt;&lt;li&gt;Алюминия гидроксида гель. Алюминия гидроксид используется в качестве адъюванта (сорбента).&lt;/li&gt;
&lt;li&gt;Вода для инъекций.&lt;/li&gt;&lt;/ul&gt;&lt;/p&gt;</t>
    </r>
  </si>
  <si>
    <r>
      <rPr>
        <sz val="10"/>
        <color theme="1"/>
        <rFont val="Arial"/>
      </rPr>
      <t xml:space="preserve">Одна прививочная доза (0,5 мл) содержит:
Живой аттенуированный вирус </t>
    </r>
    <r>
      <rPr>
        <i/>
        <sz val="10"/>
        <color theme="1"/>
        <rFont val="Arial"/>
      </rPr>
      <t>Varicella Zoster</t>
    </r>
    <r>
      <rPr>
        <sz val="10"/>
        <color theme="1"/>
        <rFont val="Arial"/>
      </rPr>
      <t xml:space="preserve"> (штамм Oka) &gt; 10³·³ БОЕ¹
¹ БОЕ — бляшкообразующие единицы.
Вакцина не содержит консервантов. Вакцина содержит следовые количества неомицина сульфата (не более 25 мкг/дозу).
Перечень вспомогательных веществ:
</t>
    </r>
    <r>
      <rPr>
        <i/>
        <sz val="10"/>
        <color theme="1"/>
        <rFont val="Arial"/>
      </rPr>
      <t>Лиофилизат:</t>
    </r>
    <r>
      <rPr>
        <sz val="10"/>
        <color theme="1"/>
        <rFont val="Arial"/>
      </rPr>
      <t xml:space="preserve">
• лактоза;
• сорбитол;
• маннитол;
• аминокислоты (включая фенилаланин).
</t>
    </r>
    <r>
      <rPr>
        <i/>
        <sz val="10"/>
        <color theme="1"/>
        <rFont val="Arial"/>
      </rPr>
      <t>Растворитель:</t>
    </r>
    <r>
      <rPr>
        <sz val="10"/>
        <color theme="1"/>
        <rFont val="Arial"/>
      </rPr>
      <t xml:space="preserve">
• вода для инъекций.</t>
    </r>
  </si>
  <si>
    <r>
      <rPr>
        <sz val="10"/>
        <color theme="1"/>
        <rFont val="Arial"/>
      </rPr>
      <t xml:space="preserve">&lt;p&gt;Одна прививочная доза (0,5&amp;nbsp;мл) содержит:&lt;br&gt;&lt;br&gt;
Живой аттенуированный вирус </t>
    </r>
    <r>
      <rPr>
        <i/>
        <sz val="10"/>
        <color theme="1"/>
        <rFont val="Arial"/>
      </rPr>
      <t>&lt;i&gt;Varicella Zoster&lt;/i&gt;</t>
    </r>
    <r>
      <rPr>
        <sz val="10"/>
        <color theme="1"/>
        <rFont val="Arial"/>
      </rPr>
      <t xml:space="preserve"> (штамм Oka) &gt; 10³&lt;sup&gt;,&lt;/sup&gt;³&amp;nbsp;БОЕ¹&lt;br&gt;
¹&amp;nbsp;БОЕ — бляшкообразующие единицы.&lt;/p&gt;
&lt;p&gt;Вакцина не содержит консервантов. Вакцина содержит следовые количества неомицина сульфата (не более 25&amp;nbsp;мкг/дозу).&lt;/p&gt;
&lt;p&gt;Перечень вспомогательных веществ:&lt;br&gt;&lt;br&gt;
</t>
    </r>
    <r>
      <rPr>
        <i/>
        <sz val="10"/>
        <color theme="1"/>
        <rFont val="Arial"/>
      </rPr>
      <t>&lt;i&gt;Лиофилизат:</t>
    </r>
    <r>
      <rPr>
        <sz val="10"/>
        <color theme="1"/>
        <rFont val="Arial"/>
      </rPr>
      <t xml:space="preserve">&lt;/i&gt;
&lt;ul&gt;&lt;li&gt;лактоза;&lt;/li&gt;
&lt;li&gt;сорбитол;&lt;/li&gt;
&lt;li&gt;маннитол;&lt;/li&gt;
&lt;li&gt;аминокислоты (включая фенилаланин).&lt;/li&gt;&lt;/ul&gt;
</t>
    </r>
    <r>
      <rPr>
        <i/>
        <sz val="10"/>
        <color theme="1"/>
        <rFont val="Arial"/>
      </rPr>
      <t>&lt;i&gt;Растворитель:</t>
    </r>
    <r>
      <rPr>
        <sz val="10"/>
        <color theme="1"/>
        <rFont val="Arial"/>
      </rPr>
      <t>&lt;/i&gt;
&lt;ul&gt;&lt;li&gt;вода для инъекций.&lt;/li&gt;&lt;/ul&gt;&lt;/p&gt;</t>
    </r>
  </si>
  <si>
    <r>
      <rPr>
        <sz val="10"/>
        <color theme="1"/>
        <rFont val="Arial"/>
      </rPr>
      <t xml:space="preserve">На 1 дозу:
</t>
    </r>
    <r>
      <rPr>
        <i/>
        <sz val="10"/>
        <color theme="1"/>
        <rFont val="Arial"/>
      </rPr>
      <t>Действующее вещество:</t>
    </r>
    <r>
      <rPr>
        <sz val="10"/>
        <color theme="1"/>
        <rFont val="Arial"/>
      </rPr>
      <t xml:space="preserve">
• вирус желтой лихорадки штамм «17Д» — не менее 1600 БОЕ (3,2 log₁₀ БОЕ) или 3,0 log₁₀ ME вируса.
</t>
    </r>
    <r>
      <rPr>
        <i/>
        <sz val="10"/>
        <color theme="1"/>
        <rFont val="Arial"/>
      </rPr>
      <t>Вспомогательные вещества (расчетное количество):</t>
    </r>
    <r>
      <rPr>
        <sz val="10"/>
        <color theme="1"/>
        <rFont val="Arial"/>
      </rPr>
      <t xml:space="preserve">
• лактозы моногидрат — 20 мг;
• сорбитол — 10 мг;
• L-гистидин — 1,2 мг;
• L-аланин — 0,7 мг.
Вакцина не содержит консервантов и антибиотиков.
Вакцина выпускается в комплекте с растворителем — вода для инъекций.
Одна доза восстановленного препарата составляет 0,5 мл.</t>
    </r>
  </si>
  <si>
    <r>
      <rPr>
        <sz val="10"/>
        <color theme="1"/>
        <rFont val="Arial"/>
      </rPr>
      <t xml:space="preserve">&lt;p&gt;На 1&amp;nbsp;дозу:&lt;/p&gt;
</t>
    </r>
    <r>
      <rPr>
        <i/>
        <sz val="10"/>
        <color theme="1"/>
        <rFont val="Arial"/>
      </rPr>
      <t>&lt;p&gt;&lt;i&gt;Действующее вещество:</t>
    </r>
    <r>
      <rPr>
        <sz val="10"/>
        <color theme="1"/>
        <rFont val="Arial"/>
      </rPr>
      <t xml:space="preserve">&lt;/i&gt;
&lt;ul&gt;&lt;li&gt;вирус желтой лихорадки штамм&amp;nbsp;«17Д» — не менее 1600&amp;nbsp;БОЕ (3,2&amp;nbsp;log₁₀&amp;nbsp;БОЕ) или 3,0&amp;nbsp;log₁₀&amp;nbsp;ME вируса.&lt;/li&gt;&lt;/ul&gt;
</t>
    </r>
    <r>
      <rPr>
        <i/>
        <sz val="10"/>
        <color theme="1"/>
        <rFont val="Arial"/>
      </rPr>
      <t>&lt;i&gt;Вспомогательные вещества (расчетное количество):</t>
    </r>
    <r>
      <rPr>
        <sz val="10"/>
        <color theme="1"/>
        <rFont val="Arial"/>
      </rPr>
      <t>&lt;/i&gt;
&lt;ul&gt;&lt;li&gt;лактозы моногидрат — 20&amp;nbsp;мг;&lt;/li&gt;
&lt;li&gt;сорбитол — 10&amp;nbsp;мг;&lt;/li&gt;
&lt;li&gt;L-гистидин — 1,2&amp;nbsp;мг;&lt;/li&gt;
&lt;li&gt;L-аланин — 0,7&amp;nbsp;мг.&lt;/li&gt;&lt;/ul&gt;&lt;/p&gt;
&lt;p&gt;Вакцина не содержит консервантов и антибиотиков.&lt;/p&gt;
&lt;p&gt;Вакцина выпускается в комплекте с растворителем — вода для инъекций.&lt;/p&gt;
&lt;p&gt;Одна доза восстановленного препарата составляет 0,5&amp;nbsp;мл.&lt;/p&gt;</t>
    </r>
  </si>
  <si>
    <t>https://grls.rosminzdrav.ru/InstrImg/2022/11/30/1489210/e0b55ee6-f6b6-4a34-8719-972e455bb957.pdf</t>
  </si>
  <si>
    <r>
      <rPr>
        <sz val="10"/>
        <color theme="1"/>
        <rFont val="Arial"/>
      </rPr>
      <t xml:space="preserve">1 доза вакцины содержит: 
</t>
    </r>
    <r>
      <rPr>
        <i/>
        <sz val="10"/>
        <color theme="1"/>
        <rFont val="Arial"/>
      </rPr>
      <t>Действующее вещество:</t>
    </r>
    <r>
      <rPr>
        <sz val="10"/>
        <color theme="1"/>
        <rFont val="Arial"/>
      </rPr>
      <t xml:space="preserve"> живая культура вакцинного штамма </t>
    </r>
    <r>
      <rPr>
        <i/>
        <sz val="10"/>
        <color theme="1"/>
        <rFont val="Arial"/>
      </rPr>
      <t>Francisella tularensis </t>
    </r>
    <r>
      <rPr>
        <sz val="10"/>
        <color theme="1"/>
        <rFont val="Arial"/>
      </rPr>
      <t xml:space="preserve">15 НИИЭГ: для накожного скарификационного нанесения — (2,0±0,5)x10⁸ живых микробных клеток в 0,1 мл восстановленного препарата; для внутрикожного введения — (1,0±0,1)х10⁷ живых микробных клеток в 0,1 мл восстановленного препарата.
</t>
    </r>
    <r>
      <rPr>
        <i/>
        <sz val="10"/>
        <color theme="1"/>
        <rFont val="Arial"/>
      </rPr>
      <t>Перечень вспомогательных веществ.</t>
    </r>
    <r>
      <rPr>
        <sz val="10"/>
        <color theme="1"/>
        <rFont val="Arial"/>
      </rPr>
      <t xml:space="preserve">
Лиофилизат:
• Сахароза;
• Натрия глутамата моногидрат;
• Тиомочевина;
• Желатин.</t>
    </r>
  </si>
  <si>
    <r>
      <rPr>
        <sz val="10"/>
        <color theme="1"/>
        <rFont val="Arial"/>
      </rPr>
      <t xml:space="preserve">&lt;p&gt;1&amp;nbsp;доза вакцины содержит:&lt;/p&gt;
</t>
    </r>
    <r>
      <rPr>
        <i/>
        <sz val="10"/>
        <color theme="1"/>
        <rFont val="Arial"/>
      </rPr>
      <t>&lt;p&gt;&lt;i&gt;Действующее вещество:&lt;/i&gt;</t>
    </r>
    <r>
      <rPr>
        <sz val="10"/>
        <color theme="1"/>
        <rFont val="Arial"/>
      </rPr>
      <t xml:space="preserve"> живая культура вакцинного штамма &lt;i&gt;</t>
    </r>
    <r>
      <rPr>
        <i/>
        <sz val="10"/>
        <color theme="1"/>
        <rFont val="Arial"/>
      </rPr>
      <t>Francisella tularensis&lt;/i&gt;&amp;nbsp;</t>
    </r>
    <r>
      <rPr>
        <sz val="10"/>
        <color theme="1"/>
        <rFont val="Arial"/>
      </rPr>
      <t>15&amp;nbsp;НИИЭГ: для накожного скарификационного нанесения — (2,0±0,5)x10⁸ живых микробных клеток в 0,1&amp;nbsp;мл восстановленного препарата; для внутрикожного введения — (1,0±0,1)х10⁷ живых микробных клеток в 0,1&amp;nbsp;мл восстановленного препарата.&lt;br&gt;&lt;br&gt;
&lt;i&gt;Перечень вспомогательных веществ.&lt;/i&gt;&lt;br&gt;
Лиофилизат:
&lt;ul&gt;&lt;li&gt;Сахароза;&lt;/li&gt;
&lt;li&gt;Натрия глутамата моногидрат;&lt;/li&gt;
&lt;li&gt;Тиомочевина;&lt;/li&gt;
&lt;li&gt;Желатин.&lt;/li&gt;&lt;/ul&gt;&lt;/p&gt;</t>
    </r>
  </si>
  <si>
    <r>
      <rPr>
        <sz val="10"/>
        <color theme="1"/>
        <rFont val="Arial"/>
      </rPr>
      <t xml:space="preserve">Одна доза для подкожного введения (0,5 мл) содержит:
</t>
    </r>
    <r>
      <rPr>
        <i/>
        <sz val="10"/>
        <color theme="1"/>
        <rFont val="Arial"/>
      </rPr>
      <t>Действующие вещества:</t>
    </r>
    <r>
      <rPr>
        <sz val="10"/>
        <color theme="1"/>
        <rFont val="Arial"/>
      </rPr>
      <t xml:space="preserve">
• Антиген рекомбинантный F1 — от 25 до 30 мкг.
• Антиген рекомбинантный V — от 25 до 30 мкг.
</t>
    </r>
    <r>
      <rPr>
        <i/>
        <sz val="10"/>
        <color theme="1"/>
        <rFont val="Arial"/>
      </rPr>
      <t>Вспомогательные вещества:</t>
    </r>
    <r>
      <rPr>
        <sz val="10"/>
        <color theme="1"/>
        <rFont val="Arial"/>
      </rPr>
      <t xml:space="preserve"> полилактид от 4 до 6 мг; поливиниловый спирт от 0,9 до 1,1 мг; гидроокись алюминия от 0,076 до 0,129 мг; поливинилпирролидон от 1,9 до 2,1 мг; полисорбат 80 от 1,2 до 1,35 мг; фосфатно-солевой буфер от 0,25 до 0,35 мг; тиомерсал от 30 до 60 мкг.</t>
    </r>
  </si>
  <si>
    <r>
      <rPr>
        <sz val="10"/>
        <color theme="1"/>
        <rFont val="Arial"/>
      </rPr>
      <t xml:space="preserve">&lt;p&gt;Одна доза для подкожного введения (0,5&amp;nbsp;мл) содержит:&lt;/p&gt;
</t>
    </r>
    <r>
      <rPr>
        <i/>
        <sz val="10"/>
        <color theme="1"/>
        <rFont val="Arial"/>
      </rPr>
      <t>&lt;p&gt;&lt;i&gt;Действующие вещества:</t>
    </r>
    <r>
      <rPr>
        <sz val="10"/>
        <color theme="1"/>
        <rFont val="Arial"/>
      </rPr>
      <t xml:space="preserve">&lt;/i&gt;
&lt;ul&gt;&lt;li&gt;Антиген рекомбинантный&amp;nbsp;F1 — от 25 до 30&amp;nbsp;мкг.&lt;/li&gt;
&lt;li&gt;Антиген рекомбинантный&amp;nbsp;V — от 25 до 30&amp;nbsp;мкг.&lt;/li&gt;&lt;/ul&gt;
</t>
    </r>
    <r>
      <rPr>
        <i/>
        <sz val="10"/>
        <color theme="1"/>
        <rFont val="Arial"/>
      </rPr>
      <t>&lt;i&gt;Вспомогательные вещества:&lt;/i&gt;</t>
    </r>
    <r>
      <rPr>
        <sz val="10"/>
        <color theme="1"/>
        <rFont val="Arial"/>
      </rPr>
      <t xml:space="preserve"> полилактид от 4 до 6&amp;nbsp;мг; поливиниловый спирт от 0,9 до 1,1&amp;nbsp;мг; гидроокись алюминия от 0,076 до 0,129&amp;nbsp;мг; поливинилпирролидон от 1,9 до 2,1&amp;nbsp;мг; полисорбат&amp;nbsp;80 от 1,2 до 1,35&amp;nbsp;мг; фосфатно-солевой буфер от 0,25 до 0,35&amp;nbsp;мг; тиомерсал от 30 до 60&amp;nbsp;мкг.&lt;/p&gt;</t>
    </r>
  </si>
  <si>
    <t>https://grls.rosminzdrav.ru/InstrImg/2021/10/22/1474770/84220d47-9ed2-44e3-a2d3-89170a0f96d8.pdf</t>
  </si>
  <si>
    <t>Лиофилизированные живые микробные клетки вакцинного штамма Yersinia pestis EV линии НИИЭГ (от 100 до 200 млрд микробных клеток во флаконе); стабилизаторы: лактоза (0,2 г во флаконе), декстрин (0,02 г во флаконе), тиомочевина (0,02 г во флаконе), аскорбиновая кислота (0,02 г во флаконе).</t>
  </si>
  <si>
    <t>&lt;p&gt;Лиофилизированные живые микробные клетки вакцинного штамма Yersinia&amp;nbsp;pestis&amp;nbsp;EV линии НИИЭГ (от 100 до 200&amp;nbsp;млрд микробных клеток во флаконе); стабилизаторы: лактоза (0,2&amp;nbsp;г во флаконе), декстрин (0,02&amp;nbsp;г во флаконе), тиомочевина (0,02&amp;nbsp;г во флаконе), аскорбиновая кислота (0,02&amp;nbsp;г во флаконе).&lt;/p&gt;</t>
  </si>
  <si>
    <t>https://grls.rosminzdrav.ru/InstrImg/2021/07/22/86490/6edc4318-42c0-4bc8-b5c8-ce3d12306614.pdf</t>
  </si>
  <si>
    <t>Лиофилизированная живая культура вакцинного штамма Yersinia pestis EV линии НИИЭГ (40 млрд микробных клеток в таблетке); стабилизатор: декстрин (6 мг в таблетке), кислота аскорбиновая (6 мг в таблетке), лактоза (60 мг в таблетке), тиомочевина (6 мг в таблетке), наполнитель: ванилин (2 мг в таблетке), глюкоза медицинская (0,44 г в таблетке), какао порошок (11,4 мг в таблетке), кальция стеарат (12 мг в таблетке), крахмал картофельный (11,4 мг в таблетке), ментол (2,2 мг в таблетке), сахарин (1,1 мг в таблетке).</t>
  </si>
  <si>
    <t>&lt;p&gt;Лиофилизированная живая культура вакцинного штамма Yersinia&amp;nbsp;pestis&amp;nbsp;EV линии НИИЭГ (40&amp;nbsp;млрд микробных клеток в таблетке); стабилизатор: декстрин (6&amp;nbsp;мг в таблетке), кислота аскорбиновая (6&amp;nbsp;мг в таблетке), лактоза (60&amp;nbsp;мг в таблетке), тиомочевина (6&amp;nbsp;мг в таблетке), наполнитель: ванилин (2&amp;nbsp;мг в таблетке), глюкоза медицинская (0,44&amp;nbsp;г в таблетке), какао порошок (11,4&amp;nbsp;мг в таблетке), кальция стеарат (12&amp;nbsp;мг в таблетке), крахмал картофельный (11,4&amp;nbsp;мг в таблетке), ментол (2,2&amp;nbsp;мг в таблетке), сахарин (1,1&amp;nbsp;мг в таблетке).&lt;/p&gt;</t>
  </si>
  <si>
    <t>https://grls.rosminzdrav.ru/InstrImg/2020/06/13/86486/475a8abf-d0b5-425d-9ae0-6f893e6a19eb.pdf</t>
  </si>
  <si>
    <t>Одна доза вакцины содержит:
Действующее вещество: живая культура вакцинного штамма Yersinia pestis EV линии НИИЭГ — (2,4-3,6)x10⁸ живых микробных клеток (м.к.) в 0,5 мл для подкожного введения взрослым, или (2,4-3,6)x10⁸ живых м.к. в 0,1 мл для внутрикожного введения, или (2,4-3,6)x10⁹ живых м.к. в 0,15 мл для накожного скарификационного нанесения, или (2,0-8,0)x10⁹ живых м.к. в 0,15 мл для ингаляционного введения;
вспомогательные вещества (стабилизаторы): сахароза — (0,00143±0,00097) г, желатин — (0,000143±0,000097) г, тиомочевина — (0,000143±0,000097) г.</t>
  </si>
  <si>
    <t>&lt;p&gt;Одна доза вакцины содержит:&lt;/p&gt;
&lt;p&gt;Действующее вещество: живая культура вакцинного штамма Yersinia&amp;nbsp;pestis&amp;nbsp;EV линии НИИЭГ — (2,4-3,6)x10⁸ живых микробных клеток (м.к.) в 0,5&amp;nbsp;мл для подкожного введения взрослым, или (2,4-3,6)x10⁸ живых м.к. в 0,1&amp;nbsp;мл для внутрикожного введения, или (2,4-3,6)x10⁹ живых м.к. в 0,15&amp;nbsp;мл для накожного скарификационного нанесения, или (2,0-8,0)x10⁹ живых м.к. в 0,15&amp;nbsp;мл для ингаляционного введения;&lt;/p&gt;
&lt;p&gt;вспомогательные вещества (стабилизаторы): сахароза — (0,00143±0,00097)&amp;nbsp;г, желатин — (0,000143±0,000097)&amp;nbsp;г, тиомочевина — (0,000143±0,000097)&amp;nbsp;г.&lt;/p&gt;</t>
  </si>
  <si>
    <r>
      <rPr>
        <sz val="10"/>
        <color theme="1"/>
        <rFont val="Arial"/>
      </rPr>
      <t xml:space="preserve">Смесь инактивированных нагреванием вирулентных микробов штаммов </t>
    </r>
    <r>
      <rPr>
        <i/>
        <sz val="10"/>
        <color theme="1"/>
        <rFont val="Arial"/>
      </rPr>
      <t>Brucella melitensis</t>
    </r>
    <r>
      <rPr>
        <sz val="10"/>
        <color theme="1"/>
        <rFont val="Arial"/>
      </rPr>
      <t xml:space="preserve"> №№21, 145  и </t>
    </r>
    <r>
      <rPr>
        <i/>
        <sz val="10"/>
        <color theme="1"/>
        <rFont val="Arial"/>
      </rPr>
      <t>Brucella abortus</t>
    </r>
    <r>
      <rPr>
        <sz val="10"/>
        <color theme="1"/>
        <rFont val="Arial"/>
      </rPr>
      <t xml:space="preserve"> №544 в соотношении 1:1:1 (2 млрд. микробных клеток в ампуле), разбавитель: натрия хлорид (0,018 г в ампуле), консервант: фенол (5 мг в ампуле).</t>
    </r>
  </si>
  <si>
    <t>&lt;p&gt;Смесь инактивированных нагреванием вирулентных микробов штаммов &lt;i&gt;Brucella&amp;nbsp;melitensis&lt;/i&gt; №№21, 145  и &lt;i&gt;Brucella&amp;nbsp;abortus&lt;/i&gt; №544 в соотношении 1:1:1 (2&amp;nbsp;млрд. микробных клеток в ампуле), разбавитель: натрия хлорид (0,018&amp;nbsp;г в ампуле), консервант: фенол (5&amp;nbsp;мг в ампуле).&lt;/p&gt;</t>
  </si>
  <si>
    <t>https://grls.rosminzdrav.ru/InstrImg/2020/06/08/86489/1668d555-c914-4376-a4a0-b5164cb2a0e9.pdf</t>
  </si>
  <si>
    <r>
      <rPr>
        <sz val="10"/>
        <color theme="1"/>
        <rFont val="Arial"/>
      </rPr>
      <t xml:space="preserve">Одна доза вакцины содержит:
</t>
    </r>
    <r>
      <rPr>
        <i/>
        <sz val="10"/>
        <color theme="1"/>
        <rFont val="Arial"/>
      </rPr>
      <t>Действующее вещество:</t>
    </r>
    <r>
      <rPr>
        <sz val="10"/>
        <color theme="1"/>
        <rFont val="Arial"/>
      </rPr>
      <t xml:space="preserve"> живая культура вакцинного штамма </t>
    </r>
    <r>
      <rPr>
        <i/>
        <sz val="10"/>
        <color theme="1"/>
        <rFont val="Arial"/>
      </rPr>
      <t>Brucella abortus</t>
    </r>
    <r>
      <rPr>
        <sz val="10"/>
        <color theme="1"/>
        <rFont val="Arial"/>
      </rPr>
      <t xml:space="preserve"> 19 BA для накожного скарификационного нанесения — от 4х10⁹ до 1,6х10¹⁰ живых микробных клеток (м.к.) в 0,1 мл восстановленного пррепарата; для подкожного введения — от 3,4х10⁸ до 4,6х10⁸ живых м.к. в 0,5 мл восстановленного препарата.
</t>
    </r>
    <r>
      <rPr>
        <i/>
        <sz val="10"/>
        <color theme="1"/>
        <rFont val="Arial"/>
      </rPr>
      <t>Вспомогательные вещества</t>
    </r>
    <r>
      <rPr>
        <sz val="10"/>
        <color theme="1"/>
        <rFont val="Arial"/>
      </rPr>
      <t>: сахароза — 15 мг, натрия глутамата моногидрат — 2,25 мг, тиомочевина — 0,75 мг, желатин — 2,25 мг.</t>
    </r>
  </si>
  <si>
    <r>
      <rPr>
        <sz val="10"/>
        <color theme="1"/>
        <rFont val="Arial"/>
      </rPr>
      <t xml:space="preserve">&lt;p&gt;Одна доза вакцины содержит:&lt;/p&gt;
</t>
    </r>
    <r>
      <rPr>
        <i/>
        <sz val="10"/>
        <color theme="1"/>
        <rFont val="Arial"/>
      </rPr>
      <t>&lt;p&gt;&lt;i&gt;Действующее вещество:</t>
    </r>
    <r>
      <rPr>
        <sz val="10"/>
        <color theme="1"/>
        <rFont val="Arial"/>
      </rPr>
      <t>&lt;/i&gt; живая культура вакцинного штамма &lt;i&gt;</t>
    </r>
    <r>
      <rPr>
        <i/>
        <sz val="10"/>
        <color theme="1"/>
        <rFont val="Arial"/>
      </rPr>
      <t>Brucella&amp;nbsp;abortus&lt;/i&gt;&amp;nbsp;</t>
    </r>
    <r>
      <rPr>
        <sz val="10"/>
        <color theme="1"/>
        <rFont val="Arial"/>
      </rPr>
      <t xml:space="preserve">19&amp;nbsp;BA для накожного скарификационного нанесения — от 4х10⁹ до 1,6х10¹⁰ живых микробных клеток (м.к.) в 0,1&amp;nbsp;мл восстановленного пррепарата; для подкожного введения — от 3,4х10⁸ до 4,6х10⁸ живых м.к. в 0,5&amp;nbsp;мл восстановленного препарата.&lt;/p&gt;
</t>
    </r>
    <r>
      <rPr>
        <i/>
        <sz val="10"/>
        <color theme="1"/>
        <rFont val="Arial"/>
      </rPr>
      <t>&lt;p&gt;&lt;i&gt;Вспомогательные вещества&lt;/i&gt;</t>
    </r>
    <r>
      <rPr>
        <sz val="10"/>
        <color theme="1"/>
        <rFont val="Arial"/>
      </rPr>
      <t>: сахароза — 15&amp;nbsp;мг, натрия глутамата моногидрат — 2,25&amp;nbsp;мг, тиомочевина — 0,75&amp;nbsp;мг, желатин — 2,25&amp;nbsp;мг.&lt;/p&gt;</t>
    </r>
  </si>
  <si>
    <r>
      <rPr>
        <sz val="10"/>
        <color theme="1"/>
        <rFont val="Arial"/>
      </rPr>
      <t xml:space="preserve">Одна доза содержит:
</t>
    </r>
    <r>
      <rPr>
        <i/>
        <sz val="10"/>
        <color theme="1"/>
        <rFont val="Arial"/>
      </rPr>
      <t>Действующее вещество:</t>
    </r>
    <r>
      <rPr>
        <sz val="10"/>
        <color theme="1"/>
        <rFont val="Arial"/>
      </rPr>
      <t xml:space="preserve"> споры Bacillus anthracis СТИ-1 — от 400 до 600 млн спор в 0,05 мл для накожного скарификационного нанесения или от 40 до 60 млн спор в 0,5 мл для подкожного введения.
</t>
    </r>
    <r>
      <rPr>
        <i/>
        <sz val="10"/>
        <color theme="1"/>
        <rFont val="Arial"/>
      </rPr>
      <t>Вспомогательные вещества</t>
    </r>
    <r>
      <rPr>
        <sz val="10"/>
        <color theme="1"/>
        <rFont val="Arial"/>
      </rPr>
      <t xml:space="preserve"> (для накожного скарификационного нанесения):
• сахароза — 10 мг;
• глицерол — 0,015 мл;
• вода для инъекций — до 0,05 мл.
</t>
    </r>
    <r>
      <rPr>
        <i/>
        <sz val="10"/>
        <color theme="1"/>
        <rFont val="Arial"/>
      </rPr>
      <t>Вспомогательные вещества</t>
    </r>
    <r>
      <rPr>
        <sz val="10"/>
        <color theme="1"/>
        <rFont val="Arial"/>
      </rPr>
      <t xml:space="preserve"> (для подкожного введения):
• сахароза — 1 мг;
• натрия хлорид — 4,5 мг;
• вода для инъекций — до 0,5 мл.</t>
    </r>
  </si>
  <si>
    <r>
      <rPr>
        <sz val="10"/>
        <color theme="1"/>
        <rFont val="Arial"/>
      </rPr>
      <t xml:space="preserve">&lt;p&gt;Одна доза содержит:&lt;/p&gt;
</t>
    </r>
    <r>
      <rPr>
        <i/>
        <sz val="10"/>
        <color theme="1"/>
        <rFont val="Arial"/>
      </rPr>
      <t>&lt;p&gt;&lt;i&gt;Действующее вещество:&lt;/i&gt;</t>
    </r>
    <r>
      <rPr>
        <sz val="10"/>
        <color theme="1"/>
        <rFont val="Arial"/>
      </rPr>
      <t xml:space="preserve"> споры &lt;i&gt;Bacillus&amp;nbsp;anthracis&lt;/i&gt;&amp;nbsp;СТИ-1 — от 400 до 600&amp;nbsp;млн спор в 0,05&amp;nbsp;мл для накожного скарификационного нанесения или от 40 до 60&amp;nbsp;млн спор в 0,5&amp;nbsp;мл для подкожного введения.&lt;/p&gt;
</t>
    </r>
    <r>
      <rPr>
        <i/>
        <sz val="10"/>
        <color theme="1"/>
        <rFont val="Arial"/>
      </rPr>
      <t>&lt;p&gt;&lt;i&gt;Вспомогательные вещества&lt;/i&gt;</t>
    </r>
    <r>
      <rPr>
        <sz val="10"/>
        <color theme="1"/>
        <rFont val="Arial"/>
      </rPr>
      <t xml:space="preserve"> (для накожного скарификационного нанесения):
&lt;ul&gt;&lt;li&gt;сахароза — 10&amp;nbsp;мг;&lt;/li&gt;
&lt;li&gt;глицерол — 0,015&amp;nbsp;мл;&lt;/li&gt;
&lt;li&gt;вода для инъекций — до 0,05&amp;nbsp;мл.&lt;/li&gt;&lt;/ul&gt;
</t>
    </r>
    <r>
      <rPr>
        <i/>
        <sz val="10"/>
        <color theme="1"/>
        <rFont val="Arial"/>
      </rPr>
      <t>&lt;i&gt;Вспомогательные вещества&lt;/i&gt;</t>
    </r>
    <r>
      <rPr>
        <sz val="10"/>
        <color theme="1"/>
        <rFont val="Arial"/>
      </rPr>
      <t xml:space="preserve"> (для подкожного введения):
&lt;ul&gt;&lt;li&gt;сахароза — 1&amp;nbsp;мг;&lt;/li&gt;
&lt;li&gt;натрия хлорид — 4,5&amp;nbsp;мг;&lt;/li&gt;
&lt;li&gt;вода для инъекций — до 0,5&amp;nbsp;мл.&lt;/li&gt;&lt;/ul&gt;&lt;/p&gt;</t>
    </r>
  </si>
  <si>
    <r>
      <rPr>
        <sz val="10"/>
        <color theme="1"/>
        <rFont val="Arial"/>
      </rPr>
      <t xml:space="preserve">Смесь живых спор вакцинного штамма </t>
    </r>
    <r>
      <rPr>
        <i/>
        <sz val="10"/>
        <color theme="1"/>
        <rFont val="Arial"/>
      </rPr>
      <t>Bacillus anthracis</t>
    </r>
    <r>
      <rPr>
        <sz val="10"/>
        <color theme="1"/>
        <rFont val="Arial"/>
      </rPr>
      <t> СТИ-1 (500 млн. спор в ампуле) и очищенного концентрированного протективного сибиреязвенного антигена (350 ИД₅₀ для белых мышей в ампуле), адсорбированного на геле алюминия гидроксида (не более 25 мг в ампуле), стабилизатор: сахароза (0,2 г в ампуле).</t>
    </r>
  </si>
  <si>
    <t>&lt;p&gt;Смесь живых спор вакцинного штамма &lt;i&gt;Bacillus&amp;nbsp;anthracis&lt;/i&gt;&amp;nbsp;СТИ-1 (500&amp;nbsp;млн. спор в ампуле) и очищенного концентрированного протективного сибиреязвенного антигена (350&amp;nbsp;ИД₅₀ для белых мышей в ампуле), адсорбированного на геле алюминия гидроксида (не более 25&amp;nbsp;мг в ампуле), стабилизатор: сахароза (0,2&amp;nbsp;г в ампуле).&lt;/p&gt;</t>
  </si>
  <si>
    <t>https://grls.rosminzdrav.ru/InstrImg/2020/08/24/86488/cd62e567-52e1-43cd-a128-999c87d1773a.pdf</t>
  </si>
  <si>
    <r>
      <rPr>
        <sz val="10"/>
        <color theme="1"/>
        <rFont val="Arial"/>
      </rPr>
      <t xml:space="preserve">1 прививочная доза (1 мл) содержит¹:
</t>
    </r>
    <r>
      <rPr>
        <i/>
        <sz val="10"/>
        <color theme="1"/>
        <rFont val="Arial"/>
      </rPr>
      <t>Действующее вещество:</t>
    </r>
    <r>
      <rPr>
        <sz val="10"/>
        <color theme="1"/>
        <rFont val="Arial"/>
      </rPr>
      <t xml:space="preserve">
• Инактивированный вирус бешенства [штамм Flury LЕР, выращенный в культуре клеток куриных эмбрионов] — не менее 2,5 МЕ.
</t>
    </r>
    <r>
      <rPr>
        <i/>
        <sz val="10"/>
        <color theme="1"/>
        <rFont val="Arial"/>
      </rPr>
      <t>Вспомогательные вещества:</t>
    </r>
    <r>
      <rPr>
        <sz val="10"/>
        <color theme="1"/>
        <rFont val="Arial"/>
      </rPr>
      <t xml:space="preserve">
• Трометамол (трисгидроксиметиламинометан) — 3,0-4,0 мг.
• Натрия хлорид — 4,0-5,0 мг.
• Динатрия эдетата дигидрат (ЭДТА, Титриплекс III) — 0,2-0,3 мг.
• Калия L-глутамат — 0,8-1,0 мг.
• Полигелин  — 9,0-12,0 мг.
• Сахароза — 20,0-100,0 мг.
</t>
    </r>
    <r>
      <rPr>
        <i/>
        <sz val="10"/>
        <color theme="1"/>
        <rFont val="Arial"/>
      </rPr>
      <t>Растворитель:</t>
    </r>
    <r>
      <rPr>
        <sz val="10"/>
        <color theme="1"/>
        <rFont val="Arial"/>
      </rPr>
      <t xml:space="preserve">
• Вода для инъекций — 1,0 мл.
Примечание:
¹ - Вакцина не содержит консервантов.</t>
    </r>
  </si>
  <si>
    <r>
      <rPr>
        <sz val="10"/>
        <color theme="1"/>
        <rFont val="Arial"/>
      </rPr>
      <t xml:space="preserve">&lt;p&gt;1&amp;nbsp;прививочная доза (1&amp;nbsp;мл) содержит¹:&lt;br&gt;&lt;br&gt;
</t>
    </r>
    <r>
      <rPr>
        <i/>
        <sz val="10"/>
        <color theme="1"/>
        <rFont val="Arial"/>
      </rPr>
      <t>&lt;i&gt;Действующее вещество:</t>
    </r>
    <r>
      <rPr>
        <sz val="10"/>
        <color theme="1"/>
        <rFont val="Arial"/>
      </rPr>
      <t xml:space="preserve">&lt;/i&gt;
&lt;ul&gt;&lt;li&gt;Инактивированный вирус бешенства [штамм Flury&amp;nbsp;LЕР, выращенный в культуре клеток куриных эмбрионов] — не менее 2,5&amp;nbsp;МЕ.&lt;/li&gt;&lt;/ul&gt;
</t>
    </r>
    <r>
      <rPr>
        <i/>
        <sz val="10"/>
        <color theme="1"/>
        <rFont val="Arial"/>
      </rPr>
      <t>&lt;i&gt;Вспомогательные вещества:</t>
    </r>
    <r>
      <rPr>
        <sz val="10"/>
        <color theme="1"/>
        <rFont val="Arial"/>
      </rPr>
      <t xml:space="preserve">&lt;/i&gt;
&lt;ul&gt;&lt;li&gt;Трометамол (трисгидроксиметиламинометан) — 3,0-4,0&amp;nbsp;мг.&lt;/li&gt;
&lt;li&gt;Натрия хлорид — 4,0-5,0&amp;nbsp;мг.&lt;/li&gt;
&lt;li&gt;Динатрия эдетата дигидрат (ЭДТА, Титриплекс&amp;nbsp;III) — 0,2-0,3&amp;nbsp;мг.&lt;/li&gt;
&lt;li&gt;Калия L-глутамат — 0,8-1,0&amp;nbsp;мг.&lt;/li&gt;
&lt;li&gt;Полигелин  — 9,0-12,0&amp;nbsp;мг.&lt;/li&gt;
&lt;li&gt;Сахароза — 20,0-100,0&amp;nbsp;мг.&lt;/li&gt;&lt;/ul&gt;
</t>
    </r>
    <r>
      <rPr>
        <i/>
        <sz val="10"/>
        <color theme="1"/>
        <rFont val="Arial"/>
      </rPr>
      <t>&lt;i&gt;Растворитель:</t>
    </r>
    <r>
      <rPr>
        <sz val="10"/>
        <color theme="1"/>
        <rFont val="Arial"/>
      </rPr>
      <t>&lt;/i&gt;
&lt;ul&gt;&lt;li&gt;Вода для инъекций — 1,0&amp;nbsp;мл.&lt;/li&gt;&lt;/ul&gt;
Примечание:&lt;br&gt;
¹ - Вакцина не содержит консервантов.&lt;/p&gt;</t>
    </r>
  </si>
  <si>
    <t>Одна доза (0,5 мл) вакцины содержит: 
• действующие вещества: смесь инактивированных концентрированных культур лептоспир четырех серогрупп: Leptospira interrogans Icterohaemorrhagiae copenhageni (Крыса 2/466), Leptospira interrogans Grippotyphosa grippotyphosa (Microtus arvalis 30/469), Leptospira interrogans Pomona mozdok (48B/470), Leptospira interrogans Sejroe sejroe (Mus musculus 751/471) не менее (20±2)x10⁶ микробных клеток;
• вспомогательное вещество: формальдегид — не более 0,03%.</t>
  </si>
  <si>
    <t>&lt;p&gt;Одна доза (0,5&amp;nbsp;мл) вакцины содержит: 
&lt;ul&gt;&lt;li&gt;действующие вещества: смесь инактивированных концентрированных культур лептоспир четырех серогрупп: Leptospira interrogans Icterohaemorrhagiae copenhageni (Крыса&amp;nbsp;2/466), Leptospira interrogans Grippotyphosa grippotyphosa (Microtus arvalis 30/469), Leptospira interrogans Pomona mozdok (48B/470), Leptospira interrogans Sejroe sejroe (Mus musculus 751/471) не менее (20±2)x10⁶&amp;nbsp;микробных клеток;&lt;/li&gt;
&lt;li&gt;вспомогательное вещество: формальдегид — не более 0,03%.&lt;/li&gt;&lt;/ul&gt;&lt;/p&gt;</t>
  </si>
  <si>
    <r>
      <rPr>
        <sz val="10"/>
        <color theme="1"/>
        <rFont val="Arial"/>
      </rPr>
      <t xml:space="preserve">Одна доза вакцины содержит:
</t>
    </r>
    <r>
      <rPr>
        <i/>
        <sz val="10"/>
        <color theme="1"/>
        <rFont val="Arial"/>
      </rPr>
      <t>Действующее вещество:</t>
    </r>
    <r>
      <rPr>
        <sz val="10"/>
        <color theme="1"/>
        <rFont val="Arial"/>
      </rPr>
      <t xml:space="preserve"> живые коксиеллы Бернета аттенуированного вакцинного штамма М-44 — 5х10⁷-5×10⁹ минимальных инфицирующих доз для куриных эмбрионов (МИДэ).
</t>
    </r>
    <r>
      <rPr>
        <i/>
        <sz val="10"/>
        <color theme="1"/>
        <rFont val="Arial"/>
      </rPr>
      <t>Вспомогательные вещества:</t>
    </r>
    <r>
      <rPr>
        <sz val="10"/>
        <color theme="1"/>
        <rFont val="Arial"/>
      </rPr>
      <t xml:space="preserve"> компоненты среды высушивания: сахароза — 1%, молоко питьевое обезжиренное стерильное — 49%.
</t>
    </r>
    <r>
      <rPr>
        <i/>
        <sz val="10"/>
        <color theme="1"/>
        <rFont val="Arial"/>
      </rPr>
      <t>Состав растворителя на 1 мл:</t>
    </r>
    <r>
      <rPr>
        <sz val="10"/>
        <color theme="1"/>
        <rFont val="Arial"/>
      </rPr>
      <t xml:space="preserve"> натрия хлорид — 9 мг, вода для инъекций — до 1 мл.</t>
    </r>
  </si>
  <si>
    <t>&lt;p&gt;Одна доза вакцины содержит:&lt;br&gt;&lt;br&gt;
&lt;i&gt;Действующее вещество:&lt;/i&gt; живые коксиеллы Бернета аттенуированного вакцинного штамма М-44 — 5х10⁷-5×10⁹&amp;nbsp;минимальных инфицирующих доз для куриных эмбрионов (МИДэ).&lt;br&gt;&lt;br&gt;
&lt;i&gt;Вспомогательные вещества:&lt;/i&gt; компоненты среды высушивания: сахароза — 1%, молоко питьевое обезжиренное стерильное — 49%.&lt;br&gt;&lt;br&gt;
&lt;i&gt;Состав растворителя на 1&amp;nbsp;мл:&lt;/i&gt; натрия хлорид — 9&amp;nbsp;мг, вода для инъекций — до 1&amp;nbsp;мл.&lt;/p&gt;</t>
  </si>
  <si>
    <r>
      <rPr>
        <i/>
        <sz val="10"/>
        <color theme="1"/>
        <rFont val="Arial"/>
      </rPr>
      <t>Действующие вещества:</t>
    </r>
    <r>
      <rPr>
        <sz val="10"/>
        <color theme="1"/>
        <rFont val="Arial"/>
      </rPr>
      <t xml:space="preserve"> смесь холерогена-анатоксина и О-антигена штаммов V. cholerae O1.
</t>
    </r>
    <r>
      <rPr>
        <i/>
        <sz val="10"/>
        <color theme="1"/>
        <rFont val="Arial"/>
      </rPr>
      <t>Вспомогательные вещества:</t>
    </r>
    <r>
      <rPr>
        <sz val="10"/>
        <color theme="1"/>
        <rFont val="Arial"/>
      </rPr>
      <t xml:space="preserve">
Сахар-песок — от 125,0 до 170,0 мг; крахмал — (80,0±5,0) мг; тальк — (10,0±5,0) мг; кальций стеарат — (10,0±5,0) мг.
</t>
    </r>
    <r>
      <rPr>
        <i/>
        <sz val="10"/>
        <color theme="1"/>
        <rFont val="Arial"/>
      </rPr>
      <t>Оболочка таблетки:</t>
    </r>
    <r>
      <rPr>
        <sz val="10"/>
        <color theme="1"/>
        <rFont val="Arial"/>
      </rPr>
      <t xml:space="preserve"> целлацефат (ацетилфталилцеллюлоза) — (8,55±0,05) мг.</t>
    </r>
  </si>
  <si>
    <r>
      <rPr>
        <i/>
        <sz val="10"/>
        <color theme="1"/>
        <rFont val="Arial"/>
      </rPr>
      <t>&lt;p&gt;&lt;i&gt;Действующие вещества:&lt;/i&gt;</t>
    </r>
    <r>
      <rPr>
        <sz val="10"/>
        <color theme="1"/>
        <rFont val="Arial"/>
      </rPr>
      <t xml:space="preserve"> смесь холерогена-анатоксина и О-антигена штаммов V.&amp;nbsp;cholerae&amp;nbsp;O1.&lt;/p&gt;
</t>
    </r>
    <r>
      <rPr>
        <i/>
        <sz val="10"/>
        <color theme="1"/>
        <rFont val="Arial"/>
      </rPr>
      <t>&lt;p&gt;&lt;i&gt;Вспомогательные вещества:</t>
    </r>
    <r>
      <rPr>
        <sz val="10"/>
        <color theme="1"/>
        <rFont val="Arial"/>
      </rPr>
      <t xml:space="preserve">&lt;/i&gt;&lt;br&gt;
Сахар-песок — от 125,0 до 170,0&amp;nbsp;мг; крахмал — (80,0±5,0)&amp;nbsp;мг; тальк — (10,0±5,0)&amp;nbsp;мг; кальций стеарат — (10,0±5,0)&amp;nbsp;мг.&lt;/p&gt;
</t>
    </r>
    <r>
      <rPr>
        <i/>
        <sz val="10"/>
        <color theme="1"/>
        <rFont val="Arial"/>
      </rPr>
      <t>&lt;p&gt;&lt;i&gt;Оболочка таблетки:</t>
    </r>
    <r>
      <rPr>
        <sz val="10"/>
        <color theme="1"/>
        <rFont val="Arial"/>
      </rPr>
      <t>&lt;/i&gt; целлацефат (ацетилфталилцеллюлоза) — (8,55±0,05)&amp;nbsp;мг.&lt;/p&gt;</t>
    </r>
  </si>
  <si>
    <t>https://grls.rosminzdrav.ru/InstrImg/2022/12/12/1489555/281290ac-8b7f-4930-a191-7eff9a7cb147.pdf</t>
  </si>
  <si>
    <r>
      <rPr>
        <sz val="10"/>
        <color theme="1"/>
        <rFont val="Arial"/>
      </rPr>
      <t xml:space="preserve">1 доза вакцины (0,5 мл) содержит:
• Ви-антиген¹ — 25 мкг.
¹ получен из культуры </t>
    </r>
    <r>
      <rPr>
        <i/>
        <sz val="10"/>
        <color theme="1"/>
        <rFont val="Arial"/>
      </rPr>
      <t xml:space="preserve">Salmonella typhi </t>
    </r>
    <r>
      <rPr>
        <sz val="10"/>
        <color theme="1"/>
        <rFont val="Arial"/>
      </rPr>
      <t xml:space="preserve">Ty-2 № 4446, очищенного ферментативными и физико-химическими методами.
</t>
    </r>
    <r>
      <rPr>
        <i/>
        <sz val="10"/>
        <color theme="1"/>
        <rFont val="Arial"/>
      </rPr>
      <t>Перечень вспомогательных веществ:</t>
    </r>
    <r>
      <rPr>
        <sz val="10"/>
        <color theme="1"/>
        <rFont val="Arial"/>
      </rPr>
      <t xml:space="preserve">
• Фенол;
• Натрия хлорид;
• Динатрия гидрофосфат гептагидрат;
• Натрия дигидрофосфат дигидрат;
• Вода для инъекций.</t>
    </r>
  </si>
  <si>
    <r>
      <rPr>
        <sz val="10"/>
        <color theme="1"/>
        <rFont val="Arial"/>
      </rPr>
      <t xml:space="preserve">&lt;p&gt;1&amp;nbsp;доза вакцины (0,5&amp;nbsp;мл) содержит:
&lt;ul&gt;&lt;li&gt;Ви-антиген¹ — 25&amp;nbsp;мкг.&lt;/li&gt;&lt;/ul&gt;
¹&amp;nbsp;получен из культуры </t>
    </r>
    <r>
      <rPr>
        <i/>
        <sz val="10"/>
        <color theme="1"/>
        <rFont val="Arial"/>
      </rPr>
      <t xml:space="preserve">&lt;i&gt;Salmonella typhi&lt;/i&gt; </t>
    </r>
    <r>
      <rPr>
        <sz val="10"/>
        <color theme="1"/>
        <rFont val="Arial"/>
      </rPr>
      <t>Ty-2 №&amp;nbsp;4446, очищенного ферментативными и физико-химическими методами.&lt;br&gt;&lt;br&gt;
&lt;i&gt;Перечень вспомогательных веществ:&lt;/i&gt;
&lt;ul&gt;&lt;li&gt;Фенол;&lt;/li&gt;
&lt;li&gt;Натрия хлорид;&lt;/li&gt;
&lt;li&gt;Динатрия гидрофосфат гептагидрат;&lt;/li&gt;
&lt;li&gt;Натрия дигидрофосфат дигидрат;&lt;/li&gt;
&lt;li&gt;Вода для инъекций.&lt;/li&gt;&lt;/ul&gt;&lt;/p&gt;</t>
    </r>
  </si>
  <si>
    <t>Вакцина представляет собой инактивированные этиловым спиртом лиофилизированные микробные клетки S. typhi Ту-2 №4446.
1 мл содержит 5 млрд. микробных клеток. Консервант — фенол не более 0,05%.
Растворитель — натрия хлорида изотонический раствор для инъекций 0,9%.</t>
  </si>
  <si>
    <t>&lt;p&gt;Вакцина представляет собой инактивированные этиловым спиртом лиофилизированные микробные клетки S.&amp;nbsp;typhi Ту-2&amp;nbsp;№4446.&lt;br&gt;
1&amp;nbsp;мл содержит 5&amp;nbsp;млрд. микробных клеток. Консервант — фенол не более 0,05%.&lt;br&gt;
Растворитель — натрия хлорида изотонический раствор для инъекций 0,9%.&lt;/p&gt;</t>
  </si>
  <si>
    <r>
      <rPr>
        <sz val="10"/>
        <color theme="1"/>
        <rFont val="Arial"/>
      </rPr>
      <t xml:space="preserve">1 доза (0,5 мл) содержит:
• Низкотоксичный полисахарид </t>
    </r>
    <r>
      <rPr>
        <i/>
        <sz val="10"/>
        <color theme="1"/>
        <rFont val="Arial"/>
      </rPr>
      <t>Shigella sonnei</t>
    </r>
    <r>
      <rPr>
        <sz val="10"/>
        <color theme="1"/>
        <rFont val="Arial"/>
      </rPr>
      <t xml:space="preserve">¹ — 50 мкг.
¹ — Получен из культуры </t>
    </r>
    <r>
      <rPr>
        <i/>
        <sz val="10"/>
        <color theme="1"/>
        <rFont val="Arial"/>
      </rPr>
      <t>Shigella sonnei</t>
    </r>
    <r>
      <rPr>
        <sz val="10"/>
        <color theme="1"/>
        <rFont val="Arial"/>
      </rPr>
      <t xml:space="preserve"> и очищен ферментативными и физико-химическими методами.
</t>
    </r>
    <r>
      <rPr>
        <i/>
        <sz val="10"/>
        <color theme="1"/>
        <rFont val="Arial"/>
      </rPr>
      <t>Перечень вспомогательных веществ:</t>
    </r>
    <r>
      <rPr>
        <sz val="10"/>
        <color theme="1"/>
        <rFont val="Arial"/>
      </rPr>
      <t xml:space="preserve">
• Фенол;
• Натрия хлорид;
• Динатрия гидрофосфат гептагидрат;
• Натрия дигидрофосфат дигидрат;
• Вода для инъекций.</t>
    </r>
  </si>
  <si>
    <t>&lt;p&gt;1&amp;nbsp;доза (0,5&amp;nbsp;мл) содержит:
&lt;ul&gt;&lt;li&gt;Низкотоксичный полисахарид &lt;i&gt;Shigella sonnei&lt;/i&gt;¹ — 50&amp;nbsp;мкг.&lt;/li&gt;&lt;/ul&gt;
¹&amp;nbsp;—&amp;nbsp;Получен из культуры &lt;i&gt;Shigella sonnei&lt;/i&gt; и очищен ферментативными и физико-химическими методами.&lt;br&gt;&lt;br&gt;
&lt;i&gt;Перечень вспомогательных веществ:&lt;/i&gt;
&lt;ul&gt;&lt;li&gt;Фенол;&lt;/li&gt;
&lt;li&gt;Натрия хлорид;&lt;/li&gt;
&lt;li&gt;Динатрия гидрофосфат гептагидрат;&lt;/li&gt;
&lt;li&gt;Натрия дигидрофосфат дигидрат;&lt;/li&gt;
&lt;li&gt;Вода для инъекций.&lt;/li&gt;&lt;/ul&gt;&lt;/p&gt;</t>
  </si>
  <si>
    <r>
      <rPr>
        <sz val="10"/>
        <color theme="1"/>
        <rFont val="Arial"/>
      </rPr>
      <t xml:space="preserve">На 1 дозу (0,5 мл):
</t>
    </r>
    <r>
      <rPr>
        <i/>
        <sz val="10"/>
        <color theme="1"/>
        <rFont val="Arial"/>
      </rPr>
      <t>Действующее вещество:</t>
    </r>
    <r>
      <rPr>
        <sz val="10"/>
        <color theme="1"/>
        <rFont val="Arial"/>
      </rPr>
      <t xml:space="preserve">
• Антиген инактивированного коронавируса SARS-CoV-2* — не менее 3 мкг**.
</t>
    </r>
    <r>
      <rPr>
        <i/>
        <sz val="10"/>
        <color theme="1"/>
        <rFont val="Arial"/>
      </rPr>
      <t>Вспомогательные вещества:</t>
    </r>
    <r>
      <rPr>
        <sz val="10"/>
        <color theme="1"/>
        <rFont val="Arial"/>
      </rPr>
      <t xml:space="preserve">
• Алюминия гидроксид — 0,3-0,5 мг.
• Буферный раствор (фосфатный) (динатрия фосфат дигидрат, натрия дигидрофосфата дигидрат, натрия хлорид, вода для инъекций) — до 0,5 мл.
* -  Получен путем репродукции в перевиваемой культуре клеток линии Vero.
** - Является величиной расчетной.
Не содержит антибиотиков и консервантов.</t>
    </r>
  </si>
  <si>
    <r>
      <rPr>
        <sz val="10"/>
        <color theme="1"/>
        <rFont val="Arial"/>
      </rPr>
      <t xml:space="preserve">&lt;p&gt;На 1&amp;nbsp;дозу (0,5&amp;nbsp;мл):&lt;/p&gt;
</t>
    </r>
    <r>
      <rPr>
        <i/>
        <sz val="10"/>
        <color theme="1"/>
        <rFont val="Arial"/>
      </rPr>
      <t>&lt;p&gt;&lt;i&gt;Действующее вещество:</t>
    </r>
    <r>
      <rPr>
        <sz val="10"/>
        <color theme="1"/>
        <rFont val="Arial"/>
      </rPr>
      <t xml:space="preserve">&lt;/i&gt;
&lt;ul&gt;&lt;li&gt;Антиген инактивированного коронавируса SARS-CoV-2* — не менее 3&amp;nbsp;мкг**.&lt;/li&gt;&lt;/ul&gt;
</t>
    </r>
    <r>
      <rPr>
        <i/>
        <sz val="10"/>
        <color theme="1"/>
        <rFont val="Arial"/>
      </rPr>
      <t>&lt;i&gt;Вспомогательные вещества:</t>
    </r>
    <r>
      <rPr>
        <sz val="10"/>
        <color theme="1"/>
        <rFont val="Arial"/>
      </rPr>
      <t>&lt;/i&gt;
&lt;ul&gt;&lt;li&gt;Алюминия гидроксид — 0,3-0,5&amp;nbsp;мг.&lt;/li&gt;
&lt;li&gt;Буферный раствор (фосфатный) (динатрия фосфат дигидрат, натрия дигидрофосфата дигидрат, натрия хлорид, вода для инъекций) — до 0,5&amp;nbsp;мл.&lt;/li&gt;&lt;/ul&gt;
* - Получен путем репродукции в перевиваемой культуре клеток линии Vero.&lt;br&gt;
** - Является величиной расчетной.&lt;/p&gt;
&lt;p&gt;Не содержит антибиотиков и консервантов.&lt;/p&gt;</t>
    </r>
  </si>
  <si>
    <t>https://grls.rosminzdrav.ru/InstrImg/2022/10/26/1480925/8a4034a5-ce9e-4e60-8aed-62309841b33e.pdf</t>
  </si>
  <si>
    <r>
      <rPr>
        <sz val="10"/>
        <color theme="1"/>
        <rFont val="Arial"/>
      </rPr>
      <t xml:space="preserve">1 доза (0,5 мл) содержит:
• рекомбинантные аденовирусные частицы 26 серотипа¹, содержащие ген белка S вируса SARS-CoV-2² — (1,0±0,5)х10¹¹ частиц.
¹ получены из клеток человека (HEK293) после трансдукции этих клеток;
² вариант ХВВ штамма омикрон коронавируса SARS-CoV-2.
</t>
    </r>
    <r>
      <rPr>
        <i/>
        <sz val="10"/>
        <color theme="1"/>
        <rFont val="Arial"/>
      </rPr>
      <t xml:space="preserve">
Перечень вспомогательных веществ:</t>
    </r>
    <r>
      <rPr>
        <sz val="10"/>
        <color theme="1"/>
        <rFont val="Arial"/>
      </rPr>
      <t xml:space="preserve">
• Трис(гидроксиметил)аминометан;
• Натрия хлорид;
• Сахароза;
• Полисорбат;
• Магния хлорида гексагидрат;
• ЭДТА динатриевая соль дигидрат;
• Этанол 95 %;
• Вода для инъекций.</t>
    </r>
  </si>
  <si>
    <r>
      <rPr>
        <sz val="10"/>
        <color theme="1"/>
        <rFont val="Arial"/>
      </rPr>
      <t xml:space="preserve">&lt;p&gt;1&amp;nbsp;доза (0,5&amp;nbsp;мл) содержит:
&lt;ul&gt;&lt;li&gt;рекомбинантные аденовирусные частицы 26&amp;nbsp;серотипа¹, содержащие ген белка&amp;nbsp;S вируса SARS-CoV-2² — (1,0±0,5)х10¹¹&amp;nbsp;частиц.&lt;/li&gt;&lt;/ul&gt;
¹&amp;nbsp;получены из клеток человека (HEK293) после трансдукции этих клеток;&lt;br&gt;
²&amp;nbsp;вариант ХВВ штамма омикрон коронавируса SARS-CoV-2.&lt;br&gt;&lt;br&gt;
</t>
    </r>
    <r>
      <rPr>
        <i/>
        <sz val="10"/>
        <color theme="1"/>
        <rFont val="Arial"/>
      </rPr>
      <t xml:space="preserve">
&lt;i&gt;Перечень вспомогательных веществ:</t>
    </r>
    <r>
      <rPr>
        <sz val="10"/>
        <color theme="1"/>
        <rFont val="Arial"/>
      </rPr>
      <t>&lt;/i&gt;
&lt;ul&gt;&lt;li&gt;Трис(гидроксиметил)аминометан;&lt;/li&gt;
&lt;li&gt;Натрия хлорид;&lt;/li&gt;
&lt;li&gt;Сахароза;&lt;/li&gt;
&lt;li&gt;Полисорбат;&lt;/li&gt;
&lt;li&gt;Магния хлорида гексагидрат;&lt;/li&gt;
&lt;li&gt;ЭДТА динатриевая соль дигидрат;&lt;/li&gt;
&lt;li&gt;Этанол 95&amp;nbsp;%;&lt;/li&gt;
&lt;li&gt;Вода для инъекций.&lt;/li&gt;&lt;/ul&gt;&lt;/p&gt;</t>
    </r>
  </si>
  <si>
    <r>
      <rPr>
        <sz val="10"/>
        <color theme="1"/>
        <rFont val="Arial"/>
      </rPr>
      <t xml:space="preserve">Компонент I содержит:
</t>
    </r>
    <r>
      <rPr>
        <i/>
        <sz val="10"/>
        <color theme="1"/>
        <rFont val="Arial"/>
      </rPr>
      <t>Действующее вещество:</t>
    </r>
    <r>
      <rPr>
        <sz val="10"/>
        <color theme="1"/>
        <rFont val="Arial"/>
      </rPr>
      <t xml:space="preserve"> рекомбинантные аденовирусные частицы 26 серотипа, содержащие ген белка S вируса SARS-CoV-2, в количестве (2,0±1,5)x10¹⁰ частиц.
</t>
    </r>
    <r>
      <rPr>
        <i/>
        <sz val="10"/>
        <color theme="1"/>
        <rFont val="Arial"/>
      </rPr>
      <t>Вспомогательные вещества:</t>
    </r>
    <r>
      <rPr>
        <sz val="10"/>
        <color theme="1"/>
        <rFont val="Arial"/>
      </rPr>
      <t xml:space="preserve"> трис(гидроксиметил)аминометан — 1,21 мг, натрия хлорид — 2,19 мг, сахароза — 25,0 мг, полисорбат 80 — 250 мкг, магния хлорида гексагидрат — 102,0 мкг, ЭДТА динатриевая соль дигидрат — 19,0 мкг, этанол (спирт этиловый) 95% — 2,5 мкл, вода для инъекций — до 0,5 мл.
Компонент II содержит:
</t>
    </r>
    <r>
      <rPr>
        <i/>
        <sz val="10"/>
        <color theme="1"/>
        <rFont val="Arial"/>
      </rPr>
      <t>Действующее вещество:</t>
    </r>
    <r>
      <rPr>
        <sz val="10"/>
        <color theme="1"/>
        <rFont val="Arial"/>
      </rPr>
      <t xml:space="preserve"> рекомбинантные аденовирусные частицы 5 серотипа, содержащие ген белка S вируса SARS-CoV-2, в количестве (2,0±1,5)x10¹⁰ частиц.
</t>
    </r>
    <r>
      <rPr>
        <i/>
        <sz val="10"/>
        <color theme="1"/>
        <rFont val="Arial"/>
      </rPr>
      <t>Вспомогательные вещества:</t>
    </r>
    <r>
      <rPr>
        <sz val="10"/>
        <color theme="1"/>
        <rFont val="Arial"/>
      </rPr>
      <t xml:space="preserve"> трис(гидроксиметил)аминометан — 1,21 мг, натрия хлорид — 2,19 мг, сахароза — 25,0 мг, полисорбат 80 — 250 мкг, магния хлорида гексагидрат — 102,0 мкг, ЭДТА динатриевая соль дигидрат — 19,0 мкг, этанол (спирт этиловый) 95% — 2,5 мкл, вода для инъекций — до 0,5 мл.</t>
    </r>
  </si>
  <si>
    <r>
      <rPr>
        <sz val="10"/>
        <color theme="1"/>
        <rFont val="Arial"/>
      </rPr>
      <t xml:space="preserve">&lt;p&gt;Компонент&amp;nbsp;I содержит:&lt;/p&gt;
</t>
    </r>
    <r>
      <rPr>
        <i/>
        <sz val="10"/>
        <color theme="1"/>
        <rFont val="Arial"/>
      </rPr>
      <t>&lt;p&gt;&lt;i&gt;Действующее вещество:&lt;/i&gt;</t>
    </r>
    <r>
      <rPr>
        <sz val="10"/>
        <color theme="1"/>
        <rFont val="Arial"/>
      </rPr>
      <t xml:space="preserve"> рекомбинантные аденовирусные частицы 26&amp;nbsp;серотипа, содержащие ген белка&amp;nbsp;S вируса SARS-CoV-2, в количестве (2,0±1,5)x10¹⁰&amp;nbsp;частиц.&lt;/p&gt;
</t>
    </r>
    <r>
      <rPr>
        <i/>
        <sz val="10"/>
        <color theme="1"/>
        <rFont val="Arial"/>
      </rPr>
      <t>&lt;p&gt;&lt;i&gt;Вспомогательные вещества:&lt;/i&gt;</t>
    </r>
    <r>
      <rPr>
        <sz val="10"/>
        <color theme="1"/>
        <rFont val="Arial"/>
      </rPr>
      <t xml:space="preserve"> трис(гидроксиметил)аминометан — 1,21&amp;nbsp;мг, натрия хлорид — 2,19&amp;nbsp;мг, сахароза — 25,0&amp;nbsp;мг, полисорбат&amp;nbsp;80 — 250&amp;nbsp;мкг, магния хлорида гексагидрат — 102,0&amp;nbsp;мкг, ЭДТА динатриевая соль дигидрат — 19,0&amp;nbsp;мкг, этанол (спирт этиловый) 95% — 2,5&amp;nbsp;мкл, вода для инъекций — до 0,5&amp;nbsp;мл.&lt;/p&gt;
&lt;p&gt;Компонент&amp;nbsp;II содержит:&lt;/p&gt;
</t>
    </r>
    <r>
      <rPr>
        <i/>
        <sz val="10"/>
        <color theme="1"/>
        <rFont val="Arial"/>
      </rPr>
      <t>&lt;p&gt;&lt;i&gt;Действующее вещество:&lt;/i&gt;</t>
    </r>
    <r>
      <rPr>
        <sz val="10"/>
        <color theme="1"/>
        <rFont val="Arial"/>
      </rPr>
      <t xml:space="preserve"> рекомбинантные аденовирусные частицы 5&amp;nbsp;серотипа, содержащие ген белка&amp;nbsp;S вируса SARS-CoV-2, в количестве (2,0±1,5)x10¹⁰&amp;nbsp;частиц.&lt;/p&gt;
</t>
    </r>
    <r>
      <rPr>
        <i/>
        <sz val="10"/>
        <color theme="1"/>
        <rFont val="Arial"/>
      </rPr>
      <t>&lt;p&gt;&lt;i&gt;Вспомогательные вещества:&lt;i&gt;</t>
    </r>
    <r>
      <rPr>
        <sz val="10"/>
        <color theme="1"/>
        <rFont val="Arial"/>
      </rPr>
      <t xml:space="preserve"> трис(гидроксиметил)аминометан — 1,21&amp;nbsp;мг, натрия хлорид — 2,19&amp;nbsp;мг, сахароза — 25,0&amp;nbsp;мг, полисорбат&amp;nbsp;80 — 250&amp;nbsp;мкг, магния хлорида гексагидрат — 102,0&amp;nbsp;мкг, ЭДТА динатриевая соль дигидрат — 19,0&amp;nbsp;мкг, этанол (спирт этиловый) 95% — 2,5&amp;nbsp;мкл, вода для инъекций — до 0,5&amp;nbsp;мл.&lt;/p&gt;</t>
    </r>
  </si>
  <si>
    <r>
      <rPr>
        <sz val="10"/>
        <color theme="1"/>
        <rFont val="Arial"/>
      </rPr>
      <t xml:space="preserve">1 доза (0,5 мл) содержит: 
• Рекомбинантный белок N¹ вируса SARS-CoV-2² — 50 мкг;
¹ получен из клеток Escherichia coli по технологии рекомбинантной ДНК
² вариант Ухань
• Адъювант, содержащий:
сквалан — 15 мг;
полисорбат 80 — 5 мг;
(D,L)-α-токоферол — 5 мг.
Перечень вспомогательных веществ
</t>
    </r>
    <r>
      <rPr>
        <i/>
        <sz val="10"/>
        <color theme="1"/>
        <rFont val="Arial"/>
      </rPr>
      <t>Вакцина с консервантом:</t>
    </r>
    <r>
      <rPr>
        <sz val="10"/>
        <color theme="1"/>
        <rFont val="Arial"/>
      </rPr>
      <t xml:space="preserve">
• Тиомерсал (консервант);
• Динатрия гидрофосфат 12-водный;
• Калия дигидрофосфат;
• Калия хлорид;
• Натрия хлорид;
• Вода для инъекций.
</t>
    </r>
    <r>
      <rPr>
        <i/>
        <sz val="10"/>
        <color theme="1"/>
        <rFont val="Arial"/>
      </rPr>
      <t>Вакцина без консерванта:</t>
    </r>
    <r>
      <rPr>
        <sz val="10"/>
        <color theme="1"/>
        <rFont val="Arial"/>
      </rPr>
      <t xml:space="preserve">
• Динатрия гидрофосфат 12-водный;
• Калия дигидрофосфат;
• Калия хлорид;
• Натрия хлорид;
• Вода для инъекций.</t>
    </r>
  </si>
  <si>
    <r>
      <rPr>
        <sz val="10"/>
        <color theme="1"/>
        <rFont val="Arial"/>
      </rPr>
      <t xml:space="preserve">&lt;p&gt;1&amp;nbsp;доза (0,5&amp;nbsp;мл) содержит: 
&lt;ul&gt;&lt;li&gt;Рекомбинантный белок N¹ вируса SARS-CoV-2² — 50&amp;nbsp;мкг;&lt;/li&gt;
¹&amp;nbsp;получен из клеток Escherichia coli по технологии рекомбинантной ДНК&lt;br&gt;
²&amp;nbsp;вариант Ухань&lt;br&gt;
&lt;li&gt;Адъювант, содержащий:&lt;/li&gt;
сквалан — 15&amp;nbsp;мг;&lt;br&gt;
полисорбат 80 — 5&amp;nbsp;мг;&lt;br&gt;
(D,L)-α-токоферол — 5&amp;nbsp;мг.&lt;/ul&gt;
Перечень вспомогательных веществ&lt;br&gt;&lt;br&gt;
</t>
    </r>
    <r>
      <rPr>
        <i/>
        <sz val="10"/>
        <color theme="1"/>
        <rFont val="Arial"/>
      </rPr>
      <t>&lt;i&gt;Вакцина с консервантом:</t>
    </r>
    <r>
      <rPr>
        <sz val="10"/>
        <color theme="1"/>
        <rFont val="Arial"/>
      </rPr>
      <t xml:space="preserve">&lt;/i&gt;
&lt;ul&gt;&lt;li&gt;Тиомерсал (консервант);&lt;/li&gt;
&lt;li&gt;Динатрия гидрофосфат 12-водный;&lt;/li&gt;
&lt;li&gt;Калия дигидрофосфат;&lt;/li&gt;
&lt;li&gt;Калия хлорид;&lt;/li&gt;
&lt;li&gt;Натрия хлорид;&lt;/li&gt;
&lt;li&gt;Вода для инъекций.&lt;/li&gt;&lt;/ul&gt;
</t>
    </r>
    <r>
      <rPr>
        <i/>
        <sz val="10"/>
        <color theme="1"/>
        <rFont val="Arial"/>
      </rPr>
      <t>&lt;i&gt;Вакцина без консерванта:&lt;/i&gt;</t>
    </r>
    <r>
      <rPr>
        <sz val="10"/>
        <color theme="1"/>
        <rFont val="Arial"/>
      </rPr>
      <t xml:space="preserve">
&lt;ul&gt;&lt;li&gt;Динатрия гидрофосфат 12-водный;&lt;/li&gt;
&lt;li&gt;Калия дигидрофосфат;&lt;/li&gt;
&lt;li&gt;Калия хлорид;&lt;/li&gt;
&lt;li&gt;Натрия хлорид;&lt;/li&gt;
&lt;li&gt;Вода для инъекций.&lt;/li&gt;&lt;/ul&gt;&lt;/p&gt;</t>
    </r>
  </si>
  <si>
    <r>
      <rPr>
        <sz val="10"/>
        <color theme="1"/>
        <rFont val="Arial"/>
      </rPr>
      <t xml:space="preserve">0,5 мл (1 доза) вакцины содержит:
</t>
    </r>
    <r>
      <rPr>
        <i/>
        <sz val="10"/>
        <color theme="1"/>
        <rFont val="Arial"/>
      </rPr>
      <t>Действующие вещества:</t>
    </r>
    <r>
      <rPr>
        <sz val="10"/>
        <color theme="1"/>
        <rFont val="Arial"/>
      </rPr>
      <t xml:space="preserve">
• пептидный антиген №1 белка S вируса SARS-CoV-2 и пептидный антиген №2/3 белка S вируса SARS-CoV-2, конъюгированные на белок-носитель — (225±45) мкг.
</t>
    </r>
    <r>
      <rPr>
        <i/>
        <sz val="10"/>
        <color theme="1"/>
        <rFont val="Arial"/>
      </rPr>
      <t>Вспомогательные вещества:</t>
    </r>
    <r>
      <rPr>
        <sz val="10"/>
        <color theme="1"/>
        <rFont val="Arial"/>
      </rPr>
      <t xml:space="preserve">
• алюминия гидроксид в пересчете на (Al) — (0,60±0,10) мг;
• калия дигидрофосфат — (0,12±0,01) мг;
• калия хлорид — (0,10±0,01) мг;
• натрия гидрофосфата додекагидрат — (1,82±0,10) мг;
• натрия хлорид — (4,00±0,20) мг;
• вода для инъекций — до 0,5 мл.</t>
    </r>
  </si>
  <si>
    <r>
      <rPr>
        <sz val="10"/>
        <color theme="1"/>
        <rFont val="Arial"/>
      </rPr>
      <t xml:space="preserve">&lt;p&gt;0,5&amp;nbsp;мл (1&amp;nbsp;доза) вакцины содержит:&lt;/p&gt;
</t>
    </r>
    <r>
      <rPr>
        <i/>
        <sz val="10"/>
        <color theme="1"/>
        <rFont val="Arial"/>
      </rPr>
      <t>&lt;p&gt;&lt;i&gt;Действующие вещества:</t>
    </r>
    <r>
      <rPr>
        <sz val="10"/>
        <color theme="1"/>
        <rFont val="Arial"/>
      </rPr>
      <t xml:space="preserve">&lt;/i&gt;
&lt;ul&gt;&lt;li&gt;пептидный антиген&amp;nbsp;№1 белка&amp;nbsp;S вируса SARS-CoV-2 и пептидный антиген&amp;nbsp;№2/3 белка&amp;nbsp;S вируса SARS-CoV-2, конъюгированные на белок-носитель — (225±45)&amp;nbsp;мкг.&lt;/li&gt;&lt;/ul&gt;
</t>
    </r>
    <r>
      <rPr>
        <i/>
        <sz val="10"/>
        <color theme="1"/>
        <rFont val="Arial"/>
      </rPr>
      <t>&lt;i&gt;Вспомогательные вещества:</t>
    </r>
    <r>
      <rPr>
        <sz val="10"/>
        <color theme="1"/>
        <rFont val="Arial"/>
      </rPr>
      <t>&lt;/i&gt;
&lt;ul&gt;&lt;li&gt;алюминия гидроксид в пересчете на (Al) — (0,60±0,10)&amp;nbsp;мг;&lt;/li&gt;
&lt;li&gt;калия дигидрофосфат — (0,12±0,01)&amp;nbsp;мг;&lt;/li&gt;
&lt;li&gt;калия хлорид — (0,10±0,01)&amp;nbsp;мг;&lt;/li&gt;
&lt;li&gt;натрия гидрофосфата додекагидрат — (1,82±0,10)&amp;nbsp;мг;&lt;/li&gt;
&lt;li&gt;натрия хлорид — (4,00±0,20)&amp;nbsp;мг;&lt;/li&gt;
&lt;li&gt;вода для инъекций — до 0,5&amp;nbsp;мл.&lt;/li&gt;&lt;/ul&gt;&lt;/p&gt;</t>
    </r>
  </si>
  <si>
    <t>https://grls.rosminzdrav.ru/InstrImg/2023/03/01/1491468/c8da2905-b80e-470c-adc7-c40c03707ddd.pdf</t>
  </si>
  <si>
    <r>
      <rPr>
        <sz val="10"/>
        <color theme="1"/>
        <rFont val="Arial"/>
      </rPr>
      <t xml:space="preserve">После восстановления 1 доза (2,5 мл) содержит:
• Ротавирус типа G1¹ — не менее 10⁵·⁶ ФФЕ*.
• Ротавирус типа G2¹ — не менее 10⁵·⁶ ФФЕ*.
• Ротавирус типа G3¹ — не менее 10⁵·⁶ ФФЕ*.
• Ротавирус типа G4¹ — не менее 10⁵·⁶ ФФЕ*.
• Ротавирус типа G9¹ — не менее 10⁵·⁶ ФФЕ*.
¹ Живые реассортанты человеческого и бычьего ротавирусов, выращенные на культуре клеток Веро.
* ФФЕ — фокус флуоресцирующие единицы.
Не содержит консервантов.
</t>
    </r>
    <r>
      <rPr>
        <i/>
        <sz val="10"/>
        <color theme="1"/>
        <rFont val="Arial"/>
      </rPr>
      <t>Перечень вспомогательных веществ:</t>
    </r>
    <r>
      <rPr>
        <sz val="10"/>
        <color theme="1"/>
        <rFont val="Arial"/>
      </rPr>
      <t xml:space="preserve">
• Сахароза.
• Глицин.
• Среда МЕМ.
</t>
    </r>
    <r>
      <rPr>
        <i/>
        <sz val="10"/>
        <color theme="1"/>
        <rFont val="Arial"/>
      </rPr>
      <t>Растворитель:</t>
    </r>
    <r>
      <rPr>
        <sz val="10"/>
        <color theme="1"/>
        <rFont val="Arial"/>
      </rPr>
      <t xml:space="preserve">
• Натрия бикарбонат.
• Лимонной кислоты моногидрат.
• Вода для инъекций.</t>
    </r>
  </si>
  <si>
    <t>&lt;p&gt;После восстановления 1&amp;nbsp;доза (2,5&amp;nbsp;мл) содержит:
&lt;ul&gt;&lt;li&gt;Ротавирус типа&amp;nbsp;G1¹ — не менее 10⁵&lt;sup&gt;,&lt;/sup&gt;⁶&amp;nbsp;ФФЕ*.&lt;/li&gt;
&lt;li&gt;Ротавирус типа&amp;nbsp;G2¹ — не менее 10⁵&lt;sup&gt;,&lt;/sup&gt;⁶&amp;nbsp;ФФЕ*.&lt;/li&gt;
&lt;li&gt;Ротавирус типа&amp;nbsp;G3¹ — не менее 10⁵&lt;sup&gt;,&lt;/sup&gt;⁶&amp;nbsp;ФФЕ*.&lt;/li&gt;
&lt;li&gt;Ротавирус типа&amp;nbsp;G4¹ — не менее 10⁵&lt;sup&gt;,&lt;/sup&gt;⁶&amp;nbsp;ФФЕ*.&lt;/li&gt;
&lt;li&gt;Ротавирус типа&amp;nbsp;G9¹ — не менее 10⁵&lt;sup&gt;,&lt;/sup&gt;⁶&amp;nbsp;ФФЕ*.&lt;/li&gt;&lt;/ul&gt;
¹&amp;nbsp;Живые реассортанты человеческого и бычьего ротавирусов, выращенные на культуре клеток Веро.&lt;br&gt;
*&amp;nbsp;ФФЕ — фокус флуоресцирующие единицы.&lt;br&gt;
Не содержит консервантов.&lt;br&gt;&lt;br&gt;
&lt;i&gt;Перечень вспомогательных веществ:&lt;/i&gt;
&lt;ul&gt;&lt;li&gt;Сахароза.&lt;/li&gt;
&lt;li&gt;Глицин.&lt;/li&gt;
&lt;li&gt;Среда МЕМ.&lt;/li&gt;&lt;/ul&gt;
&lt;i&gt;Растворитель:&lt;/i&gt;
&lt;ul&gt;&lt;li&gt;Натрия бикарбонат.&lt;/li&gt;
&lt;li&gt;Лимонной кислоты моногидрат.&lt;/li&gt;
&lt;li&gt;Вода для инъекций.&lt;/li&gt;&lt;/ul&gt;&lt;/p&gt;</t>
  </si>
  <si>
    <t>В одной дозе восстановленной вакцины содержится:
Активные вещества: капсульный полисахарид Haemophilus influenzae тип b от 9,5 до 14,3 мкг, столбнячный анатоксин от 19,0 до 28,6 мкг.
Вспомогательные вещества: сахароза — от 20 до 30 мг.
Растворитель: вода для инъекции — 0,5 мл.</t>
  </si>
  <si>
    <t>&lt;p&gt;В одной дозе восстановленной вакцины содержится:&lt;/p&gt;
&lt;p&gt;&lt;i&gt;Активные вещества&lt;/i&gt;: капсульный полисахарид &lt;i&gt;Haemophilus&amp;nbsp;influenzae&lt;/i&gt; тип&amp;nbsp;&lt;i&gt;b&lt;/i&gt; от 9,5 до 14,3&amp;nbsp;мкг, столбнячный анатоксин от 19,0 до 28,6&amp;nbsp;мкг.&lt;/p&gt;
&lt;p&gt;&lt;i&gt;Вспомогательные вещества&lt;/i&gt;: сахароза — от 20 до 30&amp;nbsp;мг.&lt;/p&gt;
&lt;p&gt;&lt;i&gt;Растворитель&lt;/i&gt;: вода для инъекции — 0,5&amp;nbsp;мл.&lt;/p&gt;</t>
  </si>
  <si>
    <r>
      <rPr>
        <sz val="10"/>
        <color theme="1"/>
        <rFont val="Arial"/>
      </rPr>
      <t xml:space="preserve">1 доза для взрослых (1 мл) содержит:
• Антиген вируса гепатита В поверхностный рекомбинантный (HBsAg) (серотип </t>
    </r>
    <r>
      <rPr>
        <i/>
        <sz val="10"/>
        <color theme="1"/>
        <rFont val="Arial"/>
      </rPr>
      <t>ау</t>
    </r>
    <r>
      <rPr>
        <sz val="10"/>
        <color theme="1"/>
        <rFont val="Arial"/>
      </rPr>
      <t xml:space="preserve"> и/или </t>
    </r>
    <r>
      <rPr>
        <i/>
        <sz val="10"/>
        <color theme="1"/>
        <rFont val="Arial"/>
      </rPr>
      <t>ad</t>
    </r>
    <r>
      <rPr>
        <sz val="10"/>
        <color theme="1"/>
        <rFont val="Arial"/>
      </rPr>
      <t xml:space="preserve">)¹·² — 20 мкг
¹ Получен из дрожжевых клеток </t>
    </r>
    <r>
      <rPr>
        <i/>
        <sz val="10"/>
        <color theme="1"/>
        <rFont val="Arial"/>
      </rPr>
      <t>Saccharomyces cerevisiae</t>
    </r>
    <r>
      <rPr>
        <sz val="10"/>
        <color theme="1"/>
        <rFont val="Arial"/>
      </rPr>
      <t xml:space="preserve"> (серотип </t>
    </r>
    <r>
      <rPr>
        <i/>
        <sz val="10"/>
        <color theme="1"/>
        <rFont val="Arial"/>
      </rPr>
      <t>ау</t>
    </r>
    <r>
      <rPr>
        <sz val="10"/>
        <color theme="1"/>
        <rFont val="Arial"/>
      </rPr>
      <t xml:space="preserve">) и/или </t>
    </r>
    <r>
      <rPr>
        <i/>
        <sz val="10"/>
        <color theme="1"/>
        <rFont val="Arial"/>
      </rPr>
      <t>Hansenula polymorpha</t>
    </r>
    <r>
      <rPr>
        <sz val="10"/>
        <color theme="1"/>
        <rFont val="Arial"/>
      </rPr>
      <t xml:space="preserve"> (серотип </t>
    </r>
    <r>
      <rPr>
        <i/>
        <sz val="10"/>
        <color theme="1"/>
        <rFont val="Arial"/>
      </rPr>
      <t xml:space="preserve">ау </t>
    </r>
    <r>
      <rPr>
        <sz val="10"/>
        <color theme="1"/>
        <rFont val="Arial"/>
      </rPr>
      <t xml:space="preserve">и/или </t>
    </r>
    <r>
      <rPr>
        <i/>
        <sz val="10"/>
        <color theme="1"/>
        <rFont val="Arial"/>
      </rPr>
      <t>ad</t>
    </r>
    <r>
      <rPr>
        <sz val="10"/>
        <color theme="1"/>
        <rFont val="Arial"/>
      </rPr>
      <t xml:space="preserve">) по технологии рекомбинантной ДНК.
² Адсорбированный на алюминия гидроксиде (0,50 мг Al³⁺).
</t>
    </r>
    <r>
      <rPr>
        <i/>
        <sz val="10"/>
        <color theme="1"/>
        <rFont val="Arial"/>
      </rPr>
      <t>Перечень вспомогательных веществ:</t>
    </r>
    <r>
      <rPr>
        <sz val="10"/>
        <color theme="1"/>
        <rFont val="Arial"/>
      </rPr>
      <t xml:space="preserve">
• Натрия дигидрофосфат дигидрат;
• Натрия хлорид;
• Натрия гидроксид;
• Вода для инъекций.</t>
    </r>
  </si>
  <si>
    <r>
      <rPr>
        <sz val="10"/>
        <color theme="1"/>
        <rFont val="Arial"/>
      </rPr>
      <t>&lt;p&gt;1&amp;nbsp;доза для взрослых (1&amp;nbsp;мл) содержит:
&lt;ul&gt;&lt;li&gt;Антиген вируса гепатита В поверхностный рекомбинантный (HBsAg) (серотип &lt;i&gt;</t>
    </r>
    <r>
      <rPr>
        <i/>
        <sz val="10"/>
        <color theme="1"/>
        <rFont val="Arial"/>
      </rPr>
      <t>ау&lt;/i&gt;</t>
    </r>
    <r>
      <rPr>
        <sz val="10"/>
        <color theme="1"/>
        <rFont val="Arial"/>
      </rPr>
      <t xml:space="preserve"> и/или &lt;i&gt;</t>
    </r>
    <r>
      <rPr>
        <i/>
        <sz val="10"/>
        <color theme="1"/>
        <rFont val="Arial"/>
      </rPr>
      <t>ad&lt;/i&gt;</t>
    </r>
    <r>
      <rPr>
        <sz val="10"/>
        <color theme="1"/>
        <rFont val="Arial"/>
      </rPr>
      <t xml:space="preserve">)¹&lt;sup&gt;,&lt;/sup&gt;² — 20&amp;nbsp;мкг&lt;/li&gt;&lt;/ul&gt;
¹&amp;nbsp;Получен из дрожжевых клеток </t>
    </r>
    <r>
      <rPr>
        <i/>
        <sz val="10"/>
        <color theme="1"/>
        <rFont val="Arial"/>
      </rPr>
      <t>&lt;i&gt;Saccharomyces cerevisiae&lt;/i&gt;</t>
    </r>
    <r>
      <rPr>
        <sz val="10"/>
        <color theme="1"/>
        <rFont val="Arial"/>
      </rPr>
      <t xml:space="preserve"> (серотип &lt;i&gt;</t>
    </r>
    <r>
      <rPr>
        <i/>
        <sz val="10"/>
        <color theme="1"/>
        <rFont val="Arial"/>
      </rPr>
      <t>ау&lt;/i&gt;</t>
    </r>
    <r>
      <rPr>
        <sz val="10"/>
        <color theme="1"/>
        <rFont val="Arial"/>
      </rPr>
      <t xml:space="preserve">) и/или </t>
    </r>
    <r>
      <rPr>
        <i/>
        <sz val="10"/>
        <color theme="1"/>
        <rFont val="Arial"/>
      </rPr>
      <t>&lt;i&gt;Hansenula polymorpha&lt;/i&gt;</t>
    </r>
    <r>
      <rPr>
        <sz val="10"/>
        <color theme="1"/>
        <rFont val="Arial"/>
      </rPr>
      <t xml:space="preserve"> (серотип </t>
    </r>
    <r>
      <rPr>
        <i/>
        <sz val="10"/>
        <color theme="1"/>
        <rFont val="Arial"/>
      </rPr>
      <t xml:space="preserve">&lt;i&gt;ау&lt;/i&gt; </t>
    </r>
    <r>
      <rPr>
        <sz val="10"/>
        <color theme="1"/>
        <rFont val="Arial"/>
      </rPr>
      <t>и/или &lt;i&gt;</t>
    </r>
    <r>
      <rPr>
        <i/>
        <sz val="10"/>
        <color theme="1"/>
        <rFont val="Arial"/>
      </rPr>
      <t>ad&lt;/i&gt;</t>
    </r>
    <r>
      <rPr>
        <sz val="10"/>
        <color theme="1"/>
        <rFont val="Arial"/>
      </rPr>
      <t xml:space="preserve">) по технологии рекомбинантной ДНК.&lt;br&gt;
²&amp;nbsp;Адсорбированный на алюминия гидроксиде (0,50&amp;nbsp;мг Al³⁺).&lt;br&gt;&lt;br&gt;
</t>
    </r>
    <r>
      <rPr>
        <i/>
        <sz val="10"/>
        <color theme="1"/>
        <rFont val="Arial"/>
      </rPr>
      <t>&lt;i&gt;Перечень вспомогательных веществ:&lt;/i&gt;</t>
    </r>
    <r>
      <rPr>
        <sz val="10"/>
        <color theme="1"/>
        <rFont val="Arial"/>
      </rPr>
      <t xml:space="preserve">
&lt;ul&gt;&lt;li&gt;Натрия дигидрофосфат дигидрат;&lt;/li&gt;
&lt;li&gt;Натрия хлорид;&lt;/li&gt;
&lt;li&gt;Натрия гидроксид;&lt;/li&gt;
&lt;li&gt;Вода для инъекций.&lt;/li&gt;&lt;/ul&gt;&lt;/p&gt;</t>
    </r>
  </si>
  <si>
    <r>
      <rPr>
        <sz val="10"/>
        <color theme="1"/>
        <rFont val="Arial"/>
      </rPr>
      <t xml:space="preserve">1 взрослая доза (1,0 мл) вакцины содержит:
</t>
    </r>
    <r>
      <rPr>
        <i/>
        <sz val="10"/>
        <color theme="1"/>
        <rFont val="Arial"/>
      </rPr>
      <t>Действующее вещество:</t>
    </r>
    <r>
      <rPr>
        <sz val="10"/>
        <color theme="1"/>
        <rFont val="Arial"/>
      </rPr>
      <t xml:space="preserve"> очищенный поверхностный антиген вируса гепатита В (HBsAg) — 20 мкг.
</t>
    </r>
    <r>
      <rPr>
        <i/>
        <sz val="10"/>
        <color theme="1"/>
        <rFont val="Arial"/>
      </rPr>
      <t>Вспомогательные вещества:</t>
    </r>
    <r>
      <rPr>
        <sz val="10"/>
        <color theme="1"/>
        <rFont val="Arial"/>
      </rPr>
      <t xml:space="preserve"> алюминия гидроксид — 0,5 мг.
</t>
    </r>
    <r>
      <rPr>
        <i/>
        <sz val="10"/>
        <color theme="1"/>
        <rFont val="Arial"/>
      </rPr>
      <t>Компоненты буферного раствора:</t>
    </r>
    <r>
      <rPr>
        <sz val="10"/>
        <color theme="1"/>
        <rFont val="Arial"/>
      </rPr>
      <t xml:space="preserve"> натрия хлорид; натрия гидрофосфат; натрия дигидрофосфата дигидрат; 2 М раствор натрия гидроксида до рН 6,95–7,05; вода для инъекций.
Данный препарат содержит менее 1 ммоль (23 мг) натрия на дозу.</t>
    </r>
  </si>
  <si>
    <r>
      <rPr>
        <sz val="10"/>
        <color theme="1"/>
        <rFont val="Arial"/>
      </rPr>
      <t xml:space="preserve">&lt;p&gt;1&amp;nbsp;взрослая доза (1,0&amp;nbsp;мл) вакцины содержит:&lt;/p&gt;
</t>
    </r>
    <r>
      <rPr>
        <i/>
        <sz val="10"/>
        <color theme="1"/>
        <rFont val="Arial"/>
      </rPr>
      <t>&lt;p&gt;&lt;i&gt;Действующее вещество:&lt;/i&gt;</t>
    </r>
    <r>
      <rPr>
        <sz val="10"/>
        <color theme="1"/>
        <rFont val="Arial"/>
      </rPr>
      <t xml:space="preserve"> очищенный поверхностный антиген вируса гепатита В (HBsAg) — 20&amp;nbsp;мкг.&lt;/p&gt;
</t>
    </r>
    <r>
      <rPr>
        <i/>
        <sz val="10"/>
        <color theme="1"/>
        <rFont val="Arial"/>
      </rPr>
      <t>&lt;p&gt;&lt;i&gt;Вспомогательные вещества:&lt;/i&gt;</t>
    </r>
    <r>
      <rPr>
        <sz val="10"/>
        <color theme="1"/>
        <rFont val="Arial"/>
      </rPr>
      <t xml:space="preserve"> алюминия гидроксид — 0,5&amp;nbsp;мг.&lt;/p&gt;
</t>
    </r>
    <r>
      <rPr>
        <i/>
        <sz val="10"/>
        <color theme="1"/>
        <rFont val="Arial"/>
      </rPr>
      <t>&lt;p&gt;&lt;i&gt;Компоненты буферного раствора:&lt;/i&gt;</t>
    </r>
    <r>
      <rPr>
        <sz val="10"/>
        <color theme="1"/>
        <rFont val="Arial"/>
      </rPr>
      <t xml:space="preserve"> натрия хлорид; натрия гидрофосфат; натрия дигидрофосфата дигидрат; 2&amp;nbsp;М раствор натрия гидроксида до рН&amp;nbsp;6,95–7,05; вода для инъекций.&lt;/p&gt;
&lt;p&gt;Данный препарат содержит менее 1&amp;nbsp;ммоль (23&amp;nbsp;мг) натрия на дозу.&lt;/p&gt;</t>
    </r>
  </si>
  <si>
    <r>
      <rPr>
        <sz val="10"/>
        <color theme="1"/>
        <rFont val="Arial"/>
      </rPr>
      <t xml:space="preserve">Одна прививочная доза (0,5 мл) содержит:
• Живой аттенуированный вирус кори (штамм Schwarz), выращенный в культуре клеток куриных эмбрионов — Не менее 3,0 lg ТЦД₅₀¹.
• Живой аттенуированный вирус паротита (штамм RIT4385, производный Jeryl Lynn), выращенный в культуре клеток куриных эмбрионов — Не менее 4,4 lg ТЦД₅₀.
• Живой аттенуированный вирус краснухи (штамм Wistar RA 27/3), выращенный в культуре диплоидных клеток человека MRC-5 — Не менее 3,0 lg ТЦД₅₀.
• Живой аттенуированный вирус ветряной оспы (штамм Oka), выращенный в культуре диплоидных клеток человека MRC-5 — Не менее 3,3 lg БОЕ².
¹ ТЦД₅₀ — доза, инфицирующая 50% культуры клеток с цитопатогенным действием в 50% клеток монослоя.
² БОЕ — бляшкообразующая единица.
Вакцина содержит следовые количества неомицина сульфата (не более 25 мкг/дозу).
Перечень вспомогательных веществ.
</t>
    </r>
    <r>
      <rPr>
        <i/>
        <sz val="10"/>
        <color theme="1"/>
        <rFont val="Arial"/>
      </rPr>
      <t>Лиофилизат</t>
    </r>
    <r>
      <rPr>
        <sz val="10"/>
        <color theme="1"/>
        <rFont val="Arial"/>
      </rPr>
      <t xml:space="preserve">:
• лактоза;
• сорбитол;
• маннитол;
• аминокислоты (включая фенилаланин).
</t>
    </r>
    <r>
      <rPr>
        <i/>
        <sz val="10"/>
        <color theme="1"/>
        <rFont val="Arial"/>
      </rPr>
      <t>Растворитель</t>
    </r>
    <r>
      <rPr>
        <sz val="10"/>
        <color theme="1"/>
        <rFont val="Arial"/>
      </rPr>
      <t>:
• вода для инъекций.</t>
    </r>
  </si>
  <si>
    <r>
      <rPr>
        <sz val="10"/>
        <color theme="1"/>
        <rFont val="Arial"/>
      </rPr>
      <t xml:space="preserve">&lt;p&gt;Одна прививочная доза (0,5&amp;nbsp;мл) содержит:
&lt;ul&gt;&lt;li&gt;Живой аттенуированный вирус кори (штамм Schwarz), выращенный в культуре клеток куриных эмбрионов — Не менее 3,0&amp;nbsp;lg ТЦД₅₀¹.&lt;/li&gt;
&lt;li&gt;Живой аттенуированный вирус паротита (штамм RIT4385, производный Jeryl Lynn), выращенный в культуре клеток куриных эмбрионов — Не менее 4,4&amp;nbsp;lg ТЦД₅₀.&lt;/li&gt;
&lt;li&gt;Живой аттенуированный вирус краснухи (штамм Wistar RA 27/3), выращенный в культуре диплоидных клеток человека MRC-5 — Не менее 3,0&amp;nbsp;lg ТЦД₅₀.&lt;/li&gt;
&lt;li&gt;Живой аттенуированный вирус ветряной оспы (штамм Oka), выращенный в культуре диплоидных клеток человека MRC-5 — Не менее 3,3&amp;nbsp;lg БОЕ².&lt;/li&gt;&lt;/ul&gt;
¹&amp;nbsp;ТЦД₅₀ — доза, инфицирующая 50% культуры клеток с цитопатогенным действием в 50% клеток монослоя.&lt;br&gt;
²&amp;nbsp;БОЕ — бляшкообразующая единица.&lt;br&gt;&lt;br&gt;
Вакцина содержит следовые количества неомицина сульфата (не более 25&amp;nbsp;мкг/дозу).&lt;br&gt;&lt;br&gt;
Перечень вспомогательных веществ.&lt;br&gt;&lt;br&gt;
</t>
    </r>
    <r>
      <rPr>
        <i/>
        <sz val="10"/>
        <color theme="1"/>
        <rFont val="Arial"/>
      </rPr>
      <t>&lt;i&gt;Лиофилизат</t>
    </r>
    <r>
      <rPr>
        <sz val="10"/>
        <color theme="1"/>
        <rFont val="Arial"/>
      </rPr>
      <t xml:space="preserve">:&lt;/i&gt;
&lt;ul&gt;&lt;li&gt;лактоза;&lt;/li&gt;
&lt;li&gt;сорбитол;&lt;/li&gt;
&lt;li&gt;маннитол;&lt;/li&gt;
&lt;li&gt;аминокислоты (включая фенилаланин).&lt;/li&gt;&lt;/ul&gt;
</t>
    </r>
    <r>
      <rPr>
        <i/>
        <sz val="10"/>
        <color theme="1"/>
        <rFont val="Arial"/>
      </rPr>
      <t>&lt;i&gt;Растворитель</t>
    </r>
    <r>
      <rPr>
        <sz val="10"/>
        <color theme="1"/>
        <rFont val="Arial"/>
      </rPr>
      <t>:&lt;/i&gt;
&lt;ul&gt;&lt;li&gt;вода для инъекций.&lt;/li&gt;&lt;/ul&gt;&lt;/p&gt;</t>
    </r>
  </si>
  <si>
    <r>
      <rPr>
        <sz val="10"/>
        <color theme="1"/>
        <rFont val="Arial"/>
      </rPr>
      <t xml:space="preserve">1 прививочная доза (0,5 мл) содержит:
Лиофилизат для приготовления раствора для внутримышечного введения¹.
</t>
    </r>
    <r>
      <rPr>
        <i/>
        <sz val="10"/>
        <color theme="1"/>
        <rFont val="Arial"/>
      </rPr>
      <t>Действующие вещества</t>
    </r>
    <r>
      <rPr>
        <sz val="10"/>
        <color theme="1"/>
        <rFont val="Arial"/>
      </rPr>
      <t xml:space="preserve">:
Олигосахарид N. meningitidis серогруппы A, — 10 мкг;
конъюгированный с белком Corynebacterium diphtheriae CRM₁₉₇ — 16,7-33,3 мкг.
</t>
    </r>
    <r>
      <rPr>
        <i/>
        <sz val="10"/>
        <color theme="1"/>
        <rFont val="Arial"/>
      </rPr>
      <t>Вспомогательные вещества</t>
    </r>
    <r>
      <rPr>
        <sz val="10"/>
        <color theme="1"/>
        <rFont val="Arial"/>
      </rPr>
      <t xml:space="preserve">:
Калия дигидрофосфат — 5 ммоль.
Сахароза — 12,5 мг.
Раствор для внутримышечного введения¹.
</t>
    </r>
    <r>
      <rPr>
        <i/>
        <sz val="10"/>
        <color theme="1"/>
        <rFont val="Arial"/>
      </rPr>
      <t>Действующие вещества</t>
    </r>
    <r>
      <rPr>
        <sz val="10"/>
        <color theme="1"/>
        <rFont val="Arial"/>
      </rPr>
      <t xml:space="preserve">:
Олигосахарид N. meningitidis серогруппы C, — 5 мкг;
конъюгированный с белком Corynebacterium diphtheriae CRM₁₉₇ — 7.1-12.5 мкг.
Олигосахарид N. meningitidis серогруппы W₁₃₅, — 5 мкг;
конъюгированный с белком Corynebacterium diphtheriae CRM₁₉₇ — 3.3-8.3 мкг.
Олигосахарид N. meningitidis серогруппы Y, — 5 мкг;
конъюгированный с белком Corynebacterium diphtheriae CRM₁₉₇ — 5,6-10 мкг.
</t>
    </r>
    <r>
      <rPr>
        <i/>
        <sz val="10"/>
        <color theme="1"/>
        <rFont val="Arial"/>
      </rPr>
      <t>Вспомогательные вещества</t>
    </r>
    <r>
      <rPr>
        <sz val="10"/>
        <color theme="1"/>
        <rFont val="Arial"/>
      </rPr>
      <t>:
Натрия хлорид — 4,5 мг.
Фосфатный буферный раствор (10 ммоль), содержащий:
натрия дигидрофосфата моногидрат — 2,5 ммоль (0,345 мг/мл);
натрия гидрофосфата дигидрат — 7,5 ммоль (1,335 мг/мл).
Вода для инъекций — до 0,5 мл.
Примечание:
¹ - для компенсации потерь в процессе восстановления лиофилизата раствором и обеспечения содержания заявленных количеств действующих и вспомогательных веществ в инъецируемой дозе (0,5 мл), в процессе фасовки во флаконы закладывается 20% избыток компонентов лиофилизата и раствора.
Вакцина Менвео не содержит адъювантов и консервантов.</t>
    </r>
  </si>
  <si>
    <r>
      <rPr>
        <sz val="10"/>
        <color theme="1"/>
        <rFont val="Arial"/>
      </rPr>
      <t xml:space="preserve">&lt;p&gt;1&amp;nbsp;прививочная доза (0,5&amp;nbsp;мл) содержит:&lt;/p&gt;
&lt;p&gt;Лиофилизат для приготовления раствора для внутримышечного введения¹.&lt;/p&gt;
</t>
    </r>
    <r>
      <rPr>
        <i/>
        <sz val="10"/>
        <color theme="1"/>
        <rFont val="Arial"/>
      </rPr>
      <t>&lt;p&gt;&lt;i&gt;Действующие вещества</t>
    </r>
    <r>
      <rPr>
        <sz val="10"/>
        <color theme="1"/>
        <rFont val="Arial"/>
      </rPr>
      <t xml:space="preserve">:&lt;/i&gt;
&lt;ul&gt;&lt;li&gt;Олигосахарид N.&amp;nbsp;meningitidis серогруппы&amp;nbsp;A, — 10&amp;nbsp;мкг;&lt;br&gt;
конъюгированный с белком Corynebacterium diphtheriae&amp;nbsp;CRM₁₉₇ — 16,7-33,3&amp;nbsp;мкг.&lt;/li&gt;&lt;/ul&gt;
</t>
    </r>
    <r>
      <rPr>
        <i/>
        <sz val="10"/>
        <color theme="1"/>
        <rFont val="Arial"/>
      </rPr>
      <t>&lt;i&gt;Вспомогательные вещества</t>
    </r>
    <r>
      <rPr>
        <sz val="10"/>
        <color theme="1"/>
        <rFont val="Arial"/>
      </rPr>
      <t xml:space="preserve">:&lt;/i&gt;
&lt;ul&gt;&lt;li&gt;Калия дигидрофосфат — 5&amp;nbsp;ммоль.&lt;/li&gt;
&lt;li&gt;Сахароза — 12,5&amp;nbsp;мг.&lt;/li&gt;&lt;/ul&gt;&lt;/p&gt;
&lt;p&gt;Раствор для внутримышечного введения¹.&lt;/p&gt;
</t>
    </r>
    <r>
      <rPr>
        <i/>
        <sz val="10"/>
        <color theme="1"/>
        <rFont val="Arial"/>
      </rPr>
      <t>&lt;p&gt;&lt;i&gt;Действующие вещества</t>
    </r>
    <r>
      <rPr>
        <sz val="10"/>
        <color theme="1"/>
        <rFont val="Arial"/>
      </rPr>
      <t xml:space="preserve">:&lt;/i&gt;
&lt;ul&gt;&lt;li&gt;Олигосахарид N.&amp;nbsp;meningitidis серогруппы&amp;nbsp;C, — 5&amp;nbsp;мкг:&lt;br&gt;
конъюгированный с белком Corynebacterium diphtheriae&amp;nbsp;CRM₁₉₇ — 7.1-12.5&amp;nbsp;мкг.&lt;/li&gt;
&lt;li&gt;Олигосахарид N.&amp;nbsp;meningitidis серогруппы&amp;nbsp;W₁₃₅, — 5&amp;nbsp;мкг;&lt;br&gt;
конъюгированный с белком Corynebacterium diphtheriae&amp;nbsp;CRM₁₉₇ — 3.3-8.3&amp;nbsp;мкг.&lt;/li&gt;
&lt;li&gt;Олигосахарид N.&amp;nbsp;meningitidis серогруппы&amp;nbsp;Y, — 5&amp;nbsp;мкг;&lt;br&gt;
конъюгированный с белком Corynebacterium diphtheriae&amp;nbsp;CRM₁₉₇ — 5,6-10&amp;nbsp;мкг.&lt;/li&gt;&lt;/ul&gt;
</t>
    </r>
    <r>
      <rPr>
        <i/>
        <sz val="10"/>
        <color theme="1"/>
        <rFont val="Arial"/>
      </rPr>
      <t>&lt;i&gt;Вспомогательные вещества</t>
    </r>
    <r>
      <rPr>
        <sz val="10"/>
        <color theme="1"/>
        <rFont val="Arial"/>
      </rPr>
      <t>:&lt;/i&gt;
&lt;ul&gt;&lt;li&gt;Натрия хлорид — 4,5&amp;nbsp;мг.&lt;/li&gt;
&lt;li&gt;Фосфатный буферный раствор (10&amp;nbsp;ммоль), содержащий:&lt;br&gt;
натрия дигидрофосфата моногидрат — 2,5&amp;nbsp;ммоль (0,345&amp;nbsp;мг/мл);&lt;br&gt;
натрия гидрофосфата дигидрат — 7,5&amp;nbsp;ммоль (1,335&amp;nbsp;мг/мл).&lt;/li&gt;
&lt;li&gt;Вода для инъекций — до 0,5&amp;nbsp;мл.&lt;/li&gt;&lt;/ul&gt;&lt;/p&gt;
&lt;p&gt;Примечание:&lt;br&gt;
¹ - для компенсации потерь в процессе восстановления лиофилизата раствором и обеспечения содержания заявленных количеств действующих и вспомогательных веществ в инъецируемой дозе (0,5&amp;nbsp;мл), в процессе фасовки во флаконы закладывается 20% избыток компонентов лиофилизата и раствора.&lt;/p&gt;
&lt;p&gt;Вакцина Менвео не содержит адъювантов и консервантов.&lt;/p&gt;</t>
    </r>
  </si>
  <si>
    <t>https://grls.rosminzdrav.ru/InstrImg/2023/04/13/1492490/6ff5839d-5715-4ac9-b3b7-b35008686c67.pdf</t>
  </si>
  <si>
    <r>
      <rPr>
        <sz val="10"/>
        <color theme="1"/>
        <rFont val="Arial"/>
      </rPr>
      <t xml:space="preserve">Компонент I содержит:
</t>
    </r>
    <r>
      <rPr>
        <i/>
        <sz val="10"/>
        <color theme="1"/>
        <rFont val="Arial"/>
      </rPr>
      <t>Действующее вещество:</t>
    </r>
    <r>
      <rPr>
        <sz val="10"/>
        <color theme="1"/>
        <rFont val="Arial"/>
      </rPr>
      <t xml:space="preserve"> рекомбинантные аденовирусные частицы 26 серотипа, содержащие ген белка S вируса SARS-CoV-2, в количестве (1,0±0,5)×10¹¹ частиц.
</t>
    </r>
    <r>
      <rPr>
        <i/>
        <sz val="10"/>
        <color theme="1"/>
        <rFont val="Arial"/>
      </rPr>
      <t>Вспомогательные вещества:</t>
    </r>
    <r>
      <rPr>
        <sz val="10"/>
        <color theme="1"/>
        <rFont val="Arial"/>
      </rPr>
      <t xml:space="preserve"> трис(гидроксиметил)аминометан — 1,21 мг, натрия хлорид — 2,19 мг, сахароза — 25,0 мг, полисорбат 80 — 250 мкг, магния хлорида гексагидрат — 102,0 мкг, ЭДТА динатриевая соль дигидрат — 19,0 мкг, этанол (спирт этиловый) 95% — 2,5 мкл, вода для инъекций — до 0,5 мл.
Компонент II содержит:
</t>
    </r>
    <r>
      <rPr>
        <i/>
        <sz val="10"/>
        <color theme="1"/>
        <rFont val="Arial"/>
      </rPr>
      <t>Действующее вещество:</t>
    </r>
    <r>
      <rPr>
        <sz val="10"/>
        <color theme="1"/>
        <rFont val="Arial"/>
      </rPr>
      <t xml:space="preserve"> рекомбинантные аденовирусные частицы 5 серотипа, содержащие ген белка S вируса SARS-CoV-2, в количестве (1,0±0,5)×10¹¹ частиц.
</t>
    </r>
    <r>
      <rPr>
        <i/>
        <sz val="10"/>
        <color theme="1"/>
        <rFont val="Arial"/>
      </rPr>
      <t>Вспомогательные вещества:</t>
    </r>
    <r>
      <rPr>
        <sz val="10"/>
        <color theme="1"/>
        <rFont val="Arial"/>
      </rPr>
      <t xml:space="preserve"> трис(гидроксиметил)аминометан — 1,21 мг, натрия хлорид — 2,19 мг, сахароза  — 25,0 мг, полисорбат 80 — 250 мкг, магния хлорида гексагидрат — 102,0 мкг, ЭДТА динатриевая соль дигидрат — 19,0 мкг, этанол (спирт этиловый) 95% — 2,5 мкл, вода для инъекций — до 0,5 мл.</t>
    </r>
  </si>
  <si>
    <r>
      <rPr>
        <sz val="10"/>
        <color theme="1"/>
        <rFont val="Arial"/>
      </rPr>
      <t xml:space="preserve">&lt;p&gt;Компонент&amp;nbsp;I содержит:&lt;/p&gt;
</t>
    </r>
    <r>
      <rPr>
        <i/>
        <sz val="10"/>
        <color theme="1"/>
        <rFont val="Arial"/>
      </rPr>
      <t>&lt;p&gt;&lt;i&gt;Действующее вещество:</t>
    </r>
    <r>
      <rPr>
        <sz val="10"/>
        <color theme="1"/>
        <rFont val="Arial"/>
      </rPr>
      <t xml:space="preserve">&lt;/i&gt; рекомбинантные аденовирусные частицы 26&amp;nbsp;серотипа, содержащие ген белка&amp;nbsp;S вируса SARS-CoV-2, в количестве (1,0±0,5)×10¹¹&amp;nbsp;частиц.&lt;/p&gt;
</t>
    </r>
    <r>
      <rPr>
        <i/>
        <sz val="10"/>
        <color theme="1"/>
        <rFont val="Arial"/>
      </rPr>
      <t>&lt;p&gt;&lt;i&gt;Вспомогательные вещества:&lt;/i&gt;</t>
    </r>
    <r>
      <rPr>
        <sz val="10"/>
        <color theme="1"/>
        <rFont val="Arial"/>
      </rPr>
      <t xml:space="preserve"> трис(гидроксиметил)аминометан — 1,21&amp;nbsp;мг, натрия хлорид — 2,19&amp;nbsp;мг, сахароза — 25,0&amp;nbsp;мг, полисорбат&amp;nbsp;80 — 250&amp;nbsp;мкг, магния хлорида гексагидрат — 102,0&amp;nbsp;мкг, ЭДТА динатриевая соль дигидрат — 19,0&amp;nbsp;мкг, этанол (спирт этиловый) 95% — 2,5&amp;nbsp;мкл, вода для инъекций — до 0,5&amp;nbsp;мл.&lt;/p&gt;
&lt;p&gt;Компонент&amp;nbsp;II содержит:&lt;/p&gt;
</t>
    </r>
    <r>
      <rPr>
        <i/>
        <sz val="10"/>
        <color theme="1"/>
        <rFont val="Arial"/>
      </rPr>
      <t>&lt;p&gt;&lt;i&gt;Действующее вещество:&lt;/i&gt;</t>
    </r>
    <r>
      <rPr>
        <sz val="10"/>
        <color theme="1"/>
        <rFont val="Arial"/>
      </rPr>
      <t xml:space="preserve"> рекомбинантные аденовирусные частицы 5&amp;nbsp;серотипа, содержащие ген белка&amp;nbsp;S вируса SARS-CoV-2, в количестве (1,0±0,5)×10¹¹&amp;nbsp;частиц.&lt;/p&gt;
</t>
    </r>
    <r>
      <rPr>
        <i/>
        <sz val="10"/>
        <color theme="1"/>
        <rFont val="Arial"/>
      </rPr>
      <t>&lt;p&gt;&lt;i&gt;Вспомогательные вещества:&lt;/i&gt;</t>
    </r>
    <r>
      <rPr>
        <sz val="10"/>
        <color theme="1"/>
        <rFont val="Arial"/>
      </rPr>
      <t xml:space="preserve"> трис(гидроксиметил)аминометан — 1,21&amp;nbsp;мг, натрия хлорид — 2,19&amp;nbsp;мг, сахароза  — 25,0&amp;nbsp;мг, полисорбат&amp;nbsp;80 — 250&amp;nbsp;мкг, магния хлорида гексагидрат — 102,0&amp;nbsp;мкг, ЭДТА динатриевая соль дигидрат — 19,0&amp;nbsp;мкг, этанол (спирт этиловый) 95% — 2,5&amp;nbsp;мкл, вода для инъекций — до 0,5&amp;nbsp;мл.&lt;/p&gt;</t>
    </r>
  </si>
  <si>
    <t>1 доза (0,25 мл) содержит:
Действующие вещества:
Антиген вируса гриппа типа А (H₁N₁)* с содержанием гемагглютинина — 2,5 мкг
Антиген вируса гриппа типа А (H₃N₂)* с содержанием гемагглютинина — 2,5 мкг
Антиген вируса гриппа типа В* с содержанием гемагглютинина — 2,5 мкг
Полиоксидоний® (Азоксимера бромид) — 250 мкг
* Штаммы антигенов вируса гриппа в соответствии с рекомендациями Всемирной организации здравоохранения (ВОЗ) на текущий эпидемический сезон для Северного полушария.
Вакцинные штаммы выращены на куриных эмбрионах.
Перечень вспомогательных веществ:
Фосфатно-солевой буферный раствор
Состав фосфатно-солевого буферного раствора на 1 дозу (0,25 мл) лекарственного средства: калия хлорид — 50 мкг, калия дигидрофосфат — 50 мкг, динатрия гидрофосфат дигидрат — 335 мкг, натрия хлорид — 2000 мкг, вода для инъекций — до 0,25 мл.
Данный препарат содержит менее 0,5 ммоль (11,5 мг) натрия на 1 дозу, то есть по сути не содержит натрия.
Данный препарат содержит калий менее 0,5 ммоль (19,5 мг) на 1 дозу, то есть по сути не содержит калия.</t>
  </si>
  <si>
    <t>&lt;p&gt;1&amp;nbsp;доза (0,25&amp;nbsp;мл) содержит:&lt;br&gt;&lt;br&gt;
&lt;i&gt;Действующие вещества:&lt;/i&gt;
&lt;ul&gt;&lt;li&gt;Антиген вируса гриппа типа А (H₁N₁)* с содержанием гемагглютинина — 2,5&amp;nbsp;мкг&lt;/li&gt;
&lt;li&gt;Антиген вируса гриппа типа А (H₃N₂)* с содержанием гемагглютинина — 2,5&amp;nbsp;мкг&lt;/li&gt;
&lt;li&gt;Антиген вируса гриппа типа В* с содержанием гемагглютинина — 2,5&amp;nbsp;мкг&lt;/li&gt;
&lt;li&gt;Полиоксидоний® (Азоксимера бромид) — 250&amp;nbsp;мкг&lt;/li&gt;&lt;/ul&gt;
*&amp;nbsp;Штаммы антигенов вируса гриппа в соответствии с рекомендациями Всемирной организации здравоохранения (ВОЗ) на текущий эпидемический сезон для Северного полушария.&lt;br&gt;&lt;br&gt;
Вакцинные штаммы выращены на куриных эмбрионах.&lt;/p&gt;
&lt;p&gt;&lt;i&gt;Перечень вспомогательных веществ:&lt;/i&gt;
&lt;ul&gt;&lt;li&gt;Фосфатно-солевой буферный раствор&lt;/li&gt;
Состав фосфатно-солевого буферного раствора на 1&amp;nbsp;дозу (0,25&amp;nbsp;мл) лекарственного средства: калия хлорид — 50&amp;nbsp;мкг, калия дигидрофосфат — 50&amp;nbsp;мкг, динатрия гидрофосфат дигидрат — 335&amp;nbsp;мкг, натрия хлорид — 2000&amp;nbsp;мкг, вода для инъекций — до 0,25&amp;nbsp;мл.&lt;/ul&gt;
Данный препарат содержит менее 0,5&amp;nbsp;ммоль (11,5&amp;nbsp;мг) натрия на 1&amp;nbsp;дозу, то есть по сути не содержит натрия.&lt;br&gt;
Данный препарат содержит калий менее 0,5&amp;nbsp;ммоль (19,5&amp;nbsp;мг) на 1&amp;nbsp;дозу, то есть по сути не содержит калия.&lt;/p&gt;</t>
  </si>
  <si>
    <r>
      <rPr>
        <sz val="10"/>
        <color theme="1"/>
        <rFont val="Arial"/>
      </rPr>
      <t xml:space="preserve">0,5 мл (1 доза) содержит:
</t>
    </r>
    <r>
      <rPr>
        <i/>
        <sz val="10"/>
        <color theme="1"/>
        <rFont val="Arial"/>
      </rPr>
      <t>Препарат с консервантом:</t>
    </r>
    <r>
      <rPr>
        <sz val="10"/>
        <color theme="1"/>
        <rFont val="Arial"/>
      </rPr>
      <t xml:space="preserve">
• Гемагглютинин вируса гриппа подтипа А(Н1N1)¹·² — 15 мкг;
• Гемагглютинин вируса гриппа подтипа A(H3N2)¹·² — 15 мкг;
• Гемагглютинин вируса гриппа типа В (линия Yamagata)¹·² — 15 мкг;
• Гемагглютинин вируса гриппа типа В (линия Victoria)¹·² — 15 мкг.
</t>
    </r>
    <r>
      <rPr>
        <i/>
        <sz val="10"/>
        <color theme="1"/>
        <rFont val="Arial"/>
      </rPr>
      <t>Препарат без консерванта:</t>
    </r>
    <r>
      <rPr>
        <sz val="10"/>
        <color theme="1"/>
        <rFont val="Arial"/>
      </rPr>
      <t xml:space="preserve">
• Гемагглютинин вируса гриппа подтипа A(H1N 1)¹·² — 15 мкг;
• Гемагглютинин вируса гриппа подтипа A(H3N2)¹·² — 15 мкг;
• Гемагглютинин вируса гриппа типа В (линия Yamagata)¹·² — 15 мкг;
• Гемагглютинин вируса гриппа типа В (линия Victoria)¹·² — 15 мкг.
¹ Действующие вещества выделены из очищенных вирионов вируса гриппа А и В, полученных из вируссодержащей аллантоисной жидкости куриных эмбрионов.
² Штаммовый состав вакцины изменяется каждый год в соответствии с эпидемиологической ситуацией и рекомендациям Всемирной организации здравоохранения (ВОЗ) для Северного полушария.
Перечень вспомогательных веществ:
</t>
    </r>
    <r>
      <rPr>
        <i/>
        <sz val="10"/>
        <color theme="1"/>
        <rFont val="Arial"/>
      </rPr>
      <t>Вспомогательные вещества препарата с консервантом:</t>
    </r>
    <r>
      <rPr>
        <sz val="10"/>
        <color theme="1"/>
        <rFont val="Arial"/>
      </rPr>
      <t xml:space="preserve">
• Тиомерсал (консервант);
• Тритон Х-100 (стабилизатор);
• Фосфатно-солевой буферный раствор.
</t>
    </r>
    <r>
      <rPr>
        <i/>
        <sz val="10"/>
        <color theme="1"/>
        <rFont val="Arial"/>
      </rPr>
      <t>Вспомогательные вещества препарата без консерванта:</t>
    </r>
    <r>
      <rPr>
        <sz val="10"/>
        <color theme="1"/>
        <rFont val="Arial"/>
      </rPr>
      <t xml:space="preserve">
• Тритон Х-100 (стабилизатор);
• Фосфатно-солевой буферный раствор.
Состав фосфатно-солевого буферного раствора на дозу лекарственного средства (0,5 мл): натрия хлорид, динатрия фосфата додекагидрат, калия дигидрофосфат, вода для инъекций.</t>
    </r>
  </si>
  <si>
    <t>&lt;p&gt;0,5&amp;nbsp;мл (1&amp;nbsp;доза) содержит:&lt;br&gt;&lt;br&gt;
&lt;i&gt;Препарат с консервантом:&lt;/i&gt;
&lt;ul&gt;&lt;li&gt;Гемагглютинин вируса гриппа подтипа&amp;nbsp;А(Н1N1)¹&lt;sup&gt;,&lt;/sup&gt;² — 15&amp;nbsp;мкг;&lt;/li&gt;
&lt;li&gt;Гемагглютинин вируса гриппа подтипа&amp;nbsp;A(H3N2)¹&lt;sup&gt;,&lt;/sup&gt;² — 15&amp;nbsp;мкг;&lt;/li&gt;
&lt;li&gt;Гемагглютинин вируса гриппа типа&amp;nbsp;В (линия Yamagata)¹&lt;sup&gt;,&lt;/sup&gt;² — 15&amp;nbsp;мкг;&lt;/li&gt;
&lt;li&gt;Гемагглютинин вируса гриппа типа&amp;nbsp;В (линия Victoria)¹&lt;sup&gt;,&lt;/sup&gt;² — 15&amp;nbsp;мкг.&lt;/li&gt;&lt;/ul&gt;
&lt;i&gt;Препарат без консерванта:&lt;/i&gt;
&lt;ul&gt;&lt;li&gt;Гемагглютинин вируса гриппа подтипа A(H1N 1)¹&lt;sup&gt;,&lt;/sup&gt;² — 15&amp;nbsp;мкг;&lt;/li&gt;
&lt;li&gt;Гемагглютинин вируса гриппа подтипа A(H3N2)¹&lt;sup&gt;,&lt;/sup&gt;² — 15&amp;nbsp;мкг;&lt;/li&gt;
&lt;li&gt;Гемагглютинин вируса гриппа типа В (линия Yamagata)¹&lt;sup&gt;,&lt;/sup&gt;² — 15&amp;nbsp;мкг;&lt;/li&gt;
&lt;li&gt;Гемагглютинин вируса гриппа типа В (линия Victoria)¹&lt;sup&gt;,&lt;/sup&gt;² — 15&amp;nbsp;мкг.&lt;/li&gt;&lt;/ul&gt;
¹&amp;nbsp;Действующие вещества выделены из очищенных вирионов вируса гриппа А и В, полученных из вируссодержащей аллантоисной жидкости куриных эмбрионов.&lt;br&gt;
²&amp;nbsp;Штаммовый состав вакцины изменяется каждый год в соответствии с эпидемиологической ситуацией и рекомендациям Всемирной организации здравоохранения (ВОЗ) для Северного полушария.&lt;br&gt;&lt;br&gt;
Перечень вспомогательных веществ:&lt;br&gt;&lt;br&gt;
&lt;i&gt;Вспомогательные вещества препарата с консервантом:&lt;/i&gt;
&lt;ul&gt;&lt;li&gt;Тиомерсал (консервант);&lt;/li&gt;
&lt;li&gt;Тритон Х-100 (стабилизатор);&lt;/li&gt;
&lt;li&gt;Фосфатно-солевой буферный раствор.&lt;/li&gt;&lt;/ul&gt;
&lt;i&gt;Вспомогательные вещества препарата без консерванта:&lt;/i&gt;
&lt;ul&gt;&lt;li&gt;Тритон Х-100 (стабилизатор);&lt;/li&gt;
&lt;li&gt;Фосфатно-солевой буферный раствор.&lt;/li&gt;&lt;/ul&gt;
Состав фосфатно-солевого буферного раствора на дозу лекарственного средства (0,5&amp;nbsp;мл): натрия хлорид, динатрия фосфата додекагидрат, калия дигидрофосфат, вода для инъекций.&lt;/p&gt;</t>
  </si>
  <si>
    <r>
      <rPr>
        <sz val="10"/>
        <color theme="1"/>
        <rFont val="Arial"/>
      </rPr>
      <t xml:space="preserve">Одна доза (0,5 мл) вакцины содержит:
Вирусы гриппа, культивированные на куриных эмбрионах, инактивированные расщепленные, представленные штаммами, эквивалентными следующим:
• А/(H₁N₁)* — 15 мкг гемагглютинина;
• А/(H₃N₂)* — 15 мкг гемагглютинина;
• В/(линии Victoria)* — 15 мкг гемагглютинина;
• В/(линии Yamagata)* — 15 мкг гемагглютинина.
Не содержит адъювантов и консервантов.
Производственные примеси овальбумин, неомицин, формальдегид или октоксинол-9 могут содержаться в следовых количествах.
Штаммовый состав вакцины и количественное содержание активных фармацевтических субстанций соответствует рекомендациям ВОЗ для Северного полушария по составу гриппозных вакцин сезона &lt;…&gt;** гг. и рекомендациям ВОЗ по производству и контролю вакцин против гриппа (инактивированных).
</t>
    </r>
    <r>
      <rPr>
        <i/>
        <sz val="10"/>
        <color theme="1"/>
        <rFont val="Arial"/>
      </rPr>
      <t>Перечень вспомогательных веществ:</t>
    </r>
    <r>
      <rPr>
        <sz val="10"/>
        <color theme="1"/>
        <rFont val="Arial"/>
      </rPr>
      <t xml:space="preserve">
Буферный раствор, содержащий натрия хлорид, калия хлорид, натрия гидрофосфата дигидрат, калия дигидрофосфат, воду для инъекций.
* - Указываются актуальные штаммы, рекомендованные ВОЗ и решением ЕС для Северного полушария на текущий эпидемический сезон.
** - В поле выносится указание текущего эпидемического сезона гриппа.</t>
    </r>
  </si>
  <si>
    <t>&lt;p&gt;Одна доза (0,5&amp;nbsp;мл) вакцины содержит:&lt;br&gt;&lt;br&gt;
Вирусы гриппа, культивированные на куриных эмбрионах, инактивированные расщепленные, представленные штаммами, эквивалентными следующим:
&lt;ul&gt;&lt;li&gt;А/(H₁N₁)* — 15&amp;nbsp;мкг гемагглютинина;&lt;/li&gt;
&lt;li&gt;А/(H₃N₂)* — 15&amp;nbsp;мкг гемагглютинина;&lt;/li&gt;
&lt;li&gt;В/(линии Victoria)* — 15&amp;nbsp;мкг гемагглютинина;&lt;/li&gt;
&lt;li&gt;В/(линии Yamagata)* — 15&amp;nbsp;мкг гемагглютинина.&lt;/li&gt;&lt;/ul&gt;
Не содержит адъювантов и консервантов.&lt;br&gt;
Производственные примеси овальбумин, неомицин, формальдегид или октоксинол-9 могут содержаться в следовых количествах.&lt;br&gt;
Штаммовый состав вакцины и количественное содержание активных фармацевтических субстанций соответствует рекомендациям ВОЗ для Северного полушария по составу гриппозных вакцин сезона &lt;…&gt;** гг. и рекомендациям ВОЗ по производству и контролю вакцин против гриппа (инактивированных).&lt;br&gt;&lt;br&gt;
&lt;i&gt;Перечень вспомогательных веществ:&lt;/i&gt;&lt;br&gt;
Буферный раствор, содержащий натрия хлорид, калия хлорид, натрия гидрофосфата дигидрат, калия дигидрофосфат, воду для инъекций.&lt;br&gt;&lt;br&gt;
* - Указываются актуальные штаммы, рекомендованные ВОЗ и решением ЕС для Северного полушария на текущий эпидемический сезон.&lt;br&gt;
** - В поле выносится указание текущего эпидемического сезона гриппа.&lt;/p&gt;</t>
  </si>
  <si>
    <t>Одна доза вакцины (0,5 мл) после разведения прилагающейся к ней водой для инъекций содержит следующие компоненты:
Активный компонент:
• Вирус Varicella Zoster (штамм ОКА) живой аттенуированный — не менее 1000 БОЕ.
Вспомогательные вещества:
• Натрия хлорид — 1,14 мг;
• Калия хлорид — 0,03 мг;
• Калия дигидрофосфат — 0,29 мг;
• Натрия гидрофосфата додекагидрат — 3,14 мг;
• Сахароза — 25,0 мг;
• Натрия глутамат — 0,36 мг;
• Канамицина моносульфат — не более 7 мкг;
• Эритромицина лактобионат — не более 2 мкг;
• Вода для инъекций — до 0,5 мл.
Вакцина не содержит консервантов.</t>
  </si>
  <si>
    <t>&lt;p&gt;Одна доза вакцины (0,5&amp;nbsp;мл) после разведения прилагающейся к ней водой для инъекций содержит следующие компоненты:&lt;/p&gt;
&lt;p&gt;Активный компонент:
&lt;ul&gt;&lt;li&gt;Вирус Varicella Zoster (штамм ОКА) живой аттенуированный — не менее 1000&amp;nbsp;БОЕ.&lt;/li&gt;&lt;/ul&gt;
Вспомогательные вещества:
&lt;ul&gt;&lt;li&gt;Натрия хлорид — 1,14&amp;nbsp;мг;&lt;/li&gt;
&lt;li&gt;Калия хлорид — 0,03&amp;nbsp;мг;&lt;/li&gt;
&lt;li&gt;Калия дигидрофосфат — 0,29&amp;nbsp;мг;&lt;/li&gt;
&lt;li&gt;Натрия гидрофосфата додекагидрат — 3,14&amp;nbsp;мг;&lt;/li&gt;
&lt;li&gt;Сахароза — 25,0&amp;nbsp;мг;&lt;/li&gt;
&lt;li&gt;Натрия глутамат — 0,36&amp;nbsp;мг;&lt;/li&gt;
&lt;li&gt;Канамицина моносульфат — не более 7&amp;nbsp;мкг;&lt;/li&gt;
&lt;li&gt;Эритромицина лактобионат — не более 2&amp;nbsp;мкг;&lt;/li&gt;
&lt;li&gt;Вода для инъекций — до 0,5&amp;nbsp;мл.&lt;/li&gt;&lt;/ul&gt;
Вакцина не содержит консервантов.&lt;/p&gt;</t>
  </si>
  <si>
    <r>
      <rPr>
        <sz val="10"/>
        <color theme="1"/>
        <rFont val="Arial"/>
      </rPr>
      <t xml:space="preserve">Одна доза вакцины (0,5 мл) содержит:
</t>
    </r>
    <r>
      <rPr>
        <i/>
        <sz val="10"/>
        <color theme="1"/>
        <rFont val="Arial"/>
      </rPr>
      <t>Активные компоненты:</t>
    </r>
    <r>
      <rPr>
        <sz val="10"/>
        <color theme="1"/>
        <rFont val="Arial"/>
      </rPr>
      <t xml:space="preserve">
• очищенные капсульные полисахариды </t>
    </r>
    <r>
      <rPr>
        <i/>
        <sz val="10"/>
        <color theme="1"/>
        <rFont val="Arial"/>
      </rPr>
      <t>Streptococcus pneumoniae</t>
    </r>
    <r>
      <rPr>
        <sz val="10"/>
        <color theme="1"/>
        <rFont val="Arial"/>
      </rPr>
      <t xml:space="preserve"> 23 серотипов: 1, 2, 3, 4, 5, 6B, 7F, 8, 9N, 9V, 10A, 11A, 12F, 14, 15B, 17F, 18C, 19A, 19F, 20, 22F, 23F, 33F — по 25 мкг каждого.
</t>
    </r>
    <r>
      <rPr>
        <i/>
        <sz val="10"/>
        <color theme="1"/>
        <rFont val="Arial"/>
      </rPr>
      <t>Вспомогательные вещества:</t>
    </r>
    <r>
      <rPr>
        <sz val="10"/>
        <color theme="1"/>
        <rFont val="Arial"/>
      </rPr>
      <t xml:space="preserve">
• фенол — консервант ≤1,25 мг;
• натрия хлорид — 4,15 мг;
• натрия гидрофосфата дигидрат — 0,065 мг;
• натрия дигидрофосфата дигидрат — 0,023 мг;
• вода для инъекций — до 0,5 мл.</t>
    </r>
  </si>
  <si>
    <r>
      <rPr>
        <sz val="10"/>
        <color theme="1"/>
        <rFont val="Arial"/>
      </rPr>
      <t xml:space="preserve">&lt;p&gt;Одна доза вакцины (0,5&amp;nbsp;мл) содержит:&lt;/p&gt;
</t>
    </r>
    <r>
      <rPr>
        <i/>
        <sz val="10"/>
        <color theme="1"/>
        <rFont val="Arial"/>
      </rPr>
      <t>&lt;p&gt;&lt;i&gt;Активные компоненты:</t>
    </r>
    <r>
      <rPr>
        <sz val="10"/>
        <color theme="1"/>
        <rFont val="Arial"/>
      </rPr>
      <t xml:space="preserve">&lt;/i&gt;
&lt;ul&gt;&lt;li&gt;очищенные капсульные полисахариды </t>
    </r>
    <r>
      <rPr>
        <i/>
        <sz val="10"/>
        <color theme="1"/>
        <rFont val="Arial"/>
      </rPr>
      <t>Streptococcus pneumoniae</t>
    </r>
    <r>
      <rPr>
        <sz val="10"/>
        <color theme="1"/>
        <rFont val="Arial"/>
      </rPr>
      <t xml:space="preserve"> 23&amp;nbsp;серотипов: 1, 2, 3, 4, 5, 6B, 7F, 8, 9N, 9V, 10A, 11A, 12F, 14, 15B, 17F, 18C, 19A, 19F, 20, 22F, 23F, 33F — по 25&amp;nbsp;мкг каждого.&lt;/li&gt;&lt;/ul&gt;
</t>
    </r>
    <r>
      <rPr>
        <i/>
        <sz val="10"/>
        <color theme="1"/>
        <rFont val="Arial"/>
      </rPr>
      <t>&lt;i&gt;Вспомогательные вещества:</t>
    </r>
    <r>
      <rPr>
        <sz val="10"/>
        <color theme="1"/>
        <rFont val="Arial"/>
      </rPr>
      <t>&lt;/i&gt;
&lt;ul&gt;&lt;li&gt;фенол — консервант ≤1,25&amp;nbsp;мг;&lt;/li&gt;
&lt;li&gt;натрия хлорид — 4,15&amp;nbsp;мг;&lt;/li&gt;
&lt;li&gt;натрия гидрофосфата дигидрат — 0,065&amp;nbsp;мг;&lt;/li&gt;
&lt;li&gt;натрия дигидрофосфата дигидрат — 0,023&amp;nbsp;мг;&lt;/li&gt;
&lt;li&gt;вода для инъекций — до 0,5&amp;nbsp;мл.&lt;/li&gt;&lt;/ul&gt;&lt;/p&gt;</t>
    </r>
  </si>
  <si>
    <r>
      <rPr>
        <sz val="10"/>
        <color theme="1"/>
        <rFont val="Arial"/>
      </rPr>
      <t xml:space="preserve">После восстановления 1 доза (0,5 мл) содержит:
• Вирус ветряной оспы* штамм Oka/Merck (живой, аттенуированный) не менее 1350 БОЕ**
* Получен из диплоидных клеток человека (MRC-5).
** Бляшкообразующая единица.
Перечень вспомогательных веществ:
</t>
    </r>
    <r>
      <rPr>
        <i/>
        <sz val="10"/>
        <color theme="1"/>
        <rFont val="Arial"/>
      </rPr>
      <t>Лиофилизат:</t>
    </r>
    <r>
      <rPr>
        <sz val="10"/>
        <color theme="1"/>
        <rFont val="Arial"/>
      </rPr>
      <t xml:space="preserve">
• Сахароза.
• Желатин (гидролизованный свиной).
• Мочевина.
• Натрия хлорид.
• Натрия L-глутамат.
• Натрия гидрофосфат.
• Калия дигидрофосфат.
• Калия хлорид.
</t>
    </r>
    <r>
      <rPr>
        <i/>
        <sz val="10"/>
        <color theme="1"/>
        <rFont val="Arial"/>
      </rPr>
      <t>Растворитель:</t>
    </r>
    <r>
      <rPr>
        <sz val="10"/>
        <color theme="1"/>
        <rFont val="Arial"/>
      </rPr>
      <t xml:space="preserve">
• Вода для инъекций.
Вакцина может содержать примеси технологического процесса (компоненты культуры клеток после разрушения ультразвуком и фильтрации, аминокислоты, антибиотик неомицин в неопределяемых количествах и бычий сывороточный альбумин (не более 1 мкг/мл))</t>
    </r>
  </si>
  <si>
    <t>&lt;p&gt;После восстановления 1&amp;nbsp;доза (0,5&amp;nbsp;мл) содержит:
&lt;ul&gt;&lt;li&gt;Вирус ветряной оспы* штамм Oka/Merck (живой, аттенуированный) не менее 1350&amp;nbsp;БОЕ**&lt;/li&gt;
* Получен из диплоидных клеток человека (MRC-5).&lt;br&gt;
** Бляшкообразующая единица.&lt;/ul&gt;
Перечень вспомогательных веществ:&lt;br&gt;
&lt;i&gt;Лиофилизат:&lt;/i&gt;
&lt;ul&gt;&lt;li&gt;Сахароза.&lt;/li&gt;
&lt;li&gt;Желатин (гидролизованный свиной).&lt;/li&gt;
&lt;li&gt;Мочевина.&lt;/li&gt;
&lt;li&gt;Натрия хлорид.&lt;/li&gt;
&lt;li&gt;Натрия L-глутамат.&lt;/li&gt;
&lt;li&gt;Натрия гидрофосфат.&lt;/li&gt;
&lt;li&gt;Калия дигидрофосфат.&lt;/li&gt;
&lt;li&gt;Калия хлорид.&lt;/li&gt;&lt;/ul&gt;
&lt;i&gt;Растворитель:&lt;/i&gt;
&lt;ul&gt;&lt;li&gt;Вода для инъекций.&lt;/li&gt;&lt;/ul&gt;
Вакцина может содержать примеси технологического процесса (компоненты культуры клеток после разрушения ультразвуком и фильтрации, аминокислоты, антибиотик неомицин в неопределяемых количествах и бычий сывороточный альбумин (не более 1&amp;nbsp;мкг/мл))&lt;/p&gt;</t>
  </si>
  <si>
    <r>
      <rPr>
        <sz val="10"/>
        <color theme="1"/>
        <rFont val="Arial"/>
      </rPr>
      <t xml:space="preserve">1 доза (0,5 мл) содержит:
Пневмококковые конъюгаты (полисахарид — CRM197):
• Полисахарид серотипа 1¹ — 2,2 мкг;
• Полисахарид серотипа 3¹ — 2,2 мкг;
• Полисахарид серотипа 4¹ — 2,2 мкг;
• Полисахарид серотипа 5¹ — 2,2 мкг;
• Полисахарид серотипа 6А¹ — 2,2 мкг;
• Полисахарид серотипа 6В¹ — 4,4 мкг;
• Полисахарид серотипа 7F¹ — 2,2 мкг;
• Полисахарид серотипа 9V¹ — 2,2 мкг;
• Полисахарид серотипа 14¹ — 2,2 мкг;
• Полисахарид серотипа 18С¹ — 2,2 мкг;
• Полисахарид серотипа 19A¹ — 2,2 мкг;
• Полисахарид серотипа 19F¹ — 2,2 мкг;
• Полисахарид серотипа 23F¹ — 2,2 мкг.
¹ Конъюгированный с белком CRM197 в качестве носителя (всего 20—60 мкг на дозу) и адсорбированный на алюминия фосфате (всего 0,125 мг в пересчете на Al на одну дозу).
</t>
    </r>
    <r>
      <rPr>
        <i/>
        <sz val="10"/>
        <color theme="1"/>
        <rFont val="Arial"/>
      </rPr>
      <t>Перечень вспомогательных веществ:</t>
    </r>
    <r>
      <rPr>
        <sz val="10"/>
        <color theme="1"/>
        <rFont val="Arial"/>
      </rPr>
      <t xml:space="preserve">
• Натрия хлорид;
• Янтарная кислота;
• Полисорбат 20;
• Вода для инъекций.</t>
    </r>
  </si>
  <si>
    <r>
      <rPr>
        <sz val="10"/>
        <color theme="1"/>
        <rFont val="Arial"/>
      </rPr>
      <t xml:space="preserve">&lt;p&gt;1&amp;nbsp;доза (0,5&amp;nbsp;мл) содержит:&lt;br&gt;&lt;br&gt;
Пневмококковые конъюгаты (полисахарид — CRM197):
&lt;ul&gt;&lt;li&gt;Полисахарид серотипа&amp;nbsp;1¹ — 2,2&amp;nbsp;мкг;&lt;/li&gt;
&lt;li&gt;Полисахарид серотипа&amp;nbsp;3¹ — 2,2&amp;nbsp;мкг;&lt;/li&gt;
&lt;li&gt;Полисахарид серотипа&amp;nbsp;4¹ — 2,2&amp;nbsp;мкг;&lt;/li&gt;
&lt;li&gt;Полисахарид серотипа&amp;nbsp;5¹ — 2,2&amp;nbsp;мкг;&lt;/li&gt;
&lt;li&gt;Полисахарид серотипа&amp;nbsp;6А¹ — 2,2&amp;nbsp;мкг;&lt;/li&gt;
&lt;li&gt;Полисахарид серотипа&amp;nbsp;6В¹ — 4,4&amp;nbsp;мкг;&lt;/li&gt;
&lt;li&gt;Полисахарид серотипа&amp;nbsp;7F¹ — 2,2&amp;nbsp;мкг;&lt;/li&gt;
&lt;li&gt;Полисахарид серотипа&amp;nbsp;9V¹ — 2,2&amp;nbsp;мкг;&lt;/li&gt;
&lt;li&gt;Полисахарид серотипа&amp;nbsp;14¹ — 2,2&amp;nbsp;мкг;&lt;/li&gt;
&lt;li&gt;Полисахарид серотипа&amp;nbsp;18С¹ — 2,2&amp;nbsp;мкг;&lt;/li&gt;
&lt;li&gt;Полисахарид серотипа&amp;nbsp;19A¹ — 2,2&amp;nbsp;мкг;&lt;/li&gt;
&lt;li&gt;Полисахарид серотипа&amp;nbsp;19F¹ — 2,2&amp;nbsp;мкг;&lt;/li&gt;
&lt;li&gt;Полисахарид серотипа&amp;nbsp;23F¹ — 2,2&amp;nbsp;мкг.&lt;/li&gt;&lt;/ul&gt;
¹&amp;nbsp;Конъюгированный с белком CRM197 в качестве носителя (всего 20—60&amp;nbsp;мкг на дозу) и адсорбированный на алюминия фосфате (всего 0,125&amp;nbsp;мг в пересчете на Al на одну дозу).&lt;br&gt;&lt;br&gt;
</t>
    </r>
    <r>
      <rPr>
        <i/>
        <sz val="10"/>
        <color theme="1"/>
        <rFont val="Arial"/>
      </rPr>
      <t>&lt;i&gt;Перечень вспомогательных веществ:&lt;/i&gt;</t>
    </r>
    <r>
      <rPr>
        <sz val="10"/>
        <color theme="1"/>
        <rFont val="Arial"/>
      </rPr>
      <t xml:space="preserve">
&lt;ul&gt;&lt;li&gt;Натрия хлорид;&lt;/li&gt;
&lt;li&gt;Янтарная кислота;&lt;/li&gt;
&lt;li&gt;Полисорбат&amp;nbsp;20;&lt;/li&gt;
&lt;li&gt;Вода для инъекций.&lt;/li&gt;&lt;/ul&gt;&lt;/p&gt;</t>
    </r>
  </si>
  <si>
    <r>
      <rPr>
        <sz val="10"/>
        <color theme="1"/>
        <rFont val="Arial"/>
      </rPr>
      <t xml:space="preserve">1 прививочная доза (0,5 мл) содержит¹:
</t>
    </r>
    <r>
      <rPr>
        <i/>
        <sz val="10"/>
        <color theme="1"/>
        <rFont val="Arial"/>
      </rPr>
      <t>Действующие вещества</t>
    </r>
    <r>
      <rPr>
        <sz val="10"/>
        <color theme="1"/>
        <rFont val="Arial"/>
      </rPr>
      <t xml:space="preserve">:
• Живой аттенуированный вирус кори (штамм Schwarz), выращенный в культуре клеток куриных эмбрионов — не менее 3,0 lg ТЦД₅₀²·³.
• Живой аттенуированный вирус паротита (штамм RIT 4385), выращенный в культуре клеток куриных эмбрионов — не менее 3,7 lg ТЦД₅₀².
• Живой аттенуированный вирус краснухи (штамм Wistar RA 27/3), выращенный в диплоидной культуре клеток человека MRC-5 — не менее 3,0 lg ТЦД₅₀².
</t>
    </r>
    <r>
      <rPr>
        <i/>
        <sz val="10"/>
        <color theme="1"/>
        <rFont val="Arial"/>
      </rPr>
      <t>Вспомогательные вещества</t>
    </r>
    <r>
      <rPr>
        <sz val="10"/>
        <color theme="1"/>
        <rFont val="Arial"/>
      </rPr>
      <t xml:space="preserve">:
• Лактоза — 32 мг.
• Сорбитол — 9 мг.
• Маннитол — 8 мг.
• Аминокислоты — 9 мг.
</t>
    </r>
    <r>
      <rPr>
        <i/>
        <sz val="10"/>
        <color theme="1"/>
        <rFont val="Arial"/>
      </rPr>
      <t>Растворитель</t>
    </r>
    <r>
      <rPr>
        <sz val="10"/>
        <color theme="1"/>
        <rFont val="Arial"/>
      </rPr>
      <t>:
• Вода для инъекций — 0,5 мл.
Примечание:
1. Вакцина содержит следовые количества неомицина сульфата.
2. Номинальный титр вируса соответствует минимальному титру, гарантируемому производителем на дату окончания срокка годности. Содержание вируса в одной прививочной дозе на момент выпуска препарата может отличаться и превышать минимальный титр, указанный в составе.
3. ТЦД₅₀ — доза, инфицирующая 50% клеток монослоя.</t>
    </r>
  </si>
  <si>
    <r>
      <rPr>
        <sz val="10"/>
        <color theme="1"/>
        <rFont val="Arial"/>
      </rPr>
      <t>&lt;p&gt;1&amp;nbsp;прививочная доза (0,5&amp;nbsp;мл) содержит¹:&lt;/p&gt;
&lt;p&gt;&lt;i&gt;</t>
    </r>
    <r>
      <rPr>
        <i/>
        <sz val="10"/>
        <color theme="1"/>
        <rFont val="Arial"/>
      </rPr>
      <t>Действующие вещества:</t>
    </r>
    <r>
      <rPr>
        <sz val="10"/>
        <color theme="1"/>
        <rFont val="Arial"/>
      </rPr>
      <t xml:space="preserve">&lt;/i&gt;
&lt;ul&gt;&lt;li&gt;Живой аттенуированный вирус кори (штамм Schwarz), выращенный в культуре клеток куриных эмбрионов — не менее 3,0&amp;nbsp;lg&amp;nbsp;ТЦД₅₀²&lt;sup&gt;,&lt;/sup&gt;³.&lt;/li&gt;
&lt;li&gt;Живой аттенуированный вирус паротита (штамм RIT&amp;nbsp;4385), выращенный в культуре клеток куриных эмбрионов — не менее 3,7&amp;nbsp;lg&amp;nbsp;ТЦД₅₀².&lt;/li&gt;
&lt;li&gt;Живой аттенуированный вирус краснухи (штамм Wistar RA&amp;nbsp;27/3), выращенный в диплоидной культуре клеток человека&amp;nbsp;MRC-5 — не менее 3,0&amp;nbsp;lg&amp;nbsp;ТЦД₅₀².&lt;/li&gt;&lt;/ul&gt;
</t>
    </r>
    <r>
      <rPr>
        <i/>
        <sz val="10"/>
        <color theme="1"/>
        <rFont val="Arial"/>
      </rPr>
      <t>&lt;i&gt;Вспомогательные вещества</t>
    </r>
    <r>
      <rPr>
        <sz val="10"/>
        <color theme="1"/>
        <rFont val="Arial"/>
      </rPr>
      <t xml:space="preserve">:&lt;/i&gt;
&lt;ul&gt;&lt;li&gt;Лактоза — 32&amp;nbsp;мг.&lt;/li&gt;
&lt;li&gt;Сорбитол — 9&amp;nbsp;мг.&lt;/li&gt;
&lt;li&gt;Маннитол — 8&amp;nbsp;мг.&lt;/li&gt;
&lt;li&gt;Аминокислоты — 9&amp;nbsp;мг.&lt;/li&gt;&lt;/ul&gt;
</t>
    </r>
    <r>
      <rPr>
        <i/>
        <sz val="10"/>
        <color theme="1"/>
        <rFont val="Arial"/>
      </rPr>
      <t>&lt;i&gt;Растворитель</t>
    </r>
    <r>
      <rPr>
        <sz val="10"/>
        <color theme="1"/>
        <rFont val="Arial"/>
      </rPr>
      <t>&lt;/i&gt;
&lt;ul&gt;&lt;li&gt;Вода для инъекций — 0,5&amp;nbsp;мл.&lt;/li&gt;&lt;/ul&gt;&lt;/p&gt;
&lt;p&gt;Примечание:&lt;br&gt;
1. Вакцина содержит следовые количества неомицина сульфата.&lt;br&gt;
2. Номинальный титр вируса соответствует минимальному титру, гарантируемому производителем на дату окончания срокка годности. Содержание вируса в одной прививочной дозе на момент выпуска препарата может отличаться и превышать минимальный титр, указанный в составе.&lt;br&gt;
3. ТЦД₅₀ — доза, инфицирующая 50% клеток монослоя.&lt;/p&gt;</t>
    </r>
  </si>
  <si>
    <t>https://grls.rosminzdrav.ru/InstrImg/2021/04/08/1467900/f508c5e7-aa0d-42c7-bedb-2e85c64ad4f7.pdf</t>
  </si>
  <si>
    <r>
      <rPr>
        <sz val="10"/>
        <color theme="1"/>
        <rFont val="Arial"/>
      </rPr>
      <t xml:space="preserve">Одна доза вакцины (0,5 мл) содержит:
</t>
    </r>
    <r>
      <rPr>
        <i/>
        <sz val="10"/>
        <color theme="1"/>
        <rFont val="Arial"/>
      </rPr>
      <t>Действующие вещества</t>
    </r>
    <r>
      <rPr>
        <sz val="10"/>
        <color theme="1"/>
        <rFont val="Arial"/>
      </rPr>
      <t xml:space="preserve">:
• Менингококковый полисахарид серогруппы А¹ — 10 мкг.
• Менингококковый полисахарид серогруппы C¹ — 10 мкг.
• Менингококковый полисахарид серогруппы W¹ — 10 мкг.
• Менингококковый полисахарид серогруппы Y¹ — 10 мкг.
¹ - Конъюгированный с белком-носителем — столбнячным анатоксином ~ 55 мкг.
</t>
    </r>
    <r>
      <rPr>
        <i/>
        <sz val="10"/>
        <color theme="1"/>
        <rFont val="Arial"/>
      </rPr>
      <t>Перечень вспомогательных веществ:</t>
    </r>
    <r>
      <rPr>
        <sz val="10"/>
        <color theme="1"/>
        <rFont val="Arial"/>
      </rPr>
      <t xml:space="preserve">
Натрия хлорид, натрия ацетат, вода для инъекций.</t>
    </r>
  </si>
  <si>
    <r>
      <rPr>
        <sz val="10"/>
        <color theme="1"/>
        <rFont val="Arial"/>
      </rPr>
      <t xml:space="preserve">&lt;p&gt;Одна доза вакцины (0,5&amp;nbsp;мл) содержит:&lt;br&gt;&lt;br&gt;
</t>
    </r>
    <r>
      <rPr>
        <i/>
        <sz val="10"/>
        <color theme="1"/>
        <rFont val="Arial"/>
      </rPr>
      <t>&lt;i&gt;Действующие вещества:</t>
    </r>
    <r>
      <rPr>
        <sz val="10"/>
        <color theme="1"/>
        <rFont val="Arial"/>
      </rPr>
      <t xml:space="preserve">&lt;/i&gt;
&lt;ul&gt;&lt;li&gt;Менингококковый полисахарид серогруппы&amp;nbsp;А¹ — 10&amp;nbsp;мкг.&lt;/li&gt;
&lt;li&gt;Менингококковый полисахарид серогруппы&amp;nbsp;C¹ — 10&amp;nbsp;мкг.&lt;/li&gt;
&lt;li&gt;Менингококковый полисахарид серогруппы&amp;nbsp;W¹ — 10&amp;nbsp;мкг.&lt;/li&gt;
&lt;li&gt;Менингококковый полисахарид серогруппы&amp;nbsp;Y¹ — 10&amp;nbsp;мкг.&lt;/li&gt;&lt;/ul&gt;
¹ - Конъюгированный с белком-носителем — столбнячным анатоксином ~ 55&amp;nbsp;мкг.&lt;br&gt;&lt;br&gt;
</t>
    </r>
    <r>
      <rPr>
        <i/>
        <sz val="10"/>
        <color theme="1"/>
        <rFont val="Arial"/>
      </rPr>
      <t>&lt;i&gt;</t>
    </r>
    <r>
      <rPr>
        <sz val="10"/>
        <color theme="1"/>
        <rFont val="Arial"/>
      </rPr>
      <t>Перечень вспомогательных веществ:&lt;/i&gt;&lt;br&gt;
Натрия хлорид, натрия ацетат, вода для инъекций.&lt;/p&gt;</t>
    </r>
  </si>
  <si>
    <r>
      <rPr>
        <sz val="10"/>
        <color theme="1"/>
        <rFont val="Arial"/>
      </rPr>
      <t xml:space="preserve">1 доза (0,5 мл) содержит:
• Рекомбинантный гибридный белок </t>
    </r>
    <r>
      <rPr>
        <i/>
        <sz val="10"/>
        <color theme="1"/>
        <rFont val="Arial"/>
      </rPr>
      <t>Neisseria meningitidis</t>
    </r>
    <r>
      <rPr>
        <sz val="10"/>
        <color theme="1"/>
        <rFont val="Arial"/>
      </rPr>
      <t xml:space="preserve"> серогруппы В NHBA¹·²·³ — 50 микрограммов.
• Рекомбинантный белок </t>
    </r>
    <r>
      <rPr>
        <i/>
        <sz val="10"/>
        <color theme="1"/>
        <rFont val="Arial"/>
      </rPr>
      <t>Neisseria meningitidis</t>
    </r>
    <r>
      <rPr>
        <sz val="10"/>
        <color theme="1"/>
        <rFont val="Arial"/>
      </rPr>
      <t xml:space="preserve"> серогруппы В NadA¹·²·³ — 50 микрограммов.
• Рекомбинантный гибридный белок </t>
    </r>
    <r>
      <rPr>
        <i/>
        <sz val="10"/>
        <color theme="1"/>
        <rFont val="Arial"/>
      </rPr>
      <t>Neisseria meningitidis</t>
    </r>
    <r>
      <rPr>
        <sz val="10"/>
        <color theme="1"/>
        <rFont val="Arial"/>
      </rPr>
      <t xml:space="preserve"> ceрогруппы В fHBP¹·²·³ — 50 микрограммов.
• Везикулы наружной мембраны (OMV)⁴ — 25 микрограммов.
¹ - Выращен в клетках </t>
    </r>
    <r>
      <rPr>
        <i/>
        <sz val="10"/>
        <color theme="1"/>
        <rFont val="Arial"/>
      </rPr>
      <t>Escherichia coli</t>
    </r>
    <r>
      <rPr>
        <sz val="10"/>
        <color theme="1"/>
        <rFont val="Arial"/>
      </rPr>
      <t xml:space="preserve"> по технологии рекомбинантной ДНК.
² - Адсорбированный на алюминия гидроксиде (0,5 мг в пересчете на алюминий).
³ - NHBA (нейссериальный гепарин-связывающий антиген), NadA (нейссериальный адгезин А), fHBP (белок, связывающий фактор Н).
⁴ - OMV </t>
    </r>
    <r>
      <rPr>
        <i/>
        <sz val="10"/>
        <color theme="1"/>
        <rFont val="Arial"/>
      </rPr>
      <t>Neisseria meningitidis</t>
    </r>
    <r>
      <rPr>
        <sz val="10"/>
        <color theme="1"/>
        <rFont val="Arial"/>
      </rPr>
      <t xml:space="preserve"> серогруппы В, полученные из штамма NZ98/254, определяемые как общее содержание белка PorA P1.4.
</t>
    </r>
    <r>
      <rPr>
        <i/>
        <sz val="10"/>
        <color theme="1"/>
        <rFont val="Arial"/>
      </rPr>
      <t>Перечень вспомогательных веществ:</t>
    </r>
    <r>
      <rPr>
        <sz val="10"/>
        <color theme="1"/>
        <rFont val="Arial"/>
      </rPr>
      <t xml:space="preserve">
• Натрия хлорид.
• Гистидин.
• Сахароза.
• Вода для инъекций.</t>
    </r>
  </si>
  <si>
    <r>
      <rPr>
        <sz val="10"/>
        <color theme="1"/>
        <rFont val="Arial"/>
      </rPr>
      <t xml:space="preserve">&lt;p&gt;1&amp;nbsp;доза (0,5&amp;nbsp;мл) содержит:
&lt;ul&gt;&lt;li&gt;Рекомбинантный гибридный белок </t>
    </r>
    <r>
      <rPr>
        <i/>
        <sz val="10"/>
        <color theme="1"/>
        <rFont val="Arial"/>
      </rPr>
      <t>Neisseria meningitidis</t>
    </r>
    <r>
      <rPr>
        <sz val="10"/>
        <color theme="1"/>
        <rFont val="Arial"/>
      </rPr>
      <t xml:space="preserve"> серогруппы&amp;nbsp;В NHBA¹&lt;sup&gt;,&lt;/sup&gt;²&lt;sup&gt;,&lt;/sup&gt;³ — 50&amp;nbsp;микрограммов.&lt;/li&gt;
&lt;li&gt;Рекомбинантный белок </t>
    </r>
    <r>
      <rPr>
        <i/>
        <sz val="10"/>
        <color theme="1"/>
        <rFont val="Arial"/>
      </rPr>
      <t>Neisseria meningitidis</t>
    </r>
    <r>
      <rPr>
        <sz val="10"/>
        <color theme="1"/>
        <rFont val="Arial"/>
      </rPr>
      <t xml:space="preserve"> серогруппы&amp;nbsp;В NadA¹&lt;sup&gt;,&lt;/sup&gt;²&lt;sup&gt;,&lt;/sup&gt;³ — 50&amp;nbsp;микрограммов.&lt;/li&gt;
&lt;li&gt;Рекомбинантный гибридный белок </t>
    </r>
    <r>
      <rPr>
        <i/>
        <sz val="10"/>
        <color theme="1"/>
        <rFont val="Arial"/>
      </rPr>
      <t>Neisseria meningitidis</t>
    </r>
    <r>
      <rPr>
        <sz val="10"/>
        <color theme="1"/>
        <rFont val="Arial"/>
      </rPr>
      <t xml:space="preserve"> ceрогруппы&amp;nbsp;В fHBP¹&lt;sup&gt;,&lt;/sup&gt;²&lt;sup&gt;,&lt;/sup&gt;³ — 50&amp;nbsp;микрограммов.&lt;/li&gt;
&lt;li&gt;Везикулы наружной мембраны (OMV)⁴ — 25&amp;nbsp;микрограммов.&lt;/li&gt;&lt;/ul&gt;
¹ - Выращен в клетках </t>
    </r>
    <r>
      <rPr>
        <i/>
        <sz val="10"/>
        <color theme="1"/>
        <rFont val="Arial"/>
      </rPr>
      <t>Escherichia coli</t>
    </r>
    <r>
      <rPr>
        <sz val="10"/>
        <color theme="1"/>
        <rFont val="Arial"/>
      </rPr>
      <t xml:space="preserve"> по технологии рекомбинантной ДНК.&lt;br&gt;
² - Адсорбированный на алюминия гидроксиде (0,5&amp;nbsp;мг в пересчете на алюминий).&lt;br&gt;
³ - NHBA (нейссериальный гепарин-связывающий антиген), NadA (нейссериальный адгезин А), fHBP (белок, связывающий фактор Н).&lt;br&gt;
⁴ - OMV </t>
    </r>
    <r>
      <rPr>
        <i/>
        <sz val="10"/>
        <color theme="1"/>
        <rFont val="Arial"/>
      </rPr>
      <t>Neisseria meningitidis</t>
    </r>
    <r>
      <rPr>
        <sz val="10"/>
        <color theme="1"/>
        <rFont val="Arial"/>
      </rPr>
      <t xml:space="preserve"> серогруппы&amp;nbsp;В, полученные из штамма NZ98/254, определяемые как общее содержание белка PorA P1.4.&lt;br&gt;&lt;/p&gt;
</t>
    </r>
    <r>
      <rPr>
        <i/>
        <sz val="10"/>
        <color theme="1"/>
        <rFont val="Arial"/>
      </rPr>
      <t>&lt;p&gt;&lt;i&gt;Перечень вспомогательных веществ:&lt;/i&gt;
&lt;ul&gt;&lt;li&gt;Натрия хлорид.&lt;/li&gt;
&lt;li&gt;Гистидин.&lt;/li&gt;
&lt;li&gt;Сахароза.&lt;/li&gt;
&lt;li&gt;Вода для инъекций.&lt;/li&gt;&lt;/ul&gt;&lt;/p&gt;</t>
    </r>
  </si>
  <si>
    <r>
      <rPr>
        <sz val="10"/>
        <color theme="1"/>
        <rFont val="Arial"/>
      </rPr>
      <t xml:space="preserve">Компонент I содержит:
</t>
    </r>
    <r>
      <rPr>
        <i/>
        <sz val="10"/>
        <color theme="1"/>
        <rFont val="Arial"/>
      </rPr>
      <t>Действующее вещество:</t>
    </r>
    <r>
      <rPr>
        <sz val="10"/>
        <color theme="1"/>
        <rFont val="Arial"/>
      </rPr>
      <t xml:space="preserve"> рекомбинантные аденовирусные частицы 26 серотипа, содержащие ген белка S вируса SARS-CoV-2 — (1,0±0,5)x10¹⁰ частиц.
</t>
    </r>
    <r>
      <rPr>
        <i/>
        <sz val="10"/>
        <color theme="1"/>
        <rFont val="Arial"/>
      </rPr>
      <t>Вспомогательные вещества:</t>
    </r>
    <r>
      <rPr>
        <sz val="10"/>
        <color theme="1"/>
        <rFont val="Arial"/>
      </rPr>
      <t xml:space="preserve"> трис(гидроксиметил)аминометан — 1,21 мг, натрия хлорид — 2,19 мг, сахароза — 25,0 мг, полисорбат 80 — 250 мкг, магния хлорида гексагидрат — 102,0 мкг, ЭДТА динатриевая соль дигидрат — 19,0 мкг, этанол (спирт этиловый) 95% — 2,5 мкл, вода для инъекций — до 0,5 мл.
Компонент II содержит:
</t>
    </r>
    <r>
      <rPr>
        <i/>
        <sz val="10"/>
        <color theme="1"/>
        <rFont val="Arial"/>
      </rPr>
      <t>Действующее вещество:</t>
    </r>
    <r>
      <rPr>
        <sz val="10"/>
        <color theme="1"/>
        <rFont val="Arial"/>
      </rPr>
      <t xml:space="preserve"> рекомбинантные аденовирусные частицы 5 серотипа, содержащие ген белка S вируса SARS-CoV-2 — (1,0±0,5)x10¹⁰ частиц.
</t>
    </r>
    <r>
      <rPr>
        <i/>
        <sz val="10"/>
        <color theme="1"/>
        <rFont val="Arial"/>
      </rPr>
      <t>Вспомогательные вещества:</t>
    </r>
    <r>
      <rPr>
        <sz val="10"/>
        <color theme="1"/>
        <rFont val="Arial"/>
      </rPr>
      <t xml:space="preserve"> трис(гидроксиметил)аминометан — 1,21 мг, натрия хлорид — 2,19 мг, сахароза — 25,0 мг, полисорбат 80 — 250 мкг, магния хлорида гексагидрат — 102,0 мкг, ЭДТА динатриевая соль дигидрат — 19,0 мкг, этанол (спирт этиловый) 95% — 2,5 мкл, вода для инъекций — до 0,5 мл.</t>
    </r>
  </si>
  <si>
    <t>&lt;p&gt;Компонент&amp;nbsp;I содержит:&lt;/p&gt;
&lt;p&gt;&lt;i&gt;Действующее вещество:&lt;/i&gt; рекомбинантные аденовирусные частицы 26&amp;nbsp;серотипа, содержащие ген белка&amp;nbsp;S вируса SARS-CoV-2 — (1,0±0,5)x10¹⁰&amp;nbsp;частиц.&lt;/p&gt;
&lt;p&gt;&lt;i&gt;Вспомогательные вещества:&lt;/i&gt; трис(гидроксиметил)аминометан — 1,21&amp;nbsp;мг, натрия хлорид — 2,19&amp;nbsp;мг, сахароза — 25,0&amp;nbsp;мг, полисорбат&amp;nbsp;80 — 250&amp;nbsp;мкг, магния хлорида гексагидрат — 102,0&amp;nbsp;мкг, ЭДТА динатриевая соль дигидрат — 19,0&amp;nbsp;мкг, этанол (спирт этиловый) 95% — 2,5&amp;nbsp;мкл, вода для инъекций — до 0,5&amp;nbsp;мл.&lt;/p&gt;
&lt;p&gt;Компонент&amp;nbsp;II содержит:&lt;/p&gt;
&lt;p&gt;&lt;i&gt;Действующее вещество:&lt;/i&gt; рекомбинантные аденовирусные частицы 5&amp;nbsp;серотипа, содержащие ген белка&amp;nbsp;S вируса SARS-CoV-2 — (1,0±0,5)x10¹⁰&amp;nbsp;частиц.&lt;/p&gt;
&lt;p&gt;&lt;i&gt;Вспомогательные вещества:&lt;i&gt; трис(гидроксиметил)аминометан — 1,21&amp;nbsp;мг, натрия хлорид — 2,19&amp;nbsp;мг, сахароза — 25,0&amp;nbsp;мг, полисорбат&amp;nbsp;80 — 250&amp;nbsp;мкг, магния хлорида гексагидрат — 102,0&amp;nbsp;мкг, ЭДТА динатриевая соль дигидрат — 19,0&amp;nbsp;мкг, этанол (спирт этиловый) 95% — 2,5&amp;nbsp;мкл, вода для инъекций — до 0,5&amp;nbsp;мл.&lt;/p&gt;</t>
  </si>
  <si>
    <t>https://grls.rosminzdrav.ru/InstrImg/2023/07/13/1494926/d8440e50-44f6-4e4b-a50d-64608384e586.pdf</t>
  </si>
  <si>
    <r>
      <rPr>
        <sz val="10"/>
        <color theme="1"/>
        <rFont val="Arial"/>
      </rPr>
      <t xml:space="preserve">Одна доза вакцины содержит:
</t>
    </r>
    <r>
      <rPr>
        <i/>
        <sz val="10"/>
        <color theme="1"/>
        <rFont val="Arial"/>
      </rPr>
      <t>Активные компоненты:</t>
    </r>
    <r>
      <rPr>
        <sz val="10"/>
        <color theme="1"/>
        <rFont val="Arial"/>
      </rPr>
      <t xml:space="preserve"> антиген вируса клещевого энцефалита (штамм К23) размноженного на культуре клеток куриного эмбриона, инактивированный, очищенный — 0,75 мкг.
</t>
    </r>
    <r>
      <rPr>
        <i/>
        <sz val="10"/>
        <color theme="1"/>
        <rFont val="Arial"/>
      </rPr>
      <t>Вспомогательные компоненты:</t>
    </r>
    <r>
      <rPr>
        <sz val="10"/>
        <color theme="1"/>
        <rFont val="Arial"/>
      </rPr>
      <t xml:space="preserve">
Трисгидроксиметиламинометан — 1,28 мг, Натрия хлорид — 1,2 мг, Сахароза — 10-15 мг, Алюминия гидроксид — 0,5 мг, Вода для инъекций — до 0,250 мл.
Вакцина не содержит консервантов.</t>
    </r>
  </si>
  <si>
    <r>
      <rPr>
        <sz val="10"/>
        <color theme="1"/>
        <rFont val="Arial"/>
      </rPr>
      <t xml:space="preserve">&lt;p&gt;Одна доза вакцины содержит:&lt;/p&gt;
</t>
    </r>
    <r>
      <rPr>
        <i/>
        <sz val="10"/>
        <color theme="1"/>
        <rFont val="Arial"/>
      </rPr>
      <t>&lt;p&gt;&lt;i&gt;Активные компоненты:</t>
    </r>
    <r>
      <rPr>
        <sz val="10"/>
        <color theme="1"/>
        <rFont val="Arial"/>
      </rPr>
      <t xml:space="preserve">&lt;/i&gt; антиген вируса клещевого энцефалита (штамм К23) размноженного на культуре клеток куриного эмбриона, инактивированный, очищенный — 0,75&amp;nbsp;мкг.&lt;/p&gt;
</t>
    </r>
    <r>
      <rPr>
        <i/>
        <sz val="10"/>
        <color theme="1"/>
        <rFont val="Arial"/>
      </rPr>
      <t>&lt;p&gt;&lt;i&gt;Вспомогательные компоненты:&lt;/i&gt;&lt;br&gt;</t>
    </r>
    <r>
      <rPr>
        <sz val="10"/>
        <color theme="1"/>
        <rFont val="Arial"/>
      </rPr>
      <t xml:space="preserve">
Трисгидроксиметиламинометан — 1,28&amp;nbsp;мг, Натрия хлорид — 1,2&amp;nbsp;мг, Сахароза — 10-15&amp;nbsp;мг, Алюминия гидроксид — 0,5&amp;nbsp;мг, Вода для инъекций — до 0,250&amp;nbsp;мл.&lt;/p&gt;
&lt;p&gt;Вакцина не содержит консервантов.&lt;/p&gt;</t>
    </r>
  </si>
  <si>
    <r>
      <rPr>
        <sz val="10"/>
        <color theme="1"/>
        <rFont val="Arial"/>
      </rPr>
      <t xml:space="preserve">Одна доза (0,5 мл) вакцины содержит:
</t>
    </r>
    <r>
      <rPr>
        <i/>
        <sz val="10"/>
        <color theme="1"/>
        <rFont val="Arial"/>
      </rPr>
      <t>Активные компоненты:</t>
    </r>
    <r>
      <rPr>
        <sz val="10"/>
        <color theme="1"/>
        <rFont val="Arial"/>
      </rPr>
      <t xml:space="preserve"> антиген вируса клещевого энцефалита (штамм К23) размноженного на культуре клеток куриного эмбриона, инактивированный, очищенный — 1,5 мкг.
</t>
    </r>
    <r>
      <rPr>
        <i/>
        <sz val="10"/>
        <color theme="1"/>
        <rFont val="Arial"/>
      </rPr>
      <t>Вспомогательные компоненты:</t>
    </r>
    <r>
      <rPr>
        <sz val="10"/>
        <color theme="1"/>
        <rFont val="Arial"/>
      </rPr>
      <t xml:space="preserve">
Трисгидроксиметиламинометан — 2,55 мг, Натрия хлорид — 2,4 мг, Сахароза — 20-30 мг, Алюминия гидроксид — 1 мг, Вода для инъекций — до 0,5 мл.
Вакцина не содержит консервантов.</t>
    </r>
  </si>
  <si>
    <r>
      <rPr>
        <sz val="10"/>
        <color theme="1"/>
        <rFont val="Arial"/>
      </rPr>
      <t xml:space="preserve">&lt;p&gt;Одна доза (0,5&amp;nbsp;мл) вакцины содержит:&lt;/p&gt;
</t>
    </r>
    <r>
      <rPr>
        <i/>
        <sz val="10"/>
        <color theme="1"/>
        <rFont val="Arial"/>
      </rPr>
      <t>&lt;p&gt;&lt;i&gt;Активные компоненты:&lt;/i&gt;</t>
    </r>
    <r>
      <rPr>
        <sz val="10"/>
        <color theme="1"/>
        <rFont val="Arial"/>
      </rPr>
      <t xml:space="preserve"> антиген вируса клещевого энцефалита (штамм К23) размноженного на культуре клеток куриного эмбриона, инактивированный, очищенный — 1,5&amp;nbsp;мкг.&lt;/p&gt;
</t>
    </r>
    <r>
      <rPr>
        <i/>
        <sz val="10"/>
        <color theme="1"/>
        <rFont val="Arial"/>
      </rPr>
      <t>&lt;p&gt;&lt;i&gt;Вспомогательные компоненты:</t>
    </r>
    <r>
      <rPr>
        <sz val="10"/>
        <color theme="1"/>
        <rFont val="Arial"/>
      </rPr>
      <t>&lt;/i&gt;&lt;br&gt;
Трисгидроксиметиламинометан — 2,55&amp;nbsp;мг, Натрия хлорид — 2,4&amp;nbsp;мг, Сахароза — 20-30&amp;nbsp;мг, Алюминия гидроксид — 1&amp;nbsp;мг, Вода для инъекций — до 0,5&amp;nbsp;мл.&lt;/p&gt;
&lt;p&gt;Вакцина не содержит консервантов.&lt;/p&gt;</t>
    </r>
  </si>
  <si>
    <r>
      <rPr>
        <sz val="10"/>
        <color theme="1"/>
        <rFont val="Arial"/>
      </rPr>
      <t xml:space="preserve">На одну дозу (0,5 мл):
</t>
    </r>
    <r>
      <rPr>
        <i/>
        <sz val="10"/>
        <color theme="1"/>
        <rFont val="Arial"/>
      </rPr>
      <t>Действующие вещества¹:</t>
    </r>
    <r>
      <rPr>
        <sz val="10"/>
        <color theme="1"/>
        <rFont val="Arial"/>
      </rPr>
      <t xml:space="preserve">
• Вирус полиомиелита тип 1, аттенуированный штамм Сэбина, инактивированный — не менее 15 единиц D-антигена.
• Вирус полиомиелита тип 2, аттенуированный штамм Сэбина, инактивированный — не менее 15 единиц D-антигена.
• Вирус полиомиелита тип 3, аттенуированный штамм Сэбина, инактивированный — не менее 50 единиц D-антигена.
</t>
    </r>
    <r>
      <rPr>
        <i/>
        <sz val="10"/>
        <color theme="1"/>
        <rFont val="Arial"/>
      </rPr>
      <t>Вспомогательные вещества:</t>
    </r>
    <r>
      <rPr>
        <sz val="10"/>
        <color theme="1"/>
        <rFont val="Arial"/>
      </rPr>
      <t xml:space="preserve">
• Полисорбат 80 — не более 500 мкг.
• Формальдегид — не более 25 мкг.
• Среда 199² (10-кратный концентрат) — 0,05 мл.
• Буферный раствор³ (динатрия фосфат дигидрат, натрия дигидрофосфата дигидрат, натрия хлорид, вода для инъекций) — до 0,5 мл.
Примечание:
1 - Культивированные на клетках Vero.
2 - Среда 199 представляет собой сложную смесь аминокислот, минералов, витаминов и других компонентов, разведенную в воде для инъекций: натрия хлорид, калия хлорид, кальция хлорид, магния сульфат, натрия фосфат двузамещенный, калия фосфат однозамещенный, железа (III) нитрат, глюкоза, натрия ацетат, L-аланин, L-аргинин моногидрохлорид, L-аспарагиновая кислота, L-цистеин гидрохлорид, L-цистин, L-глутаминовая кислота, L-глутамин, L-гистидин моногидрохлорид, гидрокси-L-пролин, глицин, L-изолейцин, L-лейцин, L-лизин монохлорид, L-метионин, L-фенилаланин, L-пролин, L-серин, L-треонин, L-триптофан, L-тирозин, L-валин, аскорбиновая кислота, D-биотин, кальциферол, холина хлорид, фолиевая кислота, менадион, мио-инозитол, амид никотиновой кислоты, никотиновая кислота, 4-аминобензойная кислота, кальция пантотенат, пиридоксаль гидрохлорид, пиридоксина гидрохлорид, ретинола ацетат, рибофлавин, DL-альфа-токоферол фосфат натриевая соль, тиамина гидрохлорид, аденин сульфат, аденозин трифосфат натриевая соль, холестерол, дезоксирибоза, глутатион, гуанина гидрохлорид, гипоксантин, твин 80, рибоза, тимин, урацил, ксантин, адениловая кислота.
3 - Состав на 0,5 мл буферного раствора:
• динатрия фосфат дигидрат — 2,43 мг;
• натрия дигидрофосфата дигидрат — 0,99 мг;
• натрия хлорид — 2,92 мг;
• вода для инъекций — до 0,5 мл.</t>
    </r>
  </si>
  <si>
    <r>
      <rPr>
        <sz val="10"/>
        <color theme="1"/>
        <rFont val="Arial"/>
      </rPr>
      <t xml:space="preserve">&lt;p&gt;На одну дозу (0,5&amp;nbsp;мл):&lt;/p&gt;
</t>
    </r>
    <r>
      <rPr>
        <i/>
        <sz val="10"/>
        <color theme="1"/>
        <rFont val="Arial"/>
      </rPr>
      <t>&lt;p&gt;&lt;i&gt;Действующие вещества¹:</t>
    </r>
    <r>
      <rPr>
        <sz val="10"/>
        <color theme="1"/>
        <rFont val="Arial"/>
      </rPr>
      <t xml:space="preserve">&lt;/i&gt;
&lt;ul&gt;&lt;li&gt;Вирус полиомиелита тип&amp;nbsp;1, аттенуированный штамм Сэбина, инактивированный — не менее 15&amp;nbsp;единиц D-антигена.&lt;/li&gt;
&lt;li&gt;Вирус полиомиелита тип&amp;nbsp;2, аттенуированный штамм Сэбина, инактивированный — не менее 15&amp;nbsp;единиц D-антигена.&lt;/li&gt;
&lt;li&gt;Вирус полиомиелита тип&amp;nbsp;3, аттенуированный штамм Сэбина, инактивированный — не менее 50&amp;nbsp;единиц D-антигена.&lt;/li&gt;&lt;/ul&gt;
</t>
    </r>
    <r>
      <rPr>
        <i/>
        <sz val="10"/>
        <color theme="1"/>
        <rFont val="Arial"/>
      </rPr>
      <t>&lt;i&gt;Вспомогательные вещества:</t>
    </r>
    <r>
      <rPr>
        <sz val="10"/>
        <color theme="1"/>
        <rFont val="Arial"/>
      </rPr>
      <t>&lt;/i&gt;
&lt;ul&gt;&lt;li&gt;Полисорбат&amp;nbsp;80 — не более 500&amp;nbsp;мкг.&lt;/li&gt;
&lt;li&gt;Формальдегид — не более&amp;nbsp;25 мкг.&lt;/li&gt;
&lt;li&gt;Среда&amp;nbsp;199² (10-кратный концентрат) — 0,05&amp;nbsp;мл.&lt;/li&gt;
&lt;li&gt;Буферный раствор³ (динатрия фосфат дигидрат, натрия дигидрофосфата дигидрат, натрия хлорид, вода для инъекций) — до 0,5&amp;nbsp;мл.&lt;/li&gt;&lt;/ul&gt;
Примечание:&lt;br&gt;
1 - Культивированные на клетках Vero.&lt;br&gt;
2 - Среда&amp;nbsp;199 представляет собой сложную смесь аминокислот, минералов, витаминов и других компонентов, разведенную в воде для инъекций: натрия хлорид, калия хлорид, кальция хлорид, магния сульфат, натрия фосфат двузамещенный, калия фосфат однозамещенный, железа (III) нитрат, глюкоза, натрия ацетат, L-аланин, L-аргинин моногидрохлорид, L-аспарагиновая кислота, L-цистеин гидрохлорид, L-цистин, L-глутаминовая кислота, L-глутамин, L-гистидин моногидрохлорид, гидрокси-L-пролин, глицин, L-изолейцин, L-лейцин, L-лизин монохлорид, L-метионин, L-фенилаланин, L-пролин, L-серин, L-треонин, L-триптофан, L-тирозин, L-валин, аскорбиновая кислота, D-биотин, кальциферол, холина хлорид, фолиевая кислота, менадион, мио-инозитол, амид никотиновой кислоты, никотиновая кислота, 4-аминобензойная кислота, кальция пантотенат, пиридоксаль гидрохлорид, пиридоксина гидрохлорид, ретинола ацетат, рибофлавин, DL-альфа-токоферол фосфат натриевая соль, тиамина гидрохлорид, аденин сульфат, аденозин трифосфат натриевая соль, холестерол, дезоксирибоза, глутатион, гуанина гидрохлорид, гипоксантин, твин 80, рибоза, тимин, урацил, ксантин, адениловая кислота.&lt;br&gt;
3 - Состав на 0,5&amp;nbsp;мл буферного раствора:
&lt;ul&gt;&lt;li&gt;динатрия фосфат дигидрат — 2,43&amp;nbsp;мг;&lt;/li&gt;
&lt;li&gt;натрия дигидрофосфата дигидрат — 0,99&amp;nbsp;мг;&lt;/li&gt;
&lt;li&gt;натрия хлорид — 2,92&amp;nbsp;мг;&lt;/li&gt;
&lt;li&gt;вода для инъекций — до 0,5&amp;nbsp;мл.&lt;/li&gt;&lt;/ul&gt;&lt;/p&gt;</t>
    </r>
  </si>
  <si>
    <t>https://grls.rosminzdrav.ru/InstrImg/2023/07/19/1495141/8a2ba9a0-eb39-4368-9a0d-f81451183bb0.pdf</t>
  </si>
  <si>
    <r>
      <rPr>
        <sz val="10"/>
        <color theme="1"/>
        <rFont val="Arial"/>
      </rPr>
      <t xml:space="preserve">Одна доза вакцины содержит:
Лиофилизат.
</t>
    </r>
    <r>
      <rPr>
        <i/>
        <sz val="10"/>
        <color theme="1"/>
        <rFont val="Arial"/>
      </rPr>
      <t>Действующие вещества</t>
    </r>
    <r>
      <rPr>
        <sz val="10"/>
        <color theme="1"/>
        <rFont val="Arial"/>
      </rPr>
      <t xml:space="preserve">:
• Полисахарид </t>
    </r>
    <r>
      <rPr>
        <i/>
        <sz val="10"/>
        <color theme="1"/>
        <rFont val="Arial"/>
      </rPr>
      <t>Наеmophilus influenzae</t>
    </r>
    <r>
      <rPr>
        <sz val="10"/>
        <color theme="1"/>
        <rFont val="Arial"/>
      </rPr>
      <t xml:space="preserve"> тип </t>
    </r>
    <r>
      <rPr>
        <i/>
        <sz val="10"/>
        <color theme="1"/>
        <rFont val="Arial"/>
      </rPr>
      <t>b</t>
    </r>
    <r>
      <rPr>
        <sz val="10"/>
        <color theme="1"/>
        <rFont val="Arial"/>
      </rPr>
      <t xml:space="preserve"> — 10 мкг.
• Конъюгированный столбнячный белок — 18-30 мкг.
</t>
    </r>
    <r>
      <rPr>
        <i/>
        <sz val="10"/>
        <color theme="1"/>
        <rFont val="Arial"/>
      </rPr>
      <t>Вспомогательные вещества:</t>
    </r>
    <r>
      <rPr>
        <sz val="10"/>
        <color theme="1"/>
        <rFont val="Arial"/>
      </rPr>
      <t xml:space="preserve">
• Сахароза — 42,5 мг.
• Трометамол — 0,6 мг.
Растворитель (натрия хлорида раствор 0,4%).
• Натрия хлорид — 2,0 мг.
• Вода для инъекций — до 0,5 мл.</t>
    </r>
  </si>
  <si>
    <r>
      <rPr>
        <sz val="10"/>
        <color theme="1"/>
        <rFont val="Arial"/>
      </rPr>
      <t xml:space="preserve">&lt;p&gt;Одна доза вакцины содержит:&lt;/p&gt;
&lt;p&gt;Лиофилизат.&lt;br&gt;
</t>
    </r>
    <r>
      <rPr>
        <i/>
        <sz val="10"/>
        <color theme="1"/>
        <rFont val="Arial"/>
      </rPr>
      <t>&lt;i&gt;Действующие вещества</t>
    </r>
    <r>
      <rPr>
        <sz val="10"/>
        <color theme="1"/>
        <rFont val="Arial"/>
      </rPr>
      <t xml:space="preserve">:&lt;/i&gt;
&lt;ul&gt;&lt;li&gt;Полисахарид </t>
    </r>
    <r>
      <rPr>
        <i/>
        <sz val="10"/>
        <color theme="1"/>
        <rFont val="Arial"/>
      </rPr>
      <t>&lt;i&gt;Наеmophilus influenzae&lt;/i&gt;</t>
    </r>
    <r>
      <rPr>
        <sz val="10"/>
        <color theme="1"/>
        <rFont val="Arial"/>
      </rPr>
      <t xml:space="preserve"> тип &lt;i&gt;</t>
    </r>
    <r>
      <rPr>
        <i/>
        <sz val="10"/>
        <color theme="1"/>
        <rFont val="Arial"/>
      </rPr>
      <t>b</t>
    </r>
    <r>
      <rPr>
        <sz val="10"/>
        <color theme="1"/>
        <rFont val="Arial"/>
      </rPr>
      <t xml:space="preserve">&lt;/i&gt; — 10&amp;nbsp;мкг.&lt;/li&gt;
&lt;li&gt;Конъюгированный столбнячный белок — 18-30&amp;nbsp;мкг.&lt;/li&gt;&lt;/ul&gt;
</t>
    </r>
    <r>
      <rPr>
        <i/>
        <sz val="10"/>
        <color theme="1"/>
        <rFont val="Arial"/>
      </rPr>
      <t>&lt;i&gt;Вспомогательные вещества:</t>
    </r>
    <r>
      <rPr>
        <sz val="10"/>
        <color theme="1"/>
        <rFont val="Arial"/>
      </rPr>
      <t>&lt;/i&gt;
&lt;ul&gt;&lt;li&gt;Сахароза — 42,5&amp;nbsp;мг.&lt;/li&gt;
&lt;li&gt;Трометамол — 0,6&amp;nbsp;мг.&lt;/li&gt;&lt;/ul&gt;
Растворитель (натрия хлорида раствор 0,4%).
&lt;ul&gt;&lt;li&gt;Натрия хлорид — 2,0&amp;nbsp;мг.&lt;/li&gt;
&lt;li&gt;Вода для инъекций — до 0,5&amp;nbsp;мл.&lt;/li&gt;&lt;/ul&gt;&lt;/p&gt;</t>
    </r>
  </si>
  <si>
    <t>https://grls.rosminzdrav.ru/InstrImg/2020/4/29/1456610/%D0%9F_N013850_01[2017]_2.pdf</t>
  </si>
  <si>
    <r>
      <rPr>
        <sz val="10"/>
        <color theme="1"/>
        <rFont val="Arial"/>
      </rPr>
      <t xml:space="preserve">1 доза вакцины (0,5 мл) содержит:
Вакцина для профилактики инфекции, вызываемой </t>
    </r>
    <r>
      <rPr>
        <i/>
        <sz val="10"/>
        <color theme="1"/>
        <rFont val="Arial"/>
      </rPr>
      <t>Наеmophilus influenzae</t>
    </r>
    <r>
      <rPr>
        <sz val="10"/>
        <color theme="1"/>
        <rFont val="Arial"/>
      </rPr>
      <t xml:space="preserve"> тип </t>
    </r>
    <r>
      <rPr>
        <i/>
        <sz val="10"/>
        <color theme="1"/>
        <rFont val="Arial"/>
      </rPr>
      <t>b</t>
    </r>
    <r>
      <rPr>
        <sz val="10"/>
        <color theme="1"/>
        <rFont val="Arial"/>
      </rPr>
      <t xml:space="preserve">.
</t>
    </r>
    <r>
      <rPr>
        <i/>
        <sz val="10"/>
        <color theme="1"/>
        <rFont val="Arial"/>
      </rPr>
      <t>Действующее вещество</t>
    </r>
    <r>
      <rPr>
        <sz val="10"/>
        <color theme="1"/>
        <rFont val="Arial"/>
      </rPr>
      <t xml:space="preserve">:
• Капсульный полисахарид </t>
    </r>
    <r>
      <rPr>
        <i/>
        <sz val="10"/>
        <color theme="1"/>
        <rFont val="Arial"/>
      </rPr>
      <t>Наеmophilus influenzae</t>
    </r>
    <r>
      <rPr>
        <sz val="10"/>
        <color theme="1"/>
        <rFont val="Arial"/>
      </rPr>
      <t xml:space="preserve"> тип </t>
    </r>
    <r>
      <rPr>
        <i/>
        <sz val="10"/>
        <color theme="1"/>
        <rFont val="Arial"/>
      </rPr>
      <t>b</t>
    </r>
    <r>
      <rPr>
        <sz val="10"/>
        <color theme="1"/>
        <rFont val="Arial"/>
      </rPr>
      <t xml:space="preserve">, — 10 мкг*;
конъюгированный со столбнячным анатоксином ≈25 мкг.
</t>
    </r>
    <r>
      <rPr>
        <i/>
        <sz val="10"/>
        <color theme="1"/>
        <rFont val="Arial"/>
      </rPr>
      <t>Вспомогательное вещество</t>
    </r>
    <r>
      <rPr>
        <sz val="10"/>
        <color theme="1"/>
        <rFont val="Arial"/>
      </rPr>
      <t xml:space="preserve">:
• Лактоза — не более  12,6 мг*.
</t>
    </r>
    <r>
      <rPr>
        <i/>
        <sz val="10"/>
        <color theme="1"/>
        <rFont val="Arial"/>
      </rPr>
      <t>Растворитель (0,9% раствор натрия хлорида для инъекций)</t>
    </r>
    <r>
      <rPr>
        <sz val="10"/>
        <color theme="1"/>
        <rFont val="Arial"/>
      </rPr>
      <t xml:space="preserve">.
• Натрия хлорид — 4,5 мг.
• Вода для инъекций — до 0,5 мл.
Примечание.
* - Для компенсации потерь в процессе восстановления вакцины и обеспечения содержания действующего вещества 10 мкг/0,5 мл в инъецируемой дозе, в процессе фасовки вакцины во флаконы закладывается 25% избыток (по массе).
Итого: капсульный полисахарид </t>
    </r>
    <r>
      <rPr>
        <i/>
        <sz val="10"/>
        <color theme="1"/>
        <rFont val="Arial"/>
      </rPr>
      <t>Наеmophilus influenzae</t>
    </r>
    <r>
      <rPr>
        <sz val="10"/>
        <color theme="1"/>
        <rFont val="Arial"/>
      </rPr>
      <t xml:space="preserve"> тип </t>
    </r>
    <r>
      <rPr>
        <i/>
        <sz val="10"/>
        <color theme="1"/>
        <rFont val="Arial"/>
      </rPr>
      <t xml:space="preserve">b </t>
    </r>
    <r>
      <rPr>
        <sz val="10"/>
        <color theme="1"/>
        <rFont val="Arial"/>
      </rPr>
      <t xml:space="preserve">(в составе конъюгата) — 12,50 мкг/флакон; лактоза — 15,75 мкг/флакон.
Хиберикс® отвечает требованиям Всемирной организации здравоохранения (ВОЗ), относящимся к производству биологических субстанций, а также конъюгированным вакцинам для профилактики инфекции, вызываемой </t>
    </r>
    <r>
      <rPr>
        <i/>
        <sz val="10"/>
        <color theme="1"/>
        <rFont val="Arial"/>
      </rPr>
      <t>Наеmophilus influenzae</t>
    </r>
    <r>
      <rPr>
        <sz val="10"/>
        <color theme="1"/>
        <rFont val="Arial"/>
      </rPr>
      <t xml:space="preserve"> тип </t>
    </r>
    <r>
      <rPr>
        <i/>
        <sz val="10"/>
        <color theme="1"/>
        <rFont val="Arial"/>
      </rPr>
      <t>b</t>
    </r>
    <r>
      <rPr>
        <sz val="10"/>
        <color theme="1"/>
        <rFont val="Arial"/>
      </rPr>
      <t>.</t>
    </r>
  </si>
  <si>
    <r>
      <rPr>
        <sz val="10"/>
        <color theme="1"/>
        <rFont val="Arial"/>
      </rPr>
      <t>&lt;p&gt;1&amp;nbsp;доза вакцины (0,5&amp;nbsp;мл) содержит:&lt;/p&gt;
&lt;p&gt;Вакцина для профилактики инфекции, вызываемой &lt;i&gt;</t>
    </r>
    <r>
      <rPr>
        <i/>
        <sz val="10"/>
        <color theme="1"/>
        <rFont val="Arial"/>
      </rPr>
      <t>Наеmophilus influenzae&lt;/i&gt;</t>
    </r>
    <r>
      <rPr>
        <sz val="10"/>
        <color theme="1"/>
        <rFont val="Arial"/>
      </rPr>
      <t xml:space="preserve"> тип &lt;i&gt;</t>
    </r>
    <r>
      <rPr>
        <i/>
        <sz val="10"/>
        <color theme="1"/>
        <rFont val="Arial"/>
      </rPr>
      <t>b&lt;/i&gt;.&lt;/p&gt;</t>
    </r>
    <r>
      <rPr>
        <sz val="10"/>
        <color theme="1"/>
        <rFont val="Arial"/>
      </rPr>
      <t xml:space="preserve">
</t>
    </r>
    <r>
      <rPr>
        <i/>
        <sz val="10"/>
        <color theme="1"/>
        <rFont val="Arial"/>
      </rPr>
      <t>&lt;p&gt;&lt;i&gt;Действующее вещество:</t>
    </r>
    <r>
      <rPr>
        <sz val="10"/>
        <color theme="1"/>
        <rFont val="Arial"/>
      </rPr>
      <t xml:space="preserve">&lt;/i&gt;
&lt;ul&gt;&lt;li&gt;Капсульный полисахарид &lt;i&gt;Наеmophilus influenzae&lt;/i&gt; тип &lt;i&gt;b&lt;/i&gt;, — 10&amp;nbsp;мкг*;&lt;br&gt;
конъюгированный со столбнячным анатоксином ≈25&amp;nbsp;мкг.&lt;/li&gt;&lt;/ul&gt;
</t>
    </r>
    <r>
      <rPr>
        <i/>
        <sz val="10"/>
        <color theme="1"/>
        <rFont val="Arial"/>
      </rPr>
      <t>&lt;i&gt;Вспомогательное вещество</t>
    </r>
    <r>
      <rPr>
        <sz val="10"/>
        <color theme="1"/>
        <rFont val="Arial"/>
      </rPr>
      <t xml:space="preserve">:&lt;/i&gt;
&lt;ul&gt;&lt;li&gt;Лактоза — не более  12,6&amp;nbsp;мг*.&lt;/li&gt;&lt;/ul&gt;
</t>
    </r>
    <r>
      <rPr>
        <i/>
        <sz val="10"/>
        <color theme="1"/>
        <rFont val="Arial"/>
      </rPr>
      <t>&lt;i&gt;Растворитель (0,9% раствор натрия хлорида для инъекций)</t>
    </r>
    <r>
      <rPr>
        <sz val="10"/>
        <color theme="1"/>
        <rFont val="Arial"/>
      </rPr>
      <t>&lt;/i&gt;.
&lt;ul&gt;&lt;li&gt;Натрия хлорид — 4,5&amp;nbsp;мг.&lt;/li&gt;
&lt;li&gt;Вода для инъекций — до 0,5&amp;nbsp;мл.&lt;/li&gt;&lt;/ul&gt;
Примечание.&lt;br&gt;
* - Для компенсации потерь в процессе восстановления вакцины и обеспечения содержания действующего вещества 10&amp;nbsp;мкг/0,5 мл в инъецируемой дозе, в процессе фасовки вакцины во флаконы закладывается 25% избыток (по массе).&lt;br&gt;
Итого: капсульный полисахарид &lt;i&gt;Наеmophilus influenzae&lt;/i&gt; тип &lt;i&gt;b&lt;/i&gt; (в составе конъюгата) — 12,50&amp;nbsp;мкг/флакон; лактоза — 15,75&amp;nbsp;мкг/флакон.&lt;/p&gt;
&lt;p&gt;Хиберикс® отвечает требованиям Всемирной организации здравоохранения (ВОЗ), относящимся к производству биологических субстанций, а также конъюгированным вакцинам для профилактики инфекции, вызываемой &lt;i&gt;Наеmophilus influenzae&lt;/i&gt; тип &lt;i&gt;b&lt;/i&gt;.&lt;/p&gt;</t>
    </r>
  </si>
  <si>
    <t>https://grls.rosminzdrav.ru/InstrImg/2020/12/15/1464278/%D0%9F_N015829_01[2017]_3.pdf</t>
  </si>
  <si>
    <t>1 доза (0,25 мл) содержит:
• Антиген вируса клещевого энцефалита (КЭ) (активный компонент) — 1,19 мкг.
• Гель алюминия гидроксида (адъювант) — 0,5 мг (от 0,14 до 0,21 мг в пересчете на алюминий).
• Альбумин крови человека (стабилизатор) — 0,25 мг.
• Формальдегид (инактиватор) — не более 0,0025 мг.
• Сахароза — не более 7,5 мг.
• Протамин сульфат — не более 0,0025 мг.
• Неомицин — следы.
• Гентамицин — следы.
• Натрия хлорид — 1,725 мг.
• Натрия гидрофосфат дигидрат — 0,11 мг.
• Калия дигидрофосфат — 0,0225 мг.
• Вода для инъекций — до 0,25 мл.
Не содержит консервантов.</t>
  </si>
  <si>
    <t>&lt;p&gt;1&amp;nbsp;доза (0,25&amp;nbsp;мл) содержит:
&lt;ul&gt;&lt;li&gt;Антиген вируса клещевого энцефалита (КЭ) (активный компонент) — 1,19&amp;nbsp;мкг.&lt;/li&gt;
&lt;li&gt;Гель алюминия гидроксида (адъювант) — 0,5&amp;nbsp;мг (от 0,14 до 0,21&amp;nbsp;мг в пересчете на алюминий).&lt;/li&gt;
&lt;li&gt;Альбумин крови человека (стабилизатор) — 0,25&amp;nbsp;мг.&lt;/li&gt;
&lt;li&gt;Формальдегид (инактиватор) — не более 0,0025&amp;nbsp;мг.&lt;/li&gt;
&lt;li&gt;Сахароза — не более 7,5&amp;nbsp;мг.&lt;/li&gt;
&lt;li&gt;Протамин сульфат — не более 0,0025&amp;nbsp;мг.&lt;/li&gt;
&lt;li&gt;Неомицин — следы.&lt;/li&gt;
&lt;li&gt;Гентамицин — следы.&lt;/li&gt;
&lt;li&gt;Натрия хлорид — 1,725&amp;nbsp;мг.&lt;/li&gt;
&lt;li&gt;Натрия гидрофосфат дигидрат — 0,11&amp;nbsp;мг.&lt;/li&gt;
&lt;li&gt;Калия дигидрофосфат — 0,0225&amp;nbsp;мг.&lt;/li&gt;
&lt;li&gt;Вода для инъекций — до 0,25&amp;nbsp;мл.&lt;/li&gt;&lt;/ul&gt;
Не содержит консервантов.&lt;/p&gt;</t>
  </si>
  <si>
    <t>1 доза (0,5 мл) содержит:
• Антиген вируса клещевого энцефалита (КЭ) (активный компонент) — 2,38 мкг.
• Гель алюминия гидроксида (адъювант) — 1,0 мг (от 0,28 до 0,41 мг в пересчете на алюминий).
• Альбумин крови человека (стабилизатор) — 0,5 мг.
• Формальдегид (инактиватор) — не более 0,005 мг.
• Сахароза — не более 20,0 мг.
• Протамин сульфат — не более 0,005 мг.
• Неомицин — следы.
• Гентамицин — следы.
• Натрия хлорид — 3,45 мг.
• Натрия гидрофосфат дигидрат — 0,22 мг.
• Калия дигидрофосфат — 0,045 мг.
• Вода для инъекций — до 0,5 мл.
Не содержит консервантов.</t>
  </si>
  <si>
    <t>&lt;p&gt;1&amp;nbsp;доза (0,25&amp;nbsp;мл) содержит:
&lt;ul&gt;&lt;li&gt;Антиген вируса клещевого энцефалита (КЭ) (активный компонент) — 2,38&amp;nbsp;мкг.&lt;/li&gt;
&lt;li&gt;Гель алюминия гидроксида (адъювант) — 1,0&amp;nbsp;мг (от 0,28 до 0,41&amp;nbsp;мг в пересчете на алюминий).&lt;/li&gt;
&lt;li&gt;Альбумин крови человека (стабилизатор) — 0,5&amp;nbsp;мг.&lt;/li&gt;
&lt;li&gt;Формальдегид (инактиватор) — не более 0,005&amp;nbsp;мг.&lt;/li&gt;
&lt;li&gt;Сахароза — не более 20,0&amp;nbsp;мг.&lt;/li&gt;
&lt;li&gt;Протамин сульфат — не более 0,005&amp;nbsp;мг.&lt;/li&gt;
&lt;li&gt;Неомицин — следы.&lt;/li&gt;
&lt;li&gt;Гентамицин — следы.&lt;/li&gt;
&lt;li&gt;Натрия хлорид — 3,45&amp;nbsp;мг.&lt;/li&gt;
&lt;li&gt;Натрия гидрофосфат дигидрат — 0,22&amp;nbsp;мг.&lt;/li&gt;
&lt;li&gt;Калия дигидрофосфат — 0,045&amp;nbsp;мг.&lt;/li&gt;
&lt;li&gt;Вода для инъекций — до 0,5&amp;nbsp;мл.&lt;/li&gt;&lt;/ul&gt;
Не содержит консервантов.&lt;/p&gt;</t>
  </si>
  <si>
    <r>
      <rPr>
        <sz val="10"/>
        <color theme="1"/>
        <rFont val="Arial"/>
      </rPr>
      <t xml:space="preserve">1 мл вакцины содержит:
</t>
    </r>
    <r>
      <rPr>
        <i/>
        <sz val="10"/>
        <color theme="1"/>
        <rFont val="Arial"/>
      </rPr>
      <t>Действующее вещество:</t>
    </r>
    <r>
      <rPr>
        <sz val="10"/>
        <color theme="1"/>
        <rFont val="Arial"/>
      </rPr>
      <t xml:space="preserve"> Рекомбинантный поверхностный антиген вируса гепатита В (HBsAg) — 10 мкг.
</t>
    </r>
    <r>
      <rPr>
        <i/>
        <sz val="10"/>
        <color theme="1"/>
        <rFont val="Arial"/>
      </rPr>
      <t>Вспомогательные вещества*:</t>
    </r>
    <r>
      <rPr>
        <sz val="10"/>
        <color theme="1"/>
        <rFont val="Arial"/>
      </rPr>
      <t xml:space="preserve"> алюминия гидроксид в виде 2% водного раствора — 1500 мкг, натрия хлорид — 8450 мкг, калия хлорид — 20 мкг, динатрия гидрофосфат — 380 мкг, калия дигидрофосфат — 20 мкг, вода для инъекций до 1 мл.
* - 10 М раствор натрия гидроксида или 6 М раствор хлористоводородной кислоты — при необходимости для достижения рН 7,50±0,05.</t>
    </r>
  </si>
  <si>
    <r>
      <rPr>
        <sz val="10"/>
        <color theme="1"/>
        <rFont val="Arial"/>
      </rPr>
      <t xml:space="preserve">&lt;p&gt;1&amp;nbsp;мл вакцины содержит:&lt;/p&gt;
</t>
    </r>
    <r>
      <rPr>
        <i/>
        <sz val="10"/>
        <color theme="1"/>
        <rFont val="Arial"/>
      </rPr>
      <t>&lt;p&gt;&lt;i&gt;Действующее вещество:&lt;/i&gt;</t>
    </r>
    <r>
      <rPr>
        <sz val="10"/>
        <color theme="1"/>
        <rFont val="Arial"/>
      </rPr>
      <t xml:space="preserve"> Рекомбинантный поверхностный антиген вируса гепатита В (HBsAg) — 10&amp;nbsp;мкг.&lt;/p&gt;
</t>
    </r>
    <r>
      <rPr>
        <i/>
        <sz val="10"/>
        <color theme="1"/>
        <rFont val="Arial"/>
      </rPr>
      <t>&lt;p&gt;&lt;i&gt;Вспомогательные вещества*:&lt;/i&gt;</t>
    </r>
    <r>
      <rPr>
        <sz val="10"/>
        <color theme="1"/>
        <rFont val="Arial"/>
      </rPr>
      <t xml:space="preserve"> алюминия гидроксид в виде 2% водного раствора — 1500&amp;nbsp;мкг, натрия хлорид — 8450&amp;nbsp;мкг, калия хлорид — 20&amp;nbsp;мкг, динатрия гидрофосфат — 380&amp;nbsp;мкг, калия дигидрофосфат — 20&amp;nbsp;мкг, вода для инъекций до 1&amp;nbsp;мл.&lt;/p&gt;
&lt;p&gt;* - 10&amp;nbsp;М раствор натрия гидроксида или 6&amp;nbsp;М раствор хлористоводородной кислоты — при необходимости для достижения рН&amp;nbsp;7,50±0,05.&lt;/p&gt;</t>
    </r>
  </si>
  <si>
    <r>
      <rPr>
        <sz val="10"/>
        <color theme="1"/>
        <rFont val="Arial"/>
      </rPr>
      <t xml:space="preserve">Состав 1 дозы (0,5 мл).
</t>
    </r>
    <r>
      <rPr>
        <i/>
        <sz val="10"/>
        <color theme="1"/>
        <rFont val="Arial"/>
      </rPr>
      <t>аАКДС-Геп В компонент:</t>
    </r>
    <r>
      <rPr>
        <sz val="10"/>
        <color theme="1"/>
        <rFont val="Arial"/>
      </rPr>
      <t xml:space="preserve">
• Анатоксин дифтерийный¹ — 20 Lf;
• Анатоксин столбнячный¹ — 5 Lf;
• Антигенная фракция Bordetella pertussis, очищенная без разделения компонентов — 60 мкг;
• Поверхностный антиген вируса гепатита В (HBsAg)¹ — 5 мкг.
¹ - Адсорбированный на алюминия гидроксиде (в пересчете на Al³⁺) — не более 0,55 мг.
</t>
    </r>
    <r>
      <rPr>
        <i/>
        <sz val="10"/>
        <color theme="1"/>
        <rFont val="Arial"/>
      </rPr>
      <t>Hib компонент:</t>
    </r>
    <r>
      <rPr>
        <sz val="10"/>
        <color theme="1"/>
        <rFont val="Arial"/>
      </rPr>
      <t xml:space="preserve">
• Полирибозилрибитола фосфат, — 10 мкг;
конъюгированный со столбнячным анатоксином — от 20 до 31 мкг.
в качестве белка носителя.
Перечень вспомогательных веществ.
</t>
    </r>
    <r>
      <rPr>
        <i/>
        <sz val="10"/>
        <color theme="1"/>
        <rFont val="Arial"/>
      </rPr>
      <t>аАКДС-Геп В компонент:</t>
    </r>
    <r>
      <rPr>
        <sz val="10"/>
        <color theme="1"/>
        <rFont val="Arial"/>
      </rPr>
      <t xml:space="preserve">
• Алюминия гидроксид;
• Формальдегид.
</t>
    </r>
    <r>
      <rPr>
        <i/>
        <sz val="10"/>
        <color theme="1"/>
        <rFont val="Arial"/>
      </rPr>
      <t>Hib компонент:</t>
    </r>
    <r>
      <rPr>
        <sz val="10"/>
        <color theme="1"/>
        <rFont val="Arial"/>
      </rPr>
      <t xml:space="preserve">
• Сахароза;
• Натрия дигидрофосфат;
• Динатрия гидрофосфат.</t>
    </r>
  </si>
  <si>
    <r>
      <rPr>
        <sz val="10"/>
        <color theme="1"/>
        <rFont val="Arial"/>
      </rPr>
      <t xml:space="preserve">&lt;p&gt;Состав 1&amp;nbsp;дозы (0,5&amp;nbsp;мл).&lt;br&gt;&lt;br&gt;
</t>
    </r>
    <r>
      <rPr>
        <i/>
        <sz val="10"/>
        <color theme="1"/>
        <rFont val="Arial"/>
      </rPr>
      <t>&lt;i&gt;аАКДС-Геп В компонент:</t>
    </r>
    <r>
      <rPr>
        <sz val="10"/>
        <color theme="1"/>
        <rFont val="Arial"/>
      </rPr>
      <t xml:space="preserve">&lt;/i&gt;
&lt;ul&gt;&lt;li&gt;Анатоксин дифтерийный¹ — 20&amp;nbsp;Lf;&lt;/li&gt;
&lt;li&gt;Анатоксин столбнячный¹ — 5&amp;nbsp;Lf;&lt;/li&gt;
&lt;li&gt;Антигенная фракция &lt;i&gt;Bordetella pertussis&lt;/i&gt;, очищенная без разделения компонентов — 60&amp;nbsp;мкг;&lt;/li&gt;
&lt;li&gt;Поверхностный антиген вируса гепатита В (HBsAg)¹ — 5&amp;nbsp;мкг.&lt;/li&gt;&lt;/ul&gt;
¹&amp;nbsp;- Адсорбированный на алюминия гидроксиде (в пересчете на Al³⁺) — не более 0,55&amp;nbsp;мг.&lt;br&gt;&lt;br&gt;
</t>
    </r>
    <r>
      <rPr>
        <i/>
        <sz val="10"/>
        <color theme="1"/>
        <rFont val="Arial"/>
      </rPr>
      <t>&lt;i&gt;Hib компонент:</t>
    </r>
    <r>
      <rPr>
        <sz val="10"/>
        <color theme="1"/>
        <rFont val="Arial"/>
      </rPr>
      <t xml:space="preserve">&lt;/i&gt;
&lt;ul&gt;&lt;li&gt;Полирибозилрибитола фосфат, — 10&amp;nbsp;мкг;&lt;br&gt;
конъюгированный со столбнячным анатоксином — от 20 до 31&amp;nbsp;мкг.&lt;br&gt;
в качестве белка носителя.&lt;/li&gt;&lt;/ul&gt;
Перечень вспомогательных веществ.&lt;br&gt;&lt;br&gt;
</t>
    </r>
    <r>
      <rPr>
        <i/>
        <sz val="10"/>
        <color theme="1"/>
        <rFont val="Arial"/>
      </rPr>
      <t>&lt;i&gt;аАКДС-Геп В компонент:</t>
    </r>
    <r>
      <rPr>
        <sz val="10"/>
        <color theme="1"/>
        <rFont val="Arial"/>
      </rPr>
      <t xml:space="preserve">&lt;/i&gt;
&lt;ul&gt;&lt;li&gt;Алюминия гидроксид;&lt;/li&gt;
&lt;li&gt;Формальдегид.&lt;/li&gt;&lt;/ul&gt;
</t>
    </r>
    <r>
      <rPr>
        <i/>
        <sz val="10"/>
        <color theme="1"/>
        <rFont val="Arial"/>
      </rPr>
      <t>&lt;i&gt;Hib компонент:&lt;/i&gt;</t>
    </r>
    <r>
      <rPr>
        <sz val="10"/>
        <color theme="1"/>
        <rFont val="Arial"/>
      </rPr>
      <t xml:space="preserve">
&lt;ul&gt;&lt;li&gt;Сахароза;&lt;/li&gt;
&lt;li&gt;Натрия дигидрофосфат;&lt;/li&gt;
&lt;li&gt;Динатрия гидрофосфат.&lt;/li&gt;&lt;/ul&gt;&lt;/p&gt;</t>
    </r>
  </si>
  <si>
    <t>В одной прививочной дозе (0,2 мл) содержится: 
• активные компоненты: специфические антигены вируса простого герпеса (ВПГ) I и II типов, (штамм «УС» и штамм «ВН» соответственно), полученные путем репродукции в культуре перевиваемых клеток почек африканской зеленой мартышки (VERO B), инактивированные формальдегидом и лиофилизированные с добавлением в качестве стабилизатора сахарозо-желатозной среды;
• вспомогательные вещества: формальдегид не более 200 мкг/мл; гентамицина сульфат не более 40 мкг/мл, сахароза не более 0,075 г/мл; желатоза не более 0,01 г/мл.</t>
  </si>
  <si>
    <t>&lt;ul&gt;В одной прививочной дозе (0,2&amp;nbsp;мл) содержится: 
&lt;li&gt;активные компоненты: специфические антигены вируса простого герпеса (ВПГ) I&amp;nbsp;и&amp;nbsp;II&amp;nbsp;типов, (штамм&amp;nbsp;«УС» и штамм&amp;nbsp;«ВН» соответственно), полученные путем репродукции в культуре перевиваемых клеток почек африканской зеленой мартышки (VERO&amp;nbsp;B), инактивированные формальдегидом и лиофилизированные с добавлением в качестве стабилизатора сахарозо-желатозной среды;&lt;/li&gt;
&lt;li&gt;вспомогательные вещества: формальдегид не более 200&amp;nbsp;мкг/мл; гентамицина сульфат не более 40&amp;nbsp;мкг/мл, сахароза не более 0,075&amp;nbsp;г/мл; желатоза не более 0,01&amp;nbsp;г/мл.&lt;/li&gt;&lt;/ul&gt;</t>
  </si>
  <si>
    <r>
      <rPr>
        <sz val="10"/>
        <color theme="1"/>
        <rFont val="Arial"/>
      </rPr>
      <t xml:space="preserve">1 доза (0,5 мл) содержит 50 мкг антигена гликопротеина Е (gE)¹ вируса </t>
    </r>
    <r>
      <rPr>
        <i/>
        <sz val="10"/>
        <color theme="1"/>
        <rFont val="Arial"/>
      </rPr>
      <t>Varicella Zoster</t>
    </r>
    <r>
      <rPr>
        <sz val="10"/>
        <color theme="1"/>
        <rFont val="Arial"/>
      </rPr>
      <t xml:space="preserve"> с адъювантной системой AS01</t>
    </r>
    <r>
      <rPr>
        <sz val="6"/>
        <color theme="1"/>
        <rFont val="Arial"/>
      </rPr>
      <t>B</t>
    </r>
    <r>
      <rPr>
        <sz val="10"/>
        <color theme="1"/>
        <rFont val="Arial"/>
      </rPr>
      <t xml:space="preserve">².
¹ гликопротеин Е (gE) вируса </t>
    </r>
    <r>
      <rPr>
        <i/>
        <sz val="10"/>
        <color theme="1"/>
        <rFont val="Arial"/>
      </rPr>
      <t>Varicella Zoster</t>
    </r>
    <r>
      <rPr>
        <sz val="10"/>
        <color theme="1"/>
        <rFont val="Arial"/>
      </rPr>
      <t xml:space="preserve">, получен из штамма вируса </t>
    </r>
    <r>
      <rPr>
        <i/>
        <sz val="10"/>
        <color theme="1"/>
        <rFont val="Arial"/>
      </rPr>
      <t>Varicella Zoster</t>
    </r>
    <r>
      <rPr>
        <sz val="10"/>
        <color theme="1"/>
        <rFont val="Arial"/>
      </rPr>
      <t xml:space="preserve"> в клетках яичника китайского хомячка (СНО) по технологии рекомбинантной ДНК.
² адъювантная система AS01</t>
    </r>
    <r>
      <rPr>
        <sz val="6"/>
        <color theme="1"/>
        <rFont val="Arial"/>
      </rPr>
      <t>B</t>
    </r>
    <r>
      <rPr>
        <sz val="10"/>
        <color theme="1"/>
        <rFont val="Arial"/>
      </rPr>
      <t xml:space="preserve">, состоит из очищенных сапонинов </t>
    </r>
    <r>
      <rPr>
        <i/>
        <sz val="10"/>
        <color theme="1"/>
        <rFont val="Arial"/>
      </rPr>
      <t>Quillaja</t>
    </r>
    <r>
      <rPr>
        <sz val="10"/>
        <color theme="1"/>
        <rFont val="Arial"/>
      </rPr>
      <t xml:space="preserve">, полученных из растительного экстракта </t>
    </r>
    <r>
      <rPr>
        <i/>
        <sz val="10"/>
        <color theme="1"/>
        <rFont val="Arial"/>
      </rPr>
      <t>Quillaja saponaria Molina</t>
    </r>
    <r>
      <rPr>
        <sz val="10"/>
        <color theme="1"/>
        <rFont val="Arial"/>
      </rPr>
      <t xml:space="preserve">, фракция 21 (QS-21) (50 мкг) и 3-О-дезацилированного монофосфорил-липида А (МФЛ), полученного из </t>
    </r>
    <r>
      <rPr>
        <i/>
        <sz val="10"/>
        <color theme="1"/>
        <rFont val="Arial"/>
      </rPr>
      <t>Salmonella minnesota</t>
    </r>
    <r>
      <rPr>
        <sz val="10"/>
        <color theme="1"/>
        <rFont val="Arial"/>
      </rPr>
      <t xml:space="preserve"> (50 мкг).
Вспомогательные вещества, наличие которых надо учитывать в составе лекарственного препарата: натрия дигидрофосфата дигидрат 0,160 мг, динатрия гидрофосфат безводный 150 мкг, натрия хлорид 4,385 мг, калия дигидрофосфат 0,54 мг.
Перечень вспомогательных веществ:
</t>
    </r>
    <r>
      <rPr>
        <i/>
        <sz val="10"/>
        <color theme="1"/>
        <rFont val="Arial"/>
      </rPr>
      <t>Лиофилизат</t>
    </r>
    <r>
      <rPr>
        <sz val="10"/>
        <color theme="1"/>
        <rFont val="Arial"/>
      </rPr>
      <t xml:space="preserve">
Сахароза, полисорбат 80, натрия дигидрофосфата дигидрат, калия гидрофосфат.
</t>
    </r>
    <r>
      <rPr>
        <i/>
        <sz val="10"/>
        <color theme="1"/>
        <rFont val="Arial"/>
      </rPr>
      <t>Суспензия</t>
    </r>
    <r>
      <rPr>
        <sz val="10"/>
        <color theme="1"/>
        <rFont val="Arial"/>
      </rPr>
      <t xml:space="preserve">
3-О-дезацилированный монофосфорил-липид А (МФЛ), сапонины Quillaja очищенные (QS–21), диолеоила фосфатидилхолин, холестерин, динатрия гидрофосфат безводный, калия дигидрофосфат, натрия хлорид, вода для инъекций.</t>
    </r>
  </si>
  <si>
    <r>
      <rPr>
        <sz val="10"/>
        <color theme="1"/>
        <rFont val="Arial"/>
      </rPr>
      <t xml:space="preserve">&lt;p&gt;1&amp;nbsp;доза (0,5&amp;nbsp;мл) содержит 50&amp;nbsp;мкг антигена гликопротеина Е (gE)¹ вируса </t>
    </r>
    <r>
      <rPr>
        <i/>
        <sz val="10"/>
        <color theme="1"/>
        <rFont val="Arial"/>
      </rPr>
      <t>&lt;i&gt;Varicella Zoster&lt;/i&gt;</t>
    </r>
    <r>
      <rPr>
        <sz val="10"/>
        <color theme="1"/>
        <rFont val="Arial"/>
      </rPr>
      <t xml:space="preserve"> с адъювантной системой AS01&lt;sub&gt;B&lt;/sub&gt;².&lt;br&gt;&lt;br&gt;
¹&amp;nbsp;гликопротеин Е (gE) вируса &lt;i&gt;</t>
    </r>
    <r>
      <rPr>
        <i/>
        <sz val="10"/>
        <color theme="1"/>
        <rFont val="Arial"/>
      </rPr>
      <t>Varicella Zoster&lt;/i&gt;</t>
    </r>
    <r>
      <rPr>
        <sz val="10"/>
        <color theme="1"/>
        <rFont val="Arial"/>
      </rPr>
      <t xml:space="preserve">, получен из штамма вируса </t>
    </r>
    <r>
      <rPr>
        <i/>
        <sz val="10"/>
        <color theme="1"/>
        <rFont val="Arial"/>
      </rPr>
      <t>&lt;i&gt;Varicella Zoster&lt;/i&gt;</t>
    </r>
    <r>
      <rPr>
        <sz val="10"/>
        <color theme="1"/>
        <rFont val="Arial"/>
      </rPr>
      <t xml:space="preserve"> в клетках яичника китайского хомячка (СНО) по технологии рекомбинантной ДНК.&lt;br&gt;
²&amp;nbsp;адъювантная система AS01&lt;sub&gt;B&lt;/sub&gt;, состоит из очищенных сапонинов </t>
    </r>
    <r>
      <rPr>
        <i/>
        <sz val="10"/>
        <color theme="1"/>
        <rFont val="Arial"/>
      </rPr>
      <t>&lt;i&gt;Quillaja</t>
    </r>
    <r>
      <rPr>
        <sz val="10"/>
        <color theme="1"/>
        <rFont val="Arial"/>
      </rPr>
      <t xml:space="preserve">&lt;/i&gt;, полученных из растительного экстракта </t>
    </r>
    <r>
      <rPr>
        <i/>
        <sz val="10"/>
        <color theme="1"/>
        <rFont val="Arial"/>
      </rPr>
      <t>&lt;i&gt;Quillaja saponaria Molina&lt;/i&gt;</t>
    </r>
    <r>
      <rPr>
        <sz val="10"/>
        <color theme="1"/>
        <rFont val="Arial"/>
      </rPr>
      <t xml:space="preserve">, фракция&amp;nbsp;21 (QS-21) (50&amp;nbsp;мкг) и 3-О-дезацилированного монофосфорил-липида А (МФЛ), полученного из </t>
    </r>
    <r>
      <rPr>
        <i/>
        <sz val="10"/>
        <color theme="1"/>
        <rFont val="Arial"/>
      </rPr>
      <t>&lt;i&gt;Salmonella minnesota&lt;/i&gt;</t>
    </r>
    <r>
      <rPr>
        <sz val="10"/>
        <color theme="1"/>
        <rFont val="Arial"/>
      </rPr>
      <t xml:space="preserve"> (50&amp;nbsp;мкг).&lt;/p&gt;
&lt;p&gt;Вспомогательные вещества, наличие которых надо учитывать в составе лекарственного препарата: натрия дигидрофосфата дигидрат 0,160&amp;nbsp;мг, динатрия гидрофосфат безводный 150&amp;nbsp;мкг, натрия хлорид 4,385&amp;nbsp;мг, калия дигидрофосфат 0,54&amp;nbsp;мг.&lt;br&gt;&lt;br&gt;
Перечень вспомогательных веществ:&lt;br&gt;
</t>
    </r>
    <r>
      <rPr>
        <i/>
        <sz val="10"/>
        <color theme="1"/>
        <rFont val="Arial"/>
      </rPr>
      <t>&lt;i&gt;Лиофилизат&lt;/i&gt;&lt;br&gt;</t>
    </r>
    <r>
      <rPr>
        <sz val="10"/>
        <color theme="1"/>
        <rFont val="Arial"/>
      </rPr>
      <t xml:space="preserve">
Сахароза, полисорбат&amp;nbsp;80, натрия дигидрофосфата дигидрат, калия гидрофосфат.&lt;br&gt;
</t>
    </r>
    <r>
      <rPr>
        <i/>
        <sz val="10"/>
        <color theme="1"/>
        <rFont val="Arial"/>
      </rPr>
      <t>&lt;i&gt;Суспензия</t>
    </r>
    <r>
      <rPr>
        <sz val="10"/>
        <color theme="1"/>
        <rFont val="Arial"/>
      </rPr>
      <t>&lt;/i&gt;&lt;br&gt;
3-О-дезацилированный монофосфорил-липид А (МФЛ), сапонины Quillaja очищенные (QS–21), диолеоила фосфатидилхолин, холестерин, динатрия гидрофосфат безводный, калия дигидрофосфат, натрия хлорид, вода для инъекций.&lt;/p&gt;</t>
    </r>
  </si>
  <si>
    <r>
      <rPr>
        <sz val="10"/>
        <color theme="1"/>
        <rFont val="Arial"/>
      </rPr>
      <t xml:space="preserve">После восстановления 1 доза (0,5 мл) содержит:
• Вирус кори¹, штамм Эдмонстон-Загреб — не менее 1000 (3,0 lg) ТЦД₅₀²;
• Вирус паротита³, штамм Л-Загреб — не менее 5000 (3,7 lg) ТЦД₅₀²;
• Вирус краснухи¹, штамм Вистар RA 27/3 — не менее 1000 (3,0 lg) ТЦД₅₀².
¹ культивированный на диплоидных клетках человека MRC-5
² ТДЦ₅₀ — 50% тканевая цитопатогенная доза
³ культивированный на культуре клеток куриных фибробластов
Содержит следовые количества неомицина сульфата (остаточная технологическая примесь) — не более 2,5 мкг.
Перечень вспомогательных веществ
</t>
    </r>
    <r>
      <rPr>
        <i/>
        <sz val="10"/>
        <color theme="1"/>
        <rFont val="Arial"/>
      </rPr>
      <t>Лиофилизат:</t>
    </r>
    <r>
      <rPr>
        <sz val="10"/>
        <color theme="1"/>
        <rFont val="Arial"/>
      </rPr>
      <t xml:space="preserve">
• сорбитол;
• желатин;
• гистидин;
• аланин;
• трицин;
• аргинин;
• лактальбумин;
• среда МЕМ.
</t>
    </r>
    <r>
      <rPr>
        <i/>
        <sz val="10"/>
        <color theme="1"/>
        <rFont val="Arial"/>
      </rPr>
      <t>Растворитель:</t>
    </r>
    <r>
      <rPr>
        <sz val="10"/>
        <color theme="1"/>
        <rFont val="Arial"/>
      </rPr>
      <t xml:space="preserve">
• Вода для инъекций.</t>
    </r>
  </si>
  <si>
    <r>
      <rPr>
        <sz val="10"/>
        <color theme="1"/>
        <rFont val="Arial"/>
      </rPr>
      <t xml:space="preserve">&lt;p&gt;После восстановления 1&amp;nbsp;доза (0,5&amp;nbsp;мл) содержит: 
&lt;ul&gt;&lt;li&gt;Вирус кори¹, штамм Эдмонстон-Загреб — не менее 1000&amp;nbsp;(3,0&amp;nbsp;lg)&amp;nbsp;ТЦД₅₀²;&lt;/li&gt;
&lt;li&gt;Вирус паротита³, штамм Л-Загреб — не менее 5000&amp;nbsp;(3,7&amp;nbsp;lg)&amp;nbsp;ТЦД₅₀²;&lt;/li&gt;
&lt;li&gt;Вирус краснухи¹, штамм Вистар RA 27/3 — не менее 1000&amp;nbsp;(3,0&amp;nbsp;lg)&amp;nbsp;ТЦД₅₀².&lt;/li&gt;&lt;/ul&gt;
¹&amp;nbsp;культивированный на диплоидных клетках человека MRC-5&lt;br&gt;
²&amp;nbsp;ТДЦ₅₀ — 50% тканевая цитопатогенная доза&lt;br&gt;
³&amp;nbsp;культивированный на культуре клеток куриных фибробластов&lt;br&gt;&lt;br&gt;
Содержит следовые количества неомицина сульфата (остаточная технологическая примесь) — не более 2,5&amp;nbsp;мкг.&lt;br&gt;&lt;br&gt;
Перечень вспомогательных веществ&lt;br&gt;&lt;br&gt;
</t>
    </r>
    <r>
      <rPr>
        <i/>
        <sz val="10"/>
        <color theme="1"/>
        <rFont val="Arial"/>
      </rPr>
      <t>&lt;i&gt;Лиофилизат:&lt;/i&gt;</t>
    </r>
    <r>
      <rPr>
        <sz val="10"/>
        <color theme="1"/>
        <rFont val="Arial"/>
      </rPr>
      <t xml:space="preserve">
&lt;ul&gt;&lt;li&gt;сорбитол;&lt;/li&gt;
&lt;li&gt;желатин;&lt;/li&gt;
&lt;li&gt;гистидин;&lt;/li&gt;
&lt;li&gt;аланин;&lt;/li&gt;
&lt;li&gt;трицин;&lt;/li&gt;
&lt;li&gt;аргинин;&lt;/li&gt;
&lt;li&gt;лактальбумин;&lt;/li&gt;
&lt;li&gt;среда МЕМ.&lt;/li&gt;&lt;/ul&gt;
</t>
    </r>
    <r>
      <rPr>
        <i/>
        <sz val="10"/>
        <color theme="1"/>
        <rFont val="Arial"/>
      </rPr>
      <t>&lt;i&gt;Растворитель:&lt;/i&gt;</t>
    </r>
    <r>
      <rPr>
        <sz val="10"/>
        <color theme="1"/>
        <rFont val="Arial"/>
      </rPr>
      <t xml:space="preserve">
&lt;ul&gt;&lt;li&gt;Вода для инъекций.&lt;/li&gt;&lt;/ul&gt;&lt;/p&gt;</t>
    </r>
  </si>
  <si>
    <r>
      <rPr>
        <sz val="10"/>
        <color theme="1"/>
        <rFont val="Arial"/>
      </rPr>
      <t xml:space="preserve">1 доза (0,5 мл) содержит:
• Капсульный полисахарид </t>
    </r>
    <r>
      <rPr>
        <i/>
        <sz val="10"/>
        <color theme="1"/>
        <rFont val="Arial"/>
      </rPr>
      <t>Haemophilus influenzae</t>
    </r>
    <r>
      <rPr>
        <sz val="10"/>
        <color theme="1"/>
        <rFont val="Arial"/>
      </rPr>
      <t xml:space="preserve"> тип </t>
    </r>
    <r>
      <rPr>
        <i/>
        <sz val="10"/>
        <color theme="1"/>
        <rFont val="Arial"/>
      </rPr>
      <t>b</t>
    </r>
    <r>
      <rPr>
        <sz val="10"/>
        <color theme="1"/>
        <rFont val="Arial"/>
      </rPr>
      <t xml:space="preserve"> (полирибозилрибитолфосфат) — 11,9 мкг,
конъюгированный со столбнячным анатоксином — 11,9 мкг.
Перечень вспомогательных веществ:
• Сахароза;
• Трометамол.</t>
    </r>
  </si>
  <si>
    <r>
      <rPr>
        <sz val="10"/>
        <color theme="1"/>
        <rFont val="Arial"/>
      </rPr>
      <t xml:space="preserve">&lt;p&gt;1&amp;nbsp;доза (0,5&amp;nbsp;мл) содержит:
&lt;ul&gt;&lt;li&gt;Капсульный полисахарид </t>
    </r>
    <r>
      <rPr>
        <i/>
        <sz val="10"/>
        <color theme="1"/>
        <rFont val="Arial"/>
      </rPr>
      <t>&lt;i&gt;Haemophilus influenzae</t>
    </r>
    <r>
      <rPr>
        <sz val="10"/>
        <color theme="1"/>
        <rFont val="Arial"/>
      </rPr>
      <t>&lt;/i&gt; тип &lt;i&gt;</t>
    </r>
    <r>
      <rPr>
        <i/>
        <sz val="10"/>
        <color theme="1"/>
        <rFont val="Arial"/>
      </rPr>
      <t>b</t>
    </r>
    <r>
      <rPr>
        <sz val="10"/>
        <color theme="1"/>
        <rFont val="Arial"/>
      </rPr>
      <t>&lt;/i&gt; (полирибозилрибитолфосфат) — 11,9&amp;nbsp;мкг,&lt;br&gt;
конъюгированный со столбнячным анатоксином — 11,9&amp;nbsp;мкг.&lt;/li&gt;&lt;/ul&gt;
Перечень вспомогательных веществ:
&lt;ul&gt;&lt;li&gt;Сахароза;&lt;/li&gt;
&lt;li&gt;Трометамол.&lt;/li&gt;&lt;/ul&gt;&lt;/p&gt;</t>
    </r>
  </si>
  <si>
    <t>Разовая доза препарата (0,5 мл) содержит: 5 флокулирующих единиц (Lf) дифтерийного анатоксина, от 0,25 до 0,55 мг алюминия гидроксида в пересчете на алюминий (сорбент), от 42,5 до 57,5 мкг тиомерсала (консервант).</t>
  </si>
  <si>
    <t>&lt;p&gt;Разовая доза препарата (0,5&amp;nbsp;мл) содержит: 5&amp;nbsp;флокулирующих единиц (Lf) дифтерийного анатоксина, от 0,25 до 0,55&amp;nbsp;мг алюминия гидроксида в пересчете на алюминий (сорбент), от 42,5 до 57,5&amp;nbsp;мкг тиомерсала (консервант).&lt;/p&gt;</t>
  </si>
  <si>
    <r>
      <rPr>
        <sz val="10"/>
        <color theme="1"/>
        <rFont val="Arial"/>
      </rPr>
      <t xml:space="preserve">В 1 дозе (1 мл) содержится:
</t>
    </r>
    <r>
      <rPr>
        <i/>
        <sz val="10"/>
        <color theme="1"/>
        <rFont val="Arial"/>
      </rPr>
      <t>Действующее вещество:</t>
    </r>
    <r>
      <rPr>
        <sz val="10"/>
        <color theme="1"/>
        <rFont val="Arial"/>
      </rPr>
      <t xml:space="preserve">
• Анатоксин столбнячный — 40 ЕС;
</t>
    </r>
    <r>
      <rPr>
        <i/>
        <sz val="10"/>
        <color theme="1"/>
        <rFont val="Arial"/>
      </rPr>
      <t>Вспомогательные вещества:</t>
    </r>
    <r>
      <rPr>
        <sz val="10"/>
        <color theme="1"/>
        <rFont val="Arial"/>
      </rPr>
      <t xml:space="preserve">
• Алюминия гидроксид (в пересчете на алюминий Al³⁺) — не более 1,1 мг;
• Консервант – тиомерсал — от 85 до 115 мкг;
• Формальдегид — не более 200 мкг.
Удельная активность столбнячного анатоксина не менее 1000 ЕС/мг белкового азота.</t>
    </r>
  </si>
  <si>
    <t>&lt;p&gt;В 1&amp;nbsp;дозе (1&amp;nbsp;мл) содержится:&lt;br&gt;&lt;br&gt;
&lt;i&gt;Действующее вещество:&lt;/i&gt;
&lt;ul&gt;&lt;li&gt;Анатоксин столбнячный — 40&amp;nbsp;ЕС;&lt;/li&gt;&lt;/ul&gt;
&lt;i&gt;Вспомогательные вещества:&lt;/i&gt;
&lt;ul&gt;&lt;li&gt;Алюминия гидроксид (в пересчете на алюминий Al³⁺) — не более 1,1&amp;nbsp;мг;&lt;/li&gt;
&lt;li&gt;Консервант – тиомерсал — от 85 до 115&amp;nbsp;мкг;&lt;/li&gt;
&lt;li&gt;Формальдегид — не более 200&amp;nbsp;мкг.&lt;/li&gt;&lt;/ul&gt;
Удельная активность столбнячного анатоксина не менее 1000&amp;nbsp;ЕС/мг белкового азота.&lt;/p&gt;</t>
  </si>
  <si>
    <r>
      <rPr>
        <sz val="10"/>
        <color theme="1"/>
        <rFont val="Arial"/>
      </rPr>
      <t xml:space="preserve">1 доза вакцины содержит:
</t>
    </r>
    <r>
      <rPr>
        <i/>
        <sz val="10"/>
        <color theme="1"/>
        <rFont val="Arial"/>
      </rPr>
      <t>Действующее вещество</t>
    </r>
    <r>
      <rPr>
        <sz val="10"/>
        <color theme="1"/>
        <rFont val="Arial"/>
      </rPr>
      <t xml:space="preserve">: вирус осповакцины – не менее 10⁶ оспообразующих единиц (ООЕ).
</t>
    </r>
    <r>
      <rPr>
        <i/>
        <sz val="10"/>
        <color theme="1"/>
        <rFont val="Arial"/>
      </rPr>
      <t>Вспомогательные вещества</t>
    </r>
    <r>
      <rPr>
        <sz val="10"/>
        <color theme="1"/>
        <rFont val="Arial"/>
      </rPr>
      <t>:
Пептон
Глицерина раствор 50% (растворитель):
• глицерин;
• фосфатно-цитратный буферный раствор Мак-Ильвейна 0,004 М (кислота лимонная моногидрат; динатрия гидрофосфат безводный, или динатрия гидрофосфат дигидрат, или динатрия гидрофосфат додекагидрат; вода очищенная).</t>
    </r>
  </si>
  <si>
    <r>
      <rPr>
        <sz val="10"/>
        <color theme="1"/>
        <rFont val="Arial"/>
      </rPr>
      <t xml:space="preserve">&lt;p&gt;1&amp;nbsp;доза вакцины содержит:&lt;br&gt;&lt;br&gt;
</t>
    </r>
    <r>
      <rPr>
        <i/>
        <sz val="10"/>
        <color theme="1"/>
        <rFont val="Arial"/>
      </rPr>
      <t>&lt;i&gt;Действующее вещество:&lt;/i&gt;</t>
    </r>
    <r>
      <rPr>
        <sz val="10"/>
        <color theme="1"/>
        <rFont val="Arial"/>
      </rPr>
      <t xml:space="preserve"> вирус осповакцины – не менее 10⁶&amp;nbsp;оспообразующих единиц (ООЕ).&lt;br&gt;&lt;br&gt;
</t>
    </r>
    <r>
      <rPr>
        <i/>
        <sz val="10"/>
        <color theme="1"/>
        <rFont val="Arial"/>
      </rPr>
      <t>&lt;i&gt;Вспомогательные вещества:&lt;/i&gt;</t>
    </r>
    <r>
      <rPr>
        <sz val="10"/>
        <color theme="1"/>
        <rFont val="Arial"/>
      </rPr>
      <t>&lt;br&gt;
Пептон&lt;br&gt;
Глицерина раствор 50% (растворитель):
&lt;ul&gt;&lt;li&gt;глицерин;&lt;/l&gt;
&lt;li&gt;фосфатно-цитратный буферный раствор Мак-Ильвейна 0,004&amp;nbsp;М (кислота лимонная моногидрат; динатрия гидрофосфат безводный, или динатрия гидрофосфат дигидрат, или динатрия гидрофосфат додекагидрат; вода очищенная).&lt;/li&gt;&lt;/ul&gt;&lt;/p&gt;</t>
    </r>
  </si>
  <si>
    <r>
      <rPr>
        <sz val="10"/>
        <color theme="1"/>
        <rFont val="Arial"/>
      </rPr>
      <t xml:space="preserve">В 1 дозе (0,5 мл) содержится:
</t>
    </r>
    <r>
      <rPr>
        <b/>
        <sz val="10"/>
        <color theme="1"/>
        <rFont val="Arial"/>
      </rPr>
      <t>Препарат с консервантом</t>
    </r>
    <r>
      <rPr>
        <sz val="10"/>
        <color theme="1"/>
        <rFont val="Arial"/>
      </rPr>
      <t xml:space="preserve">
</t>
    </r>
    <r>
      <rPr>
        <i/>
        <sz val="10"/>
        <color theme="1"/>
        <rFont val="Arial"/>
      </rPr>
      <t>Действующие вещества:</t>
    </r>
    <r>
      <rPr>
        <sz val="10"/>
        <color theme="1"/>
        <rFont val="Arial"/>
      </rPr>
      <t xml:space="preserve">
• Анатоксин дифтерийный¹ — 15 флокулирующих единиц (Lf);
• Анатоксин столбнячный¹ — 5 единиц связывания (ЕC);
• Коклюшная суспензия инактивированная — 10 млрд коклюшных микробных клеток;
• HBsAg¹ — 5 мкг.
</t>
    </r>
    <r>
      <rPr>
        <i/>
        <sz val="10"/>
        <color theme="1"/>
        <rFont val="Arial"/>
      </rPr>
      <t>Вспомогательные вещества:</t>
    </r>
    <r>
      <rPr>
        <sz val="10"/>
        <color theme="1"/>
        <rFont val="Arial"/>
      </rPr>
      <t xml:space="preserve">
• Консервант – тиомерсал.
¹ — Адсорбированный на алюминия гидроксиде (в пересчете на Al³⁺) — не более 0,55 мг.
</t>
    </r>
    <r>
      <rPr>
        <b/>
        <sz val="10"/>
        <color theme="1"/>
        <rFont val="Arial"/>
      </rPr>
      <t>Препарат без консерванта</t>
    </r>
    <r>
      <rPr>
        <sz val="10"/>
        <color theme="1"/>
        <rFont val="Arial"/>
      </rPr>
      <t xml:space="preserve">
</t>
    </r>
    <r>
      <rPr>
        <i/>
        <sz val="10"/>
        <color theme="1"/>
        <rFont val="Arial"/>
      </rPr>
      <t>Действующие вещества:</t>
    </r>
    <r>
      <rPr>
        <sz val="10"/>
        <color theme="1"/>
        <rFont val="Arial"/>
      </rPr>
      <t xml:space="preserve">
• Анатоксин дифтерийный¹ — 15 флокулирующих единиц (Lf);
• Анатоксин столбнячный¹ — 5 единиц связывания (ЕC);
• Коклюшная суспензия инактивированная без тиомерсала — 10 млрд коклюшных микробных клеток;
• HBsAg¹ — 5 мкг.
¹ — Адсорбированный на алюминия гидроксиде (в пересчете на Al³⁺) — не более 0,55 мг.
Вакцина может содержать остаточные производственные примеси: формальдегид (не более 50 мкг).</t>
    </r>
  </si>
  <si>
    <r>
      <rPr>
        <sz val="10"/>
        <color theme="1"/>
        <rFont val="Arial"/>
      </rPr>
      <t xml:space="preserve">&lt;p&gt;В 1&amp;nbsp;дозе (0,5&amp;nbsp;мл) содержится:&lt;/p&gt;
</t>
    </r>
    <r>
      <rPr>
        <b/>
        <sz val="10"/>
        <color theme="1"/>
        <rFont val="Arial"/>
      </rPr>
      <t>&lt;p&gt;&lt;b&gt;Препарат с консервантом</t>
    </r>
    <r>
      <rPr>
        <sz val="10"/>
        <color theme="1"/>
        <rFont val="Arial"/>
      </rPr>
      <t xml:space="preserve">&lt;/b&gt;&lt;br&gt;&lt;br&gt;
</t>
    </r>
    <r>
      <rPr>
        <i/>
        <sz val="10"/>
        <color theme="1"/>
        <rFont val="Arial"/>
      </rPr>
      <t>&lt;i&gt;Действующие вещества:</t>
    </r>
    <r>
      <rPr>
        <sz val="10"/>
        <color theme="1"/>
        <rFont val="Arial"/>
      </rPr>
      <t xml:space="preserve">&lt;/i&gt;
&lt;ul&gt;&lt;li&gt;Анатоксин дифтерийный¹ — 15&amp;nbsp;флокулирующих единиц (Lf);&lt;/li&gt;
&lt;li&gt;Анатоксин столбнячный¹ — 5&amp;nbsp;единиц связывания (ЕC);&lt;/li&gt;
&lt;li&gt;Коклюшная суспензия инактивированная — 10&amp;nbsp;млрд коклюшных микробных клеток;&lt;/li&gt;
&lt;li&gt;HBsAg¹ — 5&amp;nbsp;мкг.&lt;/li&gt;&lt;/ul&gt;
</t>
    </r>
    <r>
      <rPr>
        <i/>
        <sz val="10"/>
        <color theme="1"/>
        <rFont val="Arial"/>
      </rPr>
      <t>&lt;i&gt;Вспомогательные вещества:</t>
    </r>
    <r>
      <rPr>
        <sz val="10"/>
        <color theme="1"/>
        <rFont val="Arial"/>
      </rPr>
      <t xml:space="preserve">&lt;/i&gt;
&lt;ul&gt;&lt;li&gt;Консервант – тиомерсал.&lt;/li&gt;&lt;/ul&gt;
¹ — Адсорбированный на алюминия гидроксиде (в пересчете на Al³⁺) — не более 0,55&amp;nbsp;мг.&lt;/p&gt;
</t>
    </r>
    <r>
      <rPr>
        <b/>
        <sz val="10"/>
        <color theme="1"/>
        <rFont val="Arial"/>
      </rPr>
      <t>&lt;p&gt;&lt;b&gt;Препарат без консерванта</t>
    </r>
    <r>
      <rPr>
        <sz val="10"/>
        <color theme="1"/>
        <rFont val="Arial"/>
      </rPr>
      <t xml:space="preserve">&lt;/b&gt;&lt;br&gt;&lt;br&gt;
</t>
    </r>
    <r>
      <rPr>
        <i/>
        <sz val="10"/>
        <color theme="1"/>
        <rFont val="Arial"/>
      </rPr>
      <t>&lt;i&gt;Действующие вещества:</t>
    </r>
    <r>
      <rPr>
        <sz val="10"/>
        <color theme="1"/>
        <rFont val="Arial"/>
      </rPr>
      <t>&lt;/i&gt;
&lt;ul&gt;&lt;li&gt;Анатоксин дифтерийный¹ — 15&amp;nbsp;флокулирующих единиц (Lf);&lt;/li&gt;
&lt;li&gt;Анатоксин столбнячный¹ — 5&amp;nbsp;единиц связывания (ЕC);&lt;/li&gt;
&lt;li&gt;Коклюшная суспензия инактивированная без тиомерсала — 10&amp;nbsp;млрд коклюшных микробных клеток;&lt;/li&gt;
&lt;li&gt;HBsAg¹ — 5&amp;nbsp;мкг.&lt;/li&gt;&lt;/ul&gt;
¹ — Адсорбированный на алюминия гидроксиде (в пересчете на Al³⁺) — не более 0,55&amp;nbsp;мг.&lt;/p&gt;
&lt;p&gt;Вакцина может содержать остаточные производственные примеси: формальдегид (не более 50&amp;nbsp;мкг).&lt;/p&gt;</t>
    </r>
  </si>
  <si>
    <r>
      <rPr>
        <sz val="10"/>
        <color theme="1"/>
        <rFont val="Arial"/>
      </rPr>
      <t xml:space="preserve">1 доза вакцины содержит:
</t>
    </r>
    <r>
      <rPr>
        <i/>
        <sz val="10"/>
        <color theme="1"/>
        <rFont val="Arial"/>
      </rPr>
      <t>Действующие вещества:</t>
    </r>
    <r>
      <rPr>
        <sz val="10"/>
        <color theme="1"/>
        <rFont val="Arial"/>
      </rPr>
      <t xml:space="preserve">
• живые риккетсии Провачека¹ аттенуированного (вакцинного) штамма Е — 1000-100000 минимальных инфицирующих доз риккетсий для развивающихся куриных эмбрионов (МИДэ);
• растворимый антиген из риккетсий Провачека¹ вирулентного штамма Брейнль — не менее 16 антигенных единиц.
¹ — Получены с использованием клеток куриных эмбрионов.
</t>
    </r>
    <r>
      <rPr>
        <i/>
        <sz val="10"/>
        <color theme="1"/>
        <rFont val="Arial"/>
      </rPr>
      <t>Перечень вспомогательных веществ:</t>
    </r>
    <r>
      <rPr>
        <sz val="10"/>
        <color theme="1"/>
        <rFont val="Arial"/>
      </rPr>
      <t xml:space="preserve">
• Молоко питьевое обезжиренное стерильное.</t>
    </r>
  </si>
  <si>
    <t>&lt;p&gt;1&amp;nbsp;доза вакцины содержит:&lt;/p&gt;
&lt;p&gt;&lt;i&gt;Действующие вещества:&lt;/i&gt;
&lt;ul&gt;&lt;li&gt;живые риккетсии Провачека¹ аттенуированного (вакцинного) штамма Е — 1000-100000&amp;nbsp;минимальных инфицирующих доз риккетсий для развивающихся куриных эмбрионов (МИДэ);&lt;/li&gt;
&lt;li&gt;растворимый антиген из риккетсий Провачека¹ вирулентного штамма Брейнль — не менее 16&amp;nbsp;антигенных единиц.&lt;/li&gt;&lt;/ul&gt;
¹ — Получены с использованием клеток куриных эмбрионов.&lt;br&gt;&lt;br&gt;
&lt;i&gt;Перечень вспомогательных веществ:&lt;/i&gt;
&lt;ul&gt;&lt;li&gt;Молоко питьевое обезжиренное стерильное.&lt;/li&gt;&lt;/ul&gt;&lt;/p&gt;</t>
  </si>
  <si>
    <r>
      <rPr>
        <sz val="10"/>
        <color theme="1"/>
        <rFont val="Arial"/>
      </rPr>
      <t xml:space="preserve">1 доза вакцины (лиофилизат из 0,5 мл) содержит:
</t>
    </r>
    <r>
      <rPr>
        <i/>
        <sz val="10"/>
        <color theme="1"/>
        <rFont val="Arial"/>
      </rPr>
      <t>Действующее вещество:</t>
    </r>
    <r>
      <rPr>
        <sz val="10"/>
        <color theme="1"/>
        <rFont val="Arial"/>
      </rPr>
      <t xml:space="preserve">
• Инактивированный антиген вируса осповакцины — 50 мкг.
</t>
    </r>
    <r>
      <rPr>
        <i/>
        <sz val="10"/>
        <color theme="1"/>
        <rFont val="Arial"/>
      </rPr>
      <t>Перечень вспомогательных веществ:</t>
    </r>
    <r>
      <rPr>
        <sz val="10"/>
        <color theme="1"/>
        <rFont val="Arial"/>
      </rPr>
      <t xml:space="preserve">
• Желатин.
• Сахароза.
• Кислота лимонная моногидрат.
• Динатрия гидрофосфат безводный (или динатрия гидрофосфат дигидрат, или динатрия гидрофосфат додекагидрат).</t>
    </r>
  </si>
  <si>
    <t>&lt;p&gt;1&amp;nbsp;доза вакцины (лиофилизат из 0,5&amp;nbsp;мл) содержит:&lt;/p&gt;
&lt;p&gt;&lt;i&gt;Действующее вещество:&lt;/i&gt;
&lt;ul&gt;&lt;li&gt;Инактивированный антиген вируса осповакцины — 50&amp;nbsp;мкг.&lt;/li&gt;&lt;/ul&gt;
&lt;i&gt;Перечень вспомогательных веществ:&lt;/i&gt;
&lt;ul&gt;&lt;li&gt;Желатин.&lt;/li&gt;
&lt;li&gt;Сахароза.&lt;/li&gt;
&lt;li&gt;Кислота лимонная моногидрат.&lt;/li&gt;
&lt;li&gt;Динатрия гидрофосфат безводный (или динатрия гидрофосфат дигидрат, или динатрия гидрофосфат додекагидрат).&lt;/li&gt;&lt;/ul&gt;&lt;/p&gt;</t>
  </si>
  <si>
    <r>
      <rPr>
        <sz val="10"/>
        <color theme="1"/>
        <rFont val="Arial"/>
      </rPr>
      <t xml:space="preserve">1 мл препарата содержит:
• Инактивированная культура гонококков — 10 ME*.
Примечание.
* международных единиц ОСО мутности бактериальных взвесей.
</t>
    </r>
    <r>
      <rPr>
        <i/>
        <sz val="10"/>
        <color theme="1"/>
        <rFont val="Arial"/>
      </rPr>
      <t>Перечень вспомогательных веществ:</t>
    </r>
    <r>
      <rPr>
        <sz val="10"/>
        <color theme="1"/>
        <rFont val="Arial"/>
      </rPr>
      <t xml:space="preserve">
• Натрия хлорид;
• Фенол;
• Вода для инъекций.</t>
    </r>
  </si>
  <si>
    <r>
      <rPr>
        <sz val="10"/>
        <color theme="1"/>
        <rFont val="Arial"/>
      </rPr>
      <t xml:space="preserve">&lt;p&gt;1&amp;nbsp;мл препарата содержит:
&lt;ul&gt;&lt;li&gt;Инактивированная культура гонококков — 10&amp;nbsp;ME*.&lt;/li&gt;&lt;/ul&gt;
Примечание.&lt;br&gt;
*&amp;nbsp;международных единиц ОСО мутности бактериальных взвесей.&lt;/p&gt;
</t>
    </r>
    <r>
      <rPr>
        <i/>
        <sz val="10"/>
        <color theme="1"/>
        <rFont val="Arial"/>
      </rPr>
      <t>&lt;p&gt;&lt;i&gt;Перечень вспомогательных веществ:</t>
    </r>
    <r>
      <rPr>
        <sz val="10"/>
        <color theme="1"/>
        <rFont val="Arial"/>
      </rPr>
      <t>&lt;/i&gt;
&lt;ul&gt;&lt;li&gt;Натрия хлорид;&lt;/li&gt;
&lt;li&gt;Фенол;&lt;/li&gt;
&lt;li&gt;Вода для инъекций.&lt;/li&gt;&lt;/ul&gt;&lt;/p&gt;</t>
    </r>
  </si>
  <si>
    <r>
      <rPr>
        <sz val="10"/>
        <color theme="1"/>
        <rFont val="Arial"/>
      </rPr>
      <t xml:space="preserve">Состав на 1 дозу (0,2 мл) содержит:
• Вирус осповакцины, штамм Л-ИВП с шестью нарушенными генами вирулентности C3L, N1L, J2R, A35R, А56R, B8R (вирус осповакцины штамм VACΔ6¹) живой, аттенуированный — 10⁷ ООЕ²
¹ — получен с использованием перевиваемой линии клеток 4647 почки африканской зеленой мартышки;
² — оспообразующих единиц.
</t>
    </r>
    <r>
      <rPr>
        <i/>
        <sz val="10"/>
        <color theme="1"/>
        <rFont val="Arial"/>
      </rPr>
      <t>Перечень вспомогательных веществ:</t>
    </r>
    <r>
      <rPr>
        <sz val="10"/>
        <color theme="1"/>
        <rFont val="Arial"/>
      </rPr>
      <t xml:space="preserve">
• Пептон;
• Сахароза;
• Желатин;
• Натрия хлорид раствор для инфузий.</t>
    </r>
  </si>
  <si>
    <r>
      <rPr>
        <sz val="10"/>
        <color theme="1"/>
        <rFont val="Arial"/>
      </rPr>
      <t xml:space="preserve">&lt;p&gt;Состав на 1&amp;nbsp;дозу (0,2&amp;nbsp;мл) содержит:
&lt;ul&gt;&lt;li&gt;Вирус осповакцины, штамм Л-ИВП с шестью нарушенными генами вирулентности C3L, N1L, J2R, A35R, А56R, B8R (вирус осповакцины штамм VACΔ6¹) живой, аттенуированный — 10⁷&amp;nbsp;ООЕ²&lt;/li&gt;&lt;/ul&gt;
¹ — получен с использованием перевиваемой линии клеток 4647 почки африканской зеленой мартышки;&lt;br&gt;
² — оспообразующих единиц.&lt;br&gt;&lt;br&gt;
</t>
    </r>
    <r>
      <rPr>
        <i/>
        <sz val="10"/>
        <color theme="1"/>
        <rFont val="Arial"/>
      </rPr>
      <t>&lt;i&gt;Перечень вспомогательных веществ:</t>
    </r>
    <r>
      <rPr>
        <sz val="10"/>
        <color theme="1"/>
        <rFont val="Arial"/>
      </rPr>
      <t>&lt;/i&gt;
&lt;ul&gt;&lt;li&gt;Пептон;&lt;/li&gt;
&lt;li&gt;Сахароза;&lt;/li&gt;
&lt;li&gt;Желатин;&lt;/li&gt;
&lt;li&gt;Натрия хлорид раствор для инфузий.&lt;/li&gt;&lt;/ul&gt;&lt;/p&gt;</t>
    </r>
  </si>
  <si>
    <r>
      <rPr>
        <sz val="10"/>
        <color theme="1"/>
        <rFont val="Arial"/>
      </rPr>
      <t xml:space="preserve">1 доза (0,5 мл) содержит 125 мкг модифицированных липополисахаридов </t>
    </r>
    <r>
      <rPr>
        <i/>
        <sz val="10"/>
        <color theme="1"/>
        <rFont val="Arial"/>
      </rPr>
      <t>Shigella flexneri</t>
    </r>
    <r>
      <rPr>
        <sz val="10"/>
        <color theme="1"/>
        <rFont val="Arial"/>
      </rPr>
      <t xml:space="preserve">¹:
• штамм 2a № 1605-8 — 25 мкг;
• штамм Зa № 2167 — 25 мкг;
• штамм 1b № 1818 — 25 мкг;
• штамм Ү № 2643 — 25 мкг;
• штамм 6 № 281-55 — 25 мкг.
¹ Получены из культуры </t>
    </r>
    <r>
      <rPr>
        <i/>
        <sz val="10"/>
        <color theme="1"/>
        <rFont val="Arial"/>
      </rPr>
      <t>Shigella flexneri</t>
    </r>
    <r>
      <rPr>
        <sz val="10"/>
        <color theme="1"/>
        <rFont val="Arial"/>
      </rPr>
      <t xml:space="preserve"> и очищены ферментативными и физико-химическими методами.
</t>
    </r>
    <r>
      <rPr>
        <i/>
        <sz val="10"/>
        <color theme="1"/>
        <rFont val="Arial"/>
      </rPr>
      <t>Перечень вспомогательных веществ:</t>
    </r>
    <r>
      <rPr>
        <sz val="10"/>
        <color theme="1"/>
        <rFont val="Arial"/>
      </rPr>
      <t xml:space="preserve">
• Фенол;
• Натрия хлорид;
• Динатрия гидрофосфат гептагидрат;
• Натрия дигидрофосфат дигидрат;
• Вода для инъекций.</t>
    </r>
  </si>
  <si>
    <r>
      <rPr>
        <sz val="10"/>
        <color theme="1"/>
        <rFont val="Arial"/>
      </rPr>
      <t>&lt;p&gt;1&amp;nbsp;доза (0,5&amp;nbsp;мл) содержит 125&amp;nbsp;мкг модифицированных липополисахаридов &lt;i&gt;</t>
    </r>
    <r>
      <rPr>
        <i/>
        <sz val="10"/>
        <color theme="1"/>
        <rFont val="Arial"/>
      </rPr>
      <t>Shigella flexneri&lt;/i&gt;</t>
    </r>
    <r>
      <rPr>
        <sz val="10"/>
        <color theme="1"/>
        <rFont val="Arial"/>
      </rPr>
      <t xml:space="preserve">¹:
&lt;ul&gt;&lt;li&gt;штамм&amp;nbsp;2a №&amp;nbsp;1605-8 — 25&amp;nbsp;мкг;&lt;/li&gt;
&lt;li&gt;штамм&amp;nbsp;Зa №&amp;nbsp;2167 — 25&amp;nbsp;мкг;&lt;/li&gt;
&lt;li&gt;штамм&amp;nbsp;1b №&amp;nbsp;1818 — 25&amp;nbsp;мкг;&lt;/li&gt;
&lt;li&gt;штамм&amp;nbsp;Ү №&amp;nbsp;2643 — 25&amp;nbsp;мкг;&lt;/li&gt;
&lt;li&gt;штамм&amp;nbsp;6 №&amp;nbsp;281-55 — 25&amp;nbsp;мкг.&lt;/li&gt;&lt;/ul&gt;
¹&amp;nbsp;Получены из культуры </t>
    </r>
    <r>
      <rPr>
        <i/>
        <sz val="10"/>
        <color theme="1"/>
        <rFont val="Arial"/>
      </rPr>
      <t>&lt;i&gt;Shigella flexneri&lt;/i&gt;</t>
    </r>
    <r>
      <rPr>
        <sz val="10"/>
        <color theme="1"/>
        <rFont val="Arial"/>
      </rPr>
      <t xml:space="preserve"> и очищены ферментативными и физико-химическими методами.&lt;br&gt;&lt;br&gt;
</t>
    </r>
    <r>
      <rPr>
        <i/>
        <sz val="10"/>
        <color theme="1"/>
        <rFont val="Arial"/>
      </rPr>
      <t>&lt;i&gt;Перечень вспомогательных веществ:</t>
    </r>
    <r>
      <rPr>
        <sz val="10"/>
        <color theme="1"/>
        <rFont val="Arial"/>
      </rPr>
      <t>&lt;/i&gt;
&lt;ul&gt;&lt;li&gt;Фенол;&lt;/li&gt;
&lt;li&gt;Натрия хлорид;&lt;/li&gt;
&lt;li&gt;Динатрия гидрофосфат гептагидрат;&lt;/li&gt;
&lt;li&gt;Натрия дигидрофосфат дигидрат;&lt;/li&gt;
&lt;li&gt;Вода для инъекций.&lt;/li&gt;&lt;/ul&gt;&lt;/p&gt;</t>
    </r>
  </si>
  <si>
    <r>
      <rPr>
        <i/>
        <sz val="10"/>
        <color theme="1"/>
        <rFont val="Arial"/>
      </rPr>
      <t>Действующее вещество:</t>
    </r>
    <r>
      <rPr>
        <sz val="10"/>
        <color theme="1"/>
        <rFont val="Arial"/>
      </rPr>
      <t xml:space="preserve">
• Вирус желтой лихорадки штамм «17Д» — не менее 1600 БОЕ (3,2 log₁₀ БОЕ) или 3,0 log₁₀ МЕ вируса
</t>
    </r>
    <r>
      <rPr>
        <i/>
        <sz val="10"/>
        <color theme="1"/>
        <rFont val="Arial"/>
      </rPr>
      <t>Вспомогательные вещества (расчетное количество):</t>
    </r>
    <r>
      <rPr>
        <sz val="10"/>
        <color theme="1"/>
        <rFont val="Arial"/>
      </rPr>
      <t xml:space="preserve">
• Лактозы моногидрат — 20 мг
• Сорбитол — 10 мг
• L-гистидин — 1,2 мг
• L-аланин — 0,7 мг
• Желатин — 5 мг
Вакцина выпускается в комплекте с растворителем — вода для инъекций. Одна доза восстановленного препарата составляет 0,5 мл.
Вакцина не содержит консервантов и антибиотиков.</t>
    </r>
  </si>
  <si>
    <t>&lt;p&gt;&lt;i&gt;Действующее вещество:&lt;/i&gt;
&lt;ul&gt;&lt;li&gt;Вирус желтой лихорадки штамм «17Д» — не менее 1600&amp;nbsp;БОЕ (3,2&amp;nbsp;log₁₀&amp;nbsp;БОЕ) или 3,0&amp;nbsp;log₁₀&amp;nbsp;МЕ вируса&lt;/li&gt;&lt;/ul&gt;
&lt;i&gt;Вспомогательные вещества (расчетное количество):&lt;/i&gt;
&lt;ul&gt;&lt;li&gt;Лактозы моногидрат — 20&amp;nbsp;мг&lt;/li&gt;
&lt;li&gt;Сорбитол — 10&amp;nbsp;мг&lt;/li&gt;
&lt;li&gt;L-гистидин — 1,2&amp;nbsp;мг&lt;/li&gt;
&lt;li&gt;L-аланин — 0,7&amp;nbsp;мг&lt;/li&gt;
&lt;li&gt;Желатин — 5&amp;nbsp;мг&lt;/li&gt;&lt;/ul&gt;
Вакцина выпускается в комплекте с растворителем — вода для инъекций. Одна доза восстановленного препарата составляет 0,5&amp;nbsp;мл.&lt;br&gt;
Вакцина не содержит консервантов и антибиотиков.&lt;/p&gt;</t>
  </si>
  <si>
    <r>
      <rPr>
        <sz val="10"/>
        <color theme="1"/>
        <rFont val="Arial"/>
      </rPr>
      <t xml:space="preserve">0,5 мл (1 доза) вакцины содержит:
</t>
    </r>
    <r>
      <rPr>
        <i/>
        <sz val="10"/>
        <color theme="1"/>
        <rFont val="Arial"/>
      </rPr>
      <t>Действующие вещества:</t>
    </r>
    <r>
      <rPr>
        <sz val="10"/>
        <color theme="1"/>
        <rFont val="Arial"/>
      </rPr>
      <t xml:space="preserve">
• Пептидный антиген №1 белков вируса Эбола,
конъюгированный на белок-носитель — 50 мкг;
• Пептидный антиген №2 белков вируса Эбола,
конъюгированный на белок-носитель — 50 мкг;
</t>
    </r>
    <r>
      <rPr>
        <i/>
        <sz val="10"/>
        <color theme="1"/>
        <rFont val="Arial"/>
      </rPr>
      <t>Вспомогательные вещества:</t>
    </r>
    <r>
      <rPr>
        <sz val="10"/>
        <color theme="1"/>
        <rFont val="Arial"/>
      </rPr>
      <t xml:space="preserve">
• Алюминия гидроксид в пересчете на (Al³⁺) — 0,40 мг;
• Калия дигидрофосфат — 0,12 мг;
• Калия хлорид — 0,10 мг;
• Натрия гидрофосфата додекагидрат — 1,82 мг;
• Натрия хлорид — 4,0 мг;
• Вода для инъекций до 0,5 мл.</t>
    </r>
  </si>
  <si>
    <r>
      <rPr>
        <sz val="10"/>
        <color theme="1"/>
        <rFont val="Arial"/>
      </rPr>
      <t xml:space="preserve">&lt;p&gt;0,5&amp;nbsp;мл (1&amp;nbsp;доза) вакцины содержит:&lt;br&gt;&lt;br&gt;
</t>
    </r>
    <r>
      <rPr>
        <i/>
        <sz val="10"/>
        <color theme="1"/>
        <rFont val="Arial"/>
      </rPr>
      <t>&lt;i&gt;Действующие вещества:</t>
    </r>
    <r>
      <rPr>
        <sz val="10"/>
        <color theme="1"/>
        <rFont val="Arial"/>
      </rPr>
      <t xml:space="preserve">&lt;/i&gt;
&lt;ul&gt;&lt;li&gt;Пептидный антиген №1 белков вируса Эбола,&lt;br&gt;
конъюгированный на белок-носитель — 50&amp;nbsp;мкг;&lt;/li&gt;
&lt;li&gt;Пептидный антиген №2 белков вируса Эбола,&lt;br&gt;
конъюгированный на белок-носитель — 50&amp;nbsp;мкг;&lt;/li&gt;&lt;/ul&gt;
</t>
    </r>
    <r>
      <rPr>
        <i/>
        <sz val="10"/>
        <color theme="1"/>
        <rFont val="Arial"/>
      </rPr>
      <t>&lt;i&gt;Вспомогательные вещества:</t>
    </r>
    <r>
      <rPr>
        <sz val="10"/>
        <color theme="1"/>
        <rFont val="Arial"/>
      </rPr>
      <t>&lt;/i&gt;
&lt;ul&gt;&lt;li&gt;Алюминия гидроксид в пересчете на (Al³⁺) — 0,40&amp;nbsp;мг;&lt;/li&gt;
&lt;li&gt;Калия дигидрофосфат — 0,12&amp;nbsp;мг;&lt;/li&gt;
&lt;li&gt;Калия хлорид — 0,10&amp;nbsp;мг;&lt;/li&gt;
&lt;li&gt;Натрия гидрофосфата додекагидрат — 1,82&amp;nbsp;мг;&lt;/li&gt;
&lt;li&gt;Натрия хлорид — 4,0&amp;nbsp;мг;&lt;/li&gt;
&lt;li&gt;Вода для инъекций до 0,5&amp;nbsp;мл.&lt;/li&gt;&lt;/ul&gt;&lt;/p&gt;</t>
    </r>
  </si>
  <si>
    <r>
      <rPr>
        <sz val="10"/>
        <color theme="1"/>
        <rFont val="Arial"/>
      </rPr>
      <t xml:space="preserve">1 доза (0,5 мл) содержит:
</t>
    </r>
    <r>
      <rPr>
        <i/>
        <sz val="10"/>
        <color theme="1"/>
        <rFont val="Arial"/>
      </rPr>
      <t>Компонент А</t>
    </r>
    <r>
      <rPr>
        <sz val="10"/>
        <color theme="1"/>
        <rFont val="Arial"/>
      </rPr>
      <t xml:space="preserve">
• рекомбинантные частицы на основе вируса везикулярного стоматита, экспрессирующие ген GP вируса Эбола — (2,5±1,5)x10⁷ акт.ед.
</t>
    </r>
    <r>
      <rPr>
        <i/>
        <sz val="10"/>
        <color theme="1"/>
        <rFont val="Arial"/>
      </rPr>
      <t>Компонент Б</t>
    </r>
    <r>
      <rPr>
        <sz val="10"/>
        <color theme="1"/>
        <rFont val="Arial"/>
      </rPr>
      <t xml:space="preserve">
• рекомбинантные псевдоаденовирусные частицы, экспрессирующие ген GP вируса Эбола — (2,5±1,25)x10¹¹ частиц.
Перечень вспомогательных веществ:
</t>
    </r>
    <r>
      <rPr>
        <i/>
        <sz val="10"/>
        <color theme="1"/>
        <rFont val="Arial"/>
      </rPr>
      <t>Компонент А</t>
    </r>
    <r>
      <rPr>
        <sz val="10"/>
        <color theme="1"/>
        <rFont val="Arial"/>
      </rPr>
      <t xml:space="preserve">
• Трис(гидроксиметил)аминометан;
• ЭДТА динатриевая соль;
• Сахароза;
• Вода для инъекций.
</t>
    </r>
    <r>
      <rPr>
        <i/>
        <sz val="10"/>
        <color theme="1"/>
        <rFont val="Arial"/>
      </rPr>
      <t>Компонент Б</t>
    </r>
    <r>
      <rPr>
        <sz val="10"/>
        <color theme="1"/>
        <rFont val="Arial"/>
      </rPr>
      <t xml:space="preserve">
• Трис(гидроксиметил)аминометан;
• Натрия хлорид;
• Сахароза;
• Полисорбат 80;
• Магния хлорида гексагидрат;
• Этанол 95%;
• ЭДТА динатриевая соль;
• Вода для инъекций.</t>
    </r>
  </si>
  <si>
    <t>&lt;p&gt;1&amp;nbsp;доза (0,5&amp;nbsp;мл) содержит:&lt;br&gt;&lt;br&gt;
&lt;i&gt;Компонент&amp;nbsp;А&lt;/i&gt;
&lt;ul&gt;&lt;li&gt;рекомбинантные частицы на основе вируса везикулярного стоматита, экспрессирующие ген GP вируса Эбола — (2,5±1,5)x10⁷&amp;nbsp;акт.ед.&lt;/li&gt;&lt;/ul&gt;
&lt;i&gt;Компонент&amp;nbsp;Б&lt;/i&gt;
&lt;ul&gt;&lt;li&gt;рекомбинантные псевдоаденовирусные частицы, экспрессирующие ген GP вируса Эбола — (2,5±1,25)x10¹¹&amp;nbsp;частиц.&lt;/li&gt;&lt;/ul&gt;
Перечень вспомогательных веществ:&lt;br&gt;&lt;br&gt;
&lt;i&gt;Компонент&amp;nbsp;А&lt;/i&gt;
&lt;ul&gt;&lt;li&gt;Трис(гидроксиметил)аминометан;&lt;/li&gt;
&lt;li&gt;ЭДТА динатриевая соль;&lt;/li&gt;
&lt;li&gt;Сахароза;&lt;/li&gt;
&lt;li&gt;Вода для инъекций.&lt;/li&gt;&lt;/ul&gt;
&lt;i&gt;Компонент&amp;nbsp;Б&lt;/i&gt;
&lt;ul&gt;&lt;li&gt;Трис(гидроксиметил)аминометан;&lt;/li&gt;
&lt;li&gt;Натрия хлорид;&lt;/li&gt;
&lt;li&gt;Сахароза;&lt;/li&gt;
&lt;li&gt;Полисорбат&amp;nbsp;80;&lt;/li&gt;
&lt;li&gt;Магния хлорида гексагидрат;&lt;/li&gt;
&lt;li&gt;Этанол&amp;nbsp;95%;&lt;/li&gt;
&lt;li&gt;ЭДТА динатриевая соль;&lt;/li&gt;
&lt;li&gt;Вода для инъекций.&lt;/li&gt;&lt;/ul&gt;&lt;/p&gt;</t>
  </si>
  <si>
    <r>
      <rPr>
        <i/>
        <sz val="10"/>
        <color theme="1"/>
        <rFont val="Arial"/>
      </rPr>
      <t>Действующее вещество:</t>
    </r>
    <r>
      <rPr>
        <sz val="10"/>
        <color theme="1"/>
        <rFont val="Arial"/>
      </rPr>
      <t xml:space="preserve">
• Комплекс пептидогликана
и тейхоевых кислот Staphylococcus aureus — 10 мг
</t>
    </r>
    <r>
      <rPr>
        <i/>
        <sz val="10"/>
        <color theme="1"/>
        <rFont val="Arial"/>
      </rPr>
      <t>Вспомогательные вещества:</t>
    </r>
    <r>
      <rPr>
        <sz val="10"/>
        <color theme="1"/>
        <rFont val="Arial"/>
      </rPr>
      <t xml:space="preserve">
• Фенол — (0,2±0,05)%
• Вода для инъекций — до 1 мл</t>
    </r>
  </si>
  <si>
    <r>
      <rPr>
        <i/>
        <sz val="10"/>
        <color theme="1"/>
        <rFont val="Arial"/>
      </rPr>
      <t>&lt;p&gt;&lt;i&gt;Действующее вещество:</t>
    </r>
    <r>
      <rPr>
        <sz val="10"/>
        <color theme="1"/>
        <rFont val="Arial"/>
      </rPr>
      <t xml:space="preserve">&lt;/i&gt;
&lt;ul&gt;&lt;li&gt;Комплекс пептидогликана&lt;br&gt;
и тейхоевых кислот Staphylococcus aureus — 10&amp;nbsp;мг&lt;/li&gt;&lt;/ul&gt;
</t>
    </r>
    <r>
      <rPr>
        <i/>
        <sz val="10"/>
        <color theme="1"/>
        <rFont val="Arial"/>
      </rPr>
      <t>&lt;i&gt;Вспомогательные вещества:</t>
    </r>
    <r>
      <rPr>
        <sz val="10"/>
        <color theme="1"/>
        <rFont val="Arial"/>
      </rPr>
      <t>&lt;/i&gt;
&lt;ul&gt;&lt;li&gt;Фенол — (0,2±0,05)%&lt;/li&gt;
&lt;li&gt;Вода для инъекций — до 1&amp;nbsp;мл&lt;/li&gt;&lt;/ul&gt;&lt;/p&gt;</t>
    </r>
  </si>
  <si>
    <r>
      <rPr>
        <sz val="10"/>
        <color theme="1"/>
        <rFont val="Arial"/>
      </rPr>
      <t xml:space="preserve">1 мл препарата содержит:
Действующие вещества: Антигены </t>
    </r>
    <r>
      <rPr>
        <i/>
        <sz val="10"/>
        <color theme="1"/>
        <rFont val="Arial"/>
      </rPr>
      <t>Pseudomonas aeruginosa</t>
    </r>
    <r>
      <rPr>
        <sz val="10"/>
        <color theme="1"/>
        <rFont val="Arial"/>
      </rPr>
      <t xml:space="preserve">:
• иммунотипа 1 — 0,125 мл;
• иммунотипа 2 — 0,125 мл;
• иммунотипа 3 — 0,125 мл;
• иммунотипа 4 — 0,125 мл;
• иммунотипа 5 — 0,125 мл;
• иммунотипа 6 — 0,125 мл;
• иммунотипа 7 — 0,125 мл;
• иммунотипа 3,7 — 0,125 мл.
Вспомогательные вещества: фенол — 2-4 мг.
Вакцинные штаммы </t>
    </r>
    <r>
      <rPr>
        <i/>
        <sz val="10"/>
        <color theme="1"/>
        <rFont val="Arial"/>
      </rPr>
      <t>Pseudomonas aeruginosa</t>
    </r>
    <r>
      <rPr>
        <sz val="10"/>
        <color theme="1"/>
        <rFont val="Arial"/>
      </rPr>
      <t xml:space="preserve"> культивированы на искусственной питательной среде Дэвиса.</t>
    </r>
  </si>
  <si>
    <t>&lt;p&gt;1&amp;nbsp;мл препарата содержит:&lt;br&gt;&lt;br&gt;
&lt;i&gt;Действующие вещества:&lt;/i&gt; Антигены &lt;i&gt;Pseudomonas aeruginosa:&lt;/i&gt;
&lt;ul&gt;&lt;li&gt;иммунотипа&amp;nbsp;1 — 0,125&amp;nbsp;мл;&lt;/li&gt;
&lt;li&gt;иммунотипа&amp;nbsp;2 — 0,125&amp;nbsp;мл;&lt;/li&gt;
&lt;li&gt;иммунотипа&amp;nbsp;3 — 0,125&amp;nbsp;мл;&lt;/li&gt;
&lt;li&gt;иммунотипа&amp;nbsp;4 — 0,125&amp;nbsp;мл;&lt;/li&gt;
&lt;li&gt;иммунотипа&amp;nbsp;5 — 0,125&amp;nbsp;мл;&lt;/li&gt;
&lt;li&gt;иммунотипа&amp;nbsp;6 — 0,125&amp;nbsp;мл;&lt;/li&gt;
&lt;li&gt;иммунотипа&amp;nbsp;7 — 0,125&amp;nbsp;мл;&lt;/li&gt;
&lt;li&gt;иммунотипа&amp;nbsp;3,7 — 0,125&amp;nbsp;мл.&lt;/li&gt;&lt;/ul&gt;
&lt;i&gt;Вспомогательные вещества:&lt;/i&gt; фенол — 2-4&amp;nbsp;мг.&lt;/p&gt;
&lt;p&gt;Вакцинные штаммы &lt;i&gt;Pseudomonas aeruginosa&lt;/i&gt; культивированы на искусственной питательной среде Дэвиса.&lt;/p&gt;</t>
  </si>
  <si>
    <r>
      <rPr>
        <i/>
        <sz val="10"/>
        <color theme="1"/>
        <rFont val="Arial"/>
      </rPr>
      <t xml:space="preserve">Активные вещества:
</t>
    </r>
    <r>
      <rPr>
        <sz val="10"/>
        <color theme="1"/>
        <rFont val="Arial"/>
      </rPr>
      <t xml:space="preserve">• анатоксин синегнойной палочки очищенный концентрированный — (30±3) мкг;
• стафилококковый анатоксин очищенный — (7±1) ЕС;
• протейный поливалентный антиген — (50±5) мкг;
• цитоплазматический антиген стафилококка (1,0±0,1) мг.
</t>
    </r>
    <r>
      <rPr>
        <i/>
        <sz val="10"/>
        <color theme="1"/>
        <rFont val="Arial"/>
      </rPr>
      <t xml:space="preserve">Вспомогательные вещества:
</t>
    </r>
    <r>
      <rPr>
        <sz val="10"/>
        <color theme="1"/>
        <rFont val="Arial"/>
      </rPr>
      <t>• сорбент гель алюминия гидроксида — (1,0+0,2) мг;
• формальдегид — не более 0,1 мг.</t>
    </r>
  </si>
  <si>
    <r>
      <rPr>
        <i/>
        <sz val="10"/>
        <color theme="1"/>
        <rFont val="Arial"/>
      </rPr>
      <t xml:space="preserve">&lt;p&gt;&lt;i&gt;Активные вещества:&lt;/i&gt;
</t>
    </r>
    <r>
      <rPr>
        <sz val="10"/>
        <color theme="1"/>
        <rFont val="Arial"/>
      </rPr>
      <t xml:space="preserve">&lt;ul&gt;&lt;li&gt;анатоксин синегнойной палочки очищенный концентрированный — (30±3)&amp;nbsp;мкг;&lt;/li&gt;
&lt;li&gt;стафилококковый анатоксин очищенный — (7±1)&amp;nbsp;ЕС;&lt;/li&gt;
&lt;li&gt;протейный поливалентный антиген — (50±5)&amp;nbsp;мкг;&lt;/li&gt;
&lt;li&gt;цитоплазматический антиген стафилококка (1,0±0,1)&amp;nbsp;мг.&lt;/li&gt;&lt;/ul&gt;
</t>
    </r>
    <r>
      <rPr>
        <i/>
        <sz val="10"/>
        <color theme="1"/>
        <rFont val="Arial"/>
      </rPr>
      <t xml:space="preserve">&lt;i&gt;Вспомогательные вещества:&lt;/i&gt;
</t>
    </r>
    <r>
      <rPr>
        <sz val="10"/>
        <color theme="1"/>
        <rFont val="Arial"/>
      </rPr>
      <t>&lt;ul&gt;&lt;li&gt;сорбент гель алюминия гидроксида — (1,0+0,2)&amp;nbsp;мг;&lt;/li&gt;
&lt;li&gt;формальдегид — не более 0,1&amp;nbsp;мг.&lt;/li&gt;&lt;/ul&gt;&lt;/p&gt;</t>
    </r>
  </si>
  <si>
    <r>
      <rPr>
        <sz val="10"/>
        <color theme="1"/>
        <rFont val="Arial"/>
      </rPr>
      <t xml:space="preserve">1 доза для детей (0,5 мл) содержит:
• Очищенный поверхностный антиген гепатита В (HBsAg)¹·² — 10 мкг
¹ Получен из дрожжевых клеток </t>
    </r>
    <r>
      <rPr>
        <i/>
        <sz val="10"/>
        <color theme="1"/>
        <rFont val="Arial"/>
      </rPr>
      <t>Hansenula polymorpha</t>
    </r>
    <r>
      <rPr>
        <sz val="10"/>
        <color theme="1"/>
        <rFont val="Arial"/>
      </rPr>
      <t xml:space="preserve"> (штамм К 3/8-1 ADW 001/4/7/96) по технологии рекомбинантной ДНК
² Адсорбированный на алюминия гидроксиде (0,25 мг — 0,40 мг Аl)
</t>
    </r>
    <r>
      <rPr>
        <i/>
        <sz val="10"/>
        <color theme="1"/>
        <rFont val="Arial"/>
      </rPr>
      <t>Перечень вспомогательных веществ:</t>
    </r>
    <r>
      <rPr>
        <sz val="10"/>
        <color theme="1"/>
        <rFont val="Arial"/>
      </rPr>
      <t xml:space="preserve">
• алюминия гидроксид;
• тиомерсал.</t>
    </r>
  </si>
  <si>
    <t>&lt;p&gt;1&amp;nbsp;доза для детей (0,5&amp;nbsp;мл) содержит:
&lt;ul&gt;&lt;li&gt;Очищенный поверхностный антиген гепатита В (HBsAg)¹&lt;sup&gt;,&lt;/sup&gt;² — 10&amp;nbsp;мкг&lt;/li&gt;&lt;/ul&gt;
¹&amp;nbsp;Получен из дрожжевых клеток &lt;i&gt;Hansenula polymorpha&lt;/i&gt; (штамм К 3/8-1 ADW 001/4/7/96) по технологии рекомбинантной ДНК&lt;br&gt;
²&amp;nbsp;Адсорбированный на алюминия гидроксиде (0,25&amp;nbsp; мг — 0,40&amp;nbsp;мг Аl)&lt;br&gt;&lt;br&gt;
&lt;i&gt;Перечень вспомогательных веществ:&lt;/i&gt;
&lt;ul&gt;&lt;li&gt;алюминия гидроксид;&lt;/li&gt;
&lt;li&gt;тиомерсал.&lt;/li&gt;&lt;/ul&gt;&lt;/p&gt;</t>
  </si>
  <si>
    <r>
      <rPr>
        <sz val="10"/>
        <color theme="1"/>
        <rFont val="Arial"/>
      </rPr>
      <t xml:space="preserve">Состав на 1 дозу (0,2 мл — 4 капли): 
</t>
    </r>
    <r>
      <rPr>
        <i/>
        <sz val="10"/>
        <color theme="1"/>
        <rFont val="Arial"/>
      </rPr>
      <t>Действующие вещества:</t>
    </r>
    <r>
      <rPr>
        <sz val="10"/>
        <color theme="1"/>
        <rFont val="Arial"/>
      </rPr>
      <t xml:space="preserve">
• вирус полиомиелита,
аттенуированный штамм Сэбина 1 типа — не менее 10⁶·⁰ инфекционных единиц (ИЕ) вируса, выраженных в тканевых цитопатогенных дозах (ТЦД₅₀);
• вирус полиомиелита,
аттенуированный штамм Сэбина 2 типа — не менее 10⁵·⁰ инфекционных единиц (ИЕ) вируса, выраженных в тканевых цитопатогенных дозах (ТЦД₅₀);
• вирус полиомиелита,
аттенуированный штамм Сэбина 3 типа — не менее 10⁵·⁵ инфекционных единиц (ИЕ) вируса, выраженных в тканевых цитопатогенных дозах (ТЦД₅₀);
</t>
    </r>
    <r>
      <rPr>
        <i/>
        <sz val="10"/>
        <color theme="1"/>
        <rFont val="Arial"/>
      </rPr>
      <t>Вспомогательные вещества:</t>
    </r>
    <r>
      <rPr>
        <sz val="10"/>
        <color theme="1"/>
        <rFont val="Arial"/>
      </rPr>
      <t xml:space="preserve">
• магния хлорид — 0,018 г.</t>
    </r>
  </si>
  <si>
    <r>
      <rPr>
        <sz val="10"/>
        <color theme="1"/>
        <rFont val="Arial"/>
      </rPr>
      <t xml:space="preserve">&lt;p&gt;Состав на 1&amp;nbsp;дозу (0,2&amp;nbsp;мл — 4&amp;nbsp;капли): &lt;br&gt;&lt;br&gt;
</t>
    </r>
    <r>
      <rPr>
        <i/>
        <sz val="10"/>
        <color theme="1"/>
        <rFont val="Arial"/>
      </rPr>
      <t>&lt;i&gt;Действующие вещества:</t>
    </r>
    <r>
      <rPr>
        <sz val="10"/>
        <color theme="1"/>
        <rFont val="Arial"/>
      </rPr>
      <t xml:space="preserve">&lt;/i&gt;
&lt;ul&gt;&lt;li&gt;вирус полиомиелита,&lt;br&gt;
аттенуированный штамм Сэбина 1&amp;nbsp;типа — не менее 10⁶&lt;sup&gt;,&lt;/sup&gt;⁰&amp;nbsp;инфекционных единиц (ИЕ) вируса, выраженных в тканевых цитопатогенных дозах (ТЦД₅₀);&lt;/li&gt;
&lt;li&gt;вирус полиомиелита,&lt;br&gt;
аттенуированный штамм Сэбина 2&amp;nbsp;типа — не менее 10⁵&lt;sup&gt;,&lt;/sup&gt;⁰&amp;nbsp;инфекционных единиц (ИЕ) вируса, выраженных в тканевых цитопатогенных дозах (ТЦД₅₀);&lt;/li&gt;
&lt;li&gt;вирус полиомиелита,&lt;br&gt;
аттенуированный штамм Сэбина 3&amp;nbsp;типа — не менее 10⁵&lt;sup&gt;,&lt;/sup&gt;⁵&amp;nbsp;инфекционных единиц (ИЕ) вируса, выраженных в тканевых цитопатогенных дозах (ТЦД₅₀);&lt;/li&gt;&lt;/ul&gt;
</t>
    </r>
    <r>
      <rPr>
        <i/>
        <sz val="10"/>
        <color theme="1"/>
        <rFont val="Arial"/>
      </rPr>
      <t>&lt;i&gt;Вспомогательные вещества:</t>
    </r>
    <r>
      <rPr>
        <sz val="10"/>
        <color theme="1"/>
        <rFont val="Arial"/>
      </rPr>
      <t>&lt;/i&gt;
&lt;ul&gt;&lt;li&gt;магния хлорид — 0,018&amp;nbsp;г.&lt;/li&gt;&lt;/ul&gt;&lt;/p&gt;</t>
    </r>
  </si>
  <si>
    <t>Прививочная доза препарата содержит от 1·10⁶ до 3·10⁷ ООЕ вируса вакцины.
Вспомогательные вещества наполнителя: лактоза — 87,8%; сахароза — 10,0%; стеарат кальция — 2,0%; ванилин — 0,2%.
В 1 таблетке массой от 0,2 до 1,0 г содержится: сухой вируссодержащий материал — не более 30%; наполнитель — не менее 70%.</t>
  </si>
  <si>
    <t>&lt;p&gt;Прививочная доза препарата содержит от 1·10⁶ до 3·10⁷&amp;nbsp;ООЕ вируса вакцины.&lt;br&gt;
Вспомогательные вещества наполнителя: лактоза — 87,8%; сахароза — 10,0%; стеарат кальция — 2,0%; ванилин — 0,2%.&lt;br&gt;
В 1&amp;nbsp;таблетке массой от 0,2 до 1,0&amp;nbsp;г содержится: сухой вируссодержащий материал — не более 30%; наполнитель — не менее 70%.&lt;/p&gt;</t>
  </si>
  <si>
    <t>Прививочная доза препарата содержит от 1·10⁶ до 3·10⁷ ООЕ вируса вакцины.
Вспомогательные вещества наполнителя: лактоза — 87,8%; сахароза — 10,0%; стеарат кальция — 2,0%; ванилин — 0,2%; оболочки: ацетилфталилцеллюлоза — 83%, касторовое масло — 17% или шеллак — 83%, олеиновая кислота — 17%.
В 1 таблетке массой от 0,2 до 1,0 г содержится: сухой вируссодержащий материал — не более 30%; наполнитель — не менее 70%.</t>
  </si>
  <si>
    <t>&lt;p&gt;Прививочная доза препарата содержит от 1·10⁶ до 3·10⁷ ООЕ вируса вакцины.&lt;br&gt;
Вспомогательные вещества наполнителя: лактоза — 87,8%; сахароза — 10,0%; стеарат кальция — 2,0%; ванилин — 0,2%; оболочки: ацетилфталилцеллюлоза — 83%, касторовое масло — 17% или шеллак — 83%, олеиновая кислота — 17%.&lt;br&gt;
В 1&amp;nbsp;таблетке массой от 0,2 до 1,0&amp;nbsp;г содержится: сухой вируссодержащий материал — не более 30%; наполнитель — не менее 70%.&lt;/p&gt;</t>
  </si>
  <si>
    <r>
      <rPr>
        <b/>
        <sz val="10"/>
        <color theme="1"/>
        <rFont val="Arial"/>
      </rPr>
      <t>Препарат</t>
    </r>
    <r>
      <rPr>
        <sz val="10"/>
        <color theme="1"/>
        <rFont val="Arial"/>
      </rPr>
      <t xml:space="preserve">
</t>
    </r>
    <r>
      <rPr>
        <i/>
        <sz val="10"/>
        <color theme="1"/>
        <rFont val="Arial"/>
      </rPr>
      <t>Действующее вещество:</t>
    </r>
    <r>
      <rPr>
        <sz val="10"/>
        <color theme="1"/>
        <rFont val="Arial"/>
      </rPr>
      <t xml:space="preserve"> Один флакон Уро-БЦЖ медак содержит не менее 2х10⁸ и не более 8х10⁸ жизнеспособных клеток БЦЖ (</t>
    </r>
    <r>
      <rPr>
        <i/>
        <sz val="10"/>
        <color theme="1"/>
        <rFont val="Arial"/>
      </rPr>
      <t>Micobacterium bovis</t>
    </r>
    <r>
      <rPr>
        <sz val="10"/>
        <color theme="1"/>
        <rFont val="Arial"/>
      </rPr>
      <t xml:space="preserve">, штамм RIVM).
</t>
    </r>
    <r>
      <rPr>
        <i/>
        <sz val="10"/>
        <color theme="1"/>
        <rFont val="Arial"/>
      </rPr>
      <t>Вспомогательные вещества:</t>
    </r>
    <r>
      <rPr>
        <sz val="10"/>
        <color theme="1"/>
        <rFont val="Arial"/>
      </rPr>
      <t xml:space="preserve"> полигелин (Polygeline) — 250 мг, глюкоза безводная — 1080 мг, полисорбат-80 — 0,5 мг.
</t>
    </r>
    <r>
      <rPr>
        <b/>
        <sz val="10"/>
        <color theme="1"/>
        <rFont val="Arial"/>
      </rPr>
      <t>Растворитель:</t>
    </r>
    <r>
      <rPr>
        <sz val="10"/>
        <color theme="1"/>
        <rFont val="Arial"/>
      </rPr>
      <t xml:space="preserve"> 0,9% раствор натрия хлорида 50 мл.</t>
    </r>
  </si>
  <si>
    <t>&lt;p&gt;&lt;b&gt;Препарат&lt;/b&gt;&lt;br&gt;
&lt;i&gt;Действующее вещество:&lt;/i&gt; Один флакон Уро-БЦЖ медак содержит не менее 2х10⁸ и не более 8х10⁸ жизнеспособных клеток БЦЖ (Micobacterium bovis, штамм RIVM).&lt;br&gt;
&lt;i&gt;Вспомогательные вещества:&lt;/i&gt; полигелин (Polygeline) — 250&amp;nbsp;мг, глюкоза безводная — 1080&amp;nbsp;мг, полисорбат-80 — 0,5&amp;nbsp;мг.&lt;br&gt;
&lt;b&gt;Растворитель:&lt;/b&gt; 0,9% раствор натрия хлорида 50&amp;nbsp;мл.&lt;/p&gt;</t>
  </si>
  <si>
    <t>В 1 дозе (0,5 мл) содержится: (10±1) мкг гемагглютинина вируса гриппа серотипа А (H₁N₁), (10±1) мкг гемагглютинина вируса гриппа серотипа А (H₃N₂) и (13±1) мкг гемагглютинина вируса гриппа типа В. Стабилизатор — альбумин раствор для инфузий 10 и 20%. Консервант — тиомерсал (мертиолят) — (50±7,5) мкг. Не содержит антибиотиков.
Антигенный состав вакцины изменяется каждый год в соответствии с эпидемической ситуацией, рекомендациями ВОЗ и Комиссией по гриппозным вакцинным и диагностическим штаммам.</t>
  </si>
  <si>
    <t>&lt;p&gt;В 1&amp;nbsp;дозе (0,5&amp;nbsp;мл) содержится: (10±1)&amp;nbsp;мкг гемагглютинина вируса гриппа серотипа А (H₁N₁), (10±1)&amp;nbsp;мкг гемагглютинина вируса гриппа серотипа А (H₃N₂) и (13±1)&amp;nbsp;мкг гемагглютинина вируса гриппа типа В. Стабилизатор — альбумин раствор для инфузий 10 и 20%. Консервант — тиомерсал (мертиолят) — (50±7,5)&amp;nbsp;мкг. Не содержит антибиотиков.&lt;br&gt;&lt;br&gt;
Антигенный состав вакцины изменяется каждый год в соответствии с эпидемической ситуацией, рекомендациями ВОЗ и Комиссией по гриппозным вакцинным и диагностическим штаммам.&lt;/p&gt;</t>
  </si>
  <si>
    <t>Одна иммунизирующая доза (0,5 мл) содержит 5 мкг гемагглютинина пандемически актуального штамма вируса гриппа типа A (H₁N₁) производства «Эбботт Биолоджикалз Б.В.», Нидерланды и 500 мкг иммуноадъюванта Полиоксидоний® в фосфатно-солевом буферном растворе.</t>
  </si>
  <si>
    <t>&lt;p&gt;Одна иммунизирующая доза (0,5&amp;nbsp;мл) содержит 5&amp;nbsp;мкг гемагглютинина пандемически актуального штамма вируса гриппа типа A (H₁N₁) производства «Эбботт Биолоджикалз Б.В.», Нидерланды и 500&amp;nbsp;мкг иммуноадъюванта Полиоксидоний® в фосфатно-солевом буферном растворе.&lt;/p&gt;</t>
  </si>
  <si>
    <t>https://grls.rosminzdrav.ru/InstrImg/2020/11/25/146561/ca0de68f-feec-4e52-b6e6-210c5d91c6af.pdf</t>
  </si>
  <si>
    <t>Одна иммунизирующая доза (0,5 мл) содержит 5 мкг гемагглютинина пандемически актуального штамма вируса гриппа типа A (H₁N₁) производства ФГУП «Санкт-Петербургский научно-исследовательский институт вакцин и сывороток и предприятие по производству бактерийных препаратов» ФМБА, Россия и 500 мкг иммуноадъюванта Полиоксидоний® в фосфатно-солевом буферном растворе. Консервант — мертиолят 50 мкг.</t>
  </si>
  <si>
    <t>&lt;p&gt;Одна иммунизирующая доза (0,5&amp;nbsp;мл) содержит 5&amp;nbsp;мкг гемагглютинина пандемически актуального штамма вируса гриппа типа A (H₁N₁) производства ФГУП «Санкт-Петербургский научно-исследовательский институт вакцин и сывороток и предприятие по производству бактерийных препаратов» ФМБА, Россия и 500&amp;nbsp;мкг иммуноадъюванта Полиоксидоний® в фосфатно-солевом буферном растворе. Консервант — мертиолят 50&amp;nbsp;мкг.&lt;/p&gt;</t>
  </si>
  <si>
    <t>1 доза (0,5 мл) содержит:
Действующее вещество:
Вакцинный штамм вируса гриппа подтипа A(H₁N₁)¹·² — не менее 10⁷·⁰ ЭИД₅₀.
Вспомогательные вещества:
Стабилизатор М-2³. Не содержит консервантов и антибиотиков.
Примечание. 
1. Антигенный состав штамма меняется в соответствии с рекомендациями ВОЗ.
2. Получен из вируссодержащей аллантоисной жидкости куриных эмбрионов.
3. Состав стабилизатора М-2: сахароза — 15 мг, лактозы моногидрат — 6 мг, глицин — 3 мг, натрия глутамата моногидрат — 3 мг, трометамол — 0,3 мг, натрия хлорид — 0,3 мг, желатин — 3 мг.</t>
  </si>
  <si>
    <r>
      <rPr>
        <sz val="10"/>
        <color theme="1"/>
        <rFont val="Arial"/>
      </rPr>
      <t xml:space="preserve">&lt;p&gt;1&amp;nbsp;доза (0,5&amp;nbsp;мл) содержит:&lt;br&gt;&lt;br&gt;
</t>
    </r>
    <r>
      <rPr>
        <i/>
        <sz val="10"/>
        <color theme="1"/>
        <rFont val="Arial"/>
      </rPr>
      <t>&lt;i&gt;Действующее вещество:</t>
    </r>
    <r>
      <rPr>
        <sz val="10"/>
        <color theme="1"/>
        <rFont val="Arial"/>
      </rPr>
      <t xml:space="preserve">&lt;/i&gt;&lt;br&gt;
Вакцинный штамм вируса гриппа подтипа A(H₁N₁)¹&lt;sup&gt;,&lt;/sup&gt;² — не менее 10⁷&lt;sup&gt;,&lt;/sup&gt;⁰&amp;nbsp;ЭИД₅₀.&lt;br&gt;&lt;br&gt;
</t>
    </r>
    <r>
      <rPr>
        <i/>
        <sz val="10"/>
        <color theme="1"/>
        <rFont val="Arial"/>
      </rPr>
      <t>&lt;i&gt;Вспомогательные вещества:</t>
    </r>
    <r>
      <rPr>
        <sz val="10"/>
        <color theme="1"/>
        <rFont val="Arial"/>
      </rPr>
      <t>&lt;/i&gt;&lt;br&gt;
Стабилизатор М-2³. Не содержит консервантов и антибиотиков.&lt;/p&gt;
&lt;p&gt;Примечание.&lt;br&gt;
1.&amp;nbsp;Антигенный состав штамма меняется в соответствии с рекомендациями ВОЗ.&lt;br&gt;
2.&amp;nbsp;Получен из вируссодержащей аллантоисной жидкости куриных эмбрионов.
3.&amp;nbsp;Состав стабилизатора М-2: сахароза — 15&amp;nbsp;мг, лактозы моногидрат — 6&amp;nbsp;мг, глицин — 3&amp;nbsp;мг, натрия глутамата моногидрат — 3&amp;nbsp;мг, трометамол — 0,3&amp;nbsp;мг, натрия хлорид — 0,3&amp;nbsp;мг, желатин — 3&amp;nbsp;мг.&lt;/p&gt;</t>
    </r>
  </si>
  <si>
    <r>
      <rPr>
        <sz val="10"/>
        <color theme="1"/>
        <rFont val="Arial"/>
      </rPr>
      <t xml:space="preserve">1 доза (0,5 мл) содержит:
</t>
    </r>
    <r>
      <rPr>
        <i/>
        <sz val="10"/>
        <color theme="1"/>
        <rFont val="Arial"/>
      </rPr>
      <t>Действующее вещество:</t>
    </r>
    <r>
      <rPr>
        <sz val="10"/>
        <color theme="1"/>
        <rFont val="Arial"/>
      </rPr>
      <t xml:space="preserve">
• гемагглютинин вируса гриппа типа А(H₁N₁v)¹ — (15,0±2,2) мкг.
Антигенный состав штамма меняется в соответствии с рекомендациями ВОЗ.
Вспомогательные вещества, наличие которых надо учитывать в составе лекарственного препарата: консервант (тиомерсал) — (50,0±7,5) мкг, натрий и калий.
¹ Адсорбированный на алюминия гидроксиде — (0,475±0,075) мг.
Препарат получен с использованием клеток куриных эмбрионов и может содержать следы яиц (белки куриного яйца, в том числе овальбумин, не более 0,1 мкг/мл).
</t>
    </r>
    <r>
      <rPr>
        <i/>
        <sz val="10"/>
        <color theme="1"/>
        <rFont val="Arial"/>
      </rPr>
      <t>Перечень вспомогательных веществ:</t>
    </r>
    <r>
      <rPr>
        <sz val="10"/>
        <color theme="1"/>
        <rFont val="Arial"/>
      </rPr>
      <t xml:space="preserve">
Тиомерсал, фосфатно-солевой буферный раствор (ФБР): натрия хлорид, натрия гидрофосфат, калия дигидрофосфат, тиомерсал, вода для инъекций.</t>
    </r>
  </si>
  <si>
    <r>
      <rPr>
        <sz val="10"/>
        <color theme="1"/>
        <rFont val="Arial"/>
      </rPr>
      <t xml:space="preserve">&lt;p&gt;1&amp;nbsp;доза (0,5&amp;nbsp;мл) содержит:&lt;br&gt;&lt;br&gt;
</t>
    </r>
    <r>
      <rPr>
        <i/>
        <sz val="10"/>
        <color theme="1"/>
        <rFont val="Arial"/>
      </rPr>
      <t>&lt;i&gt;Действующее вещество:</t>
    </r>
    <r>
      <rPr>
        <sz val="10"/>
        <color theme="1"/>
        <rFont val="Arial"/>
      </rPr>
      <t>&lt;/i&gt;
&lt;ul&gt;&lt;li&gt;гемагглютинин вируса гриппа типа А(H₁N₁v)¹ — (15,0±2,2)&amp;nbsp;мкг.&lt;/li&gt;&lt;/ul&gt;
Антигенный состав штамма меняется в соответствии с рекомендациями ВОЗ.&lt;br&gt;
Вспомогательные вещества, наличие которых надо учитывать в составе лекарственного препарата: консервант (тиомерсал) — (50,0±7,5)&amp;nbsp;мкг, натрий и калий.&lt;br&gt;&lt;br&gt;
¹&amp;nbsp;Адсорбированный на алюминия гидроксиде — (0,475±0,075)&amp;nbsp;мг.&lt;br&gt;&lt;br&gt;
Препарат получен с использованием клеток куриных эмбрионов и может содержать следы яиц (белки куриного яйца, в том числе овальбумин, не более 0,1&amp;nbsp;мкг/мл).&lt;br&gt;&lt;br&gt;
&lt;i&gt;Перечень вспомогательных веществ:&lt;/i&gt;&lt;br&gt;
Тиомерсал, фосфатно-солевой буферный раствор (ФБР): натрия хлорид, натрия гидрофосфат, калия дигидрофосфат, тиомерсал, вода для инъекций.&lt;/p&gt;</t>
    </r>
  </si>
  <si>
    <t>Одна иммунизирующая доза (0,5 мл) содержит по 5 мкг гемагглютинина эпидемически актуальных штаммов вируса гриппа подтипов A (H₁N₁ и H₃N₂) и типа B производства «Эбботт Биолоджикалз Б.В.», Нидерланды и 500 мкг иммуноадъюванта Полиоксидоний® в фосфатно-солевом буфере.</t>
  </si>
  <si>
    <t>&lt;p&gt;Одна иммунизирующая доза (0,5&amp;nbsp;мл) содержит по 5&amp;nbsp;мкг гемагглютинина эпидемически актуальных штаммов вируса гриппа подтипов A (H₁N₁ и H₃N₂) и типа B производства «Эбботт Биолоджикалз Б.В.», Нидерланды и 500&amp;nbsp;мкг иммуноадъюванта Полиоксидоний® в фосфатно-солевом буфере.&lt;/p&gt;</t>
  </si>
  <si>
    <t>https://grls.rosminzdrav.ru/InstrImg/2020/11/25/140879/fd8765bc-811d-4fc0-8599-fd0eeb9dd8aa.pdf</t>
  </si>
  <si>
    <r>
      <rPr>
        <sz val="10"/>
        <color theme="1"/>
        <rFont val="Arial"/>
      </rPr>
      <t xml:space="preserve">Одна прививочная доза (0,5 мл) содержит:
</t>
    </r>
    <r>
      <rPr>
        <i/>
        <sz val="10"/>
        <color theme="1"/>
        <rFont val="Arial"/>
      </rPr>
      <t>Действующие вещества:</t>
    </r>
    <r>
      <rPr>
        <sz val="10"/>
        <color theme="1"/>
        <rFont val="Arial"/>
      </rPr>
      <t xml:space="preserve">
• реассортантный вирус гриппа подтипа А/H₁N₁/* — не менее 10⁶·⁹ ЭИД₅₀;
• реассортантный вирус гриппа подтипа A/H₃N₂/* — не менее 10⁶·⁹ ЭИД₅₀;
• реассортантный вирус гриппа типа В* — не менее 10⁶·⁴ ЭИД₅₀.
* получен из вируссодержащей аллантоисной жидкости куриных эмбрионов.
</t>
    </r>
    <r>
      <rPr>
        <i/>
        <sz val="10"/>
        <color theme="1"/>
        <rFont val="Arial"/>
      </rPr>
      <t>Перечень вспомогательных веществ:</t>
    </r>
    <r>
      <rPr>
        <sz val="10"/>
        <color theme="1"/>
        <rFont val="Arial"/>
      </rPr>
      <t xml:space="preserve">
Стабилизатор М-2: сахароза, лактозы моногидрат, глицин, натрия глутамата моногидрат, трометамол, натрия хлорид, желатин.</t>
    </r>
  </si>
  <si>
    <t>&lt;p&gt;Одна прививочная доза (0,5&amp;nbsp;мл) содержит:&lt;br&gt;&lt;br&gt;
&lt;i&gt;Действующие вещества:&lt;/i&gt;
&lt;ul&gt;&lt;li&gt;реассортантный вирус гриппа подтипа А/H₁N₁/* — не менее 10⁶&lt;sup&gt;,&lt;/sup&gt;⁹&amp;nbsp;ЭИД₅₀;&lt;/li&gt;
&lt;li&gt;реассортантный вирус гриппа подтипа A/H₃N₂/* — не менее 10⁶&lt;sup&gt;,&lt;/sup&gt;⁹&amp;nbsp;ЭИД₅₀;&lt;/li&gt;
&lt;li&gt;реассортантный вирус гриппа типа В* — не менее 10⁶&lt;sup&gt;,&lt;/sup&gt;⁴&amp;nbsp;ЭИД₅₀.&lt;/li&gt;&lt;/ul&gt;
*&amp;nbspполучен из вируссодержащей аллантоисной жидкости куриных эмбрионов.&lt;br&gt;&lt;br&gt;
&lt;i&gt;Перечень вспомогательных веществ:&lt;/i&gt;&lt;br&gt;
Стабилизатор М-2: сахароза, лактозы моногидрат, глицин, натрия глутамата моногидрат, трометамол, натрия хлорид, желатин.&lt;/p&gt;</t>
  </si>
  <si>
    <r>
      <rPr>
        <sz val="10"/>
        <color theme="1"/>
        <rFont val="Arial"/>
      </rPr>
      <t xml:space="preserve">1 доза препарата содержит:
</t>
    </r>
    <r>
      <rPr>
        <i/>
        <sz val="10"/>
        <color theme="1"/>
        <rFont val="Arial"/>
      </rPr>
      <t>Действующие вещества:</t>
    </r>
    <r>
      <rPr>
        <sz val="10"/>
        <color theme="1"/>
        <rFont val="Arial"/>
      </rPr>
      <t xml:space="preserve">
• антиген вируса простого герпеса типа 1 (штамм «УС») — не менее 10⁵ ТЦД₅₀;
• антиген вируса простого герпеса типа 2 (штамм «ВН») — не менее 10⁴ ТЦД₅₀.
</t>
    </r>
    <r>
      <rPr>
        <i/>
        <sz val="10"/>
        <color theme="1"/>
        <rFont val="Arial"/>
      </rPr>
      <t>Вспомогательные вещества:</t>
    </r>
    <r>
      <rPr>
        <sz val="10"/>
        <color theme="1"/>
        <rFont val="Arial"/>
      </rPr>
      <t xml:space="preserve">
• формальдегид — не более 40,0 мкг;
• гентамицина сульфат не более — 8,0 мкг;
• сахароза — 15,0 мг;
• желатин — 2,5 мг;
• натрия хлорид — 0,2 мг.</t>
    </r>
  </si>
  <si>
    <r>
      <rPr>
        <sz val="10"/>
        <color theme="1"/>
        <rFont val="Arial"/>
      </rPr>
      <t xml:space="preserve">&lt;p&gt;1&amp;nbsp;доза препарата содержит:&lt;br&gt;&lt;br&gt;
</t>
    </r>
    <r>
      <rPr>
        <i/>
        <sz val="10"/>
        <color theme="1"/>
        <rFont val="Arial"/>
      </rPr>
      <t>&lt;i&gt;Действующие вещества:</t>
    </r>
    <r>
      <rPr>
        <sz val="10"/>
        <color theme="1"/>
        <rFont val="Arial"/>
      </rPr>
      <t xml:space="preserve">&lt;/i&gt;
&lt;ul&gt;&lt;li&gt;антиген вируса простого герпеса типа&amp;nbsp;1 (штамм «УС») — не менее 10⁵&amp;nbsp;ТЦД₅₀;&lt;/li&gt;
&lt;li&gt;антиген вируса простого герпеса типа&amp;nbsp;2 (штамм «ВН») — не менее 10⁴&amp;nbsp;ТЦД₅₀.&lt;/li&gt;&lt;/ul&gt;
</t>
    </r>
    <r>
      <rPr>
        <i/>
        <sz val="10"/>
        <color theme="1"/>
        <rFont val="Arial"/>
      </rPr>
      <t>&lt;i&gt;Вспомогательные вещества:</t>
    </r>
    <r>
      <rPr>
        <sz val="10"/>
        <color theme="1"/>
        <rFont val="Arial"/>
      </rPr>
      <t>&lt;/i&gt;
&lt;ul&gt;&lt;li&gt;формальдегид — не более 40,0&amp;nbsp;мкг;&lt;/li&gt;
&lt;li&gt;гентамицина сульфат не более — 8,0&amp;nbsp;мкг;&lt;/li&gt;
&lt;li&gt;сахароза — 15,0&amp;nbsp;мг;&lt;/li&gt;
&lt;li&gt;желатин — 2,5&amp;nbsp;мг;&lt;/li&gt;
&lt;li&gt;натрия хлорид — 0,2&amp;nbsp;мг.&lt;/li&gt;&lt;/ul&gt;&lt;/p&gt;</t>
    </r>
  </si>
  <si>
    <r>
      <rPr>
        <sz val="10"/>
        <color theme="1"/>
        <rFont val="Arial"/>
      </rPr>
      <t xml:space="preserve">Одна прививочная доза (0,5 мл) содержит:
</t>
    </r>
    <r>
      <rPr>
        <i/>
        <sz val="10"/>
        <color theme="1"/>
        <rFont val="Arial"/>
      </rPr>
      <t>Действующее вещество:</t>
    </r>
    <r>
      <rPr>
        <sz val="10"/>
        <color theme="1"/>
        <rFont val="Arial"/>
      </rPr>
      <t xml:space="preserve">
• Вакцинный штамм вируса гриппа птиц типа А H5N1/turkey/Turkey/1/2005 (H5N1) — like strain, полученный из вируссодержащей аллантоисной жидкости куриных эмбрионов не менее 10⁷·⁰ ЭИД₅₀/доза.
Штаммовый состав меняется в соответствии с рекомендациями ВОЗ.
</t>
    </r>
    <r>
      <rPr>
        <i/>
        <sz val="10"/>
        <color theme="1"/>
        <rFont val="Arial"/>
      </rPr>
      <t>Перечень вспомогательных веществ:</t>
    </r>
    <r>
      <rPr>
        <sz val="10"/>
        <color theme="1"/>
        <rFont val="Arial"/>
      </rPr>
      <t xml:space="preserve">
• Стабилизатор М-2: сахароза, лактозы моногидрат, глицин, натрия глутамата моногидрат, трометамол, натрия хлорид, желатин.</t>
    </r>
  </si>
  <si>
    <r>
      <rPr>
        <sz val="10"/>
        <color theme="1"/>
        <rFont val="Arial"/>
      </rPr>
      <t xml:space="preserve">&lt;p&gt;Одна прививочная доза (0,5&amp;nbsp;мл) содержит:&lt;br&gt;&lt;br&gt;
</t>
    </r>
    <r>
      <rPr>
        <i/>
        <sz val="10"/>
        <color theme="1"/>
        <rFont val="Arial"/>
      </rPr>
      <t>&lt;i&gt;Действующее вещество:</t>
    </r>
    <r>
      <rPr>
        <sz val="10"/>
        <color theme="1"/>
        <rFont val="Arial"/>
      </rPr>
      <t xml:space="preserve">&lt;/i&gt;
&lt;ul&gt;&lt;li&gt;Вакцинный штамм вируса гриппа птиц типа А H5N1/turkey/Turkey/1/2005 (H5N1) — like strain, полученный из вируссодержащей аллантоисной жидкости куриных эмбрионов не менее 10⁷&lt;sup&gt;,&lt;/sup&gt;⁰&amp;nbsp;ЭИД₅₀/доза.&lt;/li&gt;
Штаммовый состав меняется в соответствии с рекомендациями ВОЗ.&lt;/ul&gt;
</t>
    </r>
    <r>
      <rPr>
        <i/>
        <sz val="10"/>
        <color theme="1"/>
        <rFont val="Arial"/>
      </rPr>
      <t>&lt;i&gt;Перечень вспомогательных веществ:&lt;/i&gt;</t>
    </r>
    <r>
      <rPr>
        <sz val="10"/>
        <color theme="1"/>
        <rFont val="Arial"/>
      </rPr>
      <t xml:space="preserve">
&lt;ul&gt;&lt;li&gt;Стабилизатор М-2: сахароза, лактозы моногидрат, глицин, натрия глутамата моногидрат, трометамол, натрия хлорид, желатин.&lt;/li&gt;&lt;/ul&gt;&lt;/p&gt;</t>
    </r>
  </si>
  <si>
    <r>
      <rPr>
        <sz val="10"/>
        <color theme="1"/>
        <rFont val="Arial"/>
      </rPr>
      <t xml:space="preserve">Одна прививочная доза (0,5 мл) содержит:
</t>
    </r>
    <r>
      <rPr>
        <i/>
        <sz val="10"/>
        <color theme="1"/>
        <rFont val="Arial"/>
      </rPr>
      <t>Действующие вещества:</t>
    </r>
    <r>
      <rPr>
        <sz val="10"/>
        <color theme="1"/>
        <rFont val="Arial"/>
      </rPr>
      <t xml:space="preserve">
• гемагглютинин вируса гриппа птиц типа А серотипа H₅N₁ — (15±2,2) мкг,
адсорбированный на алюминия гидроксиде — (0,475±0,075) мг.
</t>
    </r>
    <r>
      <rPr>
        <i/>
        <sz val="10"/>
        <color theme="1"/>
        <rFont val="Arial"/>
      </rPr>
      <t>Перечень вспомогательных веществ:</t>
    </r>
    <r>
      <rPr>
        <sz val="10"/>
        <color theme="1"/>
        <rFont val="Arial"/>
      </rPr>
      <t xml:space="preserve">
• Алюминия гидроксид.
• Консервант — тиомерсал (мертиолят).</t>
    </r>
  </si>
  <si>
    <t>&lt;p&gt;Одна прививочная доза (0,5&amp;nbsp;мл) содержит:&lt;br&gt;&lt;br&gt;
&lt;i&gt;Действующие вещества:&lt;/i&gt;
&lt;ul&gt;&lt;li&gt;гемагглютинин вируса гриппа птиц типа&amp;nbsp;А серотипа&amp;nbsp;H₅N₁ — (15±2,2)&amp;nbsp;мкг,&lt;/li&gt;
адсорбированный на алюминия гидроксиде — (0,475±0,075)&amp;nbsp;мг.&lt;/ul&gt;
&lt;i&gt;Перечень вспомогательных веществ:&lt;/i&gt;
&lt;ul&gt;&lt;li&gt;Алюминия гидроксид.&lt;/li&gt;
&lt;li&gt;Консервант — тиомерсал (мертиолят).&lt;/li&gt;&lt;/ul&gt;&lt;/p&gt;</t>
  </si>
  <si>
    <t>Одна доза вакцины (0,5 мл) содержит:
• вирус краснухи, штамм RA 27/3 — не менее 1000 ТЦД₅₀/0.5 мл;
• вспомогательные вещества: сорбитол, желатин, L-аргинина хлорид, мальтоза, натрия хлорид, лактальбумина гидролизат, L-аланин, не более 25 мкг неомицина сульфата.</t>
  </si>
  <si>
    <t>&lt;p&gt;Одна доза вакцины (0,5&amp;nbsp;мл) содержит:
&lt;ul&gt;&lt;li&gt;вирус краснухи, штамм RA 27/3 — не менее 1000&amp;nbsp;ТЦД₅₀/0.5&amp;nbsp;мл;&lt;/li&gt;
&lt;li&gt;вспомогательные вещества: сорбитол, желатин, L-аргинина хлорид, мальтоза, натрия хлорид, лактальбумина гидролизат, L-аланин, не более 25&amp;nbsp;мкг неомицина сульфата.&lt;/li&gt;&lt;/ul&gt;&lt;/p&gt;</t>
  </si>
  <si>
    <t>В 1 дозе (1,0 мл) содержится:
Действующие вещества:
• Анатоксин ботулинический типа А¹ — 5 единиц связывания (ЕС);
• Анатоксин ботулинический типа В¹ — 3 единицы связывания (ЕС);
• Анатоксин ботулинический типа Е¹ — 3 единицы связывания (ЕС);
• Анатоксин столбнячный¹ — 2,5 единиц связывания (ЕС).
Вспомогательные вещества, наличие которых надо учитывать в составе лекарственного препарата: тиомерсал.
Содержит формальдегид — не более 100 мкг.
¹ Адсорбированный на алюминия гидроксиде (в пересчете на алюминий Al³⁺) — не более 1,2 мг.</t>
  </si>
  <si>
    <t>&lt;p&gt;В 1&amp;nbsp;дозе (1,0&amp;nbsp;мл) содержится:&lt;br&gt;&lt;br&gt;
&lt;i&gt;Действующие вещества:&lt;/i&gt;
&lt;ul&gt;&lt;li&gt;Анатоксин ботулинический типа&amp;nbsp;А¹ — 5&amp;nbsp;единиц связывания (ЕС);&lt;/li&gt;
&lt;li&gt;Анатоксин ботулинический типа&amp;nbsp;В¹ — 3&amp;nbsp;единицы связывания (ЕС);&lt;/li&gt;
&lt;li&gt;Анатоксин ботулинический типа&amp;nbsp;Е¹ — 3&amp;nbsp;единицы связывания (ЕС);&lt;/li&gt;
&lt;li&gt;Анатоксин столбнячный¹ — 2,5&amp;nbsp;единиц связывания (ЕС).&lt;/li&gt;&lt;/ul&gt;
&lt;i&gt;Вспомогательные вещества&lt;/i&gt;, наличие которых надо учитывать в составе лекарственного препарата: тиомерсал.&lt;br&gt;
Содержит формальдегид — не более 100&amp;nbsp;мкг.&lt;br&gt;&lt;br&gt;
¹&amp;nbsp;Адсорбированный на алюминия гидроксиде (в пересчете на алюминий Al³⁺) — не более 1,2&amp;nbsp;мг.&lt;/p&gt;</t>
  </si>
  <si>
    <r>
      <rPr>
        <sz val="10"/>
        <color theme="1"/>
        <rFont val="Arial"/>
      </rPr>
      <t xml:space="preserve">Каждый мл суспензии содержит 10 ЕС Анатоксина стафилококкового очищенного.
</t>
    </r>
    <r>
      <rPr>
        <i/>
        <sz val="10"/>
        <color theme="1"/>
        <rFont val="Arial"/>
      </rPr>
      <t>Перечень вспомогательных веществ:</t>
    </r>
    <r>
      <rPr>
        <sz val="10"/>
        <color theme="1"/>
        <rFont val="Arial"/>
      </rPr>
      <t xml:space="preserve">
• Алюминия гидроксид;
• Тиомерсал;
• Формальдегид;
• Натрия хлорид;
• Вода для инъекций.</t>
    </r>
  </si>
  <si>
    <t>&lt;p&gt;Каждый мл суспензии содержит 10&amp;nbsp;ЕС Анатоксина стафилококкового очищенного.&lt;br&gt;&lt;br&gt;
&lt;i&gt;Перечень вспомогательных веществ:&lt;/i&gt;
&lt;ul&gt;&lt;li&gt;Алюминия гидроксид;&lt;/li&gt;
&lt;li&gt;Тиомерсал;&lt;/li&gt;
&lt;li&gt;Формальдегид;&lt;/li&gt;
&lt;li&gt;Натрия хлорид;&lt;/li&gt;
&lt;li&gt;Вода для инъекций.&lt;/li&gt;&lt;/ul&gt;&lt;/p&gt;</t>
  </si>
  <si>
    <r>
      <rPr>
        <sz val="10"/>
        <color theme="1"/>
        <rFont val="Arial"/>
      </rPr>
      <t xml:space="preserve">Каждый мл раствора содержит 10—14 ЕС Анатоксина стафилококкового.
</t>
    </r>
    <r>
      <rPr>
        <i/>
        <sz val="10"/>
        <color theme="1"/>
        <rFont val="Arial"/>
      </rPr>
      <t>Перечень вспомогательных веществ:</t>
    </r>
    <r>
      <rPr>
        <sz val="10"/>
        <color theme="1"/>
        <rFont val="Arial"/>
      </rPr>
      <t xml:space="preserve">
• Натрия хлорид;
• Вода для инъекций.</t>
    </r>
  </si>
  <si>
    <t>&lt;p&gt;Каждый мл раствора содержит 10—14&amp;nbsp;ЕС Анатоксина стафилококкового.&lt;br&gt;&lt;br&gt;
&lt;i&gt;Перечень вспомогательных веществ:&lt;/i&gt;
&lt;ul&gt;&lt;li&gt;Натрия хлорид;&lt;/li&gt;
&lt;li&gt;Вода для инъекций.&lt;/li&gt;&lt;/ul&gt;&lt;/p&gt;</t>
  </si>
  <si>
    <r>
      <rPr>
        <i/>
        <sz val="10"/>
        <color theme="1"/>
        <rFont val="Arial"/>
      </rPr>
      <t>Действующее вещество:</t>
    </r>
    <r>
      <rPr>
        <sz val="10"/>
        <color theme="1"/>
        <rFont val="Arial"/>
      </rPr>
      <t xml:space="preserve">
В каждом флаконе содержится:
• 25 мг микробных клеток БЦЖ (не менее 2х10⁸ и не более 3,75х10⁸ жизнеспособных клеток БЦЖ);
• 50 мг микробных клеток БЦЖ (не менее 4х10⁸ и не более 7,5х10⁸ жизнеспособных клеток БЦЖ).
</t>
    </r>
    <r>
      <rPr>
        <i/>
        <sz val="10"/>
        <color theme="1"/>
        <rFont val="Arial"/>
      </rPr>
      <t>Перечень вспомогательных веществ:</t>
    </r>
    <r>
      <rPr>
        <sz val="10"/>
        <color theme="1"/>
        <rFont val="Arial"/>
      </rPr>
      <t xml:space="preserve">
• Стабилизатор — натрия глутамат моногидрат.</t>
    </r>
  </si>
  <si>
    <r>
      <rPr>
        <i/>
        <sz val="10"/>
        <color theme="1"/>
        <rFont val="Arial"/>
      </rPr>
      <t>&lt;p&gt;&lt;i&gt;Действующее вещество:</t>
    </r>
    <r>
      <rPr>
        <sz val="10"/>
        <color theme="1"/>
        <rFont val="Arial"/>
      </rPr>
      <t>&lt;/i&gt;&lt;br&gt;&lt;br&gt;
В каждом флаконе содержится:
&lt;ul&gt;&lt;li&gt;25&amp;nbsp;мг микробных клеток БЦЖ (не менее 2х10⁸ и не более 3,75х10⁸ жизнеспособных клеток БЦЖ);&lt;/li&gt;
&lt;li&gt;50&amp;nbsp;мг микробных клеток БЦЖ (не менее 4х10⁸ и не более 7,5х10⁸ жизнеспособных клеток БЦЖ).&lt;/li&gt;&lt;/ul&gt;
&lt;i&gt;Перечень вспомогательных веществ:&lt;/i&gt;
&lt;ul&gt;&lt;li&gt;Стабилизатор — натрия глутамат моногидрат.&lt;/li&gt;&lt;/ul&gt;&lt;/p&gt;</t>
    </r>
  </si>
  <si>
    <r>
      <rPr>
        <sz val="10"/>
        <color theme="1"/>
        <rFont val="Arial"/>
      </rPr>
      <t xml:space="preserve">1 доза для взрослых (1 мл) содержит:
• Очищенный поверхностный антиген гепатита В (HBsAg)¹·² — 20 мкг
¹ Получен из дрожжевых клеток </t>
    </r>
    <r>
      <rPr>
        <i/>
        <sz val="10"/>
        <color theme="1"/>
        <rFont val="Arial"/>
      </rPr>
      <t>Hansenula polymorpha</t>
    </r>
    <r>
      <rPr>
        <sz val="10"/>
        <color theme="1"/>
        <rFont val="Arial"/>
      </rPr>
      <t xml:space="preserve"> (штамм К 3/8-1 ADW 001/4/7/96) по технологии рекомбинантной ДНК
² Адсорбированный на алюминия гидроксиде (0,5 мг — 0,80 мг Аl)
</t>
    </r>
    <r>
      <rPr>
        <i/>
        <sz val="10"/>
        <color theme="1"/>
        <rFont val="Arial"/>
      </rPr>
      <t>Перечень вспомогательных веществ:</t>
    </r>
    <r>
      <rPr>
        <sz val="10"/>
        <color theme="1"/>
        <rFont val="Arial"/>
      </rPr>
      <t xml:space="preserve">
• алюминия гидроксид;
• тиомерсал.</t>
    </r>
  </si>
  <si>
    <t>&lt;p&gt;1&amp;nbsp;доза для взрослых (1&amp;nbsp;мл) содержит:
&lt;ul&gt;&lt;li&gt;Очищенный поверхностный антиген гепатита В (HBsAg)¹&lt;sup&gt;,&lt;/sup&gt;² — 20&amp;nbsp;мкг&lt;/li&gt;&lt;/ul&gt;
¹&amp;nbsp;Получен из дрожжевых клеток &lt;i&gt;Hansenula polymorpha&lt;/i&gt; (штамм К 3/8-1 ADW 001/4/7/96) по технологии рекомбинантной ДНК&lt;br&gt;
²&amp;nbsp;Адсорбированный на алюминия гидроксиде (0,50&amp;nbsp; мг — 0,80&amp;nbsp;мг Аl)&lt;br&gt;&lt;br&gt;
&lt;i&gt;Перечень вспомогательных веществ:&lt;/i&gt;
&lt;ul&gt;&lt;li&gt;алюминия гидроксид;&lt;/li&gt;
&lt;li&gt;тиомерсал.&lt;/li&gt;&lt;/ul&gt;&lt;/p&gt;</t>
  </si>
  <si>
    <r>
      <rPr>
        <sz val="10"/>
        <color theme="1"/>
        <rFont val="Arial"/>
      </rPr>
      <t xml:space="preserve">1 доза¹ (0,5 мл) содержит:
</t>
    </r>
    <r>
      <rPr>
        <i/>
        <sz val="10"/>
        <color theme="1"/>
        <rFont val="Arial"/>
      </rPr>
      <t>Действующие вещества:</t>
    </r>
    <r>
      <rPr>
        <sz val="10"/>
        <color theme="1"/>
        <rFont val="Arial"/>
      </rPr>
      <t xml:space="preserve">
• Анатоксин дифтерийный — 30 Lf (≥ 30 ME²·⁴);
• Анатоксин столбнячный — 10 Lf (≥ 40 ME³·⁴);
• Анатоксин коклюшный — 25 мкг;
• Гемагглютинин филаментозный — 25 мкг;
• Вирус полиомиелита 1-го типа инактивированный (Mahoney)⁵ — 40 единиц D антигена⁶;
• Вирус полиомиелита 2-го типа инактивированный (MEF-1)⁵ — 8 единиц D антигена⁶;
• Вирус полиомиелита 3-го типа инактивированный (Saukett)⁵ — 32 единицы D антигена⁶;
• Поверхностный антиген вируса гепатита В⁷ — 10 мкг;
• Полисахарид </t>
    </r>
    <r>
      <rPr>
        <i/>
        <sz val="10"/>
        <color theme="1"/>
        <rFont val="Arial"/>
      </rPr>
      <t>Haemophilus influenzae</t>
    </r>
    <r>
      <rPr>
        <sz val="10"/>
        <color theme="1"/>
        <rFont val="Arial"/>
      </rPr>
      <t xml:space="preserve"> тип </t>
    </r>
    <r>
      <rPr>
        <i/>
        <sz val="10"/>
        <color theme="1"/>
        <rFont val="Arial"/>
      </rPr>
      <t xml:space="preserve">b </t>
    </r>
    <r>
      <rPr>
        <sz val="10"/>
        <color theme="1"/>
        <rFont val="Arial"/>
      </rPr>
      <t xml:space="preserve">— 12 мкг;
(полирибозилрибитол фосфат), конъюгированный со столбнячным анатоксином — 22-36 мкг.
¹ — адсорбирована на алюминия гидроксида гидрате (0,6 мг в пересчете на алюминий);
² — в качестве среднего значения, нижний предел доверительного интервала (р = 0,95) не менее 20 МЕ/доза;
³ — нижний предел доверительного интервала (р = 0,95);
⁴ — или эквивалентная активность, определенная с помощью оценки иммуногенности;
⁵ — культивированные на клетках VERO;
⁶ — или эквивалентное содержание антигена, определенное соответствующим иммунохимическим методом;
⁷ — получен с использованием дрожжевых клеток </t>
    </r>
    <r>
      <rPr>
        <i/>
        <sz val="10"/>
        <color theme="1"/>
        <rFont val="Arial"/>
      </rPr>
      <t>Hansenula polymorpha</t>
    </r>
    <r>
      <rPr>
        <sz val="10"/>
        <color theme="1"/>
        <rFont val="Arial"/>
      </rPr>
      <t xml:space="preserve"> по технологии рекомбинантной ДНК.
В вакцине могут присутствовать в следовых количествах глутаральдегид, формальдегид, неомицин, стрептомицин и полимиксин В, которые используются в процессе производства.
Вакцина не содержит консервантов.
Вспомогательные вещества, наличие которых надо учитывать в составе лекарственного препарата: фенилаланин — 85 мкг.
Полный перечень вспомогательных веществ приведен в разделе 6.1.
</t>
    </r>
    <r>
      <rPr>
        <b/>
        <sz val="10"/>
        <color theme="1"/>
        <rFont val="Arial"/>
      </rPr>
      <t>6.1. Перечень вспомогательных веществ</t>
    </r>
    <r>
      <rPr>
        <sz val="10"/>
        <color theme="1"/>
        <rFont val="Arial"/>
      </rPr>
      <t xml:space="preserve">
• Натрия гидрофосфат;
• Калия дигидрофосфат;
• Незаменимые аминокислоты, включая L-фенилаланин;
• Трометамол;
• Сахароза;
• Вода для инъекций;
• Натрия гидроксид, уксусная кислота или хлористоводородная кислота (для корректировки рН).</t>
    </r>
  </si>
  <si>
    <r>
      <rPr>
        <sz val="10"/>
        <color theme="1"/>
        <rFont val="Arial"/>
      </rPr>
      <t xml:space="preserve">&lt;p&gt;1&amp;nbsp;доза¹ (0,5&amp;nbsp;мл) содержит:&lt;br&gt;&lt;br&gt;
</t>
    </r>
    <r>
      <rPr>
        <i/>
        <sz val="10"/>
        <color theme="1"/>
        <rFont val="Arial"/>
      </rPr>
      <t>&lt;i&gt;Действующие вещества:</t>
    </r>
    <r>
      <rPr>
        <sz val="10"/>
        <color theme="1"/>
        <rFont val="Arial"/>
      </rPr>
      <t xml:space="preserve">&lt;/i&gt;
&lt;ul&gt;&lt;li&gt;Анатоксин дифтерийный — 30&amp;nbsp;Lf (≥&amp;nbsp;30&amp;nbsp;ME²&lt;sup&gt;,&lt;/sup&gt;⁴);&lt;/li&gt;
&lt;li&gt;Анатоксин столбнячный — 10&amp;nbsp;Lf (≥&amp;nbsp;40&amp;nbsp;ME³&lt;sup&gt;,&lt;/sup&gt;⁴);&lt;/li&gt;
&lt;li&gt;Анатоксин коклюшный — 25&amp;nbsp;мкг;&lt;/li&gt;
&lt;li&gt;Гемагглютинин филаментозный — 25&amp;nbsp;мкг;&lt;/li&gt;
&lt;li&gt;Вирус полиомиелита 1-го типа инактивированный (Mahoney)⁵ — 40&amp;nbsp;единиц D антигена⁶;&lt;/li&gt;
&lt;li&gt;Вирус полиомиелита 2-го типа инактивированный (MEF-1)⁵ — 8&amp;nbsp;единиц D антигена⁶;&lt;/li&gt;
&lt;li&gt;Вирус полиомиелита 3-го типа инактивированный (Saukett)⁵ — 32&amp;nbsp;единицы D антигена⁶;&lt;/li&gt;
&lt;li&gt;Поверхностный антиген вируса гепатита В⁷ — 10&amp;nbsp;мкг;&lt;/li&gt;
&lt;li&gt;Полисахарид </t>
    </r>
    <r>
      <rPr>
        <i/>
        <sz val="10"/>
        <color theme="1"/>
        <rFont val="Arial"/>
      </rPr>
      <t>&lt;i&gt;Haemophilus influenzae</t>
    </r>
    <r>
      <rPr>
        <sz val="10"/>
        <color theme="1"/>
        <rFont val="Arial"/>
      </rPr>
      <t>&lt;/i&gt; тип &lt;i&gt;</t>
    </r>
    <r>
      <rPr>
        <i/>
        <sz val="10"/>
        <color theme="1"/>
        <rFont val="Arial"/>
      </rPr>
      <t xml:space="preserve">b&lt;/i&gt; </t>
    </r>
    <r>
      <rPr>
        <sz val="10"/>
        <color theme="1"/>
        <rFont val="Arial"/>
      </rPr>
      <t>— 12&amp;nbsp;мкг;&lt;br&gt;
(полирибозилрибитол фосфат), конъюгированный со столбнячным анатоксином — 22-36&amp;nbsp;мкг.&lt;/li&gt;&lt;/ul&gt;
¹ — адсорбирована на алюминия гидроксида гидрате (0,6&amp;nbsp;мг в пересчете на алюминий);&lt;br&gt;
² — в качестве среднего значения, нижний предел доверительного интервала (р = 0,95) не менее 20&amp;nbsp;МЕ/доза;&lt;br&gt;
³ — нижний предел доверительного интервала (р = 0,95);&lt;br&gt;
⁴ — или эквивалентная активность, определенная с помощью оценки иммуногенности;&lt;br&gt;
⁵ — культивированные на клетках VERO;&lt;br&gt;
⁶ — или эквивалентное содержание антигена, определенное соответствующим иммунохимическим методом;&lt;br&gt;
⁷ — получен с использованием дрожжевых клеток &lt;i&gt;</t>
    </r>
    <r>
      <rPr>
        <i/>
        <sz val="10"/>
        <color theme="1"/>
        <rFont val="Arial"/>
      </rPr>
      <t>Hansenula polymorpha&lt;/i&gt;</t>
    </r>
    <r>
      <rPr>
        <sz val="10"/>
        <color theme="1"/>
        <rFont val="Arial"/>
      </rPr>
      <t xml:space="preserve"> по технологии рекомбинантной ДНК.&lt;br&gt;&lt;br&gt;
В вакцине могут присутствовать в следовых количествах глутаральдегид, формальдегид, неомицин, стрептомицин и полимиксин В, которые используются в процессе производства.&lt;br&gt;
Вакцина не содержит консервантов.&lt;br&gt;
Вспомогательные вещества, наличие которых надо учитывать в составе лекарственного препарата: фенилаланин — 85&amp;nbsp;мкг.&lt;br&gt;
Полный перечень вспомогательных веществ приведен в разделе 6.1.&lt;/p&gt;
</t>
    </r>
    <r>
      <rPr>
        <b/>
        <sz val="10"/>
        <color theme="1"/>
        <rFont val="Arial"/>
      </rPr>
      <t>&lt;p&gt;&lt;b&gt;6.1. Перечень вспомогательных веществ</t>
    </r>
    <r>
      <rPr>
        <sz val="10"/>
        <color theme="1"/>
        <rFont val="Arial"/>
      </rPr>
      <t>&lt;/b&gt;
&lt;ul&gt;&lt;li&gt;Натрия гидрофосфат;&lt;/li&gt;
&lt;li&gt;Калия дигидрофосфат;&lt;/li&gt;
&lt;li&gt;Незаменимые аминокислоты, включая L-фенилаланин;&lt;/li&gt;
&lt;li&gt;Трометамол;&lt;/li&gt;
&lt;li&gt;Сахароза;&lt;/li&gt;
&lt;li&gt;Вода для инъекций;&lt;/li&gt;
&lt;li&gt;Натрия гидроксид, уксусная кислота или хлористоводородная кислота (для корректировки рН).&lt;/li&gt;&lt;/ul&gt;&lt;/p&gt;</t>
    </r>
  </si>
  <si>
    <r>
      <rPr>
        <sz val="10"/>
        <color theme="1"/>
        <rFont val="Arial"/>
      </rPr>
      <t xml:space="preserve">Состав на 1 дозу:
</t>
    </r>
    <r>
      <rPr>
        <i/>
        <sz val="10"/>
        <color theme="1"/>
        <rFont val="Arial"/>
      </rPr>
      <t>Действующее вещество</t>
    </r>
    <r>
      <rPr>
        <sz val="10"/>
        <color theme="1"/>
        <rFont val="Arial"/>
      </rPr>
      <t xml:space="preserve">: рекомбинантные вирусоподобные частицы, содержащие на поверхности структурный S белок вируса SARS-CoV-2, синтезированные в бакуловирусной системе экспрессии — 80 мкг.
</t>
    </r>
    <r>
      <rPr>
        <i/>
        <sz val="10"/>
        <color theme="1"/>
        <rFont val="Arial"/>
      </rPr>
      <t>Вспомогательные вещества</t>
    </r>
    <r>
      <rPr>
        <sz val="10"/>
        <color theme="1"/>
        <rFont val="Arial"/>
      </rPr>
      <t>: калия дигидрофосфат — 0,29 мг, динатрия гидрофосфат — 0,30 мг, натрия хлорид — 1,84 мг, калия хлорид — 0,04 мг, кальция хлорид — 0,02 мг, трис(гидроксиметил)аминометан гидрохлорид — 0,03 мг, адъювант SEPIVАС SWE — 0,25 мл, тиомерсал — 4,00 мкг, вода для инъекций — до 0,5 мл.</t>
    </r>
  </si>
  <si>
    <r>
      <rPr>
        <sz val="10"/>
        <color theme="1"/>
        <rFont val="Arial"/>
      </rPr>
      <t xml:space="preserve">&lt;p&gt;Состав на 1&amp;nbsp;дозу:&lt;br&gt;&lt;br&gt;
</t>
    </r>
    <r>
      <rPr>
        <i/>
        <sz val="10"/>
        <color theme="1"/>
        <rFont val="Arial"/>
      </rPr>
      <t>&lt;i&gt;Действующее вещество</t>
    </r>
    <r>
      <rPr>
        <sz val="10"/>
        <color theme="1"/>
        <rFont val="Arial"/>
      </rPr>
      <t xml:space="preserve">:&lt;/i&gt; рекомбинантные вирусоподобные частицы, содержащие на поверхности структурный S белок вируса SARS-CoV-2, синтезированные в бакуловирусной системе экспрессии — 80&amp;nbsp;мкг.&lt;br&gt;&lt;br&gt;
</t>
    </r>
    <r>
      <rPr>
        <i/>
        <sz val="10"/>
        <color theme="1"/>
        <rFont val="Arial"/>
      </rPr>
      <t>&lt;i&gt;Вспомогательные вещества</t>
    </r>
    <r>
      <rPr>
        <sz val="10"/>
        <color theme="1"/>
        <rFont val="Arial"/>
      </rPr>
      <t>:&lt;/i&gt; калия дигидрофосфат — 0,29&amp;nbsp;мг, динатрия гидрофосфат — 0,30&amp;nbsp;мг, натрия хлорид — 1,84&amp;nbsp;мг, калия хлорид — 0,04&amp;nbsp;мг, кальция хлорид — 0,02&amp;nbsp;мг, трис(гидроксиметил)аминометан гидрохлорид — 0,03&amp;nbsp;мг, адъювант SEPIVАС SWE — 0,25&amp;nbsp;мл, тиомерсал — 4,00&amp;nbsp;мкг, вода для инъекций — до 0,5&amp;nbsp;мл.&lt;/p&gt;</t>
    </r>
  </si>
  <si>
    <r>
      <rPr>
        <sz val="10"/>
        <color theme="1"/>
        <rFont val="Arial"/>
      </rPr>
      <t xml:space="preserve">Состав на 1 дозу:
</t>
    </r>
    <r>
      <rPr>
        <i/>
        <sz val="10"/>
        <color theme="1"/>
        <rFont val="Arial"/>
      </rPr>
      <t>Действующее вещество</t>
    </r>
    <r>
      <rPr>
        <sz val="10"/>
        <color theme="1"/>
        <rFont val="Arial"/>
      </rPr>
      <t xml:space="preserve">: рекомбинантные вирусоподобные частицы, содержащие на поверхности структурный S белок вируса SARS-CoV-2, синтезированные в бакуловирусной системе экспрессии — 80 мкг.
</t>
    </r>
    <r>
      <rPr>
        <i/>
        <sz val="10"/>
        <color theme="1"/>
        <rFont val="Arial"/>
      </rPr>
      <t>Вспомогательные вещества:</t>
    </r>
    <r>
      <rPr>
        <sz val="10"/>
        <color theme="1"/>
        <rFont val="Arial"/>
      </rPr>
      <t xml:space="preserve"> калия дигидрофосфат — 0,63 мг, динатрия гидрофосфат — 0,65 мг, натрия хлорид — 3,84 мг, калия хлорид — 0,09 мг, кальция хлорид — 0,02 мг, трис(гидроксиметил)аминометан гидрохлорид — 0,03 мг, тиомерсал — 4,00 мкг, вода для инъекций — до 0,5 мл.</t>
    </r>
  </si>
  <si>
    <r>
      <rPr>
        <sz val="10"/>
        <color theme="1"/>
        <rFont val="Arial"/>
      </rPr>
      <t xml:space="preserve">&lt;p&gt;Состав на 1&amp;nbsp;дозу:&lt;br&gt;&lt;br&gt;
</t>
    </r>
    <r>
      <rPr>
        <i/>
        <sz val="10"/>
        <color theme="1"/>
        <rFont val="Arial"/>
      </rPr>
      <t>&lt;i&gt;Действующее вещество</t>
    </r>
    <r>
      <rPr>
        <sz val="10"/>
        <color theme="1"/>
        <rFont val="Arial"/>
      </rPr>
      <t xml:space="preserve">:&lt;/i&gt; рекомбинантные вирусоподобные частицы, содержащие на поверхности структурный S белок вируса SARS-CoV-2, синтезированные в бакуловирусной системе экспрессии — 80&amp;nbsp;мкг.&lt;br&gt;&lt;br&gt;
</t>
    </r>
    <r>
      <rPr>
        <i/>
        <sz val="10"/>
        <color theme="1"/>
        <rFont val="Arial"/>
      </rPr>
      <t>&lt;i&gt;Вспомогательные вещества</t>
    </r>
    <r>
      <rPr>
        <sz val="10"/>
        <color theme="1"/>
        <rFont val="Arial"/>
      </rPr>
      <t>:&lt;/i&gt; калия дигидрофосфат — 0,63&amp;nbsp;мг, динатрия гидрофосфат — 0,65&amp;nbsp;мг, натрия хлорид — 3,84&amp;nbsp;мг, калия хлорид — 0,09&amp;nbsp;мг, кальция хлорид — 0,02&amp;nbsp;мг, трис(гидроксиметил)аминометан гидрохлорид — 0,03&amp;nbsp;мг, тиомерсал — 4,00&amp;nbsp;мкг, вода для инъекций — до 0,5&amp;nbsp;мл.&lt;/p&gt;</t>
    </r>
  </si>
  <si>
    <r>
      <rPr>
        <sz val="10"/>
        <color theme="1"/>
        <rFont val="Arial"/>
      </rPr>
      <t>1 доза (0,5 мл) содержит:
• Вируса папилломы человека антиген тип 6¹ — 20 мкг;
• Вируса папилломы человека антиген тип 11² — 40 мкг;
• Вируса папилломы человека антиген тип 16³ — 40 мкг;
• Вируса папилломы человека антиген тип 18⁴ — 20 мкг;
• Алюминия гидроксид (Al³⁺) — 0,25 мг.
¹ Белок главного капсида (L1) вируса папилломы человека (ВПЧ) типа 6 в виде вирусоподобных частиц, продуцируемый в клетках дрожжей (</t>
    </r>
    <r>
      <rPr>
        <i/>
        <sz val="10"/>
        <color theme="1"/>
        <rFont val="Arial"/>
      </rPr>
      <t>Hansenula polymorpha</t>
    </r>
    <r>
      <rPr>
        <sz val="10"/>
        <color theme="1"/>
        <rFont val="Arial"/>
      </rPr>
      <t xml:space="preserve"> КБТ-17/рPV-062) по технологии рекомбинантной ДНК.
² Белок главного капсида (L1) ВПЧ типа 11 в виде вирусоподобных частиц, продуцируемый в клетках дрожжей (</t>
    </r>
    <r>
      <rPr>
        <i/>
        <sz val="10"/>
        <color theme="1"/>
        <rFont val="Arial"/>
      </rPr>
      <t>Hansenula polymorpha</t>
    </r>
    <r>
      <rPr>
        <sz val="10"/>
        <color theme="1"/>
        <rFont val="Arial"/>
      </rPr>
      <t xml:space="preserve"> КБТ-17/рPV-112) по технологии рекомбинантной ДНК.
³ Белок главного капсида (L1) ВПЧ типа 16 в виде вирусоподобных частиц, продуцируемый в клетках дрожжей (</t>
    </r>
    <r>
      <rPr>
        <i/>
        <sz val="10"/>
        <color theme="1"/>
        <rFont val="Arial"/>
      </rPr>
      <t>Hansenula polymorpha</t>
    </r>
    <r>
      <rPr>
        <sz val="10"/>
        <color theme="1"/>
        <rFont val="Arial"/>
      </rPr>
      <t xml:space="preserve"> КБТ-17/рPV-162) по технологии рекомбинантной ДНК.
⁴ Белок главного капсида (L1) ВПЧ типа 18 в виде вирусоподобных частиц, продуцируемый в клетках дрожжей (</t>
    </r>
    <r>
      <rPr>
        <i/>
        <sz val="10"/>
        <color theme="1"/>
        <rFont val="Arial"/>
      </rPr>
      <t>Hansenula polymorpha</t>
    </r>
    <r>
      <rPr>
        <sz val="10"/>
        <color theme="1"/>
        <rFont val="Arial"/>
      </rPr>
      <t xml:space="preserve"> КБТ-17/рPV-182) по технологии рекомбинантной ДНК.
</t>
    </r>
    <r>
      <rPr>
        <i/>
        <sz val="10"/>
        <color theme="1"/>
        <rFont val="Arial"/>
      </rPr>
      <t>Перечень вспомогательных веществ:</t>
    </r>
    <r>
      <rPr>
        <sz val="10"/>
        <color theme="1"/>
        <rFont val="Arial"/>
      </rPr>
      <t xml:space="preserve">
• Натрия хлорид;
• Натрия фосфат однозамещенный дигидрат;
• Полисорбат 80;
• L-гистидин;
• Вода для инъекций.</t>
    </r>
  </si>
  <si>
    <r>
      <rPr>
        <sz val="10"/>
        <color theme="1"/>
        <rFont val="Arial"/>
      </rPr>
      <t>&lt;p&gt;1&amp;nbsp;доза (0,5&amp;nbsp;мл) содержит:
&lt;ul&gt;&lt;li&gt;Вируса папилломы человека антиген тип&amp;nbsp;6¹ — 20&amp;nbsp;мкг;&lt;/li&gt;
&lt;li&gt;Вируса папилломы человека антиген тип&amp;nbsp;11² — 40&amp;nbsp;мкг;&lt;/li&gt;
&lt;li&gt;Вируса папилломы человека антиген тип&amp;nbsp;16³ — 40&amp;nbsp;мкг;&lt;/li&gt;
&lt;li&gt;Вируса папилломы человека антиген тип&amp;nbsp;18⁴ — 20&amp;nbsp;мкг;&lt;/li&gt;
&lt;li&gt;Алюминия гидроксид (Al³⁺) — 0,25&amp;nbsp;мг.&lt;/li&gt;&lt;/ul&gt;
¹&amp;nbsp;Белок главного капсида (L1) вируса папилломы человека (ВПЧ) типа&amp;nbsp;6 в виде вирусоподобных частиц, продуцируемый в клетках дрожжей (&lt;i&gt;</t>
    </r>
    <r>
      <rPr>
        <i/>
        <sz val="10"/>
        <color theme="1"/>
        <rFont val="Arial"/>
      </rPr>
      <t>Hansenula polymorpha&lt;/i&gt;</t>
    </r>
    <r>
      <rPr>
        <sz val="10"/>
        <color theme="1"/>
        <rFont val="Arial"/>
      </rPr>
      <t xml:space="preserve"> КБТ-17/рPV-062) по технологии рекомбинантной ДНК.&lt;br&gt;
²&amp;nbsp;Белок главного капсида (L1) ВПЧ типа&amp;nbsp;11 в виде вирусоподобных частиц, продуцируемый в клетках дрожжей (&lt;i&gt;</t>
    </r>
    <r>
      <rPr>
        <i/>
        <sz val="10"/>
        <color theme="1"/>
        <rFont val="Arial"/>
      </rPr>
      <t>Hansenula polymorpha</t>
    </r>
    <r>
      <rPr>
        <sz val="10"/>
        <color theme="1"/>
        <rFont val="Arial"/>
      </rPr>
      <t>&lt;/i&gt; КБТ-17/рPV-112) по технологии рекомбинантной ДНК.&lt;br&gt;
³&amp;nbsp;Белок главного капсида (L1) ВПЧ типа&amp;nbsp;16 в виде вирусоподобных частиц, продуцируемый в клетках дрожжей (&lt;i&gt;</t>
    </r>
    <r>
      <rPr>
        <i/>
        <sz val="10"/>
        <color theme="1"/>
        <rFont val="Arial"/>
      </rPr>
      <t>Hansenula polymorpha&lt;/i&gt;</t>
    </r>
    <r>
      <rPr>
        <sz val="10"/>
        <color theme="1"/>
        <rFont val="Arial"/>
      </rPr>
      <t xml:space="preserve"> КБТ-17/рPV-162) по технологии рекомбинантной ДНК.&lt;br&gt;
⁴&amp;nbsp;Белок главного капсида (L1) ВПЧ типа&amp;nbsp;18 в виде вирусоподобных частиц, продуцируемый в клетках дрожжей (</t>
    </r>
    <r>
      <rPr>
        <i/>
        <sz val="10"/>
        <color theme="1"/>
        <rFont val="Arial"/>
      </rPr>
      <t>&lt;i&gt;Hansenula polymorpha&lt;/i&gt;</t>
    </r>
    <r>
      <rPr>
        <sz val="10"/>
        <color theme="1"/>
        <rFont val="Arial"/>
      </rPr>
      <t xml:space="preserve"> КБТ-17/рPV-182) по технологии рекомбинантной ДНК.&lt;br&gt;&lt;br&gt;
</t>
    </r>
    <r>
      <rPr>
        <i/>
        <sz val="10"/>
        <color theme="1"/>
        <rFont val="Arial"/>
      </rPr>
      <t>&lt;i&gt;Перечень вспомогательных веществ:</t>
    </r>
    <r>
      <rPr>
        <sz val="10"/>
        <color theme="1"/>
        <rFont val="Arial"/>
      </rPr>
      <t>&lt;/i&gt;
&lt;ul&gt;&lt;li&gt;Натрия хлорид;&lt;/li&gt;
&lt;li&gt;Натрия фосфат однозамещенный дигидрат;&lt;/li&gt;
&lt;li&gt;Полисорбат&amp;nbsp;80;&lt;/li&gt;
&lt;li&gt;L-гистидин;&lt;/li&gt;
&lt;li&gt;Вода для инъекций.&lt;/li&gt;&lt;/ul&gt;&lt;/p&gt;</t>
    </r>
  </si>
  <si>
    <r>
      <rPr>
        <sz val="10"/>
        <color theme="1"/>
        <rFont val="Arial"/>
      </rPr>
      <t xml:space="preserve">После восстановления 1 прививочная доза (0,5 мл) содержит:
• Менингококковый полисахарид серогруппы А¹ — 5 мкг;
• Менингококковый полисахарид серогруппы C² — 5 мкг;
• Менингококковый полисахарид серогруппы Y² — 5 мкг;
• Менингококковый полисахарид серогруппы W² — 5 мкг;
• Менингококковый полисахарид серогруппы X¹ — 5 мкг;
¹ Конъюгирован с белком-носителем — столбнячным анатоксином — от 7,8 до 33,4 мкг.
² Конъюгирован с белком-носителем — CRM197 — от 11,7 до 50,1 мкг.
</t>
    </r>
    <r>
      <rPr>
        <i/>
        <sz val="10"/>
        <color theme="1"/>
        <rFont val="Arial"/>
      </rPr>
      <t>Перечень вспомогательных веществ:</t>
    </r>
    <r>
      <rPr>
        <sz val="10"/>
        <color theme="1"/>
        <rFont val="Arial"/>
      </rPr>
      <t xml:space="preserve">
• Сахароза;
• Натрия цитрата дигидрат;
• Трометамол.
</t>
    </r>
    <r>
      <rPr>
        <i/>
        <sz val="10"/>
        <color theme="1"/>
        <rFont val="Arial"/>
      </rPr>
      <t>Растворитель:</t>
    </r>
    <r>
      <rPr>
        <sz val="10"/>
        <color theme="1"/>
        <rFont val="Arial"/>
      </rPr>
      <t xml:space="preserve">
• Натрия хлорид;
• Вода для инъекций.</t>
    </r>
  </si>
  <si>
    <t>&lt;p&gt;После восстановления 1&amp;nbsp;прививочная доза (0,5&amp;nbsp;мл) содержит:
&lt;ul&gt;&lt;li&gt;Менингококковый полисахарид серогруппы&amp;nbsp;А¹ — 5&amp;nbsp;мкг;&lt;/li&gt;
&lt;li&gt;Менингококковый полисахарид серогруппы&amp;nbsp;C² — 5&amp;nbsp;мкг;&lt;/li&gt;
&lt;li&gt;Менингококковый полисахарид серогруппы&amp;nbsp;Y² — 5&amp;nbsp;мкг;&lt;/li&gt;
&lt;li&gt;Менингококковый полисахарид серогруппы&amp;nbsp;W² — 5&amp;nbsp;мкг;&lt;/li&gt;
&lt;li&gt;Менингококковый полисахарид серогруппы&amp;nbsp;X¹ — 5&amp;nbsp;мкг;&lt;/li&gt;&lt;/ul&gt;
¹&amp;nbsp;Конъюгирован с белком-носителем — столбнячным анатоксином — от 7,8 до 33,4&amp;nbsp;мкг.&lt;br&gt;
²&amp;nbsp;Конъюгирован с белком-носителем — CRM197 — от 11,7 до 50,1&amp;nbsp;мкг.&lt;br&gt;&lt;br&gt;
&lt;i&gt;Перечень вспомогательных веществ:&lt;/i&gt;
&lt;ul&gt;&lt;li&gt;Сахароза;&lt;/li&gt;
&lt;li&gt;Натрия цитрата дигидрат;&lt;/li&gt;
&lt;li&gt;Трометамол.&lt;/li&gt;&lt;/ul&gt;
&lt;i&gt;Растворитель:&lt;/i&gt;
&lt;ul&gt;&lt;li&gt;Натрия хлорид;&lt;/li&gt;
&lt;li&gt;Вода для инъекций.&lt;/li&gt;&lt;/ul&gt;&lt;/p&gt;</t>
  </si>
  <si>
    <r>
      <rPr>
        <sz val="10"/>
        <color theme="1"/>
        <rFont val="Arial"/>
      </rPr>
      <t xml:space="preserve">1 доза (0,5 мл) содержит:
Пневмококковые конъюгаты¹ (полисахарид—CRM₁₉₇)
• Streptococcus pneumoniae, серотип 1, полисахарид¹ — 2,2 мкг;
• Streptococcus pneumoniae, серотип 3, полисахарид¹ — 2,2 мкг;
• Streptococcus pneumoniae, серотип 4, полисахарид¹ — 2,2 мкг;
• Streptococcus pneumoniae, серотип 5, полисахарид¹ — 2,2 мкг;
• Streptococcus pneumoniae, серотип 6A, полисахарид¹ — 2,2 мкг;
• Streptococcus pneumoniae, серотип 6B, полисахарид¹ — 4,4 мкг;
• Streptococcus pneumoniae, серотип 7F, полисахарид¹ — 2,2 мкг;
• Streptococcus pneumoniae, серотип 8, полисахарид¹ — 2,2 мкг;
• Streptococcus pneumoniae, серотип 9V, полисахарид¹ — 2,2 мкг;
• Streptococcus pneumoniae, серотип 10A, полисахарид¹ — 2,2 мкг;
• Streptococcus pneumoniae, серотип 11A, полисахарид¹ — 2,2 мкг;
• Streptococcus pneumoniae, серотип 12F, полисахарид¹ — 2,2 мкг;
• Streptococcus pneumoniae, серотип 14, полисахарид¹ — 2,2 мкг;
• Streptococcus pneumoniae, серотип 15B, полисахарид¹ — 2,2 мкг;
• Streptococcus pneumoniae, серотип 18C, полисахарид¹ — 2,2 мкг;
• Streptococcus pneumoniae, серотип 19A, полисахарид¹ — 2,2 мкг;
• Streptococcus pneumoniae, серотип 19F, полисахарид¹ — 2,2 мкг;
• Streptococcus pneumoniae, серотип 22F, полисахарид¹ — 2,2 мкг;
• Streptococcus pneumoniae, серотип 23F, полисахарид¹ — 2,2 мкг;
• Streptococcus pneumoniae, серотип 33F, полисахарид¹ — 2,2 мкг.
¹ Конъюгированные с белком-носителем CRM₁₉₇ (приблизительно 51 мкг на дозу) и адсорбированные на алюминия фосфате (0,125 мг алюминия на дозу).
</t>
    </r>
    <r>
      <rPr>
        <i/>
        <sz val="10"/>
        <color theme="1"/>
        <rFont val="Arial"/>
      </rPr>
      <t>Перечень вспомогательных веществ:</t>
    </r>
    <r>
      <rPr>
        <sz val="10"/>
        <color theme="1"/>
        <rFont val="Arial"/>
      </rPr>
      <t xml:space="preserve">
• Натрия хлорид;
• Янтарная кислота;
• Полисорбат 80;
• Вода для инъекций.</t>
    </r>
  </si>
  <si>
    <t>&lt;p&gt;1&amp;nbsp;доза (0,5&amp;nbsp;мл) содержит:&lt;br&gt;&lt;br&gt;
Пневмококковые конъюгаты¹ (полисахарид—CRM₁₉₇)
&lt;ul&gt;&lt;li&gt;&lt;i&gt;Streptococcus pneumoniae&lt;/i&gt;, серотип&amp;nbsp;1, полисахарид¹ — 2,2&amp;nbsp;мкг;&lt;/li&gt;
&lt;li&gt;&lt;i&gt;Streptococcus pneumoniae&lt;/i&gt;, серотип&amp;nbsp;3, полисахарид¹ — 2,2&amp;nbsp;мкг;&lt;/li&gt;
&lt;li&gt;&lt;i&gt;Streptococcus pneumoniae&lt;/i&gt;, серотип&amp;nbsp;4, полисахарид¹ — 2,2&amp;nbsp;мкг;&lt;/li&gt;
&lt;li&gt;&lt;i&gt;Streptococcus pneumoniae&lt;/i&gt;, серотип&amp;nbsp;5, полисахарид¹ — 2,2&amp;nbsp;мкг;&lt;/li&gt;
&lt;li&gt;&lt;i&gt;Streptococcus pneumoniae&lt;/i&gt;, серотип&amp;nbsp;6A, полисахарид¹ — 2,2&amp;nbsp;мкг;&lt;/li&gt;
&lt;li&gt;&lt;i&gt;Streptococcus pneumoniae&lt;/i&gt;, серотип&amp;nbsp;6B, полисахарид¹ — 4,4&amp;nbsp;мкг;&lt;/li&gt;
&lt;li&gt;&lt;i&gt;Streptococcus pneumoniae&lt;/i&gt;, серотип&amp;nbsp;7F, полисахарид¹ — 2,2&amp;nbsp;мкг;&lt;/li&gt;
&lt;li&gt;&lt;i&gt;Streptococcus pneumoniae&lt;/i&gt;, серотип&amp;nbsp;8, полисахарид¹ — 2,2&amp;nbsp;мкг;&lt;/li&gt;
&lt;li&gt;&lt;i&gt;Streptococcus pneumoniae&lt;/i&gt;, серотип&amp;nbsp;9V, полисахарид¹ — 2,2&amp;nbsp;мкг;&lt;/li&gt;
&lt;li&gt;&lt;i&gt;Streptococcus pneumoniae&lt;/i&gt;, серотип&amp;nbsp;10A, полисахарид¹ — 2,2&amp;nbsp;мкг;&lt;/li&gt;
&lt;li&gt;&lt;i&gt;Streptococcus pneumoniae&lt;/i&gt;, серотип&amp;nbsp;11A, полисахарид¹ — 2,2&amp;nbsp;мкг;&lt;/li&gt;
&lt;li&gt;&lt;i&gt;Streptococcus pneumoniae&lt;/i&gt;, серотип&amp;nbsp;12F, полисахарид¹ — 2,2&amp;nbsp;мкг;&lt;/li&gt;
&lt;li&gt;&lt;i&gt;Streptococcus pneumoniae&lt;/i&gt;, серотип&amp;nbsp;14, полисахарид¹ — 2,2&amp;nbsp;мкг;&lt;/li&gt;
&lt;li&gt;&lt;i&gt;Streptococcus pneumoniae&lt;/i&gt;, серотип&amp;nbsp;15B, полисахарид¹ — 2,2&amp;nbsp;мкг;&lt;/li&gt;
&lt;li&gt;&lt;i&gt;Streptococcus pneumoniae&lt;/i&gt;, серотип&amp;nbsp;18C, полисахарид¹ — 2,2&amp;nbsp;мкг;&lt;/li&gt;
&lt;li&gt;&lt;i&gt;Streptococcus pneumoniae&lt;/i&gt;, серотип&amp;nbsp;19A, полисахарид¹ — 2,2&amp;nbsp;мкг;&lt;/li&gt;
&lt;li&gt;&lt;i&gt;Streptococcus pneumoniae&lt;/i&gt;, серотип&amp;nbsp;19F, полисахарид¹ — 2,2&amp;nbsp;мкг;&lt;/li&gt;
&lt;li&gt;&lt;i&gt;Streptococcus pneumoniae&lt;/i&gt;, серотип&amp;nbsp;22F, полисахарид¹ — 2,2&amp;nbsp;мкг;&lt;/li&gt;
&lt;li&gt;&lt;i&gt;Streptococcus pneumoniae&lt;/i&gt;, серотип&amp;nbsp;23F, полисахарид¹ — 2,2&amp;nbsp;мкг;&lt;/li&gt;
&lt;li&gt;&lt;i&gt;Streptococcus pneumoniae&lt;/i&gt;, серотип&amp;nbsp;33F, полисахарид¹ — 2,2&amp;nbsp;мкг.&lt;/li&gt;&lt;/ul&gt;
¹&amp;nbsp;Конъюгированные с белком-носителем CRM₁₉₇ (приблизительно 51&amp;nbsp;мкг на дозу) и адсорбированные на алюминия фосфате (0,125&amp;nbsp;мг алюминия на дозу).&lt;br&gt;&lt;br&gt;
&lt;i&gt;Перечень вспомогательных веществ:&lt;/i&gt;
&lt;ul&gt;&lt;li&gt;Натрия хлорид;&lt;/li&gt;
&lt;li&gt;Янтарная кислота;&lt;/li&gt;
&lt;li&gt;Полисорбат&amp;nbsp;80;&lt;/li&gt;
&lt;li&gt;Вода для инъекций.&lt;/li&gt;&lt;/ul&gt;&lt;/p&gt;</t>
  </si>
  <si>
    <r>
      <rPr>
        <sz val="10"/>
        <color theme="1"/>
        <rFont val="Arial"/>
      </rPr>
      <t xml:space="preserve">1 доза (0,5 мл) содержит:
• Дифтерийный анатоксин¹ — 5 Lf²;
• Столбнячный анатоксин¹ — 5 Lf²;
• Антигены </t>
    </r>
    <r>
      <rPr>
        <i/>
        <sz val="10"/>
        <color theme="1"/>
        <rFont val="Arial"/>
      </rPr>
      <t>Bordetella pertussis</t>
    </r>
    <r>
      <rPr>
        <sz val="10"/>
        <color theme="1"/>
        <rFont val="Arial"/>
      </rPr>
      <t xml:space="preserve"> бесклеточные¹·³ — 30 мкг.
¹ Адсорбированный на алюминия гидроксиде (не более 0,55 мг Al).
² Флокулирующая единицы.
³ Очищенные без разделения компонентов.
</t>
    </r>
    <r>
      <rPr>
        <i/>
        <sz val="10"/>
        <color theme="1"/>
        <rFont val="Arial"/>
      </rPr>
      <t>Перечень вспомогательных веществ:</t>
    </r>
    <r>
      <rPr>
        <sz val="10"/>
        <color theme="1"/>
        <rFont val="Arial"/>
      </rPr>
      <t xml:space="preserve">
• Натрия хлорида 0,9% раствор.
Вакцина может содержать остаточную производственную примесь, присутствующую в 1 дозе вакцины (0,5 мл) в следовых количествах: формальдегид (≤ 50 мкг).</t>
    </r>
  </si>
  <si>
    <t>&lt;p&gt;1&amp;nbsp;доза (0,5&amp;nbsp;мл) содержит:
&lt;ul&gt;&lt;li&gt;Дифтерийный анатоксин¹ — 5&amp;nbsp;Lf²;&lt;/li&gt;
&lt;li&gt;Столбнячный анатоксин¹ — 5&amp;nbsp;Lf²;&lt;/li&gt;
&lt;li&gt;Антигены &lt;i&gt;Bordetella pertussis&lt;/i&gt; бесклеточные¹&lt;sup&gt;,&lt;/sup&gt;³ — 30&amp;nbsp;мкг.&lt;/li&gt;&lt;/ul&gt;
¹&amp;nbsp;Адсорбированный на алюминия гидроксиде (не более 0,55&amp;nbsp;мг Al).&lt;br&gt;
²&amp;nbsp;Флокулирующая единицы.&lt;br&gt;
³&amp;nbsp;Очищенные без разделения компонентов.&lt;br&gt;&lt;br&gt;
&lt;i&gt;Перечень вспомогательных веществ:&lt;/i&gt;
&lt;ul&gt;&lt;li&gt;Натрия хлорида 0,9%&amp;nbsp;раствор.&lt;/li&gt;&lt;/ul&gt;
Вакцина может содержать остаточную производственную примесь, присутствующую в 1&amp;nbsp;дозе вакцины (0,5&amp;nbsp;мл) в следовых количествах: формальдегид (≤ 50&amp;nbsp;мкг).&lt;/p&gt;</t>
  </si>
  <si>
    <r>
      <rPr>
        <sz val="10"/>
        <color theme="1"/>
        <rFont val="Arial"/>
      </rPr>
      <t xml:space="preserve">Одна доза (0.5 мл) содержит:
Конъюгаты очищенных полисахаридов </t>
    </r>
    <r>
      <rPr>
        <i/>
        <sz val="10"/>
        <color theme="1"/>
        <rFont val="Arial"/>
      </rPr>
      <t>Neisseria meningitidis</t>
    </r>
    <r>
      <rPr>
        <sz val="10"/>
        <color theme="1"/>
        <rFont val="Arial"/>
      </rPr>
      <t xml:space="preserve"> и столбнячного анатоксина
• A — 5 мкг полисахарида; около 15 мкг столбнячного анатоксина. Среднее соотношение: 3;
• C — 5 мкг полисахарида; около 15 мкг столбнячного анатоксина. Среднее соотношение: 3;
• W-135 — 5 мкг полисахарида; около 7,5 мкг столбнячного анатоксина. Среднее соотношение: 1,5;
• Y — 5 мкг полисахарида; около 6,5 мкг столбнячного анатоксина. Среднее соотношение: 1,3.
Перечень вспомогательных веществ:
</t>
    </r>
    <r>
      <rPr>
        <i/>
        <sz val="10"/>
        <color theme="1"/>
        <rFont val="Arial"/>
      </rPr>
      <t>Лиофилизат</t>
    </r>
    <r>
      <rPr>
        <sz val="10"/>
        <color theme="1"/>
        <rFont val="Arial"/>
      </rPr>
      <t xml:space="preserve">
• Трометамол;
• Сахароза.
</t>
    </r>
    <r>
      <rPr>
        <i/>
        <sz val="10"/>
        <color theme="1"/>
        <rFont val="Arial"/>
      </rPr>
      <t>Растворитель</t>
    </r>
    <r>
      <rPr>
        <sz val="10"/>
        <color theme="1"/>
        <rFont val="Arial"/>
      </rPr>
      <t xml:space="preserve">
• Натрия хлорид;
• Вода для инъекций.</t>
    </r>
  </si>
  <si>
    <t>&lt;p&gt;Одна доза (0.5&amp;nbsp;мл) содержит:&lt;br&gt;&lt;br&gt;
Конъюгаты очищенных полисахаридов &lt;i&gt;Neisseria meningitidis&lt;/i&gt; и столбнячного анатоксина
&lt;ul&gt;&lt;li&gt;A — 5&amp;nbsp;мкг полисахарида; около 15&amp;nbsp;мкг столбнячного анатоксина. Среднее соотношение:&amp;nbsp;3;&lt;/li&gt;
&lt;li&gt;C — 5&amp;nbsp;мкг полисахарида; около 15&amp;nbsp;мкг столбнячного анатоксина. Среднее соотношение:&amp;nbsp;3;&lt;/li&gt;
&lt;li&gt;W-135 — 5&amp;nbsp;мкг полисахарида; около 7,5&amp;nbsp;мкг столбнячного анатоксина. Среднее соотношение:&amp;nbsp;1,5;&lt;/li&gt;
&lt;li&gt;Y — 5&amp;nbsp;мкг полисахарида; около 6,5&amp;nbsp;мкг столбнячного анатоксина. Среднее соотношение:&amp;nbsp;1,3.&lt;/li&gt;&lt;/ul&gt;
Перечень вспомогательных веществ:&lt;br&gt;&lt;br&gt;
&lt;i&gt;Лиофилизат&lt;/i&gt;
&lt;ul&gt;&lt;li&gt;Трометамол;&lt;/li&gt;
&lt;li&gt;Сахароза.&lt;/li&gt;&lt;/ul&gt;
&lt;i&gt;Растворитель&lt;/i&gt;
&lt;ul&gt;&lt;li&gt;Натрия хлорид;&lt;/li&gt;
&lt;li&gt;Вода для инъекций.&lt;/li&gt;&lt;/ul&gt;&lt;/p&gt;</t>
  </si>
  <si>
    <t>preg_BF_text_w/o_html</t>
  </si>
  <si>
    <t>preg_BF_text_html</t>
  </si>
  <si>
    <t>preg_BF_date</t>
  </si>
  <si>
    <t>preg_BF_view_number</t>
  </si>
  <si>
    <t>preg_BF_version</t>
  </si>
  <si>
    <t>preg_BF_version_link</t>
  </si>
  <si>
    <t>Вакцина туберкулезная (БЦЖ) не предназначена для взрослых.
Данные о применении во время беременности и лактации у человека, а также результаты репродуктивных исследований у животных отсутствуют.</t>
  </si>
  <si>
    <t>&lt;p&gt;Вакцина туберкулезная (БЦЖ) не предназначена для взрослых.&lt;br&gt;&lt;br&gt;
Данные о применении во время беременности и лактации у человека, а также результаты репродуктивных исследований у животных отсутствуют.&lt;/p&gt;</t>
  </si>
  <si>
    <t>Вакцина БЦЖ-М не предназначена для взрослых.
Данные о применении во время беременности и лактации у человека, а также результаты репродуктивных исследований у животных отсутствуют.</t>
  </si>
  <si>
    <t>&lt;p&gt;Вакцина БЦЖ-М не предназначена для взрослых.&lt;br&gt;&lt;br&gt;
Данные о применении во время беременности и лактации у человека, а также результаты репродуктивных исследований у животных отсутствуют.&lt;/p&gt;</t>
  </si>
  <si>
    <t>Неприменимо. Лекарственный препарат используется для вакцинации детей.</t>
  </si>
  <si>
    <t>&lt;p&gt;Неприменимо. Лекарственный препарат используется для вакцинации детей.&lt;/p&gt;</t>
  </si>
  <si>
    <t>Вакцина Инфанрикс не предназначена для взрослых. Данные о применении во время беременности и лактации у человека, а также результаты репродуктивных исследований у животных отсутствуют.</t>
  </si>
  <si>
    <t>&lt;p&gt;Вакцина Инфанрикс не предназначена для взрослых. Данные о применении во время беременности и лактации у человека, а также результаты репродуктивных исследований у животных отсутствуют.&lt;/p&gt;</t>
  </si>
  <si>
    <t>АКДС-вакцина не предназначена для взрослых.</t>
  </si>
  <si>
    <t>&lt;p&gt;АКДС-вакцина не предназначена для взрослых.&lt;/p&gt;</t>
  </si>
  <si>
    <t>Применение во время беременности и в период грудного вскармливания возможно только по абсолютным эпидемиологическим показаниям, с учетом соотношения риск/польза, т.е. когда предполагаемая польза для матери превышает предполагаемый риск для плода или грудного ребенка.</t>
  </si>
  <si>
    <t>&lt;p&gt;Применение во время беременности и в период грудного вскармливания возможно только по абсолютным эпидемиологическим показаниям, с учетом соотношения риск/польза, т.е. когда предполагаемая польза для матери превышает предполагаемый риск для плода или грудного ребенка.&lt;/p&gt;</t>
  </si>
  <si>
    <t>Данные о влиянии препарата на течение беременности и кормление грудью отсутствуют.</t>
  </si>
  <si>
    <r>
      <rPr>
        <sz val="10"/>
        <color theme="1"/>
        <rFont val="Arial"/>
      </rPr>
      <t>&lt;p&gt;</t>
    </r>
    <r>
      <rPr>
        <i/>
        <sz val="10"/>
        <color theme="1"/>
        <rFont val="Arial"/>
      </rPr>
      <t>&lt;i&gt;Данные о влиянии препарата на течение беременности и кормление грудью отсутствуют.</t>
    </r>
    <r>
      <rPr>
        <sz val="10"/>
        <color theme="1"/>
        <rFont val="Arial"/>
      </rPr>
      <t>&lt;/i&gt;&lt;/p&gt;</t>
    </r>
  </si>
  <si>
    <t>Не применимо. Вакцина Пентаксим предназначена только для детей.</t>
  </si>
  <si>
    <t>&lt;p&gt;Не применимо. Вакцина Пентаксим предназначена только для детей.&lt;/p&gt;</t>
  </si>
  <si>
    <t>Вакцина Инфанрикс Гекса не предназначена для взрослых. Данные о применении во время беременности и лактации у человека, а также результаты репродуктивных исследований у животных отсутствуют.</t>
  </si>
  <si>
    <t>&lt;p&gt;Вакцина Инфанрикс Гекса не предназначена для взрослых. Данные о применении во время беременности и лактации у человека, а также результаты репродуктивных исследований у животных отсутствуют.&lt;/p&gt;</t>
  </si>
  <si>
    <r>
      <rPr>
        <i/>
        <sz val="10"/>
        <color theme="1"/>
        <rFont val="Arial"/>
      </rPr>
      <t>Беременность</t>
    </r>
    <r>
      <rPr>
        <sz val="10"/>
        <color theme="1"/>
        <rFont val="Arial"/>
      </rPr>
      <t xml:space="preserve">
Данные о влиянии вакцины на развитие плода отсутствуют.
Возможность вакцинации может быть рассмотрена индивидуально в каждом случае, если предполагаемая польза превышает потенциальный риск.
Подобно другим неживым вакцинам, вред для плода не ожидается.
</t>
    </r>
    <r>
      <rPr>
        <i/>
        <sz val="10"/>
        <color theme="1"/>
        <rFont val="Arial"/>
      </rPr>
      <t>Лактация</t>
    </r>
    <r>
      <rPr>
        <sz val="10"/>
        <color theme="1"/>
        <rFont val="Arial"/>
      </rPr>
      <t xml:space="preserve">
Применение вакцины в период грудного вскармливания не изучалось. Возможность вакцинации может быть рассмотрена индивидуально в каждом случае, если предполагаемая польза превышает потенциальный риск.</t>
    </r>
  </si>
  <si>
    <r>
      <rPr>
        <i/>
        <sz val="10"/>
        <color theme="1"/>
        <rFont val="Arial"/>
      </rPr>
      <t>&lt;p&gt;&lt;i&gt;Беременность</t>
    </r>
    <r>
      <rPr>
        <sz val="10"/>
        <color theme="1"/>
        <rFont val="Arial"/>
      </rPr>
      <t xml:space="preserve">&lt;/i&gt;&lt;br&gt;
Данные о влиянии вакцины на развитие плода отсутствуют.&lt;br&gt;
Возможность вакцинации может быть рассмотрена индивидуально в каждом случае, если предполагаемая польза превышает потенциальный риск.&lt;br&gt;
Подобно другим неживым вакцинам, вред для плода не ожидается.&lt;br&gt;&lt;br&gt;
</t>
    </r>
    <r>
      <rPr>
        <i/>
        <sz val="10"/>
        <color theme="1"/>
        <rFont val="Arial"/>
      </rPr>
      <t>&lt;i&gt;Лактация&lt;/i&gt;&lt;br&gt;</t>
    </r>
    <r>
      <rPr>
        <sz val="10"/>
        <color theme="1"/>
        <rFont val="Arial"/>
      </rPr>
      <t xml:space="preserve">
Применение вакцины в период грудного вскармливания не изучалось. Возможность вакцинации может быть рассмотрена индивидуально в каждом случае, если предполагаемая польза превышает потенциальный риск.&lt;/p&gt;</t>
    </r>
  </si>
  <si>
    <r>
      <rPr>
        <i/>
        <sz val="10"/>
        <color theme="1"/>
        <rFont val="Arial"/>
      </rPr>
      <t>Беременность</t>
    </r>
    <r>
      <rPr>
        <sz val="10"/>
        <color theme="1"/>
        <rFont val="Arial"/>
      </rPr>
      <t xml:space="preserve">
Применение во время беременности возможно только при проведении экстренной профилактики, когда предполагаемая польза для матери превышает предполагаемый риск для плода.
</t>
    </r>
    <r>
      <rPr>
        <i/>
        <sz val="10"/>
        <color theme="1"/>
        <rFont val="Arial"/>
      </rPr>
      <t>Лактация</t>
    </r>
    <r>
      <rPr>
        <sz val="10"/>
        <color theme="1"/>
        <rFont val="Arial"/>
      </rPr>
      <t xml:space="preserve">
Применение в период грудного вскармливания возможно только при проведении экстренной профилактики, когда предполагаемая польза для матери превышает предполагаемый риск для ребенка.
</t>
    </r>
    <r>
      <rPr>
        <i/>
        <sz val="10"/>
        <color theme="1"/>
        <rFont val="Arial"/>
      </rPr>
      <t>Фертильность</t>
    </r>
    <r>
      <rPr>
        <sz val="10"/>
        <color theme="1"/>
        <rFont val="Arial"/>
      </rPr>
      <t xml:space="preserve">
Нет данных о влиянии лекарственного препарата Анатоксин дифтерийный очищенный адсорбированный с уменьшенным содержанием антигена жидкий (АД-М-анатоксин) на фертильность человека.</t>
    </r>
  </si>
  <si>
    <r>
      <rPr>
        <i/>
        <sz val="10"/>
        <color theme="1"/>
        <rFont val="Arial"/>
      </rPr>
      <t>&lt;p&gt;&lt;i&gt;Беременность</t>
    </r>
    <r>
      <rPr>
        <sz val="10"/>
        <color theme="1"/>
        <rFont val="Arial"/>
      </rPr>
      <t xml:space="preserve">&lt;/i&gt;&lt;br&gt;
Применение во время беременности возможно только при проведении экстренной профилактики, когда предполагаемая польза для матери превышает предполагаемый риск для плода.&lt;br&gt;&lt;br&gt;
</t>
    </r>
    <r>
      <rPr>
        <i/>
        <sz val="10"/>
        <color theme="1"/>
        <rFont val="Arial"/>
      </rPr>
      <t>&lt;i&gt;Лактация</t>
    </r>
    <r>
      <rPr>
        <sz val="10"/>
        <color theme="1"/>
        <rFont val="Arial"/>
      </rPr>
      <t xml:space="preserve">&lt;/i&gt;&lt;br&gt;
Применение в период грудного вскармливания возможно только при проведении экстренной профилактики, когда предполагаемая польза для матери превышает предполагаемый риск для ребенка.&lt;br&gt;&lt;br&gt;
</t>
    </r>
    <r>
      <rPr>
        <i/>
        <sz val="10"/>
        <color theme="1"/>
        <rFont val="Arial"/>
      </rPr>
      <t>&lt;i&gt;Фертильность</t>
    </r>
    <r>
      <rPr>
        <sz val="10"/>
        <color theme="1"/>
        <rFont val="Arial"/>
      </rPr>
      <t>&lt;/i&gt;&lt;br&gt;
Нет данных о влиянии лекарственного препарата Анатоксин дифтерийный очищенный адсорбированный с уменьшенным содержанием антигена жидкий (АД-М-анатоксин) на фертильность человека.&lt;/p&gt;</t>
    </r>
  </si>
  <si>
    <r>
      <rPr>
        <i/>
        <sz val="10"/>
        <color theme="1"/>
        <rFont val="Arial"/>
      </rPr>
      <t>Беременность</t>
    </r>
    <r>
      <rPr>
        <sz val="10"/>
        <color theme="1"/>
        <rFont val="Arial"/>
      </rPr>
      <t xml:space="preserve">
Не применимо, так как данный препарат предназначен для вакцинации детей.
</t>
    </r>
    <r>
      <rPr>
        <i/>
        <sz val="10"/>
        <color theme="1"/>
        <rFont val="Arial"/>
      </rPr>
      <t>Лактация</t>
    </r>
    <r>
      <rPr>
        <sz val="10"/>
        <color theme="1"/>
        <rFont val="Arial"/>
      </rPr>
      <t xml:space="preserve">
Не применимо, так как данный препарат предназначен для вакцинации детей.
</t>
    </r>
    <r>
      <rPr>
        <i/>
        <sz val="10"/>
        <color theme="1"/>
        <rFont val="Arial"/>
      </rPr>
      <t>Фертильность</t>
    </r>
    <r>
      <rPr>
        <sz val="10"/>
        <color theme="1"/>
        <rFont val="Arial"/>
      </rPr>
      <t xml:space="preserve">
Нет данных о влиянии лекарственного препарата Анатоксин дифтерийно-столбнячный очищенный адсорбированный жидкий (АДС-анатоксин) на фертильность человека.</t>
    </r>
  </si>
  <si>
    <r>
      <rPr>
        <i/>
        <sz val="10"/>
        <color theme="1"/>
        <rFont val="Arial"/>
      </rPr>
      <t>&lt;p&gt;&lt;i&gt;Беременность</t>
    </r>
    <r>
      <rPr>
        <sz val="10"/>
        <color theme="1"/>
        <rFont val="Arial"/>
      </rPr>
      <t xml:space="preserve">&lt;/i&gt;&lt;br&gt;
Не применимо, так как данный препарат предназначен для вакцинации детей.&lt;br&gt;&lt;br&gt;
</t>
    </r>
    <r>
      <rPr>
        <i/>
        <sz val="10"/>
        <color theme="1"/>
        <rFont val="Arial"/>
      </rPr>
      <t>&lt;i&gt;Лактация</t>
    </r>
    <r>
      <rPr>
        <sz val="10"/>
        <color theme="1"/>
        <rFont val="Arial"/>
      </rPr>
      <t xml:space="preserve">&lt;/i&gt;&lt;br&gt;
Не применимо, так как данный препарат предназначен для вакцинации детей.&lt;br&gt;&lt;br&gt;
</t>
    </r>
    <r>
      <rPr>
        <i/>
        <sz val="10"/>
        <color theme="1"/>
        <rFont val="Arial"/>
      </rPr>
      <t>&lt;i&gt;Фертильность</t>
    </r>
    <r>
      <rPr>
        <sz val="10"/>
        <color theme="1"/>
        <rFont val="Arial"/>
      </rPr>
      <t>&lt;/i&gt;&lt;br&gt;
Нет данных о влиянии лекарственного препарата Анатоксин дифтерийно-столбнячный очищенный адсорбированный жидкий (АДС-анатоксин) на фертильность человека.&lt;/p&gt;</t>
    </r>
  </si>
  <si>
    <r>
      <rPr>
        <i/>
        <sz val="10"/>
        <color theme="1"/>
        <rFont val="Arial"/>
      </rPr>
      <t>Беременность</t>
    </r>
    <r>
      <rPr>
        <sz val="10"/>
        <color theme="1"/>
        <rFont val="Arial"/>
      </rPr>
      <t xml:space="preserve">
Применение во время беременности возможно только в тех случаях, когда предполагаемая польза для матери превышает предполагаемый риск для плода.
</t>
    </r>
    <r>
      <rPr>
        <i/>
        <sz val="10"/>
        <color theme="1"/>
        <rFont val="Arial"/>
      </rPr>
      <t>Лактация</t>
    </r>
    <r>
      <rPr>
        <sz val="10"/>
        <color theme="1"/>
        <rFont val="Arial"/>
      </rPr>
      <t xml:space="preserve">
Применение в период грудного вскармливания возможно только в тех случаях, когда предполагаемая польза для матери превышает предполагаемый риск для ребенка.
</t>
    </r>
    <r>
      <rPr>
        <i/>
        <sz val="10"/>
        <color theme="1"/>
        <rFont val="Arial"/>
      </rPr>
      <t>Фертильность</t>
    </r>
    <r>
      <rPr>
        <sz val="10"/>
        <color theme="1"/>
        <rFont val="Arial"/>
      </rPr>
      <t xml:space="preserve">
Нет данных о влиянии лекарственного препарата Анатоксин дифтерийно-столбнячный очищенный адсорбированный с уменьшенным содержанием антигенов жидкий (АДС-М-анатоксин) на фертильность человека.</t>
    </r>
  </si>
  <si>
    <r>
      <rPr>
        <i/>
        <sz val="10"/>
        <color theme="1"/>
        <rFont val="Arial"/>
      </rPr>
      <t>&lt;p&gt;&lt;i&gt;Беременность</t>
    </r>
    <r>
      <rPr>
        <sz val="10"/>
        <color theme="1"/>
        <rFont val="Arial"/>
      </rPr>
      <t xml:space="preserve">&lt;/i&gt;&lt;br&gt;
Применение во время беременности возможно только в тех случаях, когда предполагаемая польза для матери превышает предполагаемый риск для плода.&lt;br&gt;&lt;br&gt;
</t>
    </r>
    <r>
      <rPr>
        <i/>
        <sz val="10"/>
        <color theme="1"/>
        <rFont val="Arial"/>
      </rPr>
      <t>&lt;i&gt;Лактация</t>
    </r>
    <r>
      <rPr>
        <sz val="10"/>
        <color theme="1"/>
        <rFont val="Arial"/>
      </rPr>
      <t xml:space="preserve">&lt;/i&gt;&lt;br&gt;
Применение в период грудного вскармливания возможно только в тех случаях, когда предполагаемая польза для матери превышает предполагаемый риск для ребенка.&lt;br&gt;&lt;br&gt;
</t>
    </r>
    <r>
      <rPr>
        <i/>
        <sz val="10"/>
        <color theme="1"/>
        <rFont val="Arial"/>
      </rPr>
      <t>&lt;i&gt;Фертильность</t>
    </r>
    <r>
      <rPr>
        <sz val="10"/>
        <color theme="1"/>
        <rFont val="Arial"/>
      </rPr>
      <t>&lt;/i&gt;&lt;br&gt;
Нет данных о влиянии лекарственного препарата Анатоксин дифтерийно-столбнячный очищенный адсорбированный с уменьшенным содержанием антигенов жидкий (АДС-М-анатоксин) на фертильность человека.&lt;/p&gt;</t>
    </r>
  </si>
  <si>
    <t>Применение во время беременности и в период грудного вскармливания возможно только по абсолютным эпидемиологическим показаниям, c учетом соотношения риск/польза, т.е. когда предполагаемая польза для матери превышает предполагаемый риск для плода или грудного ребенка.</t>
  </si>
  <si>
    <t>&lt;p&gt;Применение во время беременности и в период грудного вскармливания возможно только по абсолютным эпидемиологическим показаниям, c учетом соотношения риск/польза, т.е. когда предполагаемая польза для матери превышает предполагаемый риск для плода или грудного ребенка.&lt;/p&gt;</t>
  </si>
  <si>
    <r>
      <rPr>
        <i/>
        <sz val="10"/>
        <color theme="1"/>
        <rFont val="Arial"/>
      </rPr>
      <t>Данные исследований на животных</t>
    </r>
    <r>
      <rPr>
        <sz val="10"/>
        <color theme="1"/>
        <rFont val="Arial"/>
      </rPr>
      <t xml:space="preserve">
Влияние вакцины Адасель на развитие эмбриона и плода изучалось в рамках двух токсикологических исследований на беременных кроликах. Животные получали внутримышечно две дозы вакцины: до беременности, в период органогенеза (на 6-й день) и позже — на 29-й день беременности (по соотношению масс, введенная доза превышала человеческую в 17 раз). Проведенные исследования не выявили нежелательных эффектов на беременность, роды, лактацию, эмбриональное развитие и развитие до прекращения вскармливания. Не отмечено врожденных пороков развития или признаков тератогенного эффекта, связанных с введением вакцины.
</t>
    </r>
    <r>
      <rPr>
        <i/>
        <sz val="10"/>
        <color theme="1"/>
        <rFont val="Arial"/>
      </rPr>
      <t>Беременность</t>
    </r>
    <r>
      <rPr>
        <sz val="10"/>
        <color theme="1"/>
        <rFont val="Arial"/>
      </rPr>
      <t xml:space="preserve">
Адасель может применяться во втором или третьем триместре беременности в соответствии с официальными рекомендациями.
Данные по безопасности из многочисленных опубликованных исследований (4 рандомизированных контролируемых исследования (получены данные для 310 беременных), 1 проспективного наблюдательного исследования (получены данные для 546 беременных), 5 ретроспективных наблюдательных исследований (получены данные для 124810 беременных)), а также данные пассивного наблюдения за женщинами, которые получали вакцину Адасель или вакцину для профилактики дифтерии (с уменьшенным содержанием антигена), коклюша (бесклеточную, с уменьшенным содержанием антигена), столбняка и полиомиелита, не выявили нежелательных эффектов, связанных с вакциной, на беременность или на здоровье плода или новорожденного. Как и в случае с другими инактивированными вакцинами, ожидается, что введение вакцины Адасель в течение любого триместра не причинит вред плоду.
В исследованиях на животных не выявлено прямого или непрямого отрицательного воздействия на беременность, эмбриональное/фетальное развитие, роды или постнатальное развитие.
Применение вакцины Адасель у беременных женщин не приводит к более высокой, чем ожидаемая, частоте нежелательных реакций (как правильно, нежелательные реакции слабые или умеренно интенсивные, обычно самопроизвольно разрешающиеся), а также не причиняет вред плоду или новорожденному.
Ограниченные клинические данные показывают, что после вакцинации во время беременности антитела, передаваемые беременными женщинами плоду, могут влиять на иммунный ответ детей первого года жизни на другие антигены (т.е. дифтерию, столбняк, полиомиелит, пневмококк, менингококк). Однако, в большинстве случаев, концентрация антител остается выше порога защитного уровня. Клиническая значимость данного наблюдения неизвестна.
После введения вакцины Адасель беременным женщинам у большинства из них наблюдался значительный рост уровней антител к коклюшным антигенам, что приводило к еще более высокому уровню материнских антител у новорожденных при измерении в пуповинной крови, который сохранялся в течение 2-4 мес. При этом отмечается некоторое снижение выработки детьми первого года жизни собственных антител против коклюша при последующей первичной вакцинации. Не имеется доказательств того, что это снижение является клинически значимым для защиты от коклюша.
Введение вакцины Адасель женщинам во время беременности эффективно более чем на 90% для профилактики коклюшной инфекции и госпитализаций среди детей первых трех месяцев жизни.
</t>
    </r>
    <r>
      <rPr>
        <i/>
        <sz val="10"/>
        <color theme="1"/>
        <rFont val="Arial"/>
      </rPr>
      <t>Лактация</t>
    </r>
    <r>
      <rPr>
        <sz val="10"/>
        <color theme="1"/>
        <rFont val="Arial"/>
      </rPr>
      <t xml:space="preserve">
Влияние вакцины Адасель на младенцев кормящих матерей, привитых данной вакциной, не изучалось. Поскольку вакцина Адасель представляет собой инактивированную вакцину, любой риск для матери или младенца маловероятен. Прежде чем принимать решение о вакцинации кормящей женщины, следует оценить риски и пользу от вакцинации.
Неизвестно, выделяются ли действующие вещества, входящие в состав вакцины Адасель, с грудным молоком у человека, однако антитела к антигенам, входящим в состав вакцины, передавались с молоком у кроликов. Два исследования на животных не показали отрицательного воздействия материнских антител на постнатальное развитие.</t>
    </r>
  </si>
  <si>
    <r>
      <rPr>
        <i/>
        <sz val="10"/>
        <color theme="1"/>
        <rFont val="Arial"/>
      </rPr>
      <t>&lt;p&gt;&lt;i&gt;Данные исследований на животных</t>
    </r>
    <r>
      <rPr>
        <sz val="10"/>
        <color theme="1"/>
        <rFont val="Arial"/>
      </rPr>
      <t xml:space="preserve">&lt;/i&gt;&lt;br&gt;
Влияние вакцины Адасель на развитие эмбриона и плода изучалось в рамках двух токсикологических исследований на беременных кроликах. Животные получали внутримышечно две дозы вакцины: до беременности, в период органогенеза (на 6-й день) и позже — на 29-й день беременности (по соотношению масс, введенная доза превышала человеческую в 17&amp;nbsp;раз). Проведенные исследования не выявили нежелательных эффектов на беременность, роды, лактацию, эмбриональное развитие и развитие до прекращения вскармливания. Не отмечено врожденных пороков развития или признаков тератогенного эффекта, связанных с введением вакцины.&lt;br&gt;&lt;br&gt;
</t>
    </r>
    <r>
      <rPr>
        <i/>
        <sz val="10"/>
        <color theme="1"/>
        <rFont val="Arial"/>
      </rPr>
      <t>&lt;i&gt;Беременность&lt;/i&gt;&lt;br&gt;</t>
    </r>
    <r>
      <rPr>
        <sz val="10"/>
        <color theme="1"/>
        <rFont val="Arial"/>
      </rPr>
      <t xml:space="preserve">
Адасель может применяться во втором или третьем триместре беременности в соответствии с официальными рекомендациями.&lt;br&gt;
Данные по безопасности из многочисленных опубликованных исследований (4&amp;nbsp;рандомизированных контролируемых исследования (получены данные для 310&amp;nbsp;беременных), 1&amp;nbsp;проспективного наблюдательного исследования (получены данные для 546&amp;nbsp;беременных), 5&amp;nbsp;ретроспективных наблюдательных исследований (получены данные для 124810&amp;nbsp;беременных)), а также данные пассивного наблюдения за женщинами, которые получали вакцину Адасель или вакцину для профилактики дифтерии (с уменьшенным содержанием антигена), коклюша (бесклеточную, с уменьшенным содержанием антигена), столбняка и полиомиелита, не выявили нежелательных эффектов, связанных с вакциной, на беременность или на здоровье плода или новорожденного. Как и в случае с другими инактивированными вакцинами, ожидается, что введение вакцины Адасель в течение любого триместра не причинит вред плоду.&lt;br&gt;
В исследованиях на животных не выявлено прямого или непрямого отрицательного воздействия на беременность, эмбриональное/фетальное развитие, роды или постнатальное развитие.&lt;br&gt;
Применение вакцины Адасель у беременных женщин не приводит к более высокой, чем ожидаемая, частоте нежелательных реакций (как правильно, нежелательные реакции слабые или умеренно интенсивные, обычно самопроизвольно разрешающиеся), а также не причиняет вред плоду или новорожденному.&lt;br&gt;
Ограниченные клинические данные показывают, что после вакцинации во время беременности антитела, передаваемые беременными женщинами плоду, могут влиять на иммунный ответ детей первого года жизни на другие антигены (т.е. дифтерию, столбняк, полиомиелит, пневмококк, менингококк). Однако, в большинстве случаев, концентрация антител остается выше порога защитного уровня. Клиническая значимость данного наблюдения неизвестна.&lt;br&gt;
После введения вакцины Адасель беременным женщинам у большинства из них наблюдался значительный рост уровней антител к коклюшным антигенам, что приводило к еще более высокому уровню материнских антител у новорожденных при измерении в пуповинной крови, который сохранялся в течение 2-4&amp;nbsp;мес. При этом отмечается некоторое снижение выработки детьми первого года жизни собственных антител против коклюша при последующей первичной вакцинации. Не имеется доказательств того, что это снижение является клинически значимым для защиты от коклюша.&lt;br&gt;
Введение вакцины Адасель женщинам во время беременности эффективно более чем на 90% для профилактики коклюшной инфекции и госпитализаций среди детей первых трех месяцев жизни.&lt;br&gt;&lt;br&gt;
</t>
    </r>
    <r>
      <rPr>
        <i/>
        <sz val="10"/>
        <color theme="1"/>
        <rFont val="Arial"/>
      </rPr>
      <t>&lt;i&gt;Лактация&lt;/i&gt;&lt;br&gt;</t>
    </r>
    <r>
      <rPr>
        <sz val="10"/>
        <color theme="1"/>
        <rFont val="Arial"/>
      </rPr>
      <t xml:space="preserve">
Влияние вакцины Адасель на младенцев кормящих матерей, привитых данной вакциной, не изучалось. Поскольку вакцина Адасель представляет собой инактивированную вакцину, любой риск для матери или младенца маловероятен. Прежде чем принимать решение о вакцинации кормящей женщины, следует оценить риски и пользу от вакцинации.&lt;br&gt;
Неизвестно, выделяются ли действующие вещества, входящие в состав вакцины Адасель, с грудным молоком у человека, однако антитела к антигенам, входящим в состав вакцины, передавались с молоком у кроликов. Два исследования на животных не показали отрицательного воздействия материнских антител на постнатальное развитие.&lt;/p&gt;</t>
    </r>
  </si>
  <si>
    <t>Клинические исследования по влиянию вакцины АЛЬГАВАК® М на плод у беременных женщин и на грудных детей при введении вакцины кормящим матерям не проводились.
Решение о вакцинации беременных женщин и женщин в период грудного вскармливания возможно, если предполагаемая польза для матери превышает потенциальный риск для плода и ребенка.</t>
  </si>
  <si>
    <t>&lt;p&gt;Клинические исследования по влиянию вакцины АЛЬГАВАК®&amp;nbsp;М на плод у беременных женщин и на грудных детей при введении вакцины кормящим матерям не проводились.&lt;br&gt;&lt;br&gt;
Решение о вакцинации беременных женщин и женщин в период грудного вскармливания возможно, если предполагаемая польза для матери превышает потенциальный риск для плода и ребенка.&lt;/p&gt;</t>
  </si>
  <si>
    <r>
      <rPr>
        <i/>
        <sz val="10"/>
        <color theme="1"/>
        <rFont val="Arial"/>
      </rPr>
      <t>Беременность</t>
    </r>
    <r>
      <rPr>
        <sz val="10"/>
        <color theme="1"/>
        <rFont val="Arial"/>
      </rPr>
      <t xml:space="preserve">
Подобно другим инактивированным вакцинам, вред для плода не ожидается. Однако, вакцину АЛЬГАВАК следует применять во время беременности только при явном риске инфицирования.
</t>
    </r>
    <r>
      <rPr>
        <i/>
        <sz val="10"/>
        <color theme="1"/>
        <rFont val="Arial"/>
      </rPr>
      <t>Лактация</t>
    </r>
    <r>
      <rPr>
        <sz val="10"/>
        <color theme="1"/>
        <rFont val="Arial"/>
      </rPr>
      <t xml:space="preserve">
Влияние на детей, находящихся на грудном вскармливании, введение вакцины АЛЬГАВАК их матерям, не изучалось.
</t>
    </r>
    <r>
      <rPr>
        <i/>
        <sz val="10"/>
        <color theme="1"/>
        <rFont val="Arial"/>
      </rPr>
      <t>Фертильность</t>
    </r>
    <r>
      <rPr>
        <sz val="10"/>
        <color theme="1"/>
        <rFont val="Arial"/>
      </rPr>
      <t xml:space="preserve">
Клинические исследования по влиянию вакцины АЛЬГАВАК на фертильность не проводились. Данные отсутствуют.</t>
    </r>
  </si>
  <si>
    <r>
      <rPr>
        <i/>
        <sz val="10"/>
        <color theme="1"/>
        <rFont val="Arial"/>
      </rPr>
      <t>&lt;p&gt;&lt;i&gt;Беременность&lt;/i&gt;&lt;br&gt;</t>
    </r>
    <r>
      <rPr>
        <sz val="10"/>
        <color theme="1"/>
        <rFont val="Arial"/>
      </rPr>
      <t xml:space="preserve">
Подобно другим инактивированным вакцинам, вред для плода не ожидается. Однако, вакцину АЛЬГАВАК следует применять во время беременности только при явном риске инфицирования.&lt;br&gt;&lt;br&gt;
</t>
    </r>
    <r>
      <rPr>
        <i/>
        <sz val="10"/>
        <color theme="1"/>
        <rFont val="Arial"/>
      </rPr>
      <t>&lt;i&gt;Лактация&lt;/i&gt;&lt;br&gt;</t>
    </r>
    <r>
      <rPr>
        <sz val="10"/>
        <color theme="1"/>
        <rFont val="Arial"/>
      </rPr>
      <t xml:space="preserve">
Влияние на детей, находящихся на грудном вскармливании, введение вакцины АЛЬГАВАК их матерям, не изучалось.&lt;br&gt;&lt;br&gt;
</t>
    </r>
    <r>
      <rPr>
        <i/>
        <sz val="10"/>
        <color theme="1"/>
        <rFont val="Arial"/>
      </rPr>
      <t>&lt;i&gt;Фертильность</t>
    </r>
    <r>
      <rPr>
        <sz val="10"/>
        <color theme="1"/>
        <rFont val="Arial"/>
      </rPr>
      <t>&lt;/i&gt;&lt;br&gt;
Клинические исследования по влиянию вакцины АЛЬГАВАК на фертильность не проводились. Данные отсутствуют.&lt;/p&gt;</t>
    </r>
  </si>
  <si>
    <r>
      <rPr>
        <i/>
        <sz val="10"/>
        <color theme="1"/>
        <rFont val="Arial"/>
      </rPr>
      <t>Беременность</t>
    </r>
    <r>
      <rPr>
        <sz val="10"/>
        <color theme="1"/>
        <rFont val="Arial"/>
      </rPr>
      <t xml:space="preserve">
Достаточные данные по применению вакцины Хаврикс у женщин во время беременности отсутствуют.
Исследования влияния на репродуктивную функцию животных не проводились. Однако, как и в случае применения всех инактивированных вирусных вакцин, риск воздействия на плод считается минимальным.
Применение вакцины Хаврикс возможно, если предполагаемая польза для матери превышает потенциальный риск для плода.
</t>
    </r>
    <r>
      <rPr>
        <i/>
        <sz val="10"/>
        <color theme="1"/>
        <rFont val="Arial"/>
      </rPr>
      <t>Лактация</t>
    </r>
    <r>
      <rPr>
        <sz val="10"/>
        <color theme="1"/>
        <rFont val="Arial"/>
      </rPr>
      <t xml:space="preserve">
Достаточные данные по применению вакцины у женщин во время грудного вскармливания отсутствуют.
Хотя риск можно считать минимальным, вакцину Хаврикс в период грудного вскармливания возможно применять, только если предполагаемая польза для матери превышает потенциальный риск для ребенка.
</t>
    </r>
    <r>
      <rPr>
        <i/>
        <sz val="10"/>
        <color theme="1"/>
        <rFont val="Arial"/>
      </rPr>
      <t>Фертильность</t>
    </r>
    <r>
      <rPr>
        <sz val="10"/>
        <color theme="1"/>
        <rFont val="Arial"/>
      </rPr>
      <t xml:space="preserve">
Данные отсутствуют.</t>
    </r>
  </si>
  <si>
    <r>
      <rPr>
        <i/>
        <sz val="10"/>
        <color theme="1"/>
        <rFont val="Arial"/>
      </rPr>
      <t>&lt;p&gt;&lt;i&gt;Беременность</t>
    </r>
    <r>
      <rPr>
        <sz val="10"/>
        <color theme="1"/>
        <rFont val="Arial"/>
      </rPr>
      <t xml:space="preserve">&lt;/i&gt;&lt;br&gt;
Достаточные данные по применению вакцины Хаврикс у женщин во время беременности отсутствуют.&lt;br&gt;
Исследования влияния на репродуктивную функцию животных не проводились. Однако, как и в случае применения всех инактивированных вирусных вакцин, риск воздействия на плод считается минимальным.&lt;br&gt;
Применение вакцины Хаврикс возможно, если предполагаемая польза для матери превышает потенциальный риск для плода.&lt;br&gt;&lt;br&gt;
</t>
    </r>
    <r>
      <rPr>
        <i/>
        <sz val="10"/>
        <color theme="1"/>
        <rFont val="Arial"/>
      </rPr>
      <t>&lt;i&gt;Лактация</t>
    </r>
    <r>
      <rPr>
        <sz val="10"/>
        <color theme="1"/>
        <rFont val="Arial"/>
      </rPr>
      <t xml:space="preserve">&lt;/i&gt;&lt;br&gt;
Достаточные данные по применению вакцины у женщин во время грудного вскармливания отсутствуют.&lt;br&gt;
Хотя риск можно считать минимальным, вакцину Хаврикс в период грудного вскармливания возможно применять, только если предполагаемая польза для матери превышает потенциальный риск для ребенка.&lt;br&gt;&lt;br&gt;
</t>
    </r>
    <r>
      <rPr>
        <i/>
        <sz val="10"/>
        <color theme="1"/>
        <rFont val="Arial"/>
      </rPr>
      <t>&lt;i&gt;Фертильность</t>
    </r>
    <r>
      <rPr>
        <sz val="10"/>
        <color theme="1"/>
        <rFont val="Arial"/>
      </rPr>
      <t>&lt;/i&gt;&lt;br&gt;
Данные отсутствуют.&lt;/p&gt;</t>
    </r>
  </si>
  <si>
    <t>Исследования влияния вакцины Аваксим 80 (вакцина для профилактики гепатита А инактивированная, адсорбированная) на репродуктивную систему у животных не проводились.
Из-за ограниченного количества данных по применению вакцины у беременных женщин ее использование во время беременности не рекомендуется. Решение о вакцинации женщин в период беременности следует принимать только при наличии однозначных показаний на основании оценки баланса пользы и риска.
Неизвестно, выделяется ли вакцина с грудным молоком. Использовать вакцину у кормящих женщин следует с осторожностью.</t>
  </si>
  <si>
    <t>&lt;p&gt;Исследования влияния вакцины Аваксим&amp;nbsp;80 (вакцина для профилактики гепатита А инактивированная, адсорбированная) на репродуктивную систему у животных не проводились.&lt;br&gt;&lt;br&gt;
Из-за ограниченного количества данных по применению вакцины у беременных женщин ее использование во время беременности не рекомендуется. Решение о вакцинации женщин в период беременности следует принимать только при наличии однозначных показаний на основании оценки баланса пользы и риска.&lt;br&gt;&lt;br&gt;
Неизвестно, выделяется ли вакцина с грудным молоком. Использовать вакцину у кормящих женщин следует с осторожностью.&lt;/p&gt;</t>
  </si>
  <si>
    <t>Из-за ограниченного количества данных по применению вакцины у беременных женщин ее использование во время беременности не рекомендуется. Решение о вакцинации женщин в период беременности следует принимать только при наличии однозначных показаний на основании оценки баланса пользы и риска.
Неизвестно, выделяется ли вакцина с грудным молоком. Использовать вакцину у кормящих женщин следует с осторожностью.</t>
  </si>
  <si>
    <t>&lt;p&gt;Из-за ограниченного количества данных по применению вакцины у беременных женщин ее использование во время беременности не рекомендуется. Решение о вакцинации женщин в период беременности следует принимать только при наличии однозначных показаний на основании оценки баланса пользы и риска.&lt;br&gt;&lt;br&gt;
Неизвестно, выделяется ли вакцина с грудным молоком. Использовать вакцину у кормящих женщин следует с осторожностью.&lt;/p&gt;</t>
  </si>
  <si>
    <r>
      <rPr>
        <i/>
        <sz val="10"/>
        <color theme="1"/>
        <rFont val="Arial"/>
      </rPr>
      <t>Беременность</t>
    </r>
    <r>
      <rPr>
        <sz val="10"/>
        <color theme="1"/>
        <rFont val="Arial"/>
      </rPr>
      <t xml:space="preserve">
Влияние вакцины на плод не изучено. Экспериментальные исследования влияния на репродуктивную функцию у животных не проводились. Возможность вакцинации беременной женщины может быть рассмотрена при крайне высоком риске инфицирования.
</t>
    </r>
    <r>
      <rPr>
        <i/>
        <sz val="10"/>
        <color theme="1"/>
        <rFont val="Arial"/>
      </rPr>
      <t>Лактация</t>
    </r>
    <r>
      <rPr>
        <sz val="10"/>
        <color theme="1"/>
        <rFont val="Arial"/>
      </rPr>
      <t xml:space="preserve">
Данные по применению вакцины Регевак В (Вакцина против гепатита В, рекомбинантная дрожжевая жидкая) в период грудного вскармливания отсутствуют.
</t>
    </r>
    <r>
      <rPr>
        <i/>
        <sz val="10"/>
        <color theme="1"/>
        <rFont val="Arial"/>
      </rPr>
      <t>Фертильность</t>
    </r>
    <r>
      <rPr>
        <sz val="10"/>
        <color theme="1"/>
        <rFont val="Arial"/>
      </rPr>
      <t xml:space="preserve">
Не изучалось.</t>
    </r>
  </si>
  <si>
    <r>
      <rPr>
        <i/>
        <sz val="10"/>
        <color theme="1"/>
        <rFont val="Arial"/>
      </rPr>
      <t>&lt;p&gt;&lt;i&gt;Беременность&lt;/i&gt;&lt;br&gt;</t>
    </r>
    <r>
      <rPr>
        <sz val="10"/>
        <color theme="1"/>
        <rFont val="Arial"/>
      </rPr>
      <t xml:space="preserve">
Влияние вакцины на плод не изучено. Экспериментальные исследования влияния на репродуктивную функцию у животных не проводились. Возможность вакцинации беременной женщины может быть рассмотрена при крайне высоком риске инфицирования.&lt;br&gt;&lt;br&gt;
</t>
    </r>
    <r>
      <rPr>
        <i/>
        <sz val="10"/>
        <color theme="1"/>
        <rFont val="Arial"/>
      </rPr>
      <t>&lt;i&gt;</t>
    </r>
    <r>
      <rPr>
        <sz val="10"/>
        <color theme="1"/>
        <rFont val="Arial"/>
      </rPr>
      <t>Лактация&lt;/i&gt;&lt;br&gt;
Данные по применению вакцины Регевак В (Вакцина против гепатита В, рекомбинантная дрожжевая жидкая) в период грудного вскармливания отсутствуют.&lt;br&gt;&lt;br&gt;
&lt;i&gt;Фертильность&lt;/i&gt;&lt;br&gt;
Не изучалось.&lt;/p&gt;</t>
    </r>
  </si>
  <si>
    <r>
      <rPr>
        <i/>
        <sz val="10"/>
        <color theme="1"/>
        <rFont val="Arial"/>
      </rPr>
      <t>Беременность</t>
    </r>
    <r>
      <rPr>
        <sz val="10"/>
        <color theme="1"/>
        <rFont val="Arial"/>
      </rPr>
      <t xml:space="preserve">
Достаточные данные по применению вакцины для профилактики гепатита В (рДНК, адсорбированной) у женщин во время беременности отсутствуют. Исследования влияния на репродуктивную функцию животных не проводились. Однако, как и в случае применения всех инактивированных вирусных вакцин, риск воздействия на плод считается минимальным. Применение вакцины для профилактики гепатита В (рДНК, адсорбированной) возможно, если предполагаемая польза для матери превышает потенциальный риск для плода.
</t>
    </r>
    <r>
      <rPr>
        <i/>
        <sz val="10"/>
        <color theme="1"/>
        <rFont val="Arial"/>
      </rPr>
      <t>Лактация</t>
    </r>
    <r>
      <rPr>
        <sz val="10"/>
        <color theme="1"/>
        <rFont val="Arial"/>
      </rPr>
      <t xml:space="preserve">
Достаточные данные по применению вакцины у женщин во время грудного вскармливания отсутствуют. Хотя риск можно считать минимальным, вакцину для профилактики гепатита В (рДНК, адсорбированную) в период грудного вскармливания возможно применять, только если предполагаемая польза для матери превышает потенциальный риск для ребенка.</t>
    </r>
  </si>
  <si>
    <r>
      <rPr>
        <i/>
        <sz val="10"/>
        <color theme="1"/>
        <rFont val="Arial"/>
      </rPr>
      <t>&lt;p&gt;&lt;i&gt;Беременность&lt;/i&gt;&lt;br&gt;</t>
    </r>
    <r>
      <rPr>
        <sz val="10"/>
        <color theme="1"/>
        <rFont val="Arial"/>
      </rPr>
      <t xml:space="preserve">
Достаточные данные по применению вакцины для профилактики гепатита В (рДНК, адсорбированной) у женщин во время беременности отсутствуют. Исследования влияния на репродуктивную функцию животных не проводились. Однако, как и в случае применения всех инактивированных вирусных вакцин, риск воздействия на плод считается минимальным. Применение вакцины для профилактики гепатита В (рДНК, адсорбированной) возможно, если предполагаемая польза для матери превышает потенциальный риск для плода.&lt;br&gt;&lt;br&gt;
</t>
    </r>
    <r>
      <rPr>
        <i/>
        <sz val="10"/>
        <color theme="1"/>
        <rFont val="Arial"/>
      </rPr>
      <t>&lt;i&gt;Лактация&lt;/i&gt;&lt;br&gt;</t>
    </r>
    <r>
      <rPr>
        <sz val="10"/>
        <color theme="1"/>
        <rFont val="Arial"/>
      </rPr>
      <t xml:space="preserve">
Достаточные данные по применению вакцины у женщин во время грудного вскармливания отсутствуют. Хотя риск можно считать минимальным, вакцину для профилактики гепатита В (рДНК, адсорбированную) в период грудного вскармливания возможно применять, только если предполагаемая польза для матери превышает потенциальный риск для ребенка.&lt;/p&gt;</t>
    </r>
  </si>
  <si>
    <t>Влияние HBsAg на развитие плода не изучалось. Вместе с тем, как и в случае использования любой инактивированной вакцины, представляется маловероятной способность данного препарата оказывать влияние на эмбрион или плод. Тем не менее, вакцина Эувакс В может использоваться у беременных только в том случае, когда высокий риск инфицирования вирусом гепатита B превышает возможное неблагоприятное действие.
Действие вакцины Эувакс В на грудных детей после вакцинации их матерей в специальных исследованиях не изучалось. Вместе с с тем, противопоказаний для использования данной вакцины у кормящих матерей не существует.</t>
  </si>
  <si>
    <t>&lt;p&gt;Влияние HBsAg на развитие плода не изучалось. Вместе с тем, как и в случае использования любой инактивированной вакцины, представляется маловероятной способность данного препарата оказывать влияние на эмбрион или плод. Тем не менее, вакцина Эувакс&amp;nbsp;В может использоваться у беременных только в том случае, когда высокий риск инфицирования вирусом гепатита B превышает возможное неблагоприятное действие.&lt;br&gt;&lt;br&gt;
Действие вакцины Эувакс&amp;nbsp;В на грудных детей после вакцинации их матерей в специальных исследованиях не изучалось. Вместе с с тем, противопоказаний для использования данной вакцины у кормящих матерей не существует.&lt;/p&gt;</t>
  </si>
  <si>
    <r>
      <rPr>
        <i/>
        <sz val="10"/>
        <color theme="1"/>
        <rFont val="Arial"/>
      </rPr>
      <t>Беременность</t>
    </r>
    <r>
      <rPr>
        <sz val="10"/>
        <color theme="1"/>
        <rFont val="Arial"/>
      </rPr>
      <t xml:space="preserve">
Воздействие вакцины Церварикс на внутриутробную, перинатальную и постнатальную выживаемость и развитие было изучено на животных моделях (крысы). Подобные исследования у животных не подтверждают наличие прямого или косвенного вредного воздействия вакцины на беременность, внутриутробное развитие, роды или постнатальное развитие.
Данные о беременных женщинах, собранные в ходе клинических исследований, из реестров беременных женщин, в ходе эпидемиологических исследований, не дают оснований предполагать, что риск патологий среди новорожденных, включая пороки развития, изменится. Достаточные данные для заключения о наличии или отсутствии влияния вакцины Церварикс на риск спонтанного аборта отсутствуют.
Беременным женщинам и женщинам, планирующим беременность, рекомендуется отложить вакцинацию до завершения беременности.
</t>
    </r>
    <r>
      <rPr>
        <i/>
        <sz val="10"/>
        <color theme="1"/>
        <rFont val="Arial"/>
      </rPr>
      <t>Лактация</t>
    </r>
    <r>
      <rPr>
        <sz val="10"/>
        <color theme="1"/>
        <rFont val="Arial"/>
      </rPr>
      <t xml:space="preserve">
Воздействие на детей, находящихся на грудном вскармливании в момент вакцинации их матерей вакциной Церварикс, в клинических исследованиях не оценивалось.
Данные серологических исследований показали, что возможно выделение антител к антигенам вакцины с молоком во время лактационного периода у крыс. Нет данных, происходит ли аналогичная экскреция поствакцинальных антител с человеческим молоком.
Применение вакцины Церварикс в период грудного вскармливания возможно, только если предполагаемая польза для матери превышает потенциальный риск для ребенка.
</t>
    </r>
    <r>
      <rPr>
        <i/>
        <sz val="10"/>
        <color theme="1"/>
        <rFont val="Arial"/>
      </rPr>
      <t>Фертильность</t>
    </r>
    <r>
      <rPr>
        <sz val="10"/>
        <color theme="1"/>
        <rFont val="Arial"/>
      </rPr>
      <t xml:space="preserve">
Исследования на животных (крысы) не подтверждают наличие прямого или косвенного вредного воздействия на фертильность. Для человека данные о влиянии вакцины на фертильность отсутствуют.</t>
    </r>
  </si>
  <si>
    <r>
      <rPr>
        <i/>
        <sz val="10"/>
        <color theme="1"/>
        <rFont val="Arial"/>
      </rPr>
      <t>&lt;p&gt;&lt;i&gt;Беременность</t>
    </r>
    <r>
      <rPr>
        <sz val="10"/>
        <color theme="1"/>
        <rFont val="Arial"/>
      </rPr>
      <t xml:space="preserve">&lt;/i&gt;&lt;br&gt;
Воздействие вакцины Церварикс на внутриутробную, перинатальную и постнатальную выживаемость и развитие было изучено на животных моделях (крысы). Подобные исследования у животных не подтверждают наличие прямого или косвенного вредного воздействия вакцины на беременность, внутриутробное развитие, роды или постнатальное развитие.&lt;br&gt;
Данные о беременных женщинах, собранные в ходе клинических исследований, из реестров беременных женщин, в ходе эпидемиологических исследований, не дают оснований предполагать, что риск патологий среди новорожденных, включая пороки развития, изменится. Достаточные данные для заключения о наличии или отсутствии влияния вакцины Церварикс на риск спонтанного аборта отсутствуют.&lt;br&gt;
Беременным женщинам и женщинам, планирующим беременность, рекомендуется отложить вакцинацию до завершения беременности.&lt;br&gt;&lt;br&gt;
</t>
    </r>
    <r>
      <rPr>
        <i/>
        <sz val="10"/>
        <color theme="1"/>
        <rFont val="Arial"/>
      </rPr>
      <t>&lt;i&gt;Лактация</t>
    </r>
    <r>
      <rPr>
        <sz val="10"/>
        <color theme="1"/>
        <rFont val="Arial"/>
      </rPr>
      <t xml:space="preserve">&lt;/i&gt;&lt;br&gt;
Воздействие на детей, находящихся на грудном вскармливании в момент вакцинации их матерей вакциной Церварикс, в клинических исследованиях не оценивалось.&lt;br&gt;
Данные серологических исследований показали, что возможно выделение антител к антигенам вакцины с молоком во время лактационного периода у крыс. Нет данных, происходит ли аналогичная экскреция поствакцинальных антител с человеческим молоком.&lt;br&gt;
Применение вакцины Церварикс в период грудного вскармливания возможно, только если предполагаемая польза для матери превышает потенциальный риск для ребенка.&lt;br&gt;&lt;br&gt;
</t>
    </r>
    <r>
      <rPr>
        <i/>
        <sz val="10"/>
        <color theme="1"/>
        <rFont val="Arial"/>
      </rPr>
      <t>&lt;i&gt;Фертильность</t>
    </r>
    <r>
      <rPr>
        <sz val="10"/>
        <color theme="1"/>
        <rFont val="Arial"/>
      </rPr>
      <t>&lt;/i&gt;&lt;br&gt;
Исследования на животных (крысы) не подтверждают наличие прямого или косвенного вредного воздействия на фертильность. Для человека данные о влиянии вакцины на фертильность отсутствуют.&lt;/p&gt;</t>
    </r>
  </si>
  <si>
    <r>
      <rPr>
        <i/>
        <sz val="10"/>
        <color theme="1"/>
        <rFont val="Arial"/>
      </rPr>
      <t>Беременность</t>
    </r>
    <r>
      <rPr>
        <sz val="10"/>
        <color theme="1"/>
        <rFont val="Arial"/>
      </rPr>
      <t xml:space="preserve">
Специальных исследований вакцины у беременных не проводились. Во время программы клинического исследования 3819 женщин (1894 в группе вакцины и 1925 в группе плацебо) сообщили по крайней мере об одной беременности. Не было выявлено существенных различий в типах аномалий или доле беременностей с неблагоприятным исходом у лиц, принимавших Гардасил и плацебо. Эти данные по беременным женщинам (более 1000 выявленных исходов) указывают на отсутствие врожденных пороков развития или токсического действия на плод или новорожденного.
Данные о применении вакцины Гардасил во время беременности не указывают на какие-либо сигналы по безопасности. Тем не менее, этих данных недостаточно, чтобы рекомендовать применение вакцины Гардасил во время беременности. Вакцинацию следует отложить до окончания беременности.
</t>
    </r>
    <r>
      <rPr>
        <i/>
        <sz val="10"/>
        <color theme="1"/>
        <rFont val="Arial"/>
      </rPr>
      <t>Лактация</t>
    </r>
    <r>
      <rPr>
        <sz val="10"/>
        <color theme="1"/>
        <rFont val="Arial"/>
      </rPr>
      <t xml:space="preserve">
В клинических исследованиях частота нежелательных реакций у кормящих матерей и младенцев были сопоставимы в группе вакцины и группе плацебо. В дополнение иммуногенность вакцины была сопоставимой у кормящих матерей и не кормящих женщин в период вакцинации.
Вакцину Гардасил можно вводить кормящим женщинам.
</t>
    </r>
    <r>
      <rPr>
        <i/>
        <sz val="10"/>
        <color theme="1"/>
        <rFont val="Arial"/>
      </rPr>
      <t>Фертильность</t>
    </r>
    <r>
      <rPr>
        <sz val="10"/>
        <color theme="1"/>
        <rFont val="Arial"/>
      </rPr>
      <t xml:space="preserve">
Исследования на животных не указывают на прямое или косвенное вредное воздействие в отношении токсического действия на репродуктивную функцию. Никакого влияния на мужскую фертильность у крыс не наблюдалось.</t>
    </r>
  </si>
  <si>
    <r>
      <rPr>
        <i/>
        <sz val="10"/>
        <color theme="1"/>
        <rFont val="Arial"/>
      </rPr>
      <t>&lt;p&gt;&lt;i&gt;Беременность</t>
    </r>
    <r>
      <rPr>
        <sz val="10"/>
        <color theme="1"/>
        <rFont val="Arial"/>
      </rPr>
      <t xml:space="preserve">&lt;/i&gt;&lt;br&gt;
Специальных исследований вакцины у беременных не проводились. Во время программы клинического исследования 3819&amp;nbsp;женщин (1894 в группе вакцины и 1925 в группе плацебо) сообщили по крайней мере об одной беременности. Не было выявлено существенных различий в типах аномалий или доле беременностей с неблагоприятным исходом у лиц, принимавших Гардасил и плацебо. Эти данные по беременным женщинам (более 1000 выявленных исходов) указывают на отсутствие врожденных пороков развития или токсического действия на плод или новорожденного.&lt;br&gt;
Данные о применении вакцины Гардасил во время беременности не указывают на какие-либо сигналы по безопасности. Тем не менее, этих данных недостаточно, чтобы рекомендовать применение вакцины Гардасил во время беременности. Вакцинацию следует отложить до окончания беременности.&lt;br&gt;&lt;br&gt;
</t>
    </r>
    <r>
      <rPr>
        <i/>
        <sz val="10"/>
        <color theme="1"/>
        <rFont val="Arial"/>
      </rPr>
      <t>&lt;i&gt;Лактация</t>
    </r>
    <r>
      <rPr>
        <sz val="10"/>
        <color theme="1"/>
        <rFont val="Arial"/>
      </rPr>
      <t xml:space="preserve">&lt;/i&gt;&lt;br&gt;
В клинических исследованиях частота нежелательных реакций у кормящих матерей и младенцев были сопоставимы в группе вакцины и группе плацебо. В дополнение иммуногенность вакцины была сопоставимой у кормящих матерей и не кормящих женщин в период вакцинации.&lt;br&gt;
Вакцину Гардасил можно вводить кормящим женщинам.&lt;br&gt;&lt;br&gt;
</t>
    </r>
    <r>
      <rPr>
        <i/>
        <sz val="10"/>
        <color theme="1"/>
        <rFont val="Arial"/>
      </rPr>
      <t>&lt;i&gt;Фертильность</t>
    </r>
    <r>
      <rPr>
        <sz val="10"/>
        <color theme="1"/>
        <rFont val="Arial"/>
      </rPr>
      <t>&lt;/i&gt;&lt;br&gt;
Исследования на животных не указывают на прямое или косвенное вредное воздействие в отношении токсического действия на репродуктивную функцию. Никакого влияния на мужскую фертильность у крыс не наблюдалось.&lt;/p&gt;</t>
    </r>
  </si>
  <si>
    <r>
      <rPr>
        <i/>
        <sz val="10"/>
        <color theme="1"/>
        <rFont val="Arial"/>
      </rPr>
      <t>Беременность</t>
    </r>
    <r>
      <rPr>
        <sz val="10"/>
        <color theme="1"/>
        <rFont val="Arial"/>
      </rPr>
      <t xml:space="preserve">
По результатам исследований на животных, репродуктивная токсичность и тератогенность отсутствуют. Клинические исследования Гам-КОВИД-Вак при беременности не проводились. В связи с этим применять лекарственный препарат Гам-КОВИД-Вак при беременности возможно в тех случаях, когда ожидаемая польза для матери превышает потенциальный риск для плода. Мониторинг безопасности не выявил повышенного риска при непреднамеренной вакцинации беременных.
</t>
    </r>
    <r>
      <rPr>
        <i/>
        <sz val="10"/>
        <color theme="1"/>
        <rFont val="Arial"/>
      </rPr>
      <t>Лактация</t>
    </r>
    <r>
      <rPr>
        <sz val="10"/>
        <color theme="1"/>
        <rFont val="Arial"/>
      </rPr>
      <t xml:space="preserve">
Клинические данные по применению лекарственного препарата Гам-КОВИД-Вак у женщин, кормящих грудью, и младенцев отсутствуют. В настоящее время неизвестно, способны ли действующие вещества, входящие в состав лекарственного препарата, проникать в грудное молоко. Перед принятием решения о вакцинации кормящей женщины необходимо оценить риски и пользу данной вакцинации.
</t>
    </r>
    <r>
      <rPr>
        <i/>
        <sz val="10"/>
        <color theme="1"/>
        <rFont val="Arial"/>
      </rPr>
      <t>Фертильность</t>
    </r>
    <r>
      <rPr>
        <sz val="10"/>
        <color theme="1"/>
        <rFont val="Arial"/>
      </rPr>
      <t xml:space="preserve">
Клинические данные о влиянии на фертильность при приеме лекарственного препарата отсутствуют. По результатам исследований на животных репродуктивная токсичность не выявлена.</t>
    </r>
  </si>
  <si>
    <r>
      <rPr>
        <i/>
        <sz val="10"/>
        <color theme="1"/>
        <rFont val="Arial"/>
      </rPr>
      <t>&lt;p&gt;&lt;i&gt;Беременность&lt;/i&gt;&lt;br&gt;</t>
    </r>
    <r>
      <rPr>
        <sz val="10"/>
        <color theme="1"/>
        <rFont val="Arial"/>
      </rPr>
      <t xml:space="preserve">
По результатам исследований на животных, репродуктивная токсичность и тератогенность отсутствуют. Клинические исследования Гам-КОВИД-Вак при беременности не проводились. В связи с этим применять лекарственный препарат Гам-КОВИД-Вак при беременности возможно в тех случаях, когда ожидаемая польза для матери превышает потенциальный риск для плода. Мониторинг безопасности не выявил повышенного риска при непреднамеренной вакцинации беременных.&lt;br&gt;&lt;br&gt;
</t>
    </r>
    <r>
      <rPr>
        <i/>
        <sz val="10"/>
        <color theme="1"/>
        <rFont val="Arial"/>
      </rPr>
      <t>&lt;i&gt;Лактация&lt;/i&gt;&lt;br&gt;</t>
    </r>
    <r>
      <rPr>
        <sz val="10"/>
        <color theme="1"/>
        <rFont val="Arial"/>
      </rPr>
      <t xml:space="preserve">
Клинические данные по применению лекарственного препарата Гам-КОВИД-Вак у женщин, кормящих грудью, и младенцев отсутствуют. В настоящее время неизвестно, способны ли действующие вещества, входящие в состав лекарственного препарата, проникать в грудное молоко. Перед принятием решения о вакцинации кормящей женщины необходимо оценить риски и пользу данной вакцинации.&lt;br&gt;&lt;br&gt;
</t>
    </r>
    <r>
      <rPr>
        <i/>
        <sz val="10"/>
        <color theme="1"/>
        <rFont val="Arial"/>
      </rPr>
      <t>&lt;i&gt;Фертильность&lt;/i&gt;&lt;br&gt;</t>
    </r>
    <r>
      <rPr>
        <sz val="10"/>
        <color theme="1"/>
        <rFont val="Arial"/>
      </rPr>
      <t xml:space="preserve">
Клинические данные о влиянии на фертильность при приеме лекарственного препарата отсутствуют. По результатам исследований на животных репродуктивная токсичность не выявлена.&lt;/p&gt;</t>
    </r>
  </si>
  <si>
    <t>Препарат противопоказан при беременности и в период грудного вскармливания, так как его эффективность и безопасность в этот период не изучались.</t>
  </si>
  <si>
    <t>&lt;p&gt;Препарат противопоказан при беременности и в период грудного вскармливания, так как его эффективность и безопасность в этот период не изучались.&lt;/p&gt;</t>
  </si>
  <si>
    <t>Препарат противопоказан при беременности и в период грудного вскармливания, так как его эффективность и безопасность в этот период не изучалась.</t>
  </si>
  <si>
    <t>&lt;p&gt;Препарат противопоказан при беременности и в период грудного вскармливания, так как его эффективность и безопасность в этот период не изучалась.&lt;/p&gt;</t>
  </si>
  <si>
    <t>Доклинические исследования показали, что вакцина не обладает эмбриотоксическим и тератогенным действием. Решение о вакцинации беременных и кормящих грудью должно приниматься врачом индивидуально с учетом риска заражения гриппом и возможных осложнений гриппозной инфекции. Наиболее безопасна вакцинация во втором и третьем триместрах.</t>
  </si>
  <si>
    <t>&lt;p&gt;Доклинические исследования показали, что вакцина не обладает эмбриотоксическим и тератогенным действием. Решение о вакцинации беременных и кормящих грудью должно приниматься врачом индивидуально с учетом риска заражения гриппом и возможных осложнений гриппозной инфекции. Наиболее безопасна вакцинация во втором и третьем триместрах.&lt;/p&gt;</t>
  </si>
  <si>
    <t>Доклинические исследования показали, что вакцина Гриппол® не обладает эмбриотоксическим и тератогенным действием. Решение о вакцинации беременных должно приниматься врачом индивидуально с учетом риска заражения гриппом и возможных осложнений гриппозной инфекцией. Наиболее безопасна вакцинация во втором и третьем триместрах.
Кормление грудью не является противопоказанием для вакцинации.</t>
  </si>
  <si>
    <t>&lt;p&gt;Доклинические исследования показали, что вакцина Гриппол® не обладает эмбриотоксическим и тератогенным действием. Решение о вакцинации беременных должно приниматься врачом индивидуально с учетом риска заражения гриппом и возможных осложнений гриппозной инфекцией. Наиболее безопасна вакцинация во втором и третьем триместрах.&lt;br&gt;&lt;br&gt;
Кормление грудью не является противопоказанием для вакцинации.&lt;/p&gt;</t>
  </si>
  <si>
    <r>
      <rPr>
        <i/>
        <sz val="10"/>
        <color theme="1"/>
        <rFont val="Arial"/>
      </rPr>
      <t>Беременность</t>
    </r>
    <r>
      <rPr>
        <sz val="10"/>
        <color theme="1"/>
        <rFont val="Arial"/>
      </rPr>
      <t xml:space="preserve">
Доклинические исследования показали, что вакцина гриппозная инактивированная полимер-субъединичная не обладает эмбриотоксическим и тератогенным действием.
Решение о вакцинации беременных должно приниматься врачом индивидуально с учетом риска заражения гриппом и возможных осложнений гриппозной инфекции.
Наиболее безопасна вакцинация во втором и третьем триместрах.
</t>
    </r>
    <r>
      <rPr>
        <i/>
        <sz val="10"/>
        <color theme="1"/>
        <rFont val="Arial"/>
      </rPr>
      <t>Лактация</t>
    </r>
    <r>
      <rPr>
        <sz val="10"/>
        <color theme="1"/>
        <rFont val="Arial"/>
      </rPr>
      <t xml:space="preserve">
Кормление грудью не является противопоказанием для вакцинации.
</t>
    </r>
    <r>
      <rPr>
        <i/>
        <sz val="10"/>
        <color theme="1"/>
        <rFont val="Arial"/>
      </rPr>
      <t>Фертильность</t>
    </r>
    <r>
      <rPr>
        <sz val="10"/>
        <color theme="1"/>
        <rFont val="Arial"/>
      </rPr>
      <t xml:space="preserve">
Нет данных по влиянию на фертильность.</t>
    </r>
  </si>
  <si>
    <r>
      <rPr>
        <i/>
        <sz val="10"/>
        <color theme="1"/>
        <rFont val="Arial"/>
      </rPr>
      <t>&lt;p&gt;&lt;i&gt;Беременность</t>
    </r>
    <r>
      <rPr>
        <sz val="10"/>
        <color theme="1"/>
        <rFont val="Arial"/>
      </rPr>
      <t xml:space="preserve">&lt;/i&gt;&lt;br&gt;
Доклинические исследования показали, что вакцина гриппозная инактивированная полимер-субъединичная не обладает эмбриотоксическим и тератогенным действием.&lt;br&gt;
Решение о вакцинации беременных должно приниматься врачом индивидуально с учетом риска заражения гриппом и возможных осложнений гриппозной инфекции.&lt;br&gt;
Наиболее безопасна вакцинация во втором и третьем триместрах.&lt;br&gt;&lt;br&gt;
</t>
    </r>
    <r>
      <rPr>
        <i/>
        <sz val="10"/>
        <color theme="1"/>
        <rFont val="Arial"/>
      </rPr>
      <t>&lt;i&gt;Лактация</t>
    </r>
    <r>
      <rPr>
        <sz val="10"/>
        <color theme="1"/>
        <rFont val="Arial"/>
      </rPr>
      <t xml:space="preserve">&lt;/i&gt;&lt;br&gt;
Кормление грудью не является противопоказанием для вакцинации.&lt;br&gt;&lt;br&gt;
</t>
    </r>
    <r>
      <rPr>
        <i/>
        <sz val="10"/>
        <color theme="1"/>
        <rFont val="Arial"/>
      </rPr>
      <t>&lt;i&gt;Фертильность&lt;/i&gt;&lt;br&gt;</t>
    </r>
    <r>
      <rPr>
        <sz val="10"/>
        <color theme="1"/>
        <rFont val="Arial"/>
      </rPr>
      <t xml:space="preserve">
Нет данных по влиянию на фертильность.&lt;/p&gt;</t>
    </r>
  </si>
  <si>
    <r>
      <rPr>
        <i/>
        <sz val="10"/>
        <color theme="1"/>
        <rFont val="Arial"/>
      </rPr>
      <t>Беременность</t>
    </r>
    <r>
      <rPr>
        <sz val="10"/>
        <color theme="1"/>
        <rFont val="Arial"/>
      </rPr>
      <t xml:space="preserve">
Данные клинических испытаний вакцины на беременных женщинах во II и III триместрах беременности показали, что вакцина СОВИГРИПП не оказывает отрицательного воздействия на плод, организм женщины и ребенка. Подобно другим инактивированным вакцинам, вред для плода не ожидается. Беременным женщинам можно вводить только вакцину СОВИГРИПП без консерванта (тиомерсала).
Окончательное решение о вакцинации беременных женщин должно приниматься врачом индивидуально с учетом риска заражения гриппом и возможных осложнений гриппозной инфекции.
</t>
    </r>
    <r>
      <rPr>
        <i/>
        <sz val="10"/>
        <color theme="1"/>
        <rFont val="Arial"/>
      </rPr>
      <t>Лактация</t>
    </r>
    <r>
      <rPr>
        <sz val="10"/>
        <color theme="1"/>
        <rFont val="Arial"/>
      </rPr>
      <t xml:space="preserve">
Опыт применения гриппозных инактивированных вакцин показывает, что вакцинация женщины в период грудного вскармливания не оказывает токсического воздействия на ребенка. СОВИГРИПП может применяться в период грудного вскармливания.
</t>
    </r>
    <r>
      <rPr>
        <i/>
        <sz val="10"/>
        <color theme="1"/>
        <rFont val="Arial"/>
      </rPr>
      <t>Фертильность</t>
    </r>
    <r>
      <rPr>
        <sz val="10"/>
        <color theme="1"/>
        <rFont val="Arial"/>
      </rPr>
      <t xml:space="preserve">
Нет данных о влиянии лекарственного препарата СОВИГРИПП на фертильность человека.</t>
    </r>
  </si>
  <si>
    <t>&lt;p&gt;&lt;i&gt;Беременность&lt;/i&gt;&lt;br&gt;
Данные клинических испытаний вакцины на беременных женщинах во II и III&amp;nbsp;триместрах беременности показали, что вакцина СОВИГРИПП не оказывает отрицательного воздействия на плод, организм женщины и ребенка. Подобно другим инактивированным вакцинам, вред для плода не ожидается. Беременным женщинам можно вводить только вакцину СОВИГРИПП без консерванта (тиомерсала).&lt;br&gt;
Окончательное решение о вакцинации беременных женщин должно приниматься врачом индивидуально с учетом риска заражения гриппом и возможных осложнений гриппозной инфекции.&lt;br&gt;&lt;br&gt;
&lt;i&gt;Лактация&lt;/i&gt;&lt;br&gt;
Опыт применения гриппозных инактивированных вакцин показывает, что вакцинация женщины в период грудного вскармливания не оказывает токсического воздействия на ребенка. СОВИГРИПП может применяться в период грудного вскармливания.&lt;br&gt;&lt;br&gt;
&lt;i&gt;Фертильность&lt;/i&gt;&lt;br&gt;
Нет данных о влиянии лекарственного препарата СОВИГРИПП на фертильность человека.&lt;/p&gt;</t>
  </si>
  <si>
    <r>
      <rPr>
        <i/>
        <sz val="10"/>
        <color theme="1"/>
        <rFont val="Arial"/>
      </rPr>
      <t>Беременность</t>
    </r>
    <r>
      <rPr>
        <sz val="10"/>
        <color theme="1"/>
        <rFont val="Arial"/>
      </rPr>
      <t xml:space="preserve">
Данные клинических исследований вакцины с участием женщин на II и III триместрах беременности показали, что вакцинация не оказывает отрицательного воздействия на плод и организм женщины и может применяться при беременности. Вакцинация данным препаратом может проводиться, начиная со II триместра беременности.
</t>
    </r>
    <r>
      <rPr>
        <i/>
        <sz val="10"/>
        <color theme="1"/>
        <rFont val="Arial"/>
      </rPr>
      <t>Кормление грудью</t>
    </r>
    <r>
      <rPr>
        <sz val="10"/>
        <color theme="1"/>
        <rFont val="Arial"/>
      </rPr>
      <t xml:space="preserve">
Влияние на детей, находящихся на грудном вскармливании, введение вакцины «Ультрикс®» их матерям, не изучалось.
Окончательное решение о вакцинации беременных и кормящих грудью женщин должно приниматься врачом индивидуально с учетом риска заражения гриппом и возможных осложнений, вызванных заболеванием гриппом.
При проведении вакцинации против гриппа беременных женщин используются вакцины, не содержащие консервантов.
</t>
    </r>
    <r>
      <rPr>
        <i/>
        <sz val="10"/>
        <color theme="1"/>
        <rFont val="Arial"/>
      </rPr>
      <t>Фертильность</t>
    </r>
    <r>
      <rPr>
        <sz val="10"/>
        <color theme="1"/>
        <rFont val="Arial"/>
      </rPr>
      <t xml:space="preserve">
Данные о влиянии на фертильность отсутствуют.</t>
    </r>
  </si>
  <si>
    <r>
      <rPr>
        <i/>
        <sz val="10"/>
        <color theme="1"/>
        <rFont val="Arial"/>
      </rPr>
      <t>&lt;p&gt;&lt;i&gt;Беременность</t>
    </r>
    <r>
      <rPr>
        <sz val="10"/>
        <color theme="1"/>
        <rFont val="Arial"/>
      </rPr>
      <t xml:space="preserve">&lt;/i&gt;&lt;br&gt;
Данные клинических исследований вакцины с участием женщин на II и III&amp;nbsp;триместрах беременности показали, что вакцинация не оказывает отрицательного воздействия на плод и организм женщины и может применяться при беременности. Вакцинация данным препаратом может проводиться, начиная со II&amp;nbsp;триместра беременности.&lt;br&gt;&lt;br&gt;
</t>
    </r>
    <r>
      <rPr>
        <i/>
        <sz val="10"/>
        <color theme="1"/>
        <rFont val="Arial"/>
      </rPr>
      <t>&lt;i&gt;Кормление грудью</t>
    </r>
    <r>
      <rPr>
        <sz val="10"/>
        <color theme="1"/>
        <rFont val="Arial"/>
      </rPr>
      <t xml:space="preserve">&lt;/i&gt;&lt;br&gt;
Влияние на детей, находящихся на грудном вскармливании, введение вакцины «Ультрикс®» их матерям, не изучалось.&lt;br&gt;&lt;br&gt;
Окончательное решение о вакцинации беременных и кормящих грудью женщин должно приниматься врачом индивидуально с учетом риска заражения гриппом и возможных осложнений, вызванных заболеванием гриппом.&lt;br&gt;
При проведении вакцинации против гриппа беременных женщин используются вакцины, не&amp;nbsp;содержащие консервантов.&lt;br&gt;&lt;br&gt;
</t>
    </r>
    <r>
      <rPr>
        <i/>
        <sz val="10"/>
        <color theme="1"/>
        <rFont val="Arial"/>
      </rPr>
      <t>&lt;i&gt;Фертильность</t>
    </r>
    <r>
      <rPr>
        <sz val="10"/>
        <color theme="1"/>
        <rFont val="Arial"/>
      </rPr>
      <t>&lt;/i&gt;&lt;br&gt;
Данные о влиянии на фертильность отсутствуют.&lt;/p&gt;</t>
    </r>
  </si>
  <si>
    <r>
      <rPr>
        <i/>
        <sz val="10"/>
        <color theme="1"/>
        <rFont val="Arial"/>
      </rPr>
      <t>Беременность</t>
    </r>
    <r>
      <rPr>
        <sz val="10"/>
        <color theme="1"/>
        <rFont val="Arial"/>
      </rPr>
      <t xml:space="preserve">
Подобно другим инактивированным вакцинам, вред для плода не ожидается. Беременные женщины подвергаются повышенному риску развития послегриппозных осложнений. В связи с этим беременным женщинам в течение эпидемического сезона гриппа рекомендуется проводить вакцинацию против гриппа вне зависимости от срока беременности. Беременным женщинам можно вводить только вакцину без консерванта (тиомерсала).
</t>
    </r>
    <r>
      <rPr>
        <i/>
        <sz val="10"/>
        <color theme="1"/>
        <rFont val="Arial"/>
      </rPr>
      <t>Лактация</t>
    </r>
    <r>
      <rPr>
        <sz val="10"/>
        <color theme="1"/>
        <rFont val="Arial"/>
      </rPr>
      <t xml:space="preserve">
Данные о новорожденных/детях первого года жизни, вскормленных женщинами, привитыми вакциной Флю-М, отсутствуют. Тем не менее, основываясь на опыте применения инактивированных вакцин для профилактики гриппа, вакцину Флю-М можно применять в период грудного вскармливания.
Окончательное решение о вакцинации беременных и кормящих грудью женщин должно приниматься врачом индивидуально с учетом риска заражения гриппом и возможных осложнений, вызванных заболеванием гриппом.
</t>
    </r>
    <r>
      <rPr>
        <i/>
        <sz val="10"/>
        <color theme="1"/>
        <rFont val="Arial"/>
      </rPr>
      <t>Фертильность</t>
    </r>
    <r>
      <rPr>
        <sz val="10"/>
        <color theme="1"/>
        <rFont val="Arial"/>
      </rPr>
      <t xml:space="preserve">
Данные о влиянии на фертильность человека отсутствуют. Исследование репродуктивной токсичности на животных показало отсутствие негативного влияния вакцины Флю-М на показатели фертильности.</t>
    </r>
  </si>
  <si>
    <r>
      <rPr>
        <i/>
        <sz val="10"/>
        <color theme="1"/>
        <rFont val="Arial"/>
      </rPr>
      <t>&lt;p&gt;&lt;i&gt;Беременность&lt;/i&gt;&lt;br&gt;</t>
    </r>
    <r>
      <rPr>
        <sz val="10"/>
        <color theme="1"/>
        <rFont val="Arial"/>
      </rPr>
      <t xml:space="preserve">
Подобно другим инактивированным вакцинам, вред для плода не ожидается. Беременные женщины подвергаются повышенному риску развития послегриппозных осложнений. В связи с этим беременным женщинам в течение эпидемического сезона гриппа рекомендуется проводить вакцинацию против гриппа вне зависимости от срока беременности. Беременным женщинам можно вводить только вакцину без консерванта (тиомерсала).&lt;br&gt;&lt;br&gt;
</t>
    </r>
    <r>
      <rPr>
        <i/>
        <sz val="10"/>
        <color theme="1"/>
        <rFont val="Arial"/>
      </rPr>
      <t>&lt;i&gt;Лактация&lt;/i&gt;&lt;br&gt;</t>
    </r>
    <r>
      <rPr>
        <sz val="10"/>
        <color theme="1"/>
        <rFont val="Arial"/>
      </rPr>
      <t xml:space="preserve">
Данные о новорожденных/детях первого года жизни, вскормленных женщинами, привитыми вакциной Флю-М, отсутствуют. Тем не менее, основываясь на опыте применения инактивированных вакцин для профилактики гриппа, вакцину Флю-М можно применять в период грудного вскармливания.&lt;br&gt;
Окончательное решение о вакцинации беременных и кормящих грудью женщин должно приниматься врачом индивидуально с учетом риска заражения гриппом и возможных осложнений, вызванных заболеванием гриппом.&lt;br&gt;&lt;br&gt;
</t>
    </r>
    <r>
      <rPr>
        <i/>
        <sz val="10"/>
        <color theme="1"/>
        <rFont val="Arial"/>
      </rPr>
      <t>&lt;i&gt;Фертильность&lt;/i&gt;&lt;br&gt;</t>
    </r>
    <r>
      <rPr>
        <sz val="10"/>
        <color theme="1"/>
        <rFont val="Arial"/>
      </rPr>
      <t xml:space="preserve">
Данные о влиянии на фертильность человека отсутствуют. Исследование репродуктивной токсичности на животных показало отсутствие негативного влияния вакцины Флю-М на показатели фертильности.&lt;/p&gt;</t>
    </r>
  </si>
  <si>
    <r>
      <rPr>
        <i/>
        <sz val="10"/>
        <color theme="1"/>
        <rFont val="Arial"/>
      </rPr>
      <t>Беременность</t>
    </r>
    <r>
      <rPr>
        <sz val="10"/>
        <color theme="1"/>
        <rFont val="Arial"/>
      </rPr>
      <t xml:space="preserve">
Исследования репродуктивной токсичности вакцины Ваксигрип® у животных не проводились.
Беременные женщины подвергаются повышенному риску развития послегриппозных осложнений, включая преждевременные роды, госпитализацию и смерть. В связи с этим беременным женщинам в течение гриппозного эпидемического сезона рекомендуется проводить вакцинацию против гриппа вне зависимости от срока беременности. Вакцину Ваксигрип® можно применять на любых сроках беременности. 
Имеющиеся данные о применении инактивированных противогриппозных вакцин в мире, в том числе вакцины Ваксигрип®, в странах, где вакцинация инактивированными противогриппозными вакцинами рекомендуется на всex сроках беременности, не указывают на возможность неблагоприятных исходов в отношении плода или матери, связанных с вакциной.
Имеющиеся данные четырех клинических исследований, проведенных с применением вакцины Ваксигрип® у беременных женщин во втором и третьем триместре (более 5000 беременных и более 5000 их новорожденных наблюдались примерно до 6 месяцев после родов), не указывают на возможность неблагоприятных исходов в отношении плода, новорожденного, детей первого года жизни или матери, связанных с вакциной. 
B клинических исследованиях, проведенных B Южной Африке и Непале, не наблюдалось значительных отличий между группой беременных женщин, привитых вакциной Ваксигрип®, и контрольной группой в отношении плода, новорожденного, детей первого года жизни или матери, связанных с вакциной (включая выкидыши, мертворождения, преждевременные роды, или роды с малым весом новорожденного).
В клиническом исследовании, проведенном в Мали, не наблюдалось значительных отличий между группой беременных женщин, привитых вакциной Ваксигрип®, и контрольной группой, получивших четырехвалентную менингококковую конъюгированную вакцину, по числу недоношенностей, мертворождений, малому весу ребенка при рождении и весу, не соответствующему гестационному сроку.
</t>
    </r>
    <r>
      <rPr>
        <i/>
        <sz val="10"/>
        <color theme="1"/>
        <rFont val="Arial"/>
      </rPr>
      <t>Грудное вскармливание</t>
    </r>
    <r>
      <rPr>
        <sz val="10"/>
        <color theme="1"/>
        <rFont val="Arial"/>
      </rPr>
      <t xml:space="preserve">
Данные о новорожденных / детях первого года жизни, вскормленных женщинами, привитыми вакциной Ваксигрип®, отсутствуют. Тем не менее, основываясь на опыте применения инактивированных вакцин для профилактики гриппа, вакцину Ваксигрип® можно применять в период грудного вскармливания.</t>
    </r>
  </si>
  <si>
    <r>
      <rPr>
        <i/>
        <sz val="10"/>
        <color theme="1"/>
        <rFont val="Arial"/>
      </rPr>
      <t>&lt;p&gt;&lt;i&gt;Беременность</t>
    </r>
    <r>
      <rPr>
        <sz val="10"/>
        <color theme="1"/>
        <rFont val="Arial"/>
      </rPr>
      <t xml:space="preserve">&lt;/i&gt;&lt;br&gt;
Исследования репродуктивной токсичности вакцины Ваксигрип® у животных не проводились.&lt;br&gt;
Беременные женщины подвергаются повышенному риску развития послегриппозных осложнений, включая преждевременные роды, госпитализацию и смерть. В связи с этим беременным женщинам в течение гриппозного эпидемического сезона рекомендуется проводить вакцинацию против гриппа вне зависимости от срока беременности. Вакцину Ваксигрип® можно применять на любых сроках беременности.&lt;br&gt;
Имеющиеся данные о применении инактивированных противогриппозных вакцин в мире, в том числе вакцины Ваксигрип®, в странах, где вакцинация инактивированными противогриппозными вакцинами рекомендуется на всex сроках беременности, не указывают на возможность неблагоприятных исходов в отношении плода или матери, связанных с вакциной.&lt;br&gt;
Имеющиеся данные четырех клинических исследований, проведенных с применением вакцины Ваксигрип® у беременных женщин во втором и третьем триместре (более 5000 беременных и более 5000 их новорожденных наблюдались примерно до 6&amp;nbsp;месяцев после родов), не указывают на возможность неблагоприятных исходов в отношении плода, новорожденного, детей первого года жизни или матери, связанных с вакциной.&lt;br&gt;
B клинических исследованиях, проведенных B Южной Африке и Непале, не наблюдалось значительных отличий между группой беременных женщин, привитых вакциной Ваксигрип®, и контрольной группой в отношении плода, новорожденного, детей первого года жизни или матери, связанных с вакциной (включая выкидыши, мертворождения, преждевременные роды, или роды с малым весом новорожденного).&lt;br&gt;
В клиническом исследовании, проведенном в Мали, не наблюдалось значительных отличий между группой беременных женщин, привитых вакциной Ваксигрип®, и контрольной группой, получивших четырехвалентную менингококковую конъюгированную вакцину, по числу недоношенностей, мертворождений, малому весу ребенка при рождении и весу, не соответствующему гестационному сроку.&lt;br&gt;&lt;br&gt;
</t>
    </r>
    <r>
      <rPr>
        <i/>
        <sz val="10"/>
        <color theme="1"/>
        <rFont val="Arial"/>
      </rPr>
      <t>&lt;i&gt;Грудное вскармливание</t>
    </r>
    <r>
      <rPr>
        <sz val="10"/>
        <color theme="1"/>
        <rFont val="Arial"/>
      </rPr>
      <t>&lt;/i&gt;&lt;br&gt;
Данные о новорожденных / детях первого года жизни, вскормленных женщинами, привитыми вакциной Ваксигрип®, отсутствуют. Тем не менее, основываясь на опыте применения инактивированных вакцин для профилактики гриппа, вакцину Ваксигрип® можно применять в период грудного вскармливания.&lt;/p&gt;</t>
    </r>
  </si>
  <si>
    <r>
      <rPr>
        <i/>
        <sz val="10"/>
        <color theme="1"/>
        <rFont val="Arial"/>
      </rPr>
      <t>Беременность</t>
    </r>
    <r>
      <rPr>
        <sz val="10"/>
        <color theme="1"/>
        <rFont val="Arial"/>
      </rPr>
      <t xml:space="preserve">
Вакцину Инфлювак допускается применять на любом сроке беременности. Имеется большее количество данных по безопасности в отношении применения вакцины во втором и третьем триместре беременности, по сравнению с первым триместром. Информация, касающаяся применения вакцины против гриппа, собранная по всему миру, не указывает на развитие каких-либо неблагоприятных воздействий на плод и мать, связанных с применением вакцины.
</t>
    </r>
    <r>
      <rPr>
        <i/>
        <sz val="10"/>
        <color theme="1"/>
        <rFont val="Arial"/>
      </rPr>
      <t>Лактация</t>
    </r>
    <r>
      <rPr>
        <sz val="10"/>
        <color theme="1"/>
        <rFont val="Arial"/>
      </rPr>
      <t xml:space="preserve">
Препарат Инфлювак можно использовать в период грудного вскармливания.
</t>
    </r>
    <r>
      <rPr>
        <i/>
        <sz val="10"/>
        <color theme="1"/>
        <rFont val="Arial"/>
      </rPr>
      <t>Фертильность</t>
    </r>
    <r>
      <rPr>
        <sz val="10"/>
        <color theme="1"/>
        <rFont val="Arial"/>
      </rPr>
      <t xml:space="preserve">
Данные о влиянии препарата Инфлювак на фертильность отсутствуют.</t>
    </r>
  </si>
  <si>
    <r>
      <rPr>
        <i/>
        <sz val="10"/>
        <color theme="1"/>
        <rFont val="Arial"/>
      </rPr>
      <t>&lt;p&gt;&lt;i&gt;Беременность&lt;/i&gt;&lt;br&gt;</t>
    </r>
    <r>
      <rPr>
        <sz val="10"/>
        <color theme="1"/>
        <rFont val="Arial"/>
      </rPr>
      <t xml:space="preserve">
Вакцину Инфлювак допускается применять на любом сроке беременности. Имеется большее количество данных по безопасности в отношении применения вакцины во втором и третьем триместре беременности, по сравнению с первым триместром. Информация, касающаяся применения вакцины против гриппа, собранная по всему миру, не указывает на развитие каких-либо неблагоприятных воздействий на плод и мать, связанных с применением вакцины.&lt;br&gt;&lt;br&gt;
</t>
    </r>
    <r>
      <rPr>
        <i/>
        <sz val="10"/>
        <color theme="1"/>
        <rFont val="Arial"/>
      </rPr>
      <t>&lt;i&gt;Лактация</t>
    </r>
    <r>
      <rPr>
        <sz val="10"/>
        <color theme="1"/>
        <rFont val="Arial"/>
      </rPr>
      <t xml:space="preserve">&lt;/i&gt;&lt;br&gt;
Препарат Инфлювак можно использовать в период грудного вскармливания.&lt;br&gt;&lt;br&gt;
</t>
    </r>
    <r>
      <rPr>
        <i/>
        <sz val="10"/>
        <color theme="1"/>
        <rFont val="Arial"/>
      </rPr>
      <t>&lt;i&gt;Фертильность&lt;/i&gt;&lt;br&gt;</t>
    </r>
    <r>
      <rPr>
        <sz val="10"/>
        <color theme="1"/>
        <rFont val="Arial"/>
      </rPr>
      <t xml:space="preserve">
Данные о влиянии препарата Инфлювак на фертильность отсутствуют.&lt;/p&gt;</t>
    </r>
  </si>
  <si>
    <r>
      <rPr>
        <i/>
        <sz val="10"/>
        <color theme="1"/>
        <rFont val="Arial"/>
      </rPr>
      <t>Беременность</t>
    </r>
    <r>
      <rPr>
        <sz val="10"/>
        <color theme="1"/>
        <rFont val="Arial"/>
      </rPr>
      <t xml:space="preserve">
Данные клинических исследований вакцины с участием женщин на II и III триместрах беременности показали, что вакцинация не оказывает отрицательного воздействия на плод и организм женщины и может применяться при беременности. Вакцинация данным препаратом может проводиться, начиная со II триместра беременности.
</t>
    </r>
    <r>
      <rPr>
        <i/>
        <sz val="10"/>
        <color theme="1"/>
        <rFont val="Arial"/>
      </rPr>
      <t>Кормление грудью</t>
    </r>
    <r>
      <rPr>
        <sz val="10"/>
        <color theme="1"/>
        <rFont val="Arial"/>
      </rPr>
      <t xml:space="preserve">
Опыт применения гриппозных инактивированных вакцин показывает, что вакцинация женщины в период грудного вскармливания не оказывает токсического воздействия на ребенка.
Окончательное решение о вакцинации беременных и кормящих грудью женщин должно приниматься врачом индивидуально с учетом риска заражения гриппом и возможных осложнений, вызванных заболеванием гриппом.
</t>
    </r>
    <r>
      <rPr>
        <i/>
        <sz val="10"/>
        <color theme="1"/>
        <rFont val="Arial"/>
      </rPr>
      <t>Фертильность</t>
    </r>
    <r>
      <rPr>
        <sz val="10"/>
        <color theme="1"/>
        <rFont val="Arial"/>
      </rPr>
      <t xml:space="preserve">
Данные о влиянии на фертильность отсутствуют.</t>
    </r>
  </si>
  <si>
    <r>
      <rPr>
        <i/>
        <sz val="10"/>
        <color theme="1"/>
        <rFont val="Arial"/>
      </rPr>
      <t>&lt;p&gt;&lt;i&gt;Беременность</t>
    </r>
    <r>
      <rPr>
        <sz val="10"/>
        <color theme="1"/>
        <rFont val="Arial"/>
      </rPr>
      <t xml:space="preserve">&lt;/i&gt;&lt;br&gt;
Данные клинических исследований вакцины с участием женщин на II и III&amp;nbsp;триместрах беременности показали, что вакцинация не оказывает отрицательного воздействия на плод и организм женщины и может применяться при беременности. Вакцинация данным препаратом может проводиться, начиная со II&amp;nbsp;триместра беременности.&lt;br&gt;&lt;br&gt;
</t>
    </r>
    <r>
      <rPr>
        <i/>
        <sz val="10"/>
        <color theme="1"/>
        <rFont val="Arial"/>
      </rPr>
      <t>&lt;i&gt;Кормление грудью</t>
    </r>
    <r>
      <rPr>
        <sz val="10"/>
        <color theme="1"/>
        <rFont val="Arial"/>
      </rPr>
      <t xml:space="preserve">&lt;/i&gt;&lt;br&gt;
Опыт применения гриппозных инактивированных вакцин показывает, что вакцинация женщины в период грудного вскармливания не оказывает токсического воздействия на ребенка.&lt;br&gt;
Окончательное решение о вакцинации беременных и кормящих грудью женщин должно приниматься врачом индивидуально с учетом риска заражения гриппом и возможных осложнений, вызванных заболеванием гриппом.&lt;br&gt;&lt;br&gt;
</t>
    </r>
    <r>
      <rPr>
        <i/>
        <sz val="10"/>
        <color theme="1"/>
        <rFont val="Arial"/>
      </rPr>
      <t>&lt;i&gt;Фертильность</t>
    </r>
    <r>
      <rPr>
        <sz val="10"/>
        <color theme="1"/>
        <rFont val="Arial"/>
      </rPr>
      <t>&lt;/i&gt;&lt;br&gt;
Данные о влиянии на фертильность отсутствуют.&lt;/p&gt;</t>
    </r>
  </si>
  <si>
    <r>
      <rPr>
        <i/>
        <sz val="10"/>
        <color theme="1"/>
        <rFont val="Arial"/>
      </rPr>
      <t>Беременность</t>
    </r>
    <r>
      <rPr>
        <sz val="10"/>
        <color theme="1"/>
        <rFont val="Arial"/>
      </rPr>
      <t xml:space="preserve">
Решение о вакцинации беременных должно приниматься врачом индивидуально с учетом риска заражения гриппом и возможных осложнений гриппозной инфекции.
Наиболее безопасна вакцинация во втором и третьем триместрах.
</t>
    </r>
    <r>
      <rPr>
        <i/>
        <sz val="10"/>
        <color theme="1"/>
        <rFont val="Arial"/>
      </rPr>
      <t>Лактация</t>
    </r>
    <r>
      <rPr>
        <sz val="10"/>
        <color theme="1"/>
        <rFont val="Arial"/>
      </rPr>
      <t xml:space="preserve">
Кормление грудью не является противопоказанием для вакцинации.
</t>
    </r>
    <r>
      <rPr>
        <i/>
        <sz val="10"/>
        <color theme="1"/>
        <rFont val="Arial"/>
      </rPr>
      <t>Фертильность</t>
    </r>
    <r>
      <rPr>
        <sz val="10"/>
        <color theme="1"/>
        <rFont val="Arial"/>
      </rPr>
      <t xml:space="preserve">
Нет данных по влиянию на фертильность.</t>
    </r>
  </si>
  <si>
    <r>
      <rPr>
        <i/>
        <sz val="10"/>
        <color theme="1"/>
        <rFont val="Arial"/>
      </rPr>
      <t>&lt;p&gt;&lt;i&gt;Беременность</t>
    </r>
    <r>
      <rPr>
        <sz val="10"/>
        <color theme="1"/>
        <rFont val="Arial"/>
      </rPr>
      <t xml:space="preserve">&lt;/i&gt;&lt;br&gt;
Решение о вакцинации беременных должно приниматься врачом индивидуально с учетом риска заражения гриппом и возможных осложнений гриппозной инфекции.&lt;br&gt;
Наиболее безопасна вакцинация во втором и третьем триместрах.&lt;br&gt;&lt;br&gt;
</t>
    </r>
    <r>
      <rPr>
        <i/>
        <sz val="10"/>
        <color theme="1"/>
        <rFont val="Arial"/>
      </rPr>
      <t>&lt;i&gt;Лактация</t>
    </r>
    <r>
      <rPr>
        <sz val="10"/>
        <color theme="1"/>
        <rFont val="Arial"/>
      </rPr>
      <t xml:space="preserve">&lt;/i&gt;&lt;br&gt;
Кормление грудью не является противопоказанием для вакцинации.&lt;br&gt;&lt;br&gt;
</t>
    </r>
    <r>
      <rPr>
        <i/>
        <sz val="10"/>
        <color theme="1"/>
        <rFont val="Arial"/>
      </rPr>
      <t>&lt;i&gt;Фертильность</t>
    </r>
    <r>
      <rPr>
        <sz val="10"/>
        <color theme="1"/>
        <rFont val="Arial"/>
      </rPr>
      <t>&lt;/i&gt;&lt;br&gt;
Нет данных по влиянию на фертильность.&lt;/p&gt;</t>
    </r>
  </si>
  <si>
    <t xml:space="preserve"> Применение при беременности противопоказано. Допускается проведение вакцинации женщин в период грудного вскармливания по решению врача с учетом оценки соотношения возможного риска заражения и пользы от вакцинации.</t>
  </si>
  <si>
    <t xml:space="preserve"> &lt;p&gt;Применение при беременности противопоказано. Допускается проведение вакцинации женщин в период грудного вскармливания по решению врача с учетом оценки соотношения возможного риска заражения и пользы от вакцинации.&lt;/p&gt;</t>
  </si>
  <si>
    <r>
      <rPr>
        <i/>
        <sz val="10"/>
        <color theme="1"/>
        <rFont val="Arial"/>
      </rPr>
      <t>Беременность</t>
    </r>
    <r>
      <rPr>
        <sz val="10"/>
        <color theme="1"/>
        <rFont val="Arial"/>
      </rPr>
      <t xml:space="preserve">
Запрещается назначать вакцину женщинам во время беременности из-за теоретически возможного, но ни разу не подтвержденного тератогенного действия вакцины. Случайная вакцинация беременной женщины не является абсолютным показанием к прерыванию беременности.
</t>
    </r>
    <r>
      <rPr>
        <i/>
        <sz val="10"/>
        <color theme="1"/>
        <rFont val="Arial"/>
      </rPr>
      <t>Лактация</t>
    </r>
    <r>
      <rPr>
        <sz val="10"/>
        <color theme="1"/>
        <rFont val="Arial"/>
      </rPr>
      <t xml:space="preserve">
Отсутствуют данные о выделении вакцинных штаммов в грудное молоко человека. В качестве меры предосторожности предпочтительно избегать применения препарата в период грудного вскармливания; при принятии решения следует учитывать пользу для матери и пользу от грудного вскармливания для ребенка.
</t>
    </r>
    <r>
      <rPr>
        <i/>
        <sz val="10"/>
        <color theme="1"/>
        <rFont val="Arial"/>
      </rPr>
      <t>Фертильность</t>
    </r>
    <r>
      <rPr>
        <sz val="10"/>
        <color theme="1"/>
        <rFont val="Arial"/>
      </rPr>
      <t xml:space="preserve">
Не изучалось.</t>
    </r>
  </si>
  <si>
    <r>
      <rPr>
        <i/>
        <sz val="10"/>
        <color theme="1"/>
        <rFont val="Arial"/>
      </rPr>
      <t>&lt;p&gt;&lt;i&gt;Беременность&lt;/i&gt;&lt;br&gt;</t>
    </r>
    <r>
      <rPr>
        <sz val="10"/>
        <color theme="1"/>
        <rFont val="Arial"/>
      </rPr>
      <t xml:space="preserve">
Запрещается назначать вакцину женщинам во время беременности из-за теоретически возможного, но ни разу не подтвержденного тератогенного действия вакцины. Случайная вакцинация беременной женщины не является абсолютным показанием к прерыванию беременности.&lt;br&gt;&lt;br&gt;
</t>
    </r>
    <r>
      <rPr>
        <i/>
        <sz val="10"/>
        <color theme="1"/>
        <rFont val="Arial"/>
      </rPr>
      <t>&lt;i&gt;Лактация&lt;/i&gt;&lt;br&gt;</t>
    </r>
    <r>
      <rPr>
        <sz val="10"/>
        <color theme="1"/>
        <rFont val="Arial"/>
      </rPr>
      <t xml:space="preserve">
Отсутствуют данные о выделении вакцинных штаммов в грудное молоко человека. В качестве меры предосторожности предпочтительно избегать применения препарата в период грудного вскармливания; при принятии решения следует учитывать пользу для матери и пользу от грудного вскармливания для ребенка.&lt;br&gt;&lt;br&gt;
</t>
    </r>
    <r>
      <rPr>
        <i/>
        <sz val="10"/>
        <color theme="1"/>
        <rFont val="Arial"/>
      </rPr>
      <t>&lt;i&gt;Фертильность&lt;/i&gt;&lt;br&gt;</t>
    </r>
    <r>
      <rPr>
        <sz val="10"/>
        <color theme="1"/>
        <rFont val="Arial"/>
      </rPr>
      <t xml:space="preserve">
Не изучалось.&lt;/p&gt;</t>
    </r>
  </si>
  <si>
    <t>Беременность числится в списке противопоказаний. Инструкция не содержит сведений о вакцинации во время грудного вскармливания.</t>
  </si>
  <si>
    <t>&lt;p&gt;&lt;i&gt;Беременность числится в списке противопоказаний. Инструкция не содержит сведений о вакцинации во время грудного вскармливания.&lt;/i&gt;&lt;/p&gt;</t>
  </si>
  <si>
    <t>Проведение вакцинации противопоказано.</t>
  </si>
  <si>
    <t>&lt;p&gt;Проведение вакцинации противопоказано.&lt;/p&gt;</t>
  </si>
  <si>
    <r>
      <rPr>
        <i/>
        <sz val="10"/>
        <color theme="1"/>
        <rFont val="Arial"/>
      </rPr>
      <t>Беременность</t>
    </r>
    <r>
      <rPr>
        <sz val="10"/>
        <color theme="1"/>
        <rFont val="Arial"/>
      </rPr>
      <t xml:space="preserve">
Применение препарата во время беременности противопоказано. Данные о применении вакцины Вактривир у женщин во время беременности отсутствуют. Женщинам, которые планируют беременность, следует рекомендовать отложить наступление беременности и использовать эффективную контрацепцию в течение 1 месяца после вакцинации. Случайная вакцинация беременной женщины или наступление беременности ранее, чем через 1 месяц после вакцинации, не являются показаниями к прерыванию беременности.
</t>
    </r>
    <r>
      <rPr>
        <i/>
        <sz val="10"/>
        <color theme="1"/>
        <rFont val="Arial"/>
      </rPr>
      <t>Лактация</t>
    </r>
    <r>
      <rPr>
        <sz val="10"/>
        <color theme="1"/>
        <rFont val="Arial"/>
      </rPr>
      <t xml:space="preserve">
Применение препарата в период грудного вскармливания противопоказано.</t>
    </r>
  </si>
  <si>
    <r>
      <rPr>
        <i/>
        <sz val="10"/>
        <color theme="1"/>
        <rFont val="Arial"/>
      </rPr>
      <t>&lt;p&gt;&lt;i&gt;Беременность&lt;/i&gt;&lt;br&gt;</t>
    </r>
    <r>
      <rPr>
        <sz val="10"/>
        <color theme="1"/>
        <rFont val="Arial"/>
      </rPr>
      <t xml:space="preserve">
Применение препарата во время беременности противопоказано. Данные о применении вакцины Вактривир у женщин во время беременности отсутствуют. Женщинам, которые планируют беременность, следует рекомендовать отложить наступление беременности и использовать эффективную контрацепцию в течение 1&amp;nbsp;месяца после вакцинации. Случайная вакцинация беременной женщины или наступление беременности ранее, чем через 1&amp;nbsp;месяц после вакцинации, не являются показаниями к прерыванию беременности.&lt;br&gt;&lt;br&gt;
</t>
    </r>
    <r>
      <rPr>
        <i/>
        <sz val="10"/>
        <color theme="1"/>
        <rFont val="Arial"/>
      </rPr>
      <t>&lt;i&gt;Лактация&lt;/i&gt;&lt;br&gt;</t>
    </r>
    <r>
      <rPr>
        <sz val="10"/>
        <color theme="1"/>
        <rFont val="Arial"/>
      </rPr>
      <t xml:space="preserve">
Применение препарата в период грудного вскармливания противопоказано.&lt;/p&gt;</t>
    </r>
  </si>
  <si>
    <t>Поскольку неизвестно, может ли вакцина М-М-Р II® оказать вредное действие на плод в случае вакцинации беременной женщины, вакцину не следует вводить во время беременности. Более того, следует избегать беременности в течение 1 мес. после вакцинации.
Неизвестно, выделяются ли вакцинные вирусы кори и паротита с грудным молоком. Недавние исследования показали, что при иммунизации живой аттенуированной вакциной против краснухи женщин в период лактации вирус может определяться в грудном молоке и передаваться новорожденным. Случаи тяжелого течения заболевания у новорожденных с серологическими признаками инфицирования вирусом краснухи не встречались, однако у одного ребенка развилась типичная краснуха в легкой форме. В связи с изложенным следует соблюдать осторожность при введении вакцины М-М-Р II® кормящим женщинам.</t>
  </si>
  <si>
    <t>&lt;p&gt;Поскольку неизвестно, может ли вакцина М-М-Р&amp;nbsp;II® оказать вредное действие на плод в случае вакцинации беременной женщины, вакцину не следует вводить во время беременности. Более того, следует избегать беременности в течение 1&amp;nbsp;мес. после вакцинации.&lt;br&gt;&lt;br&gt;
Неизвестно, выделяются ли вакцинные вирусы кори и паротита с грудным молоком. Недавние исследования показали, что при иммунизации живой аттенуированной вакциной против краснухи женщин в период лактации вирус может определяться в грудном молоке и передаваться новорожденным. Случаи тяжелого течения заболевания у новорожденных с серологическими признаками инфицирования вирусом краснухи не встречались, однако у одного ребенка развилась типичная краснуха в легкой форме. В связи с изложенным следует соблюдать осторожность при введении вакцины М-М-Р&amp;nbsp;II® кормящим женщинам.&lt;/p&gt;</t>
  </si>
  <si>
    <t>https://grls.rosminzdrav.ru/InstrImg/2022/09/20/1485497/31812477-c020-47c0-9f2e-80268b27b29f.pdf</t>
  </si>
  <si>
    <r>
      <rPr>
        <i/>
        <sz val="10"/>
        <color theme="1"/>
        <rFont val="Arial"/>
      </rPr>
      <t>Беременность</t>
    </r>
    <r>
      <rPr>
        <sz val="10"/>
        <color theme="1"/>
        <rFont val="Arial"/>
      </rPr>
      <t xml:space="preserve">
Противопоказано введение вакцины при беременности (безопасность применения у беременных женщин не изучена, контролируемых клинических исследований не проводилось).
</t>
    </r>
    <r>
      <rPr>
        <i/>
        <sz val="10"/>
        <color theme="1"/>
        <rFont val="Arial"/>
      </rPr>
      <t>Лактация</t>
    </r>
    <r>
      <rPr>
        <sz val="10"/>
        <color theme="1"/>
        <rFont val="Arial"/>
      </rPr>
      <t xml:space="preserve">
Противопоказано введение вакцины при кормлении грудью (безопасность применения у кормящих женщин не изучена, контролируемых клинических исследований не проводилось).
</t>
    </r>
    <r>
      <rPr>
        <i/>
        <sz val="10"/>
        <color theme="1"/>
        <rFont val="Arial"/>
      </rPr>
      <t>Фертильность</t>
    </r>
    <r>
      <rPr>
        <sz val="10"/>
        <color theme="1"/>
        <rFont val="Arial"/>
      </rPr>
      <t xml:space="preserve">
Нет данных о влиянии лекарственного препарата Вакцина менингококковая группы А полисахаридная на фертильность человека.</t>
    </r>
  </si>
  <si>
    <r>
      <rPr>
        <i/>
        <sz val="10"/>
        <color theme="1"/>
        <rFont val="Arial"/>
      </rPr>
      <t>&lt;p&gt;&lt;i&gt;Беременность&lt;/i&gt;&lt;br&gt;</t>
    </r>
    <r>
      <rPr>
        <sz val="10"/>
        <color theme="1"/>
        <rFont val="Arial"/>
      </rPr>
      <t xml:space="preserve">
Противопоказано введение вакцины при беременности (безопасность применения у беременных женщин не изучена, контролируемых клинических исследований не проводилось).&lt;br&gt;&lt;br&gt;
</t>
    </r>
    <r>
      <rPr>
        <i/>
        <sz val="10"/>
        <color theme="1"/>
        <rFont val="Arial"/>
      </rPr>
      <t>&lt;i&gt;Лактация&lt;/i&gt;&lt;br&gt;</t>
    </r>
    <r>
      <rPr>
        <sz val="10"/>
        <color theme="1"/>
        <rFont val="Arial"/>
      </rPr>
      <t xml:space="preserve">
Противопоказано введение вакцины при кормлении грудью (безопасность применения у кормящих женщин не изучена, контролируемых клинических исследований не проводилось).&lt;br&gt;&lt;br&gt;
</t>
    </r>
    <r>
      <rPr>
        <i/>
        <sz val="10"/>
        <color theme="1"/>
        <rFont val="Arial"/>
      </rPr>
      <t>&lt;i&gt;Фертильность&lt;/i&gt;&lt;br&gt;</t>
    </r>
    <r>
      <rPr>
        <sz val="10"/>
        <color theme="1"/>
        <rFont val="Arial"/>
      </rPr>
      <t xml:space="preserve">
Нет данных о влиянии лекарственного препарата Вакцина менингококковая группы А полисахаридная на фертильность человека.&lt;/p&gt;</t>
    </r>
  </si>
  <si>
    <r>
      <rPr>
        <i/>
        <sz val="10"/>
        <color theme="1"/>
        <rFont val="Arial"/>
      </rPr>
      <t>Беременность</t>
    </r>
    <r>
      <rPr>
        <sz val="10"/>
        <color theme="1"/>
        <rFont val="Arial"/>
      </rPr>
      <t xml:space="preserve">
Результаты клинических исследований о безопасности применения препарата Вакцина менингококковая групп А и С полисахаридная при беременности и в период грудного вскармливания отсутствуют. Применение вакцины во время беременности следует ограничить только случаями явного риска инфицирования.
</t>
    </r>
    <r>
      <rPr>
        <i/>
        <sz val="10"/>
        <color theme="1"/>
        <rFont val="Arial"/>
      </rPr>
      <t>Лактация</t>
    </r>
    <r>
      <rPr>
        <sz val="10"/>
        <color theme="1"/>
        <rFont val="Arial"/>
      </rPr>
      <t xml:space="preserve">
Влияние на детей, находящихся на грудном вскармливании, после введения препарата Вакцина менингококковая групп А и С полисахаридная их матерям, не изучалось.
</t>
    </r>
    <r>
      <rPr>
        <i/>
        <sz val="10"/>
        <color theme="1"/>
        <rFont val="Arial"/>
      </rPr>
      <t>Фертильность</t>
    </r>
    <r>
      <rPr>
        <sz val="10"/>
        <color theme="1"/>
        <rFont val="Arial"/>
      </rPr>
      <t xml:space="preserve">
Нет данных о влиянии лекарственного препарата Вакцина менингококковая групп А и С полисахаридная на фертильность человека.</t>
    </r>
  </si>
  <si>
    <r>
      <rPr>
        <i/>
        <sz val="10"/>
        <color theme="1"/>
        <rFont val="Arial"/>
      </rPr>
      <t>&lt;p&gt;&lt;i&gt;Беременность&lt;/i&gt;&lt;br&gt;</t>
    </r>
    <r>
      <rPr>
        <sz val="10"/>
        <color theme="1"/>
        <rFont val="Arial"/>
      </rPr>
      <t xml:space="preserve">
Результаты клинических исследований о безопасности применения препарата Вакцина менингококковая групп А и С полисахаридная при беременности и в период грудного вскармливания отсутствуют. Применение вакцины во время беременности следует ограничить только случаями явного риска инфицирования.&lt;br&gt;&lt;br&gt;
</t>
    </r>
    <r>
      <rPr>
        <i/>
        <sz val="10"/>
        <color theme="1"/>
        <rFont val="Arial"/>
      </rPr>
      <t>&lt;i&gt;Лактация</t>
    </r>
    <r>
      <rPr>
        <sz val="10"/>
        <color theme="1"/>
        <rFont val="Arial"/>
      </rPr>
      <t xml:space="preserve">&lt;/i&gt;&lt;br&gt;
Влияние на детей, находящихся на грудном вскармливании, после введения препарата Вакцина менингококковая групп А и С полисахаридная их матерям, не изучалось.&lt;br&gt;&lt;br&gt;
</t>
    </r>
    <r>
      <rPr>
        <i/>
        <sz val="10"/>
        <color theme="1"/>
        <rFont val="Arial"/>
      </rPr>
      <t>&lt;i&gt;Фертильность&lt;/i&gt;&lt;br&gt;</t>
    </r>
    <r>
      <rPr>
        <sz val="10"/>
        <color theme="1"/>
        <rFont val="Arial"/>
      </rPr>
      <t xml:space="preserve">
Нет данных о влиянии лекарственного препарата Вакцина менингококковая групп А и С полисахаридная на фертильность человека.&lt;/p&gt;</t>
    </r>
  </si>
  <si>
    <r>
      <rPr>
        <i/>
        <sz val="10"/>
        <color theme="1"/>
        <rFont val="Arial"/>
      </rPr>
      <t>Беременность</t>
    </r>
    <r>
      <rPr>
        <sz val="10"/>
        <color theme="1"/>
        <rFont val="Arial"/>
      </rPr>
      <t xml:space="preserve">
Исследования на животных не выявили отрицательного действия вакцины Менактра на течение беременности и эмбриофетальное развитие, процесс родов и постнатальное развитие. В связи с тем, что исследований вакцинации беременных женщин не проводилось, а пострегистрационный опыт ее применения у беременных женщин ограничен, введение вакцины беременным женщинам рекомендуется только в случае крайней необходимости, как например, во время вспышки менингококковой инфекции, перед поездкой в эндемичный район, и только после оценки соотношения пользы и риска вакцинации.
</t>
    </r>
    <r>
      <rPr>
        <i/>
        <sz val="10"/>
        <color theme="1"/>
        <rFont val="Arial"/>
      </rPr>
      <t>Грудное вскармливание</t>
    </r>
    <r>
      <rPr>
        <sz val="10"/>
        <color theme="1"/>
        <rFont val="Arial"/>
      </rPr>
      <t xml:space="preserve">
В настоящее время неизвестно, способны ли действующие вещества, входящие в состав вакцины, проникать в грудное молоко. Однако ранее было показано, что антитела к полисахаридам обнаруживаются у молодых мышей, находившихся на грудном вскармливании. В исследованиях у мышей не было продемонстрировано неблагоприятное влияние на постнатальное развитие потомства, получавшего с материнским молоком антитела, выработка которых была индуцирована введением вакцины Менактра. В то же время эффекты у детей первого года жизни, матери которых были иммунизированы вакциной Менактра в период грудного вскармливания, не исследовались. Перед принятием решения об иммунизации кормящей женщины необходимо оценить риски и пользу данной иммунизации.</t>
    </r>
  </si>
  <si>
    <r>
      <rPr>
        <i/>
        <sz val="10"/>
        <color theme="1"/>
        <rFont val="Arial"/>
      </rPr>
      <t>&lt;p&gt;&lt;i&gt;Беременность</t>
    </r>
    <r>
      <rPr>
        <sz val="10"/>
        <color theme="1"/>
        <rFont val="Arial"/>
      </rPr>
      <t xml:space="preserve">&lt;/i&gt;&lt;br&gt;
Исследования на животных не выявили отрицательного действия вакцины Менактра на течение беременности и эмбриофетальное развитие, процесс родов и постнатальное развитие. В связи с тем, что исследований вакцинации беременных женщин не проводилось, а пострегистрационный опыт ее применения у беременных женщин ограничен, введение вакцины беременным женщинам рекомендуется только в случае крайней необходимости, как например, во время вспышки менингококковой инфекции, перед поездкой в эндемичный район, и только после оценки соотношения пользы и риска вакцинации.&lt;br&gt;&lt;br&gt;
</t>
    </r>
    <r>
      <rPr>
        <i/>
        <sz val="10"/>
        <color theme="1"/>
        <rFont val="Arial"/>
      </rPr>
      <t>&lt;i&gt;Грудное вскармливание</t>
    </r>
    <r>
      <rPr>
        <sz val="10"/>
        <color theme="1"/>
        <rFont val="Arial"/>
      </rPr>
      <t>&lt;/i&gt;&lt;br&gt;
В настоящее время неизвестно, способны ли действующие вещества, входящие в состав вакцины, проникать в грудное молоко. Однако ранее было показано, что антитела к полисахаридам обнаруживаются у молодых мышей, находившихся на грудном вскармливании. В исследованиях у мышей не было продемонстрировано неблагоприятное влияние на постнатальное развитие потомства, получавшего с материнским молоком антитела, выработка которых была индуцирована введением вакцины Менактра. В то же время эффекты у детей первого года жизни, матери которых были иммунизированы вакциной Менактра в период грудного вскармливания, не исследовались. Перед принятием решения об иммунизации кормящей женщины необходимо оценить риски и пользу данной иммунизации.&lt;/p&gt;</t>
    </r>
  </si>
  <si>
    <r>
      <rPr>
        <i/>
        <sz val="10"/>
        <color theme="1"/>
        <rFont val="Arial"/>
      </rPr>
      <t>Беременность</t>
    </r>
    <r>
      <rPr>
        <sz val="10"/>
        <color theme="1"/>
        <rFont val="Arial"/>
      </rPr>
      <t xml:space="preserve">
Данные о применении препарата Превенар 13 у беременных женщин отсутствуют.
В связи с этим, следует избегать применения препарата Превенар 13 в течение беременности.
</t>
    </r>
    <r>
      <rPr>
        <i/>
        <sz val="10"/>
        <color theme="1"/>
        <rFont val="Arial"/>
      </rPr>
      <t>Лактация</t>
    </r>
    <r>
      <rPr>
        <sz val="10"/>
        <color theme="1"/>
        <rFont val="Arial"/>
      </rPr>
      <t xml:space="preserve">
Отсутствуют данные о выделении антигенов вакцины или поствакцинальных антител вакцины в женское грудное молоко.
</t>
    </r>
    <r>
      <rPr>
        <i/>
        <sz val="10"/>
        <color theme="1"/>
        <rFont val="Arial"/>
      </rPr>
      <t>Фертильность</t>
    </r>
    <r>
      <rPr>
        <sz val="10"/>
        <color theme="1"/>
        <rFont val="Arial"/>
      </rPr>
      <t xml:space="preserve">
Исследования на животных свидетельствуют об отсутствии прямых и косвенных неблагоприятных токсических эффектов препарата Превенар 13 на репродуктивную функцию.</t>
    </r>
  </si>
  <si>
    <r>
      <rPr>
        <i/>
        <sz val="10"/>
        <color theme="1"/>
        <rFont val="Arial"/>
      </rPr>
      <t>&lt;p&gt;&lt;i&gt;Беременность</t>
    </r>
    <r>
      <rPr>
        <sz val="10"/>
        <color theme="1"/>
        <rFont val="Arial"/>
      </rPr>
      <t xml:space="preserve">&lt;/i&gt;&lt;br&gt;
Данные о применении препарата Превенар&amp;nbsp;13 у беременных женщин отсутствуют.&lt;br&gt;
В связи с этим, следует избегать применения препарата Превенар&amp;nbsp;13 в течение беременности.&lt;br&gt;&lt;br&gt;
</t>
    </r>
    <r>
      <rPr>
        <i/>
        <sz val="10"/>
        <color theme="1"/>
        <rFont val="Arial"/>
      </rPr>
      <t>&lt;i&gt;Лактация</t>
    </r>
    <r>
      <rPr>
        <sz val="10"/>
        <color theme="1"/>
        <rFont val="Arial"/>
      </rPr>
      <t xml:space="preserve">&lt;/i&gt;&lt;br&gt;
Отсутствуют данные о выделении антигенов вакцины или поствакцинальных антител вакцины в женское грудное молоко.&lt;br&gt;&lt;br&gt;
</t>
    </r>
    <r>
      <rPr>
        <i/>
        <sz val="10"/>
        <color theme="1"/>
        <rFont val="Arial"/>
      </rPr>
      <t>&lt;i&gt;Фертильность</t>
    </r>
    <r>
      <rPr>
        <sz val="10"/>
        <color theme="1"/>
        <rFont val="Arial"/>
      </rPr>
      <t>&lt;/i&gt;&lt;br&gt;
Исследования на животных свидетельствуют об отсутствии прямых и косвенных неблагоприятных токсических эффектов препарата Превенар&amp;nbsp;13 на репродуктивную функцию.&lt;/p&gt;</t>
    </r>
  </si>
  <si>
    <t>Препарат предназначен для детей. Поскольку вакцина Синфлорикс не предназначена для применения у взрослых, исследования по оценке применения вакцины во время беременности или в период кормления грудью не проводились.</t>
  </si>
  <si>
    <t>&lt;p&gt;Препарат предназначен для детей. Поскольку вакцина Синфлорикс не предназначена для применения у взрослых, исследования по оценке применения вакцины во время беременности или в период кормления грудью не проводились.&lt;/p&gt;</t>
  </si>
  <si>
    <t>Не изучено.</t>
  </si>
  <si>
    <t>&lt;p&gt;Не изучено.&lt;/p&gt;</t>
  </si>
  <si>
    <t>Применение при беременности противопоказано.
Возможность и особенность медицинского применения вакцины женщинам в период грудного вскармливания не изучалась.</t>
  </si>
  <si>
    <t>&lt;p&gt;Применение при беременности противопоказано.&lt;br&gt;&lt;br&gt;
Возможность и особенность медицинского применения вакцины женщинам в период грудного вскармливания не изучалась.&lt;/p&gt;</t>
  </si>
  <si>
    <t>https://grls.rosminzdrav.ru/InstrImg/2022/07/11/1482961/91a975c9-b5b0-4f4e-8827-f5683ed7c461.pdf</t>
  </si>
  <si>
    <t>Применение при беременности противопоказано.
Возможность и особенность медицинского применения вакцины женщинам в период грудного вскармливания не изучалась.
При принятии решения о применении препарата у женщины в период грудного вскармливания необходимо учитывать риск развития ВАПП у непривитого ребенка.
Непреднамеренная вакцинация беременной не является показанием к прерыванию беременности.</t>
  </si>
  <si>
    <t>&lt;p&gt;Применение при беременности противопоказано.&lt;br&gt;&lt;br&gt;
Возможность и особенность медицинского применения вакцины женщинам в период грудного вскармливания не изучалась.&lt;br&gt;
При принятии решения о применении препарата у женщины в период грудного вскармливания необходимо учитывать риск развития ВАПП у непривитого ребенка.&lt;br&gt;&lt;br&gt;
Непреднамеренная вакцинация беременной не является показанием к прерыванию беременности.&lt;/p&gt;</t>
  </si>
  <si>
    <t>Данные вакцинации у большого количества беременных женщин не показывают побочных эффектов вакцины против полиомиелита на течение беременности или здоровье плода (новорожденного). Однако вакцину против полиомиелита следует применять в период беременности только при явном риске инфекции.
Вакцину против полиомиелита можно применять в период грудного вскармливания.</t>
  </si>
  <si>
    <t>&lt;p&gt;Данные вакцинации у большого количества беременных женщин не показывают побочных эффектов вакцины против полиомиелита на течение беременности или здоровье плода (новорожденного). Однако вакцину против полиомиелита следует применять в период беременности только при явном риске инфекции.&lt;br&gt;&lt;br&gt;
Вакцину против полиомиелита можно применять в период грудного вскармливания.&lt;/p&gt;</t>
  </si>
  <si>
    <r>
      <rPr>
        <i/>
        <sz val="10"/>
        <color theme="1"/>
        <rFont val="Arial"/>
      </rPr>
      <t>Беременность</t>
    </r>
    <r>
      <rPr>
        <sz val="10"/>
        <color theme="1"/>
        <rFont val="Arial"/>
      </rPr>
      <t xml:space="preserve">
Применение препарата КОКАВ при беременности возможно только с лечебно-профилактической целью по жизненным показаниям [...]. Применение при беременности с профилактической целью противопоказано.
</t>
    </r>
    <r>
      <rPr>
        <i/>
        <sz val="10"/>
        <color theme="1"/>
        <rFont val="Arial"/>
      </rPr>
      <t>Лактация</t>
    </r>
    <r>
      <rPr>
        <sz val="10"/>
        <color theme="1"/>
        <rFont val="Arial"/>
      </rPr>
      <t xml:space="preserve">
Применение препарата возможно только с лечебно-профилактической целью по жизненным показаниям.
</t>
    </r>
    <r>
      <rPr>
        <i/>
        <sz val="10"/>
        <color theme="1"/>
        <rFont val="Arial"/>
      </rPr>
      <t>Фертильность</t>
    </r>
    <r>
      <rPr>
        <sz val="10"/>
        <color theme="1"/>
        <rFont val="Arial"/>
      </rPr>
      <t xml:space="preserve">
Нет данных о влиянии лекарственного препарата КОКАВ на фертильность человека.</t>
    </r>
  </si>
  <si>
    <r>
      <rPr>
        <i/>
        <sz val="10"/>
        <color theme="1"/>
        <rFont val="Arial"/>
      </rPr>
      <t>&lt;p&gt;&lt;i&gt;Беременность&lt;/i&gt;&lt;br&gt;</t>
    </r>
    <r>
      <rPr>
        <sz val="10"/>
        <color theme="1"/>
        <rFont val="Arial"/>
      </rPr>
      <t xml:space="preserve">
Применение препарата КОКАВ при беременности возможно только с лечебно-профилактической целью по жизненным показаниям [...]. Применение при беременности с профилактической целью противопоказано.&lt;br&gt;&lt;br&gt;
</t>
    </r>
    <r>
      <rPr>
        <i/>
        <sz val="10"/>
        <color theme="1"/>
        <rFont val="Arial"/>
      </rPr>
      <t>&lt;i&gt;Лактация</t>
    </r>
    <r>
      <rPr>
        <sz val="10"/>
        <color theme="1"/>
        <rFont val="Arial"/>
      </rPr>
      <t xml:space="preserve">&lt;/i&gt;&lt;br&gt;
Применение препарата возможно только с лечебно-профилактической целью по жизненным показаниям.&lt;br&gt;&lt;br&gt;
</t>
    </r>
    <r>
      <rPr>
        <i/>
        <sz val="10"/>
        <color theme="1"/>
        <rFont val="Arial"/>
      </rPr>
      <t>&lt;i&gt;Фертильность</t>
    </r>
    <r>
      <rPr>
        <sz val="10"/>
        <color theme="1"/>
        <rFont val="Arial"/>
      </rPr>
      <t>&lt;/i&gt;&lt;br&gt;
Нет данных о влиянии лекарственного препарата КОКАВ на фертильность человека.&lt;/p&gt;</t>
    </r>
  </si>
  <si>
    <t>При лечебно-профилактической иммунизации беременность и период грудного вскармливания не является противопоказанием.
Профилактическую иммунизацию беременным и женщинам в период грудного вскармливания не проводят.</t>
  </si>
  <si>
    <t>&lt;p&gt;При лечебно-профилактической иммунизации беременность и период грудного вскармливания не является противопоказанием.&lt;br&gt;&lt;br&gt;
Профилактическую иммунизацию беременным и женщинам в период грудного вскармливания не проводят.&lt;/p&gt;</t>
  </si>
  <si>
    <t>Применение препарата возможно только с лечебно-профилактической целью по жизненным показаниям.</t>
  </si>
  <si>
    <t>&lt;p&gt;Применение препарата возможно только с лечебно-профилактической целью по жизненным показаниям.&lt;/p&gt;</t>
  </si>
  <si>
    <t>Вакцина РотаТек® предназначена только для детей. Данных по применению вакцины при беременности и/или в период грудного вскармливания нет.</t>
  </si>
  <si>
    <t>&lt;p&gt;Вакцина РотаТек® предназначена только для детей. Данных по применению вакцины при беременности и/или в период грудного вскармливания нет.&lt;/p&gt;</t>
  </si>
  <si>
    <t>https://grls.rosminzdrav.ru/InstrImg/2022/11/25/1488637/c97cdf1c-9f19-49af-853a-b664873cc8fb.pdf</t>
  </si>
  <si>
    <t>Проведение вакцинации противопоказано во время беременности и в период грудного вскармливания.
Вакцинация женщин детородного возраста проводится при условии, что женщины на момент вакцинации не беременны и будут принимать меры предосторожности во избежание зачатия в течение 2 месяцев после вакцинации. Случайная вакцинация беременной женщины не является показанием к прерыванию беременности.</t>
  </si>
  <si>
    <t>&lt;p&gt;Проведение вакцинации противопоказано во время беременности и в период грудного вскармливания.&lt;br&gt;&lt;br&gt;
Вакцинация женщин детородного возраста проводится при условии, что женщины на момент вакцинации не беременны и будут принимать меры предосторожности во избежание зачатия в течение 2&amp;nbsp;месяцев после вакцинации. Случайная вакцинация беременной женщины не является показанием к прерыванию беременности.&lt;/p&gt;</t>
  </si>
  <si>
    <r>
      <rPr>
        <i/>
        <sz val="10"/>
        <color theme="1"/>
        <rFont val="Arial"/>
      </rPr>
      <t>Беременность</t>
    </r>
    <r>
      <rPr>
        <sz val="10"/>
        <color theme="1"/>
        <rFont val="Arial"/>
      </rPr>
      <t xml:space="preserve">
При плановой вакцинации не рекомендуется введение препарата беременным.
Применение во время беременности возможно только при проведении экстренной профилактики, когда предполагаемая польза для матери превышает предполагаемый риск для плода. При экстренной профилактике столбняка в первой половине беременности противопоказано введение АС-анатоксина (АДС-М-анатоксина) и ПСС, во второй половине — ПСС.
</t>
    </r>
    <r>
      <rPr>
        <i/>
        <sz val="10"/>
        <color theme="1"/>
        <rFont val="Arial"/>
      </rPr>
      <t>Кормление грудью</t>
    </r>
    <r>
      <rPr>
        <sz val="10"/>
        <color theme="1"/>
        <rFont val="Arial"/>
      </rPr>
      <t xml:space="preserve">
Применение в период грудного вскармливания возможно только при проведении экстренной профилактики, когда предполагаемая польза для матери превышает предполагаемый риск для ребенка.
</t>
    </r>
    <r>
      <rPr>
        <i/>
        <sz val="10"/>
        <color theme="1"/>
        <rFont val="Arial"/>
      </rPr>
      <t>Фертильность</t>
    </r>
    <r>
      <rPr>
        <sz val="10"/>
        <color theme="1"/>
        <rFont val="Arial"/>
      </rPr>
      <t xml:space="preserve">
Нет данных о влиянии лекарственного препарата Анатоксин столбнячный очищенный адсорбированный жидкий (АС-анатоксин) на фертильность человека.</t>
    </r>
  </si>
  <si>
    <r>
      <rPr>
        <i/>
        <sz val="10"/>
        <color theme="1"/>
        <rFont val="Arial"/>
      </rPr>
      <t>&lt;p&gt;&lt;i&gt;Беременность</t>
    </r>
    <r>
      <rPr>
        <sz val="10"/>
        <color theme="1"/>
        <rFont val="Arial"/>
      </rPr>
      <t xml:space="preserve">&lt;/i&gt;&lt;br&gt;
При плановой вакцинации не рекомендуется введение препарата беременным.&lt;br&gt;
Применение во время беременности возможно только при проведении экстренной профилактики, когда предполагаемая польза для матери превышает предполагаемый риск для плода. При экстренной профилактике столбняка в первой половине беременности противопоказано введение АС-анатоксина (АДС-М-анатоксина) и ПСС, во второй половине — ПСС.&lt;br&gt;&lt;br&gt;
</t>
    </r>
    <r>
      <rPr>
        <i/>
        <sz val="10"/>
        <color theme="1"/>
        <rFont val="Arial"/>
      </rPr>
      <t>&lt;i&gt;Кормление грудью</t>
    </r>
    <r>
      <rPr>
        <sz val="10"/>
        <color theme="1"/>
        <rFont val="Arial"/>
      </rPr>
      <t xml:space="preserve">&lt;/i&gt;&lt;br&gt;
Применение в период грудного вскармливания возможно только при проведении экстренной профилактики, когда предполагаемая польза для матери превышает предполагаемый риск для ребенка.&lt;br&gt;&lt;br&gt;
</t>
    </r>
    <r>
      <rPr>
        <i/>
        <sz val="10"/>
        <color theme="1"/>
        <rFont val="Arial"/>
      </rPr>
      <t>&lt;i&gt;Фертильность</t>
    </r>
    <r>
      <rPr>
        <sz val="10"/>
        <color theme="1"/>
        <rFont val="Arial"/>
      </rPr>
      <t>&lt;/i&gt;&lt;br&gt;
Нет данных о влиянии лекарственного препарата Анатоксин столбнячный очищенный адсорбированный жидкий (АС-анатоксин) на фертильность человека.&lt;/p&gt;</t>
    </r>
  </si>
  <si>
    <t>Испытания вакцины ВАКТА® на животных для изучения ее влияния на репродуктивную сферу не проводились. Также нет данных о влиянии вакцины ВАКТА® на способность к деторождению или на плод. Данных о проникновении вакцины в грудное молоко нет.
Применение препарата возможно, если предполагаемая польза для матери превышает потенциальный риск для плода. Поскольку многие препараты проникают в грудное молоко, следует соблюдать осторожность при назначении вакцины ВАКТА® кормящим женщинам.</t>
  </si>
  <si>
    <t>&lt;p&gt;Испытания вакцины ВАКТА® на животных для изучения ее влияния на репродуктивную сферу не проводились. Также нет данных о влиянии вакцины ВАКТА® на способность к деторождению или на плод. Данных о проникновении вакцины в грудное молоко нет.&lt;br&gt;&lt;br&gt;
Применение препарата возможно, если предполагаемая польза для матери превышает потенциальный риск для плода. Поскольку многие препараты проникают в грудное молоко, следует соблюдать осторожность при назначении вакцины ВАКТА® кормящим женщинам.&lt;/p&gt;</t>
  </si>
  <si>
    <r>
      <rPr>
        <i/>
        <sz val="10"/>
        <color theme="1"/>
        <rFont val="Arial"/>
      </rPr>
      <t>Беременность</t>
    </r>
    <r>
      <rPr>
        <sz val="10"/>
        <color theme="1"/>
        <rFont val="Arial"/>
      </rPr>
      <t xml:space="preserve">
Клинические исследования безопасности применения вакцины Клещ-Э-Вак при беременности не проводились.
Применение вакцины Клещ-Э-Вак, как и других инактивированных вакцин, связано с низким риском нарушений развития плода, однако вакцинацию во время беременности следует проводить только в случаях явного риска инфицирования после оценки лечащим врачом соотношения клинической необходимости и потенциального риска применения.
</t>
    </r>
    <r>
      <rPr>
        <i/>
        <sz val="10"/>
        <color theme="1"/>
        <rFont val="Arial"/>
      </rPr>
      <t>Лактация</t>
    </r>
    <r>
      <rPr>
        <sz val="10"/>
        <color theme="1"/>
        <rFont val="Arial"/>
      </rPr>
      <t xml:space="preserve">
Влияние на детей, находящихся на грудном вскармливании, после введения вакцины Клещ-Э-Вак их матерям, не изучалось, поэтому вакцинацию в период грудного вскармливания следует проводить только в случаях явного риска инфицирования после оценки лечащим врачом соотношения клинической необходимости и потенциального риска применения.
</t>
    </r>
    <r>
      <rPr>
        <i/>
        <sz val="10"/>
        <color theme="1"/>
        <rFont val="Arial"/>
      </rPr>
      <t>Фертильность</t>
    </r>
    <r>
      <rPr>
        <sz val="10"/>
        <color theme="1"/>
        <rFont val="Arial"/>
      </rPr>
      <t xml:space="preserve">
Нет данных о влиянии вакцины Клещ-Э-Вак на фертильность.</t>
    </r>
  </si>
  <si>
    <t>&lt;p&gt;&lt;i&gt;Беременность&lt;/i&gt;&lt;br&gt;
Клинические исследования безопасности применения вакцины Клещ-Э-Вак при беременности не проводились.&lt;br&gt;
Применение вакцины Клещ-Э-Вак, как и других инактивированных вакцин, связано с низким риском нарушений развития плода, однако вакцинацию во время беременности следует проводить только в случаях явного риска инфицирования после оценки лечащим врачом соотношения клинической необходимости и потенциального риска применения.&lt;br&gt;&lt;br&gt;
&lt;i&gt;Лактация&lt;/i&gt;&lt;br&gt;
Влияние на детей, находящихся на грудном вскармливании, после введения вакцины Клещ-Э-Вак их матерям, не изучалось, поэтому вакцинацию в период грудного вскармливания следует проводить только в случаях явного риска инфицирования после оценки лечащим врачом соотношения клинической необходимости и потенциального риска применения.&lt;br&gt;&lt;br&gt;
&lt;i&gt;Фертильность&lt;/i&gt;&lt;br&gt;
Нет данных о влиянии вакцины Клещ-Э-Вак на фертильность.&lt;/p&gt;</t>
  </si>
  <si>
    <r>
      <rPr>
        <i/>
        <sz val="10"/>
        <color theme="1"/>
        <rFont val="Arial"/>
      </rPr>
      <t>Беременность</t>
    </r>
    <r>
      <rPr>
        <sz val="10"/>
        <color theme="1"/>
        <rFont val="Arial"/>
      </rPr>
      <t xml:space="preserve">
Клинических исследований по применению вакцины у беременных женщин не проводилось. Подобно другим инактивированным вакцинам, вред для плода не ожидается. Однако, вакцину ЭнцеВир следует применять во время беременности только при явном риске инфицирования после оценки лечащим врачом соотношения ожидаемой пользы и возможного риска применения.
</t>
    </r>
    <r>
      <rPr>
        <i/>
        <sz val="10"/>
        <color theme="1"/>
        <rFont val="Arial"/>
      </rPr>
      <t>Лактация</t>
    </r>
    <r>
      <rPr>
        <sz val="10"/>
        <color theme="1"/>
        <rFont val="Arial"/>
      </rPr>
      <t xml:space="preserve">
Влияние на детей, находящихся на грудном вскармливании, введение лекарственного препарата ЭнцеВир их матерям, не изучалось.
Вакцинация женщин в период грудного вскармливания проводится по решению врача с учетом возможного риска заражения клещевым энцефалитом.</t>
    </r>
  </si>
  <si>
    <r>
      <rPr>
        <i/>
        <sz val="10"/>
        <color theme="1"/>
        <rFont val="Arial"/>
      </rPr>
      <t>&lt;p&gt;&lt;i&gt;Беременность</t>
    </r>
    <r>
      <rPr>
        <sz val="10"/>
        <color theme="1"/>
        <rFont val="Arial"/>
      </rPr>
      <t xml:space="preserve">&lt;/i&gt;&lt;br&gt;
Клинических исследований по применению вакцины у беременных женщин не проводилось. Подобно другим инактивированным вакцинам, вред для плода не ожидается. Однако, вакцину ЭнцеВир следует применять во время беременности только при явном риске инфицирования после оценки лечащим врачом соотношения ожидаемой пользы и возможного риска применения.&lt;br&gt;&lt;br&gt;
</t>
    </r>
    <r>
      <rPr>
        <i/>
        <sz val="10"/>
        <color theme="1"/>
        <rFont val="Arial"/>
      </rPr>
      <t>&lt;i&gt;Лактация</t>
    </r>
    <r>
      <rPr>
        <sz val="10"/>
        <color theme="1"/>
        <rFont val="Arial"/>
      </rPr>
      <t>&lt;/i&gt;&lt;br&gt;
Влияние на детей, находящихся на грудном вскармливании, введение лекарственного препарата ЭнцеВир их матерям, не изучалось.&lt;br&gt;
Вакцинация женщин в период грудного вскармливания проводится по решению врача с учетом возможного риска заражения клещевым энцефалитом.&lt;/p&gt;</t>
    </r>
  </si>
  <si>
    <r>
      <rPr>
        <i/>
        <sz val="10"/>
        <color theme="1"/>
        <rFont val="Arial"/>
      </rPr>
      <t>Беременность</t>
    </r>
    <r>
      <rPr>
        <sz val="10"/>
        <color theme="1"/>
        <rFont val="Arial"/>
      </rPr>
      <t xml:space="preserve">
Клинических исследований по применению вакцины у беременных женщин не проводилось. Подобно другим инактивированным вакцинам, вред для плода не ожидается. Однако, вакцину ЭнцеВир Нео детский следует применять во время беременности только при явном риске инфицирования после оценки лечащим врачом соотношения ожидаемой пользы и возможного риска применения.
</t>
    </r>
    <r>
      <rPr>
        <i/>
        <sz val="10"/>
        <color theme="1"/>
        <rFont val="Arial"/>
      </rPr>
      <t>Лактация</t>
    </r>
    <r>
      <rPr>
        <sz val="10"/>
        <color theme="1"/>
        <rFont val="Arial"/>
      </rPr>
      <t xml:space="preserve">
Влияние на детей, находящихся на грудном вскармливании, введение лекарственного препарата ЭнцеВир Нео детский их матерям, не изучалось.
Вакцинация женщин в период грудного вскармливания проводится по решению врача с учетом возможного риска заражения клещевым энцефалитом.</t>
    </r>
  </si>
  <si>
    <r>
      <rPr>
        <i/>
        <sz val="10"/>
        <color theme="1"/>
        <rFont val="Arial"/>
      </rPr>
      <t>&lt;p&gt;&lt;i&gt;Беременность</t>
    </r>
    <r>
      <rPr>
        <sz val="10"/>
        <color theme="1"/>
        <rFont val="Arial"/>
      </rPr>
      <t xml:space="preserve">&lt;/i&gt;&lt;br&gt;
Клинических исследований по применению вакцины у беременных женщин не проводилось. Подобно другим инактивированным вакцинам, вред для плода не ожидается. Однако, вакцину ЭнцеВир Нео детский следует применять во время беременности только при явном риске инфицирования после оценки лечащим врачом соотношения ожидаемой пользы и возможного риска применения.&lt;br&gt;&lt;br&gt;
</t>
    </r>
    <r>
      <rPr>
        <i/>
        <sz val="10"/>
        <color theme="1"/>
        <rFont val="Arial"/>
      </rPr>
      <t>&lt;i&gt;Лактация</t>
    </r>
    <r>
      <rPr>
        <sz val="10"/>
        <color theme="1"/>
        <rFont val="Arial"/>
      </rPr>
      <t>&lt;/i&gt;&lt;br&gt;
Влияние на детей, находящихся на грудном вскармливании, введение лекарственного препарата ЭнцеВир Нео детский их матерям, не изучалось.&lt;br&gt;
Вакцинация женщин в период грудного вскармливания проводится по решению врача с учетом возможного риска заражения клещевым энцефалитом.&lt;/p&gt;</t>
    </r>
  </si>
  <si>
    <r>
      <rPr>
        <i/>
        <sz val="10"/>
        <color theme="1"/>
        <rFont val="Arial"/>
      </rPr>
      <t>Беременность</t>
    </r>
    <r>
      <rPr>
        <sz val="10"/>
        <color theme="1"/>
        <rFont val="Arial"/>
      </rPr>
      <t xml:space="preserve">
Клинические исследования безопасности применения Вакцины клещевого энцефалита культуральной очищенной концентрированной инактивированной сухой при беременности не проводились.
Применение Вакцины клещевого энцефалита культуральной очищенной концентрированной инактивированной сухой, как и других инактивированных вакцин, связано с низким риском нарушений развития плода, однако вакцинацию во время беременности следует проводить только в случаях явного риска инфицирования после оценки лечащим врачом соотношения клинической необходимости и потенциального риска применения.
</t>
    </r>
    <r>
      <rPr>
        <i/>
        <sz val="10"/>
        <color theme="1"/>
        <rFont val="Arial"/>
      </rPr>
      <t>Лактация</t>
    </r>
    <r>
      <rPr>
        <sz val="10"/>
        <color theme="1"/>
        <rFont val="Arial"/>
      </rPr>
      <t xml:space="preserve">
Влияние на детей, находящихся на грудном вскармливании, после введения вакцины Вакцины клещевого энцефалита культуральной очищенной концентрированной инактивированной сухой их матерям, не изучалось, поэтому вакцинацию в период грудного вскармливания следует проводить только в случаях явного риска инфицирования после оценки лечащим врачом соотношения клинической необходимости и потенциального риска применения.
</t>
    </r>
    <r>
      <rPr>
        <i/>
        <sz val="10"/>
        <color theme="1"/>
        <rFont val="Arial"/>
      </rPr>
      <t>Фертильность</t>
    </r>
    <r>
      <rPr>
        <sz val="10"/>
        <color theme="1"/>
        <rFont val="Arial"/>
      </rPr>
      <t xml:space="preserve">
Нет данных о влиянии Вакцины клещевого энцефалита культуральной очищенной концентрированной инактивированной сухой на фертильность.</t>
    </r>
  </si>
  <si>
    <r>
      <rPr>
        <i/>
        <sz val="10"/>
        <color theme="1"/>
        <rFont val="Arial"/>
      </rPr>
      <t>&lt;p&gt;&lt;i&gt;Беременность&lt;/i&gt;&lt;br&gt;</t>
    </r>
    <r>
      <rPr>
        <sz val="10"/>
        <color theme="1"/>
        <rFont val="Arial"/>
      </rPr>
      <t xml:space="preserve">
Клинические исследования безопасности применения Вакцины клещевого энцефалита культуральной очищенной концентрированной инактивированной сухой при беременности не проводились.&lt;br&gt;
Применение Вакцины клещевого энцефалита культуральной очищенной концентрированной инактивированной сухой, как и других инактивированных вакцин, связано с низким риском нарушений развития плода, однако вакцинацию во время беременности следует проводить только в случаях явного риска инфицирования после оценки лечащим врачом соотношения клинической необходимости и потенциального риска применения.&lt;br&gt;&lt;br&gt;
</t>
    </r>
    <r>
      <rPr>
        <i/>
        <sz val="10"/>
        <color theme="1"/>
        <rFont val="Arial"/>
      </rPr>
      <t>&lt;i&gt;Лактация&lt;/i&gt;&lt;br&gt;</t>
    </r>
    <r>
      <rPr>
        <sz val="10"/>
        <color theme="1"/>
        <rFont val="Arial"/>
      </rPr>
      <t xml:space="preserve">
Влияние на детей, находящихся на грудном вскармливании, после введения вакцины Вакцины клещевого энцефалита культуральной очищенной концентрированной инактивированной сухой их матерям, не изучалось, поэтому вакцинацию в период грудного вскармливания следует проводить только в случаях явного риска инфицирования после оценки лечащим врачом соотношения клинической необходимости и потенциального риска применения.&lt;br&gt;&lt;br&gt;
</t>
    </r>
    <r>
      <rPr>
        <i/>
        <sz val="10"/>
        <color theme="1"/>
        <rFont val="Arial"/>
      </rPr>
      <t>&lt;i&gt;Фертильность</t>
    </r>
    <r>
      <rPr>
        <sz val="10"/>
        <color theme="1"/>
        <rFont val="Arial"/>
      </rPr>
      <t>&lt;/i&gt;&lt;br&gt;
Нет данных о влиянии Вакцины клещевого энцефалита культуральной очищенной концентрированной инактивированной сухой на фертильность.&lt;/p&gt;</t>
    </r>
  </si>
  <si>
    <r>
      <rPr>
        <i/>
        <sz val="10"/>
        <color theme="1"/>
        <rFont val="Arial"/>
      </rPr>
      <t>Беременность</t>
    </r>
    <r>
      <rPr>
        <sz val="10"/>
        <color theme="1"/>
        <rFont val="Arial"/>
      </rPr>
      <t xml:space="preserve">
Данные о применении вакцины Варилрикс у женщин во время беременности отсутствуют.
Беременных женщин нельзя вакцинировать вакциной Варилрикс.
Не следует допускать наступления беременности в течение 1 месяца после вакцинации.
Женщинам, которые планируют беременность, следует рекомендовать отложить наступление беременности и использовать эффективную контрацепцию в течение 1 месяца после вакцинации.
</t>
    </r>
    <r>
      <rPr>
        <i/>
        <sz val="10"/>
        <color theme="1"/>
        <rFont val="Arial"/>
      </rPr>
      <t>Лактация</t>
    </r>
    <r>
      <rPr>
        <sz val="10"/>
        <color theme="1"/>
        <rFont val="Arial"/>
      </rPr>
      <t xml:space="preserve">
Данные о применении вакцины Варилрикс у женщин в период грудного вскармливания отсутствуют.
</t>
    </r>
    <r>
      <rPr>
        <i/>
        <sz val="10"/>
        <color theme="1"/>
        <rFont val="Arial"/>
      </rPr>
      <t>Фертильность</t>
    </r>
    <r>
      <rPr>
        <sz val="10"/>
        <color theme="1"/>
        <rFont val="Arial"/>
      </rPr>
      <t xml:space="preserve">
Данные отсутствуют.</t>
    </r>
  </si>
  <si>
    <r>
      <rPr>
        <i/>
        <sz val="10"/>
        <color theme="1"/>
        <rFont val="Arial"/>
      </rPr>
      <t>&lt;p&gt;&lt;i&gt;Беременность</t>
    </r>
    <r>
      <rPr>
        <sz val="10"/>
        <color theme="1"/>
        <rFont val="Arial"/>
      </rPr>
      <t xml:space="preserve">&lt;/i&gt;&lt;br&gt;
Данные о применении вакцины Варилрикс у женщин во время беременности отсутствуют.&lt;br&gt;
Беременных женщин нельзя вакцинировать вакциной Варилрикс.&lt;br&gt;
Не следует допускать наступления беременности в течение 1&amp;nbsp;месяца после вакцинации.&lt;br&gt;
Женщинам, которые планируют беременность, следует рекомендовать отложить наступление беременности и использовать эффективную контрацепцию в течение 1&amp;nbsp;месяца после вакцинации.&lt;br&gt;&lt;br&gt;
</t>
    </r>
    <r>
      <rPr>
        <i/>
        <sz val="10"/>
        <color theme="1"/>
        <rFont val="Arial"/>
      </rPr>
      <t>&lt;i&gt;Лактация</t>
    </r>
    <r>
      <rPr>
        <sz val="10"/>
        <color theme="1"/>
        <rFont val="Arial"/>
      </rPr>
      <t xml:space="preserve">&lt;/i&gt;&lt;br&gt;
Данные о применении вакцины Варилрикс у женщин в период грудного вскармливания отсутствуют.&lt;br&gt;&lt;br&gt;
</t>
    </r>
    <r>
      <rPr>
        <i/>
        <sz val="10"/>
        <color theme="1"/>
        <rFont val="Arial"/>
      </rPr>
      <t>&lt;i&gt;Фертильность</t>
    </r>
    <r>
      <rPr>
        <sz val="10"/>
        <color theme="1"/>
        <rFont val="Arial"/>
      </rPr>
      <t>&lt;/i&gt;&lt;br&gt;
Данные отсутствуют.&lt;/p&gt;</t>
    </r>
  </si>
  <si>
    <t>Запрещено использовать вакцину желтой лихорадки при беременности и грудном вскармливании.</t>
  </si>
  <si>
    <t>&lt;p&gt;Запрещено использовать вакцину желтой лихорадки при беременности и грудном вскармливании.&lt;/p&gt;</t>
  </si>
  <si>
    <r>
      <rPr>
        <i/>
        <sz val="10"/>
        <color theme="1"/>
        <rFont val="Arial"/>
      </rPr>
      <t>Беременность</t>
    </r>
    <r>
      <rPr>
        <sz val="10"/>
        <color theme="1"/>
        <rFont val="Arial"/>
      </rPr>
      <t xml:space="preserve">
Применение при беременности противопоказано.
</t>
    </r>
    <r>
      <rPr>
        <i/>
        <sz val="10"/>
        <color theme="1"/>
        <rFont val="Arial"/>
      </rPr>
      <t>Лактация</t>
    </r>
    <r>
      <rPr>
        <sz val="10"/>
        <color theme="1"/>
        <rFont val="Arial"/>
      </rPr>
      <t xml:space="preserve">
Применение в период грудного вскармливания противопоказано.
</t>
    </r>
    <r>
      <rPr>
        <i/>
        <sz val="10"/>
        <color theme="1"/>
        <rFont val="Arial"/>
      </rPr>
      <t>Фертильность</t>
    </r>
    <r>
      <rPr>
        <sz val="10"/>
        <color theme="1"/>
        <rFont val="Arial"/>
      </rPr>
      <t xml:space="preserve">
Нет данных о влиянии лекарственного препарата Вакцина туляремийная живая на фертильность человека.</t>
    </r>
  </si>
  <si>
    <r>
      <rPr>
        <i/>
        <sz val="10"/>
        <color theme="1"/>
        <rFont val="Arial"/>
      </rPr>
      <t>&lt;p&gt;&lt;i&gt;Беременность</t>
    </r>
    <r>
      <rPr>
        <sz val="10"/>
        <color theme="1"/>
        <rFont val="Arial"/>
      </rPr>
      <t xml:space="preserve">&lt;/i&gt;&lt;br&gt;
Применение при беременности противопоказано.&lt;br&gt;&lt;br&gt;
</t>
    </r>
    <r>
      <rPr>
        <i/>
        <sz val="10"/>
        <color theme="1"/>
        <rFont val="Arial"/>
      </rPr>
      <t>&lt;i&gt;Лактация</t>
    </r>
    <r>
      <rPr>
        <sz val="10"/>
        <color theme="1"/>
        <rFont val="Arial"/>
      </rPr>
      <t xml:space="preserve">&lt;/i&gt;&lt;br&gt;
Применение в период грудного вскармливания противопоказано.&lt;br&gt;&lt;br&gt;
</t>
    </r>
    <r>
      <rPr>
        <i/>
        <sz val="10"/>
        <color theme="1"/>
        <rFont val="Arial"/>
      </rPr>
      <t>&lt;i&gt;Фертильность</t>
    </r>
    <r>
      <rPr>
        <sz val="10"/>
        <color theme="1"/>
        <rFont val="Arial"/>
      </rPr>
      <t>&lt;/i&gt;&lt;br&gt;
Нет данных о влиянии лекарственного препарата Вакцина туляремийная живая на фертильность человека.&lt;/p&gt;</t>
    </r>
  </si>
  <si>
    <t>Противопоказано использование ВЧMM на протяжении всего срока беременности.
Клинические исследования влияния вакцины ВЧMм на грудных детей при введении вакцины кормящим матерям не проводилось.</t>
  </si>
  <si>
    <t>&lt;p&gt;Противопоказано использование ВЧMM на протяжении всего срока беременности.&lt;br&gt;&lt;br&gt;
Клинические исследования влияния вакцины ВЧMм на грудных детей при введении вакцины кормящим матерям не проводилось.&lt;/p&gt;</t>
  </si>
  <si>
    <t>Применение препарата противопоказано.</t>
  </si>
  <si>
    <t>&lt;p&gt;Применение препарата противопоказано.&lt;/p&gt;</t>
  </si>
  <si>
    <t>Нет достаточных доказательств безопасности применения препарата во время беременности. Чтобы избежать неблагоприятного воздействия на плод, не следует проводить вакцинацию в период беременности и грудного вскармливания.</t>
  </si>
  <si>
    <t>&lt;p&gt;Нет достаточных доказательств безопасности применения препарата во время беременности. Чтобы избежать неблагоприятного воздействия на плод, не следует проводить вакцинацию в период беременности и грудного вскармливания.&lt;/p&gt;</t>
  </si>
  <si>
    <r>
      <rPr>
        <i/>
        <sz val="10"/>
        <color theme="1"/>
        <rFont val="Arial"/>
      </rPr>
      <t>Беременность</t>
    </r>
    <r>
      <rPr>
        <sz val="10"/>
        <color theme="1"/>
        <rFont val="Arial"/>
      </rPr>
      <t xml:space="preserve">
Применение при беременности противопоказано.
</t>
    </r>
    <r>
      <rPr>
        <i/>
        <sz val="10"/>
        <color theme="1"/>
        <rFont val="Arial"/>
      </rPr>
      <t>Лактация</t>
    </r>
    <r>
      <rPr>
        <sz val="10"/>
        <color theme="1"/>
        <rFont val="Arial"/>
      </rPr>
      <t xml:space="preserve">
Применение в период грудного вскармливания противопоказано.
</t>
    </r>
    <r>
      <rPr>
        <i/>
        <sz val="10"/>
        <color theme="1"/>
        <rFont val="Arial"/>
      </rPr>
      <t>Фертильность</t>
    </r>
    <r>
      <rPr>
        <sz val="10"/>
        <color theme="1"/>
        <rFont val="Arial"/>
      </rPr>
      <t xml:space="preserve">
Нет данных о влиянии лекарственного препарата Вакцина бруцеллезная живая на фертильность человека.</t>
    </r>
  </si>
  <si>
    <r>
      <rPr>
        <i/>
        <sz val="10"/>
        <color theme="1"/>
        <rFont val="Arial"/>
      </rPr>
      <t>&lt;p&gt;&lt;i&gt;Беременность&lt;/i&gt;&lt;br&gt;</t>
    </r>
    <r>
      <rPr>
        <sz val="10"/>
        <color theme="1"/>
        <rFont val="Arial"/>
      </rPr>
      <t xml:space="preserve">
Применение при беременности противопоказано.&lt;br&gt;&lt;br&gt;
</t>
    </r>
    <r>
      <rPr>
        <i/>
        <sz val="10"/>
        <color theme="1"/>
        <rFont val="Arial"/>
      </rPr>
      <t>&lt;i&gt;Лактация&lt;/i&gt;&lt;br&gt;</t>
    </r>
    <r>
      <rPr>
        <sz val="10"/>
        <color theme="1"/>
        <rFont val="Arial"/>
      </rPr>
      <t xml:space="preserve">
Применение в период грудного вскармливания противопоказано.&lt;br&gt;&lt;br&gt;
</t>
    </r>
    <r>
      <rPr>
        <i/>
        <sz val="10"/>
        <color theme="1"/>
        <rFont val="Arial"/>
      </rPr>
      <t>&lt;i&gt;Фертильность&lt;/i&gt;&lt;br&gt;</t>
    </r>
    <r>
      <rPr>
        <sz val="10"/>
        <color theme="1"/>
        <rFont val="Arial"/>
      </rPr>
      <t xml:space="preserve">
Нет данных о влиянии лекарственного препарата Вакцина бруцеллезная живая на фертильность человека.&lt;/p&gt;</t>
    </r>
  </si>
  <si>
    <t>Противопоказано применение препарата при беременности и в период грудного вскармливания.</t>
  </si>
  <si>
    <t>&lt;p&gt;Противопоказано применение препарата при беременности и в период грудного вскармливания.&lt;/p&gt;</t>
  </si>
  <si>
    <r>
      <rPr>
        <i/>
        <sz val="10"/>
        <color theme="1"/>
        <rFont val="Arial"/>
      </rPr>
      <t>Беременность</t>
    </r>
    <r>
      <rPr>
        <sz val="10"/>
        <color theme="1"/>
        <rFont val="Arial"/>
      </rPr>
      <t xml:space="preserve">
Случаев нанесения вреда, отнесенных к использованию данной вакцины у беременных женщин, не зафиксировано.
Беременность не является противопоказанием для постэкспозиционной иммунизации.
</t>
    </r>
    <r>
      <rPr>
        <i/>
        <sz val="10"/>
        <color theme="1"/>
        <rFont val="Arial"/>
      </rPr>
      <t>Период грудного вскармливания</t>
    </r>
    <r>
      <rPr>
        <sz val="10"/>
        <color theme="1"/>
        <rFont val="Arial"/>
      </rPr>
      <t xml:space="preserve">
Поскольку сведения о проникновении вакцины Рабипур® в грудное молоко отсутствуют, не выявлено рисков применения вакцины Рабипур® в период грудного вскармливания. Вакцина Рабипур® может быть использована кормящими женщинами при необходимости постэкспозиционной профилактики.</t>
    </r>
  </si>
  <si>
    <r>
      <rPr>
        <i/>
        <sz val="10"/>
        <color theme="1"/>
        <rFont val="Arial"/>
      </rPr>
      <t>&lt;p&gt;&lt;i&gt;Беременность</t>
    </r>
    <r>
      <rPr>
        <sz val="10"/>
        <color theme="1"/>
        <rFont val="Arial"/>
      </rPr>
      <t xml:space="preserve">&lt;/i&gt;&lt;br&gt;
Случаев нанесения вреда, отнесенных к использованию данной вакцины у беременных женщин, не зафиксировано.&lt;br&gt;
Беременность не является противопоказанием для постэкспозиционной иммунизации.&lt;br&gt;&lt;br&gt;
</t>
    </r>
    <r>
      <rPr>
        <i/>
        <sz val="10"/>
        <color theme="1"/>
        <rFont val="Arial"/>
      </rPr>
      <t>&lt;i&gt;Период грудного вскармливания</t>
    </r>
    <r>
      <rPr>
        <sz val="10"/>
        <color theme="1"/>
        <rFont val="Arial"/>
      </rPr>
      <t>&lt;/i&gt;&lt;br&gt;
Поскольку сведения о проникновении вакцины Рабипур® в грудное молоко отсутствуют, не выявлено рисков применения вакцины Рабипур® в период грудного вскармливания. Вакцина Рабипур® может быть использована кормящими женщинами при необходимости постэкспозиционной профилактики.&lt;/p&gt;</t>
    </r>
  </si>
  <si>
    <t>Применение при беременности и в период грудного вскармливания противопоказано.</t>
  </si>
  <si>
    <t>&lt;p&gt;Применение при беременности и в период грудного вскармливания противопоказано.&lt;/p&gt;</t>
  </si>
  <si>
    <r>
      <rPr>
        <i/>
        <sz val="10"/>
        <color theme="1"/>
        <rFont val="Arial"/>
      </rPr>
      <t>&lt;p&gt;</t>
    </r>
    <r>
      <rPr>
        <sz val="10"/>
        <color theme="1"/>
        <rFont val="Arial"/>
      </rPr>
      <t>Применение при беременности и в период грудного вскармливания противопоказано.&lt;/p&gt;</t>
    </r>
  </si>
  <si>
    <t xml:space="preserve">Применение при беременности и в период грудного вскармливания противопоказано. </t>
  </si>
  <si>
    <r>
      <rPr>
        <i/>
        <sz val="10"/>
        <color theme="1"/>
        <rFont val="Arial"/>
      </rPr>
      <t>Беременность</t>
    </r>
    <r>
      <rPr>
        <sz val="10"/>
        <color theme="1"/>
        <rFont val="Arial"/>
      </rPr>
      <t xml:space="preserve">
Препарат ВИАНВАК противопоказан при беременности и лактации.
Подобно другим неживым вакцинам, при непреднамеренной вакцинации беременной женщины вред для плода не ожидается.
</t>
    </r>
    <r>
      <rPr>
        <i/>
        <sz val="10"/>
        <color theme="1"/>
        <rFont val="Arial"/>
      </rPr>
      <t>Лактация</t>
    </r>
    <r>
      <rPr>
        <sz val="10"/>
        <color theme="1"/>
        <rFont val="Arial"/>
      </rPr>
      <t xml:space="preserve">
Влияние на детей, находящихся на грудном вскармливании, введение вакцины ВИАНВАК их матерям не изучалось.</t>
    </r>
  </si>
  <si>
    <r>
      <rPr>
        <i/>
        <sz val="10"/>
        <color theme="1"/>
        <rFont val="Arial"/>
      </rPr>
      <t>&lt;p&gt;&lt;i&gt;Беременность&lt;/i&gt;&lt;br&gt;</t>
    </r>
    <r>
      <rPr>
        <sz val="10"/>
        <color theme="1"/>
        <rFont val="Arial"/>
      </rPr>
      <t xml:space="preserve">
Препарат ВИАНВАК противопоказан при беременности и лактации.&lt;br&gt;
Подобно другим неживым вакцинам, при непреднамеренной вакцинации беременной женщины вред для плода не ожидается.&lt;br&gt;&lt;br&gt;
</t>
    </r>
    <r>
      <rPr>
        <i/>
        <sz val="10"/>
        <color theme="1"/>
        <rFont val="Arial"/>
      </rPr>
      <t>&lt;i&gt;Лактация</t>
    </r>
    <r>
      <rPr>
        <sz val="10"/>
        <color theme="1"/>
        <rFont val="Arial"/>
      </rPr>
      <t>&lt;/i&gt;&lt;br&gt;
Влияние на детей, находящихся на грудном вскармливании, введение вакцины ВИАНВАК их матерям не изучалось.&lt;/p&gt;</t>
    </r>
  </si>
  <si>
    <t>Противопоказано применять при беременности.
Применение женщинами в период грудного вскармливания: сведения отсутствуют. Клинические исследования не проводились.</t>
  </si>
  <si>
    <t>&lt;p&gt;Противопоказано применять при беременности.&lt;br&gt;
Применение женщинами в период грудного вскармливания: сведения отсутствуют. Клинические исследования не проводились.&lt;/p&gt;</t>
  </si>
  <si>
    <t>Препарат Шигеллвак противопоказан при беременности и лактации.
Подобно другим инактивированным вакцинам, при непреднамеренной вакцинации беременной женщины вред для плода не ожидается.</t>
  </si>
  <si>
    <t>&lt;p&gt;Препарат Шигеллвак противопоказан при беременности и лактации.&lt;br&gt;
Подобно другим инактивированным вакцинам, при непреднамеренной вакцинации беременной женщины вред для плода не ожидается.&lt;/p&gt;</t>
  </si>
  <si>
    <t>https://grls.rosminzdrav.ru/InstrImg/2022/10/26/1480925/bbce1055-ce8d-4cf1-8ce2-d5a008359d42.pdf</t>
  </si>
  <si>
    <r>
      <rPr>
        <i/>
        <sz val="10"/>
        <color theme="1"/>
        <rFont val="Arial"/>
      </rPr>
      <t>Беременность</t>
    </r>
    <r>
      <rPr>
        <sz val="10"/>
        <color theme="1"/>
        <rFont val="Arial"/>
      </rPr>
      <t xml:space="preserve">
По результатам исследований на животных, репродуктивная токсичность и тератогенность отсутствуют. Клинические исследования лекарственного препарата «Спутник Лайт» при беременности не проводились. В связи с этим применять лекарственный препарат «Спутник Лайт» при беременности возможно в тех случаях, когда ожидаемая польза для матери превышает потенциальный риск для плода. Мониторинг безопасности не выявил повышенного риска при непреднамеренной вакцинации беременных.
</t>
    </r>
    <r>
      <rPr>
        <i/>
        <sz val="10"/>
        <color theme="1"/>
        <rFont val="Arial"/>
      </rPr>
      <t>Лактация</t>
    </r>
    <r>
      <rPr>
        <sz val="10"/>
        <color theme="1"/>
        <rFont val="Arial"/>
      </rPr>
      <t xml:space="preserve">
Клинические данные по применению лекарственного препарата «Спутник Лайт» у женщин, кормящих грудью и влияния на младенцев, находящихся на грудном вскармливании, отсутствуют. В настоящее время неизвестно, способно ли действующее вещество, входящее в состав лекарственного препарата, проникать в грудное молоко. Перед принятием решения о вакцинации кормящей женщины необходимо оценить риски и пользу данной вакцинации.
</t>
    </r>
    <r>
      <rPr>
        <i/>
        <sz val="10"/>
        <color theme="1"/>
        <rFont val="Arial"/>
      </rPr>
      <t>Фертильность</t>
    </r>
    <r>
      <rPr>
        <sz val="10"/>
        <color theme="1"/>
        <rFont val="Arial"/>
      </rPr>
      <t xml:space="preserve">
Клинические данные о влиянии на фертильность при приеме лекарственного препарата отсутствуют.
По результатам исследований на животных репродуктивная токсичность не выявлена.</t>
    </r>
  </si>
  <si>
    <r>
      <rPr>
        <i/>
        <sz val="10"/>
        <color theme="1"/>
        <rFont val="Arial"/>
      </rPr>
      <t>&lt;p&gt;&lt;i&gt;Беременность&lt;/i&gt;&lt;br&gt;</t>
    </r>
    <r>
      <rPr>
        <sz val="10"/>
        <color theme="1"/>
        <rFont val="Arial"/>
      </rPr>
      <t xml:space="preserve">
По результатам исследований на животных, репродуктивная токсичность и тератогенность отсутствуют. Клинические исследования лекарственного препарата «Спутник Лайт» при беременности не проводились. В связи с этим применять лекарственный препарат «Спутник Лайт» при беременности возможно в тех случаях, когда ожидаемая польза для матери превышает потенциальный риск для плода. Мониторинг безопасности не выявил повышенного риска при непреднамеренной вакцинации беременных.&lt;br&gt;&lt;br&gt;
</t>
    </r>
    <r>
      <rPr>
        <i/>
        <sz val="10"/>
        <color theme="1"/>
        <rFont val="Arial"/>
      </rPr>
      <t>&lt;i&gt;Лактация&lt;/i&gt;&lt;br&gt;</t>
    </r>
    <r>
      <rPr>
        <sz val="10"/>
        <color theme="1"/>
        <rFont val="Arial"/>
      </rPr>
      <t xml:space="preserve">
Клинические данные по применению лекарственного препарата «Спутник Лайт» у женщин, кормящих грудью и влияния на младенцев, находящихся на грудном вскармливании, отсутствуют. В настоящее время неизвестно, способно ли действующее вещество, входящее в состав лекарственного препарата, проникать в грудное молоко. Перед принятием решения о вакцинации кормящей женщины необходимо оценить риски и пользу данной вакцинации.&lt;br&gt;&lt;br&gt;
</t>
    </r>
    <r>
      <rPr>
        <i/>
        <sz val="10"/>
        <color theme="1"/>
        <rFont val="Arial"/>
      </rPr>
      <t>&lt;i&gt;Фертильность&lt;/i&gt;&lt;br&gt;</t>
    </r>
    <r>
      <rPr>
        <sz val="10"/>
        <color theme="1"/>
        <rFont val="Arial"/>
      </rPr>
      <t xml:space="preserve">
Клинические данные о влиянии на фертильность при приеме лекарственного препарата отсутствуют.&lt;br&gt;
По результатам исследований на животных репродуктивная токсичность не выявлена.&lt;/p&gt;</t>
    </r>
  </si>
  <si>
    <t>Отсутствует опыт клинического применения Гам-КОВИД-Вак-М при беременности. Согласно результатам изучения репродуктивной токсичности на животных не установлено отрицательного влияния на течение беременности, эмбриофетальное развитие (на самках) и пренатальное развитие потомства. В связи с этим применять препарат Гам-КОВИД-Вак М при беременности следует только в тех случаях, когда ожидаемая польза для матери превышает потенциальный риск для плода с 22 недель беременности.
Клинические данные по применению препарата Гам-КОВИД-Вак-М у женщин, кормящих грудью, и младенцев отсутствуют. В настоящий момент нет данных выделяется ли вакцина с молоком. Перед принятием решения о вакцинации кормящей женщины необходимо оценить риски и пользу данной вакцинации.</t>
  </si>
  <si>
    <t>&lt;p&gt;Отсутствует опыт клинического применения Гам-КОВИД-Вак-М при беременности. Согласно результатам изучения репродуктивной токсичности на животных не установлено отрицательного влияния на течение беременности, эмбриофетальное развитие (на самках) и пренатальное развитие потомства. В связи с этим применять препарат Гам-КОВИД-Вак М при беременности следует только в тех случаях, когда ожидаемая польза для матери превышает потенциальный риск для плода с 22&amp;nbsp;недель беременности.&lt;br&gt;&lt;br&gt;
Клинические данные по применению препарата Гам-КОВИД-Вак-М у женщин, кормящих грудью, и младенцев отсутствуют. В настоящий момент нет данных выделяется ли вакцина с молоком. Перед принятием решения о вакцинации кормящей женщины необходимо оценить риски и пользу данной вакцинации.&lt;/p&gt;</t>
  </si>
  <si>
    <t>Препарат противопоказан при беременности и в период грудного вскармливания, так как его эффективность и безопасность при этих физиологических состояниях не изучались.</t>
  </si>
  <si>
    <t>&lt;p&gt;Препарат противопоказан при беременности и в период грудного вскармливания, так как его эффективность и безопасность при этих физиологических состояниях не изучались.&lt;/p&gt;</t>
  </si>
  <si>
    <r>
      <rPr>
        <i/>
        <sz val="10"/>
        <color theme="1"/>
        <rFont val="Arial"/>
      </rPr>
      <t>Беременность и лактация</t>
    </r>
    <r>
      <rPr>
        <sz val="10"/>
        <color theme="1"/>
        <rFont val="Arial"/>
      </rPr>
      <t xml:space="preserve">
Вакцина Рота-V-Эйд не предназначена для взрослых. Данные о применении во время беременности отсутствуют.
</t>
    </r>
    <r>
      <rPr>
        <i/>
        <sz val="10"/>
        <color theme="1"/>
        <rFont val="Arial"/>
      </rPr>
      <t>Лактация</t>
    </r>
    <r>
      <rPr>
        <sz val="10"/>
        <color theme="1"/>
        <rFont val="Arial"/>
      </rPr>
      <t xml:space="preserve">
Вакцина Рота-V-Эйд не предназначена для взрослых. Данные о применении во время лактации отсутствуют.
</t>
    </r>
    <r>
      <rPr>
        <i/>
        <sz val="10"/>
        <color theme="1"/>
        <rFont val="Arial"/>
      </rPr>
      <t>Фертильность</t>
    </r>
    <r>
      <rPr>
        <sz val="10"/>
        <color theme="1"/>
        <rFont val="Arial"/>
      </rPr>
      <t xml:space="preserve">
Вакцина Рота-V-Эйд не предназначена для взрослых. Результаты репродуктивных исследований у животных отсутствуют.</t>
    </r>
  </si>
  <si>
    <r>
      <rPr>
        <i/>
        <sz val="10"/>
        <color theme="1"/>
        <rFont val="Arial"/>
      </rPr>
      <t>&lt;p&gt;&lt;i&gt;Беременность и лактация</t>
    </r>
    <r>
      <rPr>
        <sz val="10"/>
        <color theme="1"/>
        <rFont val="Arial"/>
      </rPr>
      <t xml:space="preserve">&lt;/i&gt;&lt;br&gt;
Вакцина Рота-V-Эйд не предназначена для взрослых. Данные о применении во время беременности отсутствуют.&lt;br&gt;&lt;br&gt;
</t>
    </r>
    <r>
      <rPr>
        <i/>
        <sz val="10"/>
        <color theme="1"/>
        <rFont val="Arial"/>
      </rPr>
      <t>&lt;i&gt;Лактация&lt;/i&gt;&lt;br&gt;</t>
    </r>
    <r>
      <rPr>
        <sz val="10"/>
        <color theme="1"/>
        <rFont val="Arial"/>
      </rPr>
      <t xml:space="preserve">
Вакцина Рота-V-Эйд не предназначена для взрослых. Данные о применении во время лактации отсутствуют.&lt;br&gt;&lt;br&gt;
</t>
    </r>
    <r>
      <rPr>
        <i/>
        <sz val="10"/>
        <color theme="1"/>
        <rFont val="Arial"/>
      </rPr>
      <t>&lt;i&gt;Фертильность</t>
    </r>
    <r>
      <rPr>
        <sz val="10"/>
        <color theme="1"/>
        <rFont val="Arial"/>
      </rPr>
      <t>&lt;/i&gt;&lt;br&gt;
Вакцина Рота-V-Эйд не предназначена для взрослых. Результаты репродуктивных исследований у животных отсутствуют.&lt;/p&gt;</t>
    </r>
  </si>
  <si>
    <r>
      <rPr>
        <i/>
        <sz val="10"/>
        <color theme="1"/>
        <rFont val="Arial"/>
      </rPr>
      <t>Беременность</t>
    </r>
    <r>
      <rPr>
        <sz val="10"/>
        <color theme="1"/>
        <rFont val="Arial"/>
      </rPr>
      <t xml:space="preserve">
Данные о применении вакцины Приорикс-Тетра у женщин во время беременности отсутствуют.
Беременных женщин нельзя вакцинировать вакциной Приорикс-Тетра.
Не следует допускать наступления беременности в течение 1 месяца после вакцинации. Женщинам, которые планируют беременность, следует рекомендовать отложить наступление беременности и использовать эффективную контрацепцию в течение 1 месяца после вакцинации.
</t>
    </r>
    <r>
      <rPr>
        <i/>
        <sz val="10"/>
        <color theme="1"/>
        <rFont val="Arial"/>
      </rPr>
      <t>Лактация</t>
    </r>
    <r>
      <rPr>
        <sz val="10"/>
        <color theme="1"/>
        <rFont val="Arial"/>
      </rPr>
      <t xml:space="preserve">
Данные о применении вакцины Приорикс-Тетра у женщин во время грудного вскармливания отсутствуют.
Поскольку теоретически существует риск передачи вакцинных штаммов от матери ребенку, по решению врача следует либо прекратить грудное вскармливание, либо отложить иммунизацию вакциной Приорикс-Тетра, с учетом пользы грудного вскармливания для ребенка и пользы вакцинации для матери.
</t>
    </r>
    <r>
      <rPr>
        <i/>
        <sz val="10"/>
        <color theme="1"/>
        <rFont val="Arial"/>
      </rPr>
      <t>Фертильность</t>
    </r>
    <r>
      <rPr>
        <sz val="10"/>
        <color theme="1"/>
        <rFont val="Arial"/>
      </rPr>
      <t xml:space="preserve">
Данные отсутствуют.</t>
    </r>
  </si>
  <si>
    <r>
      <rPr>
        <i/>
        <sz val="10"/>
        <color theme="1"/>
        <rFont val="Arial"/>
      </rPr>
      <t>&lt;p&gt;&lt;i&gt;Беременность</t>
    </r>
    <r>
      <rPr>
        <sz val="10"/>
        <color theme="1"/>
        <rFont val="Arial"/>
      </rPr>
      <t xml:space="preserve">&lt;/i&gt;&lt;br&gt;
Данные о применении вакцины Приорикс-Тетра у женщин во время беременности отсутствуют.&lt;br&gt;
Беременных женщин нельзя вакцинировать вакциной Приорикс-Тетра.&lt;br&gt;
Не следует допускать наступления беременности в течение 1&amp;nbsp;месяца после вакцинации. Женщинам, которые планируют беременность, следует рекомендовать отложить наступление беременности и использовать эффективную контрацепцию в течение 1&amp;nbsp;месяца после вакцинации.&lt;br&gt;&lt;br&gt;
</t>
    </r>
    <r>
      <rPr>
        <i/>
        <sz val="10"/>
        <color theme="1"/>
        <rFont val="Arial"/>
      </rPr>
      <t>&lt;i&gt;Лактация</t>
    </r>
    <r>
      <rPr>
        <sz val="10"/>
        <color theme="1"/>
        <rFont val="Arial"/>
      </rPr>
      <t xml:space="preserve">&lt;/i&gt;&lt;br&gt;
Данные о применении вакцины Приорикс-Тетра у женщин во время грудного вскармливания отсутствуют.&lt;br&gt;
Поскольку теоретически существует риск передачи вакцинных штаммов от матери ребенку, по решению врача следует либо прекратить грудное вскармливание, либо отложить иммунизацию вакциной Приорикс-Тетра, с учетом пользы грудного вскармливания для ребенка и пользы вакцинации для матери.&lt;br&gt;&lt;br&gt;
</t>
    </r>
    <r>
      <rPr>
        <i/>
        <sz val="10"/>
        <color theme="1"/>
        <rFont val="Arial"/>
      </rPr>
      <t>&lt;i&gt;Фертильность</t>
    </r>
    <r>
      <rPr>
        <sz val="10"/>
        <color theme="1"/>
        <rFont val="Arial"/>
      </rPr>
      <t>&lt;/i&gt;&lt;br&gt;
Данные отсутствуют.&lt;/p&gt;</t>
    </r>
  </si>
  <si>
    <r>
      <rPr>
        <i/>
        <sz val="10"/>
        <color theme="1"/>
        <rFont val="Arial"/>
      </rPr>
      <t>Фертильность</t>
    </r>
    <r>
      <rPr>
        <sz val="10"/>
        <color theme="1"/>
        <rFont val="Arial"/>
      </rPr>
      <t xml:space="preserve">
В рамках исследования по оценке токсического действия на эмбриональную функцию и внутриутробное развитие, в ходе которого кроликам вводили внутримышечно вакцину Менвео за 35, 21 и 7 дней до спаривания и в период беременности на 7 и 20 дни, не отмечено влияния на способность к спариванию или репродуктивную функцию самок кроликов.
Плодовитость самцов не оценивалась.
</t>
    </r>
    <r>
      <rPr>
        <i/>
        <sz val="10"/>
        <color theme="1"/>
        <rFont val="Arial"/>
      </rPr>
      <t>Беременность</t>
    </r>
    <r>
      <rPr>
        <sz val="10"/>
        <color theme="1"/>
        <rFont val="Arial"/>
      </rPr>
      <t xml:space="preserve">
Исследование токсического действия на репродуктивную функцию и внутриутробное развитие проводилось на самках кроликов с применением дозы в 10 раз превышающей дозу для применения у человека (в соответствии массой тела). Не наблюдалось неблагоприятных последствий для самок, внутриутробного или постнатального развития плода вследствие введения вакцины Менвео. 
Недостаточно данных по безопасности применения вакцины Менвео у беременных женщин.
Принимая во внимание опасность инвазивной менингококковой инфекции, вызываемой </t>
    </r>
    <r>
      <rPr>
        <i/>
        <sz val="10"/>
        <color theme="1"/>
        <rFont val="Arial"/>
      </rPr>
      <t>Neisseria meningitidis</t>
    </r>
    <r>
      <rPr>
        <sz val="10"/>
        <color theme="1"/>
        <rFont val="Arial"/>
      </rPr>
      <t xml:space="preserve"> серогрупп A, C, W₁₃₅ и Y, беременность не должна препятствовать проведению вакцинации в случае, когда риск контакта с возбудителем инфекции очевиден.
</t>
    </r>
    <r>
      <rPr>
        <i/>
        <sz val="10"/>
        <color theme="1"/>
        <rFont val="Arial"/>
      </rPr>
      <t>Период грудного вскармливания</t>
    </r>
    <r>
      <rPr>
        <sz val="10"/>
        <color theme="1"/>
        <rFont val="Arial"/>
      </rPr>
      <t xml:space="preserve">
Несмотря на то, что клинических данных по использованию вакцины Менвео в период грудного вскармливания недостаточно, маловероятно, что секретируемые антитела в молоке будут опасны для ребенка, находящегося на грудном вскармливании.
Следовательно, вакцину Менвео можно применять в период грудного вскармливания.</t>
    </r>
  </si>
  <si>
    <r>
      <rPr>
        <i/>
        <sz val="10"/>
        <color theme="1"/>
        <rFont val="Arial"/>
      </rPr>
      <t>&lt;p&gt;&lt;i&gt;Фертильность</t>
    </r>
    <r>
      <rPr>
        <sz val="10"/>
        <color theme="1"/>
        <rFont val="Arial"/>
      </rPr>
      <t xml:space="preserve">&lt;/i&gt;&lt;br&gt;
В рамках исследования по оценке токсического действия на эмбриональную функцию и внутриутробное развитие, в ходе которого кроликам вводили внутримышечно вакцину Менвео за 35, 21 и 7&amp;nbsp;дней до спаривания и в период беременности на 7 и 20&amp;nbsp;дни, не отмечено влияния на способность к спариванию или репродуктивную функцию самок кроликов.&lt;br&gt;
Плодовитость самцов не оценивалась.&lt;br&gt;&lt;br&gt;
</t>
    </r>
    <r>
      <rPr>
        <i/>
        <sz val="10"/>
        <color theme="1"/>
        <rFont val="Arial"/>
      </rPr>
      <t>&lt;i&gt;Беременность</t>
    </r>
    <r>
      <rPr>
        <sz val="10"/>
        <color theme="1"/>
        <rFont val="Arial"/>
      </rPr>
      <t xml:space="preserve">&lt;/i&gt;&lt;br&gt;
Исследование токсического действия на репродуктивную функцию и внутриутробное развитие проводилось на самках кроликов с применением дозы в 10&amp;nbsp;раз превышающей дозу для применения у человека (в соответствии массой тела). Не наблюдалось неблагоприятных последствий для самок, внутриутробного или постнатального развития плода вследствие введения вакцины Менвео.&lt;br&gt;
Недостаточно данных по безопасности применения вакцины Менвео у беременных женщин.&lt;br&gt;
Принимая во внимание опасность инвазивной менингококковой инфекции, вызываемой </t>
    </r>
    <r>
      <rPr>
        <i/>
        <sz val="10"/>
        <color theme="1"/>
        <rFont val="Arial"/>
      </rPr>
      <t>&lt;i&gt;Neisseria meningitidis&lt;/i&gt;</t>
    </r>
    <r>
      <rPr>
        <sz val="10"/>
        <color theme="1"/>
        <rFont val="Arial"/>
      </rPr>
      <t xml:space="preserve"> серогрупп A, C, W₁₃₅ и Y, беременность не должна препятствовать проведению вакцинации в случае, когда риск контакта с возбудителем инфекции очевиден.&lt;br&gt;&lt;br&gt;
</t>
    </r>
    <r>
      <rPr>
        <i/>
        <sz val="10"/>
        <color theme="1"/>
        <rFont val="Arial"/>
      </rPr>
      <t>&lt;i&gt;Период грудного вскармливания</t>
    </r>
    <r>
      <rPr>
        <sz val="10"/>
        <color theme="1"/>
        <rFont val="Arial"/>
      </rPr>
      <t>&lt;/i&gt;&lt;br&gt;
Несмотря на то, что клинических данных по использованию вакцины Менвео в период грудного вскармливания недостаточно, маловероятно, что секретируемые антитела в молоке будут опасны для ребенка, находящегося на грудном вскармливании.&lt;br&gt;
Следовательно, вакцину Менвео можно применять в период грудного вскармливания.&lt;/p&gt;</t>
    </r>
  </si>
  <si>
    <t>По результатам исследований на животных, было установлено, что репродуктивная токсичность и тератогенность отсутствуют. Клинические исследования Гам-КОВИД-Вак при беременности не проводились. В связи с этим применять препарат Гам-КОВИД-Вак при беременности следует в тех случаях, когда ожидаемая польза для матери превышает потенциальный риск для плода с 22 недели беременности.
Клинические данные по применению препарата Гам-КОВИД-Вак у женщин, кормящих грудью, и младенцев отсутствуют. В настоящее время неизвестно, способны ли действующие вещества, входящие в состав вакцины, проникать в грудное молоко. Перед принятием решения о вакцинации кормящей женщины необходимо оценить риски и пользу данной вакцинации.</t>
  </si>
  <si>
    <t>&lt;p&gt;По результатам исследований на животных, было установлено, что репродуктивная токсичность и тератогенность отсутствуют. Клинические исследования Гам-КОВИД-Вак при беременности не проводились. В связи с этим применять препарат Гам-КОВИД-Вак при беременности следует в тех случаях, когда ожидаемая польза для матери превышает потенциальный риск для плода с 22&amp;nbsp;недели беременности.&lt;br&gt;&lt;br&gt;
Клинические данные по применению препарата Гам-КОВИД-Вак у женщин, кормящих грудью, и младенцев отсутствуют. В настоящее время неизвестно, способны ли действующие вещества, входящие в состав вакцины, проникать в грудное молоко. Перед принятием решения о вакцинации кормящей женщины необходимо оценить риски и пользу данной вакцинации.&lt;/p&gt;</t>
  </si>
  <si>
    <t>Неприменимо.</t>
  </si>
  <si>
    <t>&lt;p&gt;Неприменимо.&lt;/p&gt;</t>
  </si>
  <si>
    <r>
      <rPr>
        <i/>
        <sz val="10"/>
        <color theme="1"/>
        <rFont val="Arial"/>
      </rPr>
      <t>Беременность</t>
    </r>
    <r>
      <rPr>
        <sz val="10"/>
        <color theme="1"/>
        <rFont val="Arial"/>
      </rPr>
      <t xml:space="preserve">
Подобно другим инактивированным вакцинам, вред для плода не ожидается. Беременные женщины подвергаются повышенному риску развития послегриппозных осложнений, включая преждевременные роды, госпитализацию и смерть. В связи с этим беременным женщинам в течение эпидемического сезона гриппа рекомендуется проводить вакцинацию против гриппа вне зависимости от срока беременности. Беременным женщинам можно вводить только вакцину без консерванта (тиомерсала).
</t>
    </r>
    <r>
      <rPr>
        <i/>
        <sz val="10"/>
        <color theme="1"/>
        <rFont val="Arial"/>
      </rPr>
      <t>Лактация</t>
    </r>
    <r>
      <rPr>
        <sz val="10"/>
        <color theme="1"/>
        <rFont val="Arial"/>
      </rPr>
      <t xml:space="preserve">
Сведения о проникновении действующего вещества в грудное молоко человека отсутствуют.
Мировой опыт, полученный в ходе применения гриппозных инактивированных вакцин, показывает, что вакцинация женщин в период грудного вскармливания не оказывает токсического воздействия на ребенка.
</t>
    </r>
    <r>
      <rPr>
        <i/>
        <sz val="10"/>
        <color theme="1"/>
        <rFont val="Arial"/>
      </rPr>
      <t>Фертильность</t>
    </r>
    <r>
      <rPr>
        <sz val="10"/>
        <color theme="1"/>
        <rFont val="Arial"/>
      </rPr>
      <t xml:space="preserve">
Данные о влиянии на фертильность человека отсутствуют. Исследование репродуктивной токсичности на животных показало отсутствие негативного влияния вакцины Флю-М Тетра на показатели фертильности.</t>
    </r>
  </si>
  <si>
    <r>
      <rPr>
        <i/>
        <sz val="10"/>
        <color theme="1"/>
        <rFont val="Arial"/>
      </rPr>
      <t>&lt;p&gt;&lt;i&gt;Беременность&lt;/i&gt;&lt;br&gt;</t>
    </r>
    <r>
      <rPr>
        <sz val="10"/>
        <color theme="1"/>
        <rFont val="Arial"/>
      </rPr>
      <t xml:space="preserve">
Подобно другим инактивированным вакцинам, вред для плода не ожидается. Беременные женщины подвергаются повышенному риску развития послегриппозных осложнений, включая преждевременные роды, госпитализацию и смерть. В связи с этим беременным женщинам в течение эпидемического сезона гриппа рекомендуется проводить вакцинацию против гриппа вне зависимости от срока беременности. Беременным женщинам можно вводить только вакцину без консерванта (тиомерсала).&lt;br&gt;&lt;br&gt;
</t>
    </r>
    <r>
      <rPr>
        <i/>
        <sz val="10"/>
        <color theme="1"/>
        <rFont val="Arial"/>
      </rPr>
      <t>&lt;i&gt;Лактация&lt;/i&gt;&lt;br&gt;</t>
    </r>
    <r>
      <rPr>
        <sz val="10"/>
        <color theme="1"/>
        <rFont val="Arial"/>
      </rPr>
      <t xml:space="preserve">
Сведения о проникновении действующего вещества в грудное молоко человека отсутствуют.&lt;br&gt;
Мировой опыт, полученный в ходе применения гриппозных инактивированных вакцин, показывает, что вакцинация женщин в период грудного вскармливания не оказывает токсического воздействия на ребенка.&lt;br&gt;&lt;br&gt;
</t>
    </r>
    <r>
      <rPr>
        <i/>
        <sz val="10"/>
        <color theme="1"/>
        <rFont val="Arial"/>
      </rPr>
      <t>&lt;i&gt;Фертильность</t>
    </r>
    <r>
      <rPr>
        <sz val="10"/>
        <color theme="1"/>
        <rFont val="Arial"/>
      </rPr>
      <t>&lt;/i&gt;&lt;br&gt;
Данные о влиянии на фертильность человека отсутствуют. Исследование репродуктивной токсичности на животных показало отсутствие негативного влияния вакцины Флю-М Тетра на показатели фертильности.&lt;/p&gt;</t>
    </r>
  </si>
  <si>
    <r>
      <rPr>
        <i/>
        <sz val="10"/>
        <color theme="1"/>
        <rFont val="Arial"/>
      </rPr>
      <t>Беременность</t>
    </r>
    <r>
      <rPr>
        <sz val="10"/>
        <color theme="1"/>
        <rFont val="Arial"/>
      </rPr>
      <t xml:space="preserve">
В ходе исследования по изучению влияния вакцины ВаксигрипТетра на отдаленную и репродуктивную токсичность у кроликов не наблюдалось влияния на способность к спариванию, эмбриофетальному развитию и раннему постнатальному развитию.
Беременные женщины подвергаются повышенному риску развития послегриппозных осложнений, включая преждевременные роды, госпитализацию и смерть. В связи с этим беременным женщинам в течение эпидемического сезона гриппа рекомендуется проводить вакцинацию против гриппа вне зависимости от срока беременности. На основании данных, полученных в клинических исследованиях безопасности, а также пострегистрационного применения вакцины ВаксигрипТетра и трехвалентной вакцины для профилактики гриппа без тиомерсала производства компании Санофи Пастер, Франция, вакцина ВаксигрипТетра может применяться на любых сроках беременности.
Данные о применении в мире инактивированных противогриппозных вакцин, в том числе вакцины ВаксигрипТетра и трехвалентной вакцины для профилактики гриппа без тиомерсала производства компании Санофи Пастер, Франция, в странах, где вакцинация инактивированными противогриппозными вакцинами рекомендуется на всех сроках беременности, а также данные клинических исследований, проведенных в Финляндии, c введением вакцины ВаксигрипТетра беременным женщинам во втором и третьем триместрах (данные для 230 беременных женщин и 231 живого новорожденного) не указывают на возможность неблагоприятных исходов в отношении плода или матери, связанных с вакциной.
Имеющиеся данные четырех клинических исследований, проведенных с использованием трехвалентной вакцины для профилактики гриппа без тиомерсала производства компании Санофи Пастер, Франция, у беременных женщин во втором и третьем триместрах (более 5000 вакцинированных женщин и более 5000 их новорожденных наблюдались примерно до 6 месяцев после родов) не указывают на возможность неблагоприятных исходов в отношении плода, новорожденного, детей первого года жизни или матери, связанных с вакциной.
В клинических исследованиях, проведенных в Южной Африке и Непале, не наблюдалось значительных отличий между группой беременных женщин, иммунизированных трехвалентной вакциной для профилактики гриппа без тиомерсала производства компании Санофи Пастер, Франция, и плацебоконтролируемой группой в отношении плода, новорожденного, детей первого года жизни или матери, связанных с вакциной (включая выкидыши, мертворождения, преждевременные роды, или роды с малым весом новорожденного).
В клиническом исследовании, проведенном в Мали, не наблюдалось значительных отличий между группой беременных женщин, иммунизированных трехвалентной вакциной для профилактики гриппа без тиомерсала производства компании Санофи Пастер, Франция, и контрольной группой, получившей четырехвалентную менингококковую конъюгированную вакцину, по числу недоношенностей, мертворождений, малому весу ребенка при рождении или весу, не соответствующему гестационному сроку.
</t>
    </r>
    <r>
      <rPr>
        <i/>
        <sz val="10"/>
        <color theme="1"/>
        <rFont val="Arial"/>
      </rPr>
      <t>Лактация</t>
    </r>
    <r>
      <rPr>
        <sz val="10"/>
        <color theme="1"/>
        <rFont val="Arial"/>
      </rPr>
      <t xml:space="preserve">
Данные о новорожденных / детях первого года жизни, вскормленных женщинами, иммунизированными вакциной ВаксигрипТетра, отсутствуют. Тем не менее, основываясь на опыте применения инактивированных вакцин для профилактики гриппа, вакцину ВаксигрипТетра можно применять в период грудного вскармливания.
</t>
    </r>
    <r>
      <rPr>
        <i/>
        <sz val="10"/>
        <color theme="1"/>
        <rFont val="Arial"/>
      </rPr>
      <t>Фертильность</t>
    </r>
    <r>
      <rPr>
        <sz val="10"/>
        <color theme="1"/>
        <rFont val="Arial"/>
      </rPr>
      <t xml:space="preserve">
Данные о влиянии на фертильность у человека отсутствуют. В проведенном исследовании вакцины ВаксигрипТетра у животных не было получено данных об отрицательном влиянии вакцины на фертильность самок.</t>
    </r>
  </si>
  <si>
    <r>
      <rPr>
        <i/>
        <sz val="10"/>
        <color theme="1"/>
        <rFont val="Arial"/>
      </rPr>
      <t>&lt;p&gt;&lt;i&gt;Беременность</t>
    </r>
    <r>
      <rPr>
        <sz val="10"/>
        <color theme="1"/>
        <rFont val="Arial"/>
      </rPr>
      <t xml:space="preserve">&lt;/i&gt;&lt;br&gt;
В ходе исследования по изучению влияния вакцины ВаксигрипТетра на отдаленную и репродуктивную токсичность у кроликов не наблюдалось влияния на способность к спариванию, эмбриофетальному развитию и раннему постнатальному развитию.&lt;br&gt;
Беременные женщины подвергаются повышенному риску развития послегриппозных осложнений, включая преждевременные роды, госпитализацию и смерть. В связи с этим беременным женщинам в течение эпидемического сезона гриппа рекомендуется проводить вакцинацию против гриппа вне зависимости от срока беременности. На основании данных, полученных в клинических исследованиях безопасности, а также пострегистрационного применения вакцины ВаксигрипТетра и трехвалентной вакцины для профилактики гриппа без тиомерсала производства компании Санофи Пастер, Франция, вакцина ВаксигрипТетра может применяться на любых сроках беременности.&lt;br&gt;
Данные о применении в мире инактивированных противогриппозных вакцин, в том числе вакцины ВаксигрипТетра и трехвалентной вакцины для профилактики гриппа без тиомерсала производства компании Санофи Пастер, Франция, в странах, где вакцинация инактивированными противогриппозными вакцинами рекомендуется на всех сроках беременности, а также данные клинических исследований, проведенных в Финляндии, c введением вакцины ВаксигрипТетра беременным женщинам во втором и третьем триместрах (данные для 230&amp;nbsp;беременных женщин и 231&amp;nbsp;живого новорожденного) не указывают на возможность неблагоприятных исходов в отношении плода или матери, связанных с вакциной.&lt;br&gt;
Имеющиеся данные четырех клинических исследований, проведенных с использованием трехвалентной вакцины для профилактики гриппа без тиомерсала производства компании Санофи Пастер, Франция, у беременных женщин во втором и третьем триместрах (более 5000 вакцинированных женщин и более 5000 их новорожденных наблюдались примерно до 6&amp;nbsp;месяцев после родов) не указывают на возможность неблагоприятных исходов в отношении плода, новорожденного, детей первого года жизни или матери, связанных с вакциной.&lt;br&gt;
В клинических исследованиях, проведенных в Южной Африке и Непале, не наблюдалось значительных отличий между группой беременных женщин, иммунизированных трехвалентной вакциной для профилактики гриппа без тиомерсала производства компании Санофи Пастер, Франция, и плацебоконтролируемой группой в отношении плода, новорожденного, детей первого года жизни или матери, связанных с вакциной (включая выкидыши, мертворождения, преждевременные роды, или роды с малым весом новорожденного).&lt;br&gt;
В клиническом исследовании, проведенном в Мали, не наблюдалось значительных отличий между группой беременных женщин, иммунизированных трехвалентной вакциной для профилактики гриппа без тиомерсала производства компании Санофи Пастер, Франция, и контрольной группой, получившей четырехвалентную менингококковую конъюгированную вакцину, по числу недоношенностей, мертворождений, малому весу ребенка при рождении или весу, не соответствующему гестационному сроку.&lt;br&gt;&lt;br&gt;
</t>
    </r>
    <r>
      <rPr>
        <i/>
        <sz val="10"/>
        <color theme="1"/>
        <rFont val="Arial"/>
      </rPr>
      <t>&lt;i&gt;Лактация</t>
    </r>
    <r>
      <rPr>
        <sz val="10"/>
        <color theme="1"/>
        <rFont val="Arial"/>
      </rPr>
      <t xml:space="preserve">&lt;/i&gt;&lt;br&gt;
Данные о новорожденных / детях первого года жизни, вскормленных женщинами, иммунизированными вакциной ВаксигрипТетра, отсутствуют. Тем не менее, основываясь на опыте применения инактивированных вакцин для профилактики гриппа, вакцину ВаксигрипТетра можно применять в период грудного вскармливания.&lt;br&gt;&lt;br&gt;
</t>
    </r>
    <r>
      <rPr>
        <i/>
        <sz val="10"/>
        <color theme="1"/>
        <rFont val="Arial"/>
      </rPr>
      <t>&lt;i&gt;Фертильность</t>
    </r>
    <r>
      <rPr>
        <sz val="10"/>
        <color theme="1"/>
        <rFont val="Arial"/>
      </rPr>
      <t>&lt;/i&gt;&lt;br&gt;
Данные о влиянии на фертильность у человека отсутствуют. В проведенном исследовании вакцины ВаксигрипТетра у животных не было получено данных об отрицательном влиянии вакцины на фертильность самок.&lt;/p&gt;</t>
    </r>
  </si>
  <si>
    <t>Вакцинация противопоказана в период беременности.
Решение о вакцинации в период лактации должно приниматься врачом с учетом соотношения предполагаемой пользы и возможного риска. По данным клинического исследования, при вакцинации у 12 серонегативных кормящих матерей, в грудном молоке не было обнаружено следов вируса, содержащегося в вакцине; все дети остались серонегативными.</t>
  </si>
  <si>
    <t>&lt;p&gt;Вакцинация противопоказана в период беременности.&lt;br&gt;&lt;br&gt;
Решение о вакцинации в период лактации должно приниматься врачом с учетом соотношения предполагаемой пользы и возможного риска. По данным клинического исследования, при вакцинации у 12&amp;nbsp;серонегативных кормящих матерей, в грудном молоке не было обнаружено следов вируса, содержащегося в вакцине; все дети остались серонегативными.&lt;/p&gt;</t>
  </si>
  <si>
    <t>Из-за ограниченного количества данных по применению вакцины у беременных женщин, ее использование во время беременности не рекомендуется.
Неизвестно, выделяется ли вакцина с грудным молоком.
Решение о вакцинации женщин в период беременности и лактации следует принимать только на основании оценки реальной опасности пневмококковой инфекции.
Применение вакцины возможно только при явной необходимости и в тех случаях, когда потенциальная польза для матери превышает возможный риск для плода или ребенка.</t>
  </si>
  <si>
    <t>&lt;p&gt;Из-за ограниченного количества данных по применению вакцины у беременных женщин, ее использование во время беременности не рекомендуется.&lt;br&gt;
Неизвестно, выделяется ли вакцина с грудным молоком.&lt;br&gt;
Решение о вакцинации женщин в период беременности и лактации следует принимать только на основании оценки реальной опасности пневмококковой инфекции.&lt;br&gt;
Применение вакцины возможно только при явной необходимости и в тех случаях, когда потенциальная польза для матери превышает возможный риск для плода или ребенка.&lt;/p&gt;</t>
  </si>
  <si>
    <r>
      <rPr>
        <i/>
        <sz val="10"/>
        <color theme="1"/>
        <rFont val="Arial"/>
      </rPr>
      <t>Фертильность</t>
    </r>
    <r>
      <rPr>
        <sz val="10"/>
        <color theme="1"/>
        <rFont val="Arial"/>
      </rPr>
      <t xml:space="preserve">
Данные по фертильности у человека, а также результаты исследований фертильности у животных отсутствуют.
</t>
    </r>
    <r>
      <rPr>
        <i/>
        <sz val="10"/>
        <color theme="1"/>
        <rFont val="Arial"/>
      </rPr>
      <t>Беременность</t>
    </r>
    <r>
      <rPr>
        <sz val="10"/>
        <color theme="1"/>
        <rFont val="Arial"/>
      </rPr>
      <t xml:space="preserve">
Введение препарата ВАРИВАКС противопоказано в период беременности.
Исследований препарата ВАРИВАКС у беременных женщин, а также исследований беременности у животных не проводилось.
Тем не менее, не было зарегистрировано случаев повреждения плода при введении вакцины для профилактики ветряной оспы (живой, аттенуированной) беременным женщинам. Не следует допускать наступления беременности в течение 3 месяцев после вакцинации. Женщинам, планирующим беременность, следует рекомендовать отложить наступление беременности.
</t>
    </r>
    <r>
      <rPr>
        <i/>
        <sz val="10"/>
        <color theme="1"/>
        <rFont val="Arial"/>
      </rPr>
      <t>Лактация</t>
    </r>
    <r>
      <rPr>
        <sz val="10"/>
        <color theme="1"/>
        <rFont val="Arial"/>
      </rPr>
      <t xml:space="preserve">
Введение препарата ВАРИВАКС противопоказано в период грудного вскармливания. Данные о применении во время лактации у человека, а также результаты исследований лактации у животных отсутствуют.
</t>
    </r>
    <r>
      <rPr>
        <i/>
        <sz val="10"/>
        <color theme="1"/>
        <rFont val="Arial"/>
      </rPr>
      <t>Женщины с детородным потенциалом</t>
    </r>
    <r>
      <rPr>
        <sz val="10"/>
        <color theme="1"/>
        <rFont val="Arial"/>
      </rPr>
      <t xml:space="preserve">
Женщины с детородным потенциалом должны использовать надежные методы контрацепции в течение 3 месяцев после введения препарата ВАРИВАКС.</t>
    </r>
  </si>
  <si>
    <r>
      <rPr>
        <i/>
        <sz val="10"/>
        <color theme="1"/>
        <rFont val="Arial"/>
      </rPr>
      <t>&lt;p&gt;&lt;i&gt;Фертильность</t>
    </r>
    <r>
      <rPr>
        <sz val="10"/>
        <color theme="1"/>
        <rFont val="Arial"/>
      </rPr>
      <t xml:space="preserve">&lt;/i&gt;&lt;br&gt;
Данные по фертильности у человека, а также результаты исследований фертильности у животных отсутствуют.&lt;br&gt;&lt;br&gt;
</t>
    </r>
    <r>
      <rPr>
        <i/>
        <sz val="10"/>
        <color theme="1"/>
        <rFont val="Arial"/>
      </rPr>
      <t>&lt;i&gt;Беременность</t>
    </r>
    <r>
      <rPr>
        <sz val="10"/>
        <color theme="1"/>
        <rFont val="Arial"/>
      </rPr>
      <t xml:space="preserve">&lt;/i&gt;&lt;br&gt;
Введение препарата ВАРИВАКС противопоказано в период беременности.&lt;br&gt;
Исследований препарата ВАРИВАКС у беременных женщин, а также исследований беременности у животных не проводилось.&lt;br&gt;
Тем не менее, не было зарегистрировано случаев повреждения плода при введении вакцины для профилактики ветряной оспы (живой, аттенуированной) беременным женщинам. Не следует допускать наступления беременности в течение 3&amp;nbsp;месяцев после вакцинации. Женщинам, планирующим беременность, следует рекомендовать отложить наступление беременности.&lt;br&gt;&lt;br&gt;
</t>
    </r>
    <r>
      <rPr>
        <i/>
        <sz val="10"/>
        <color theme="1"/>
        <rFont val="Arial"/>
      </rPr>
      <t>&lt;i&gt;Лактация</t>
    </r>
    <r>
      <rPr>
        <sz val="10"/>
        <color theme="1"/>
        <rFont val="Arial"/>
      </rPr>
      <t xml:space="preserve">&lt;/i&gt;&lt;br&gt;
Введение препарата ВАРИВАКС противопоказано в период грудного вскармливания. Данные о применении во время лактации у человека, а также результаты исследований лактации у животных отсутствуют.&lt;br&gt;&lt;br&gt;
</t>
    </r>
    <r>
      <rPr>
        <i/>
        <sz val="10"/>
        <color theme="1"/>
        <rFont val="Arial"/>
      </rPr>
      <t>&lt;i&gt;Женщины с детородным потенциалом</t>
    </r>
    <r>
      <rPr>
        <sz val="10"/>
        <color theme="1"/>
        <rFont val="Arial"/>
      </rPr>
      <t>&lt;/i&gt;&lt;br&gt;
Женщины с детородным потенциалом должны использовать надежные методы контрацепции в течение 3&amp;nbsp;месяцев после введения препарата ВАРИВАКС.&lt;/p&gt;</t>
    </r>
  </si>
  <si>
    <r>
      <rPr>
        <i/>
        <sz val="10"/>
        <color theme="1"/>
        <rFont val="Arial"/>
      </rPr>
      <t>Беременность</t>
    </r>
    <r>
      <rPr>
        <sz val="10"/>
        <color theme="1"/>
        <rFont val="Arial"/>
      </rPr>
      <t xml:space="preserve">
Безопасность применения вакцины во время беременности не установлена. Данные о применении препарата ПНЕМОТЕКС в период беременности отсутствуют. В качестве меры предосторожности, желательно избегать использования препарата ПНЕМОТЕКС в период беременности.
</t>
    </r>
    <r>
      <rPr>
        <i/>
        <sz val="10"/>
        <color theme="1"/>
        <rFont val="Arial"/>
      </rPr>
      <t>Лактация</t>
    </r>
    <r>
      <rPr>
        <sz val="10"/>
        <color theme="1"/>
        <rFont val="Arial"/>
      </rPr>
      <t xml:space="preserve">
Неизвестно, выделяется ли вакцинный антиген или антитела в грудное молоко. В качестве меры предосторожности, желательно избегать использования препарата ПНЕМОТЕКС в период грудного вскармливания.</t>
    </r>
  </si>
  <si>
    <r>
      <rPr>
        <i/>
        <sz val="10"/>
        <color theme="1"/>
        <rFont val="Arial"/>
      </rPr>
      <t>&lt;p&gt;&lt;i&gt;Беременность&lt;/i&gt;&lt;br&gt;</t>
    </r>
    <r>
      <rPr>
        <sz val="10"/>
        <color theme="1"/>
        <rFont val="Arial"/>
      </rPr>
      <t xml:space="preserve">
Безопасность применения вакцины во время беременности не установлена. Данные о применении препарата ПНЕМОТЕКС в период беременности отсутствуют. В качестве меры предосторожности, желательно избегать использования препарата ПНЕМОТЕКС в период беременности.&lt;br&gt;&lt;br&gt;
</t>
    </r>
    <r>
      <rPr>
        <i/>
        <sz val="10"/>
        <color theme="1"/>
        <rFont val="Arial"/>
      </rPr>
      <t>&lt;i&gt;Лактация&lt;/i&gt;&lt;br&gt;</t>
    </r>
    <r>
      <rPr>
        <sz val="10"/>
        <color theme="1"/>
        <rFont val="Arial"/>
      </rPr>
      <t xml:space="preserve">
Неизвестно, выделяется ли вакцинный антиген или антитела в грудное молоко. В качестве меры предосторожности, желательно избегать использования препарата ПНЕМОТЕКС в период грудного вскармливания.&lt;/p&gt;</t>
    </r>
  </si>
  <si>
    <t>Вакцинацию женщин в детородном возрасте проводят при отсутствии беременности и только в том случае, если женщина согласна предохраняться от зачатия в течение трех месяцев после прививки. Кормящие женщины могут быть привиты, если польза от вакцинации преобладает над возможным риском.</t>
  </si>
  <si>
    <t>&lt;p&gt;Вакцинацию женщин в детородном возрасте проводят при отсутствии беременности и только в том случае, если женщина согласна предохраняться от зачатия в течение трех месяцев после прививки. Кормящие женщины могут быть привиты, если польза от вакцинации преобладает над возможным риском.&lt;/p&gt;</t>
  </si>
  <si>
    <t>https://grls.rosminzdrav.ru/InstrImg/2021/04/08/1467900/ea2f5550-f9f6-4b5f-918d-7101ffaea430.pdf</t>
  </si>
  <si>
    <r>
      <rPr>
        <i/>
        <sz val="10"/>
        <color theme="1"/>
        <rFont val="Arial"/>
      </rPr>
      <t>Беременность</t>
    </r>
    <r>
      <rPr>
        <sz val="10"/>
        <color theme="1"/>
        <rFont val="Arial"/>
      </rPr>
      <t xml:space="preserve">
Данные о применении вакцины МенКвадфи у беременных женщин ограничены.
Исследования у животных не выявили прямого или опосредованного отрицательного влияния вакцины МенКвадфи на репродуктивную функцию.
Вакцину МенКвадфи следует применять в период беременности только, если ожидаемая польза вакцинации для беременной женщины превышает потенциальные риски, в том числе относящиеся к плоду.
</t>
    </r>
    <r>
      <rPr>
        <i/>
        <sz val="10"/>
        <color theme="1"/>
        <rFont val="Arial"/>
      </rPr>
      <t>Лактация</t>
    </r>
    <r>
      <rPr>
        <sz val="10"/>
        <color theme="1"/>
        <rFont val="Arial"/>
      </rPr>
      <t xml:space="preserve">
Данные о возможном проникновении компонентов вакцины МенКвадфи в грудное молоко, отсутствуют. Вакцину МенКвадфи следует применять в период грудного вскармливания, если ожидаемая польза вакцинации для беременной женщины превышает потенциальные риски.
</t>
    </r>
    <r>
      <rPr>
        <i/>
        <sz val="10"/>
        <color theme="1"/>
        <rFont val="Arial"/>
      </rPr>
      <t>Фертильность</t>
    </r>
    <r>
      <rPr>
        <sz val="10"/>
        <color theme="1"/>
        <rFont val="Arial"/>
      </rPr>
      <t xml:space="preserve">
В проведенном исследовании репродуктивной токсичности и влияния вакцины МенКвадфи на развитие плода у кроликов не было получено данных об отрицательном влиянии вакцины на фертильность самок или их способность к спариванию. Исследований влияния вакцины на фертильность самцов кроликов не проводилось.</t>
    </r>
  </si>
  <si>
    <r>
      <rPr>
        <i/>
        <sz val="10"/>
        <color theme="1"/>
        <rFont val="Arial"/>
      </rPr>
      <t>&lt;p&gt;&lt;i&gt;Беременность&lt;/i&gt;&lt;br&gt;</t>
    </r>
    <r>
      <rPr>
        <sz val="10"/>
        <color theme="1"/>
        <rFont val="Arial"/>
      </rPr>
      <t xml:space="preserve">
Данные о применении вакцины МенКвадфи у беременных женщин ограничены.&lt;br&gt;
Исследования у животных не выявили прямого или опосредованного отрицательного влияния вакцины МенКвадфи на репродуктивную функцию.&lt;br&gt;
Вакцину МенКвадфи следует применять в период беременности только, если ожидаемая польза вакцинации для беременной женщины превышает потенциальные риски, в том числе относящиеся к плоду.&lt;br&gt;&lt;br&gt;
</t>
    </r>
    <r>
      <rPr>
        <i/>
        <sz val="10"/>
        <color theme="1"/>
        <rFont val="Arial"/>
      </rPr>
      <t>&lt;i&gt;Лактация</t>
    </r>
    <r>
      <rPr>
        <sz val="10"/>
        <color theme="1"/>
        <rFont val="Arial"/>
      </rPr>
      <t xml:space="preserve">&lt;/i&gt;&lt;br&gt;
Данные о возможном проникновении компонентов вакцины МенКвадфи в грудное молоко, отсутствуют. Вакцину МенКвадфи следует применять в период грудного вскармливания, если ожидаемая польза вакцинации для беременной женщины превышает потенциальные риски.&lt;br&gt;&lt;br&gt;
</t>
    </r>
    <r>
      <rPr>
        <i/>
        <sz val="10"/>
        <color theme="1"/>
        <rFont val="Arial"/>
      </rPr>
      <t>&lt;i&gt;Фертильность</t>
    </r>
    <r>
      <rPr>
        <sz val="10"/>
        <color theme="1"/>
        <rFont val="Arial"/>
      </rPr>
      <t>&lt;/i&gt;&lt;br&gt;
В проведенном исследовании репродуктивной токсичности и влияния вакцины МенКвадфи на развитие плода у кроликов не было получено данных об отрицательном влиянии вакцины на фертильность самок или их способность к спариванию. Исследований влияния вакцины на фертильность самцов кроликов не проводилось.&lt;/p&gt;</t>
    </r>
  </si>
  <si>
    <r>
      <rPr>
        <i/>
        <sz val="10"/>
        <color theme="1"/>
        <rFont val="Arial"/>
      </rPr>
      <t>Беременность</t>
    </r>
    <r>
      <rPr>
        <sz val="10"/>
        <color theme="1"/>
        <rFont val="Arial"/>
      </rPr>
      <t xml:space="preserve">
Клинических данных по безопасности применения вакцины у беременных женщин недостаточно.
Потенциальный риск для беременных женщин неизвестен. Тем не менее, не следует откладывать вакцинацию, если существует явный риск контакта с менингококковой инфекцией.
В исследованиях на самках кролика не получено доказательств токсичности для организма матери или плода, а также влияния на беременность, поведение матери, женскую фертильность или постнатальное развитие после введения вакцины Бексеро в дозе, примерно в 10 раз превышающей эквивалент дозы для введения человеку, рассчитанный на основании массы тела.
</t>
    </r>
    <r>
      <rPr>
        <i/>
        <sz val="10"/>
        <color theme="1"/>
        <rFont val="Arial"/>
      </rPr>
      <t>Кормление грудью</t>
    </r>
    <r>
      <rPr>
        <sz val="10"/>
        <color theme="1"/>
        <rFont val="Arial"/>
      </rPr>
      <t xml:space="preserve">
Информация по безопасности вакцины для женщин и их детей в период грудного вскармливания отсутствует. До принятия решения о проведении иммунизации во время грудного вскармливания должно быть оценено соотношение пользы и риска.
У самок кроликов, вакцинированных во время беременности, или у их потомства в течение 29 дней лактации каких-либо нежелательных реакций не наблюдалось. Иммунный ответ на вакцину Бексеро наблюдался у самок животных, вакцинированных до начала лактации, у их потомства были обнаружены антитела, но в молоке самок уровень антител не определялся.
</t>
    </r>
    <r>
      <rPr>
        <i/>
        <sz val="10"/>
        <color theme="1"/>
        <rFont val="Arial"/>
      </rPr>
      <t>Фертильность</t>
    </r>
    <r>
      <rPr>
        <sz val="10"/>
        <color theme="1"/>
        <rFont val="Arial"/>
      </rPr>
      <t xml:space="preserve">
Данные о влиянии на фертильность у человека отсутствуют.
В исследованиях на животных не выявлено воздействия на фертильность женских особей.
В исследовании эмбриофетальной и онтогенетической токсичности при введении вакцины Бексеро кроликам внутримышечно за 35, 21 и 7 дней до спаривания и в 7 и 20 дни гестации какого-либо воздействия на способность к спариванию или фертильность у самок кроликов не выявлено. Влияние на фертильность у самцов в исследованиях на животных на изучали.</t>
    </r>
  </si>
  <si>
    <r>
      <rPr>
        <i/>
        <sz val="10"/>
        <color theme="1"/>
        <rFont val="Arial"/>
      </rPr>
      <t>&lt;p&gt;&lt;i&gt;Беременность</t>
    </r>
    <r>
      <rPr>
        <sz val="10"/>
        <color theme="1"/>
        <rFont val="Arial"/>
      </rPr>
      <t xml:space="preserve">&lt;/i&gt;&lt;br&gt;
Клинических данных по безопасности применения вакцины у беременных женщин недостаточно.&lt;br&gt;
Потенциальный риск для беременных женщин неизвестен. Тем не менее, не следует откладывать вакцинацию, если существует явный риск контакта с менингококковой инфекцией.&lt;br&gt;
В исследованиях на самках кролика не получено доказательств токсичности для организма матери или плода, а также влияния на беременность, поведение матери, женскую фертильность или постнатальное развитие после введения вакцины Бексеро в дозе, примерно в 10&amp;nbsp;раз превышающей эквивалент дозы для введения человеку, рассчитанный на основании массы тела.&lt;br&gt;&lt;br&gt;
</t>
    </r>
    <r>
      <rPr>
        <i/>
        <sz val="10"/>
        <color theme="1"/>
        <rFont val="Arial"/>
      </rPr>
      <t>&lt;i&gt;Кормление грудью</t>
    </r>
    <r>
      <rPr>
        <sz val="10"/>
        <color theme="1"/>
        <rFont val="Arial"/>
      </rPr>
      <t xml:space="preserve">&lt;/i&gt;&lt;br&gt;
Информация по безопасности вакцины для женщин и их детей в период грудного вскармливания отсутствует. До принятия решения о проведении иммунизации во время грудного вскармливания должно быть оценено соотношение пользы и риска.&lt;br&gt;
У самок кроликов, вакцинированных во время беременности, или у их потомства в течение 29&amp;nbsp;дней лактации каких-либо нежелательных реакций не наблюдалось. Иммунный ответ на вакцину Бексеро наблюдался у самок животных, вакцинированных до начала лактации, у их потомства были обнаружены антитела, но в молоке самок уровень антител не определялся.&lt;br&gt;&lt;br&gt;
</t>
    </r>
    <r>
      <rPr>
        <i/>
        <sz val="10"/>
        <color theme="1"/>
        <rFont val="Arial"/>
      </rPr>
      <t>&lt;i&gt;Фертильность</t>
    </r>
    <r>
      <rPr>
        <sz val="10"/>
        <color theme="1"/>
        <rFont val="Arial"/>
      </rPr>
      <t>&lt;/i&gt;&lt;br&gt;
Данные о влиянии на фертильность у человека отсутствуют.&lt;br&gt;
В исследованиях на животных не выявлено воздействия на фертильность женских особей.&lt;br&gt;
В исследовании эмбриофетальной и онтогенетической токсичности при введении вакцины Бексеро кроликам внутримышечно за 35, 21 и 7&amp;nbsp;дней до спаривания и в 7 и 20&amp;nbsp;дни гестации какого-либо воздействия на способность к спариванию или фертильность у самок кроликов не выявлено. Влияние на фертильность у самцов в исследованиях на животных на изучали.&lt;/p&gt;</t>
    </r>
  </si>
  <si>
    <t>Лекарственный препарат «Гам-КОВИД-Вак-Д Комбинированная векторная вакцина для профилактики коронавирусной инфекции, вызываемой вирусом SARS-CoV-2», предназначен только для детей. Нет данных о применении лекарственного препарата у беременных женщин и в период грудного вскармливания.</t>
  </si>
  <si>
    <t>&lt;p&gt;Лекарственный препарат «Гам-КОВИД-Вак-Д Комбинированная векторная вакцина для профилактики коронавирусной инфекции, вызываемой вирусом SARS-CoV-2», предназначен только для детей. Нет данных о применении лекарственного препарата у беременных женщин и в период грудного вскармливания.&lt;/p&gt;</t>
  </si>
  <si>
    <t>Клинические исследования безопасности применения вакцины Энцепур взрослый для беременных и кормящих женщин не проводились.
Вакцинация беременных и кормящих женщин может быть осуществлена только после тщательного определения риска их возможного заражения вирусом КЭ.</t>
  </si>
  <si>
    <t>&lt;p&gt;Клинические исследования безопасности применения вакцины Энцепур&amp;nbsp;взрослый для беременных и кормящих женщин не проводились.&lt;br&gt;&lt;br&gt;
Вакцинация беременных и кормящих женщин может быть осуществлена только после тщательного определения риска их возможного заражения вирусом КЭ.&lt;/p&gt;</t>
  </si>
  <si>
    <t>Достаточные данные по применению вакцины во время беременности отсутствуют. В исследованиях на животных не было получено достаточных данных о влиянии препарата ПолиовакСин на беременность, развитие эмбриона и плода, роды и постнатальное развитие.
Клинические исследования безопасности применения вакцины ПолиовакСин для беременных и кормящих женщин не проводились. Потенциальный риск неизвестен.
Грудное вскармливание не является противопоказанием к вакцинации.
Вакцина должна назначаться беременным и кормящим женщинам только после тщательной оценки риска и пользы вакцинации.</t>
  </si>
  <si>
    <t>&lt;p&gt;Достаточные данные по применению вакцины во время беременности отсутствуют. В исследованиях на животных не было получено достаточных данных о влиянии препарата ПолиовакСин на беременность, развитие эмбриона и плода, роды и постнатальное развитие.&lt;br&gt;
Клинические исследования безопасности применения вакцины ПолиовакСин для беременных и кормящих женщин не проводились. Потенциальный риск неизвестен.&lt;br&gt;
Грудное вскармливание не является противопоказанием к вакцинации.&lt;br&gt;
Вакцина должна назначаться беременным и кормящим женщинам только после тщательной оценки риска и пользы вакцинации.&lt;/p&gt;</t>
  </si>
  <si>
    <t>Поскольку вакцина Акт-Хиб применяется для вакцинации детей, то данные о влиянии препарата на течение беременности и кормление грудью очень ограничены. Неизвестно, выделяется ли вакцина с грудным молоком.</t>
  </si>
  <si>
    <t>&lt;p&gt;Поскольку вакцина Акт-Хиб применяется для вакцинации детей, то данные о влиянии препарата на течение беременности и кормление грудью очень ограничены. Неизвестно, выделяется ли вакцина с грудным молоком.&lt;/p&gt;</t>
  </si>
  <si>
    <r>
      <rPr>
        <i/>
        <sz val="10"/>
        <color theme="1"/>
        <rFont val="Arial"/>
      </rPr>
      <t>Беременность</t>
    </r>
    <r>
      <rPr>
        <sz val="10"/>
        <color theme="1"/>
        <rFont val="Arial"/>
      </rPr>
      <t xml:space="preserve">
Препарат предназначен для применения у детей.
Данные по применению вакцины у человека во время беременности отсутствуют, исследования влияния на репродуктивную функцию у животных не проводились.
</t>
    </r>
    <r>
      <rPr>
        <i/>
        <sz val="10"/>
        <color theme="1"/>
        <rFont val="Arial"/>
      </rPr>
      <t>Период грудного вскармливания</t>
    </r>
    <r>
      <rPr>
        <sz val="10"/>
        <color theme="1"/>
        <rFont val="Arial"/>
      </rPr>
      <t xml:space="preserve">
Препарат предназначен для применения у детей.
Данные по применению вакцины у человека в период грудного вскармливания отсутствуют, исследования влияния на репродуктивную функцию у животных не проводились.</t>
    </r>
  </si>
  <si>
    <r>
      <rPr>
        <i/>
        <sz val="10"/>
        <color theme="1"/>
        <rFont val="Arial"/>
      </rPr>
      <t>&lt;p&gt;&lt;i&gt;Беременность</t>
    </r>
    <r>
      <rPr>
        <sz val="10"/>
        <color theme="1"/>
        <rFont val="Arial"/>
      </rPr>
      <t xml:space="preserve">&lt;/i&gt;&lt;br&gt;
Препарат предназначен для применения у детей.&lt;br&gt;
Данные по применению вакцины у человека во время беременности отсутствуют, исследования влияния на репродуктивную функцию у животных не проводились.&lt;br&gt;&lt;br&gt;
</t>
    </r>
    <r>
      <rPr>
        <i/>
        <sz val="10"/>
        <color theme="1"/>
        <rFont val="Arial"/>
      </rPr>
      <t>&lt;i&gt;Период грудного вскармливания</t>
    </r>
    <r>
      <rPr>
        <sz val="10"/>
        <color theme="1"/>
        <rFont val="Arial"/>
      </rPr>
      <t>&lt;/i&gt;&lt;br&gt;
Препарат предназначен для применения у детей.&lt;br&gt;
Данные по применению вакцины у человека в период грудного вскармливания отсутствуют, исследования влияния на репродуктивную функцию у животных не проводились.&lt;/p&gt;</t>
    </r>
  </si>
  <si>
    <t>https://grls.rosminzdrav.ru/InstrImg/2020/12/15/1464278/%D0%9F_N015829_01[2016]_5.pdf</t>
  </si>
  <si>
    <t>Достоверные данные о применении препарата ФСМЕ-ИММУН® Джуниор (Вакцина клещевого энцефалита культуральная инактивированная очищенная сорбированная) беременными или кормящими женщинами отсутствуют. Неизвестно, экскретируется ли препарат в грудное молоко. Врач должен внимательно оценить возможность применения препарата на основании отношения вероятного риска к ожидаемой пользе и только по неотложным показаниям. Применение препарата ФСМЕ-ИММУН® Джуниор (Вакцина клещевого энцефалита культуральная инактивированная очищенная сорбированная) во время беременности или в период кормления грудью допускается только в случае необходимости срочной инициации иммунной защиты против клещевого энцефалита.</t>
  </si>
  <si>
    <t>&lt;p&gt;Достоверные данные о применении препарата ФСМЕ-ИММУН®&amp;nbsp;Джуниор (Вакцина клещевого энцефалита культуральная инактивированная очищенная сорбированная) беременными или кормящими женщинами отсутствуют. Неизвестно, экскретируется ли препарат в грудное молоко. Врач должен внимательно оценить возможность применения препарата на основании отношения вероятного риска к ожидаемой пользе и только по неотложным показаниям. Применение препарата ФСМЕ-ИММУН®&amp;nbsp;Джуниор (Вакцина клещевого энцефалита культуральная инактивированная очищенная сорбированная) во время беременности или в период кормления грудью допускается только в случае необходимости срочной инициации иммунной защиты против клещевого энцефалита.&lt;/p&gt;</t>
  </si>
  <si>
    <t>Достоверные данные о применении препарата ФСМЕ-ИММУН® беременными или кормящими женщинами отсутствуют. Неизвестно, экскретируется ли вакцина клещевого энцефалита в грудное молоко. Врач должен внимательно оценить возможность применения препарата на основании отношения вероятного риска к ожидаемой пользе и только по неотложным показаниям. Применение препарата ФСМЕ-ИММУН® во время беременности или в период кормления грудью допускается только в случае необходимости срочной инициации иммунной защиты против инфекции клещевого энцефалита.
Воздействие препарата ФСМЕ-ИММУН® на репродуктивную функцию не установлено.</t>
  </si>
  <si>
    <t>&lt;p&gt;Достоверные данные о применении препарата ФСМЕ-ИММУН® беременными или кормящими женщинами отсутствуют. Неизвестно, экскретируется ли вакцина клещевого энцефалита в грудное молоко. Врач должен внимательно оценить возможность применения препарата на основании отношения вероятного риска к ожидаемой пользе и только по неотложным показаниям. Применение препарата ФСМЕ-ИММУН® во время беременности или в период кормления грудью допускается только в случае необходимости срочной инициации иммунной защиты против инфекции клещевого энцефалита.&lt;br&gt;&lt;br&gt;
Воздействие препарата ФСМЕ-ИММУН® на репродуктивную функцию не установлено.&lt;/p&gt;</t>
  </si>
  <si>
    <r>
      <rPr>
        <i/>
        <sz val="10"/>
        <color theme="1"/>
        <rFont val="Arial"/>
      </rPr>
      <t>Беременность</t>
    </r>
    <r>
      <rPr>
        <sz val="10"/>
        <color theme="1"/>
        <rFont val="Arial"/>
      </rPr>
      <t xml:space="preserve">
Безопасность применения во время беременности не установлена. Влияние вакцины на плод и репродуктивную функцию не изучено. Данные о применении в период беременности отсутствуют.
Возможность вакцинации беременной женщины может быть рассмотрена только при крайне высоком риске инфицирования, в том случае, если ожидаемая польза для матери превышает потенциальный риск для плода.
</t>
    </r>
    <r>
      <rPr>
        <i/>
        <sz val="10"/>
        <color theme="1"/>
        <rFont val="Arial"/>
      </rPr>
      <t>Период грудного вскармливания</t>
    </r>
    <r>
      <rPr>
        <sz val="10"/>
        <color theme="1"/>
        <rFont val="Arial"/>
      </rPr>
      <t xml:space="preserve">
Данные по применению в период грудного вскармливания отсутствуют. Неизвестно, проникает ли вакцинный антиген или антитела в грудное молоко. Возможность вакцинации кормящей женщины может быть рассмотрена только при крайне высоком риске инфицирования. В этом случае по решению врача и с учетом пользы грудного вскармливания для ребенка и пользы вакцинации для матери следует либо прекратить грудное вскармливание, либо воздержаться от вакцинации.</t>
    </r>
  </si>
  <si>
    <r>
      <rPr>
        <i/>
        <sz val="10"/>
        <color theme="1"/>
        <rFont val="Arial"/>
      </rPr>
      <t>&lt;p&gt;&lt;i&gt;Беременность</t>
    </r>
    <r>
      <rPr>
        <sz val="10"/>
        <color theme="1"/>
        <rFont val="Arial"/>
      </rPr>
      <t xml:space="preserve">&lt;/i&gt;&lt;br&gt;
Безопасность применения во время беременности не установлена. Влияние вакцины на плод и репродуктивную функцию не изучено. Данные о применении в период беременности отсутствуют.&lt;br&gt;
Возможность вакцинации беременной женщины может быть рассмотрена только при крайне высоком риске инфицирования, в том случае, если ожидаемая польза для матери превышает потенциальный риск для плода.&lt;br&gt;&lt;br&gt;
</t>
    </r>
    <r>
      <rPr>
        <i/>
        <sz val="10"/>
        <color theme="1"/>
        <rFont val="Arial"/>
      </rPr>
      <t>&lt;i&gt;Период грудного вскармливания&lt;/i&gt;&lt;br&gt;</t>
    </r>
    <r>
      <rPr>
        <sz val="10"/>
        <color theme="1"/>
        <rFont val="Arial"/>
      </rPr>
      <t xml:space="preserve">
Данные по применению в период грудного вскармливания отсутствуют. Неизвестно, проникает ли вакцинный антиген или антитела в грудное молоко. Возможность вакцинации кормящей женщины может быть рассмотрена только при крайне высоком риске инфицирования. В этом случае по решению врача и с учетом пользы грудного вскармливания для ребенка и пользы вакцинации для матери следует либо прекратить грудное вскармливание, либо воздержаться от вакцинации.&lt;/p&gt;</t>
    </r>
  </si>
  <si>
    <t>Не применимо. Препарат применяется у детей в соответствии с Национальным календарем профилактических прививок Российской Федерации.</t>
  </si>
  <si>
    <t>&lt;p&gt;Не применимо. Препарат применяется у детей в соответствии с Национальным календарем профилактических прививок Российской Федерации.&lt;/p&gt;</t>
  </si>
  <si>
    <r>
      <rPr>
        <i/>
        <sz val="10"/>
        <color theme="1"/>
        <rFont val="Arial"/>
      </rPr>
      <t>Беременность</t>
    </r>
    <r>
      <rPr>
        <sz val="10"/>
        <color theme="1"/>
        <rFont val="Arial"/>
      </rPr>
      <t xml:space="preserve">
Данные по применению вакцины Шингрикс у беременных женщин отсутствуют. В рамках доклинических исследований вакцины Шингрикс у самок крыс не было выявлено каких-либо нежелательных эффектов в отношении беременности.
</t>
    </r>
    <r>
      <rPr>
        <i/>
        <sz val="10"/>
        <color theme="1"/>
        <rFont val="Arial"/>
      </rPr>
      <t>Лактация</t>
    </r>
    <r>
      <rPr>
        <sz val="10"/>
        <color theme="1"/>
        <rFont val="Arial"/>
      </rPr>
      <t xml:space="preserve">
Влияние вакцины Шингрикс на детей, находящихся на грудном вскармливании, при введении вакцины их матерям, не изучалось. Сведения о проникновении вакцины Шингрикс в грудное молоко человека отсутствуют.
</t>
    </r>
    <r>
      <rPr>
        <i/>
        <sz val="10"/>
        <color theme="1"/>
        <rFont val="Arial"/>
      </rPr>
      <t>Фертильность</t>
    </r>
    <r>
      <rPr>
        <sz val="10"/>
        <color theme="1"/>
        <rFont val="Arial"/>
      </rPr>
      <t xml:space="preserve">
В исследованиях на животных не было выявлено влияния вакцины Шингрикс на фертильность самцов или самок.</t>
    </r>
  </si>
  <si>
    <r>
      <rPr>
        <i/>
        <sz val="10"/>
        <color theme="1"/>
        <rFont val="Arial"/>
      </rPr>
      <t>&lt;p&gt;&lt;i&gt;Беременность</t>
    </r>
    <r>
      <rPr>
        <sz val="10"/>
        <color theme="1"/>
        <rFont val="Arial"/>
      </rPr>
      <t xml:space="preserve">&lt;/i&gt;&lt;br&gt;
Данные по применению вакцины Шингрикс у беременных женщин отсутствуют. В рамках доклинических исследований вакцины Шингрикс у самок крыс не было выявлено каких-либо нежелательных эффектов в отношении беременности.&lt;br&gt;&lt;br&gt;
</t>
    </r>
    <r>
      <rPr>
        <i/>
        <sz val="10"/>
        <color theme="1"/>
        <rFont val="Arial"/>
      </rPr>
      <t>&lt;i&gt;Лактация&lt;/i&gt;&lt;br&gt;</t>
    </r>
    <r>
      <rPr>
        <sz val="10"/>
        <color theme="1"/>
        <rFont val="Arial"/>
      </rPr>
      <t xml:space="preserve">
Влияние вакцины Шингрикс на детей, находящихся на грудном вскармливании, при введении вакцины их матерям, не изучалось. Сведения о проникновении вакцины Шингрикс в грудное молоко человека отсутствуют.&lt;br&gt;&lt;br&gt;
</t>
    </r>
    <r>
      <rPr>
        <i/>
        <sz val="10"/>
        <color theme="1"/>
        <rFont val="Arial"/>
      </rPr>
      <t>&lt;i&gt;Фертильность&lt;/i&gt;&lt;br&gt;</t>
    </r>
    <r>
      <rPr>
        <sz val="10"/>
        <color theme="1"/>
        <rFont val="Arial"/>
      </rPr>
      <t xml:space="preserve">
В исследованиях на животных не было выявлено влияния вакцины Шингрикс на фертильность самцов или самок.&lt;/p&gt;</t>
    </r>
  </si>
  <si>
    <r>
      <rPr>
        <i/>
        <sz val="10"/>
        <color theme="1"/>
        <rFont val="Arial"/>
      </rPr>
      <t>Беременность</t>
    </r>
    <r>
      <rPr>
        <sz val="10"/>
        <color theme="1"/>
        <rFont val="Arial"/>
      </rPr>
      <t xml:space="preserve">
Применение препарата во время беременности противопоказано из-за теоретически возможного, но ни разу не подтвержденного риска тератогенного действия. Женщинам, которые планируют беременность, следует рекомендовать отложить наступление беременности и использовать эффективную контрацепцию в течение 1 месяца после вакцинации. Случайная вакцинация беременной женщины или наступление беременности ранее, чем через 1 месяц после вакцинации, не являются показаниями к прерыванию беременности.
</t>
    </r>
    <r>
      <rPr>
        <i/>
        <sz val="10"/>
        <color theme="1"/>
        <rFont val="Arial"/>
      </rPr>
      <t>Лактация</t>
    </r>
    <r>
      <rPr>
        <sz val="10"/>
        <color theme="1"/>
        <rFont val="Arial"/>
      </rPr>
      <t xml:space="preserve">
Неизвестно, выделяются ли вакцинные вирусы кори и паротита с грудным молоком. При иммунизации живой аттенуированной вакциной против краснухи женщин в период лактации вирус краснухи может определяться в грудном молоке и передаваться новорожденным. Случаи тяжелого течения заболевания у новорожденных с серологическими признаками инфицирования краснухой не встречались, однако у одного ребенка развилась типичная краснуха в легкой форме. Следует соблюдать осторожность при введении вакцины ТРИВЭЙД кормящим женщинам.
</t>
    </r>
    <r>
      <rPr>
        <i/>
        <sz val="10"/>
        <color theme="1"/>
        <rFont val="Arial"/>
      </rPr>
      <t>Фертильность</t>
    </r>
    <r>
      <rPr>
        <sz val="10"/>
        <color theme="1"/>
        <rFont val="Arial"/>
      </rPr>
      <t xml:space="preserve">
Данные отсутствуют.</t>
    </r>
  </si>
  <si>
    <r>
      <rPr>
        <i/>
        <sz val="10"/>
        <color theme="1"/>
        <rFont val="Arial"/>
      </rPr>
      <t>&lt;p&gt;&lt;i&gt;Беременность&lt;/i&gt;&lt;br&gt;</t>
    </r>
    <r>
      <rPr>
        <sz val="10"/>
        <color theme="1"/>
        <rFont val="Arial"/>
      </rPr>
      <t xml:space="preserve">
Применение препарата во время беременности противопоказано из-за теоретически возможного, но ни разу не подтвержденного риска тератогенного действия. Женщинам, которые планируют беременность, следует рекомендовать отложить наступление беременности и использовать эффективную контрацепцию в течение 1&amp;nbsp;месяца после вакцинации. Случайная вакцинация беременной женщины или наступление беременности ранее, чем через 1&amp;nbsp;месяц после вакцинации, не являются показаниями к прерыванию беременности.&lt;br&gt;&lt;br&gt;
</t>
    </r>
    <r>
      <rPr>
        <i/>
        <sz val="10"/>
        <color theme="1"/>
        <rFont val="Arial"/>
      </rPr>
      <t>&lt;i&gt;Лактация</t>
    </r>
    <r>
      <rPr>
        <sz val="10"/>
        <color theme="1"/>
        <rFont val="Arial"/>
      </rPr>
      <t xml:space="preserve">&lt;/i&gt;&lt;br&gt;
Неизвестно, выделяются ли вакцинные вирусы кори и паротита с грудным молоком. При иммунизации живой аттенуированной вакциной против краснухи женщин в период лактации вирус краснухи может определяться в грудном молоке и передаваться новорожденным. Случаи тяжелого течения заболевания у новорожденных с серологическими признаками инфицирования краснухой не встречались, однако у одного ребенка развилась типичная краснуха в легкой форме. Следует соблюдать осторожность при введении вакцины ТРИВЭЙД кормящим женщинам.&lt;br&gt;&lt;br&gt;
</t>
    </r>
    <r>
      <rPr>
        <i/>
        <sz val="10"/>
        <color theme="1"/>
        <rFont val="Arial"/>
      </rPr>
      <t>&lt;i&gt;Фертильность&lt;/i&gt;&lt;br&gt;</t>
    </r>
    <r>
      <rPr>
        <sz val="10"/>
        <color theme="1"/>
        <rFont val="Arial"/>
      </rPr>
      <t xml:space="preserve">
Данные отсутствуют.&lt;/p&gt;</t>
    </r>
  </si>
  <si>
    <t>Препарат Бэби-Хиб не предназначен для взрослых. Данные о применении во время беременности и лактации у человека отсутствуют.</t>
  </si>
  <si>
    <t>&lt;p&gt;Препарат Бэби-Хиб не предназначен для взрослых. Данные о применении во время беременности и лактации у человека отсутствуют.&lt;/p&gt;</t>
  </si>
  <si>
    <t>При беременности и в период лактации АС-анатоксин для доноров не применяется.
Нет данных о влиянии лекарственного препарата на фертильность человека.</t>
  </si>
  <si>
    <t>&lt;p&gt;При беременности и в период лактации АС-анатоксин для доноров не применяется.&lt;br&gt;&lt;br&gt;
Нет данных о влиянии лекарственного препарата на фертильность человека.&lt;/p&gt;</t>
  </si>
  <si>
    <r>
      <rPr>
        <i/>
        <sz val="10"/>
        <color theme="1"/>
        <rFont val="Arial"/>
      </rPr>
      <t>Беременность</t>
    </r>
    <r>
      <rPr>
        <sz val="10"/>
        <color theme="1"/>
        <rFont val="Arial"/>
      </rPr>
      <t xml:space="preserve">
Применение при беременности противопоказано.
</t>
    </r>
    <r>
      <rPr>
        <i/>
        <sz val="10"/>
        <color theme="1"/>
        <rFont val="Arial"/>
      </rPr>
      <t>Лактация</t>
    </r>
    <r>
      <rPr>
        <sz val="10"/>
        <color theme="1"/>
        <rFont val="Arial"/>
      </rPr>
      <t xml:space="preserve">
Применение в период грудного вскармливания противопоказано.
</t>
    </r>
    <r>
      <rPr>
        <i/>
        <sz val="10"/>
        <color theme="1"/>
        <rFont val="Arial"/>
      </rPr>
      <t>Фертильность</t>
    </r>
    <r>
      <rPr>
        <sz val="10"/>
        <color theme="1"/>
        <rFont val="Arial"/>
      </rPr>
      <t xml:space="preserve">
Нет данных о влиянии лекарственного препарата Вакцина оспенная живая на фертильность человека.</t>
    </r>
  </si>
  <si>
    <r>
      <rPr>
        <i/>
        <sz val="10"/>
        <color theme="1"/>
        <rFont val="Arial"/>
      </rPr>
      <t>&lt;p&gt;&lt;i&gt;Беременность&lt;/i&gt;&lt;br&gt;</t>
    </r>
    <r>
      <rPr>
        <sz val="10"/>
        <color theme="1"/>
        <rFont val="Arial"/>
      </rPr>
      <t xml:space="preserve">
Применение при беременности противопоказано.&lt;br&gt;&lt;br&gt;
</t>
    </r>
    <r>
      <rPr>
        <i/>
        <sz val="10"/>
        <color theme="1"/>
        <rFont val="Arial"/>
      </rPr>
      <t>&lt;i&gt;Лактация</t>
    </r>
    <r>
      <rPr>
        <sz val="10"/>
        <color theme="1"/>
        <rFont val="Arial"/>
      </rPr>
      <t xml:space="preserve">&lt;/i&gt;&lt;br&gt;
Применение в период грудного вскармливания противопоказано.&lt;br&gt;&lt;br&gt;
</t>
    </r>
    <r>
      <rPr>
        <i/>
        <sz val="10"/>
        <color theme="1"/>
        <rFont val="Arial"/>
      </rPr>
      <t>&lt;i&gt;Фертильность</t>
    </r>
    <r>
      <rPr>
        <sz val="10"/>
        <color theme="1"/>
        <rFont val="Arial"/>
      </rPr>
      <t>&lt;/i&gt;&lt;br&gt;
Нет данных о влиянии лекарственного препарата Вакцина оспенная живая на фертильность человека.&lt;/p&gt;</t>
    </r>
  </si>
  <si>
    <t>Не применимо. Препарат используется для вакцинации детей.</t>
  </si>
  <si>
    <t>&lt;p&gt;Не применимо. Препарат используется для вакцинации детей.&lt;/p&gt;</t>
  </si>
  <si>
    <r>
      <rPr>
        <i/>
        <sz val="10"/>
        <color theme="1"/>
        <rFont val="Arial"/>
      </rPr>
      <t>Беременность</t>
    </r>
    <r>
      <rPr>
        <sz val="10"/>
        <color theme="1"/>
        <rFont val="Arial"/>
      </rPr>
      <t xml:space="preserve">
Применение при беременности противопоказано (в данном случае — это строгое противопоказание [...]).
</t>
    </r>
    <r>
      <rPr>
        <i/>
        <sz val="10"/>
        <color theme="1"/>
        <rFont val="Arial"/>
      </rPr>
      <t>Лактация</t>
    </r>
    <r>
      <rPr>
        <sz val="10"/>
        <color theme="1"/>
        <rFont val="Arial"/>
      </rPr>
      <t xml:space="preserve">
Применение в период грудного вскармливания противопоказано (в данном случае — это строгое противопоказание [...]).
</t>
    </r>
    <r>
      <rPr>
        <i/>
        <sz val="10"/>
        <color theme="1"/>
        <rFont val="Arial"/>
      </rPr>
      <t>Фертильность</t>
    </r>
    <r>
      <rPr>
        <sz val="10"/>
        <color theme="1"/>
        <rFont val="Arial"/>
      </rPr>
      <t xml:space="preserve">
Нет данных о влиянии лекарственного препарата Вакцина Е сыпнотифозная комбинированная живая (ЖКСВ-Е) на фертильность человека.</t>
    </r>
  </si>
  <si>
    <r>
      <rPr>
        <i/>
        <sz val="10"/>
        <color theme="1"/>
        <rFont val="Arial"/>
      </rPr>
      <t>&lt;p&gt;&lt;i&gt;Беременность</t>
    </r>
    <r>
      <rPr>
        <sz val="10"/>
        <color theme="1"/>
        <rFont val="Arial"/>
      </rPr>
      <t xml:space="preserve">&lt;/i&gt;&lt;br&gt;
Применение при беременности противопоказано (в данном случае — это строгое противопоказание [...]).&lt;br&gt;&lt;br&gt;
</t>
    </r>
    <r>
      <rPr>
        <i/>
        <sz val="10"/>
        <color theme="1"/>
        <rFont val="Arial"/>
      </rPr>
      <t>&lt;i&gt;Лактация</t>
    </r>
    <r>
      <rPr>
        <sz val="10"/>
        <color theme="1"/>
        <rFont val="Arial"/>
      </rPr>
      <t xml:space="preserve">&lt;/i&gt;&lt;br&gt;
Применение в период грудного вскармливания противопоказано (в данном случае — это строгое противопоказание [...]).&lt;br&gt;&lt;br&gt;
</t>
    </r>
    <r>
      <rPr>
        <i/>
        <sz val="10"/>
        <color theme="1"/>
        <rFont val="Arial"/>
      </rPr>
      <t>&lt;i&gt;Фертильность</t>
    </r>
    <r>
      <rPr>
        <sz val="10"/>
        <color theme="1"/>
        <rFont val="Arial"/>
      </rPr>
      <t>&lt;/i&gt;&lt;br&gt;
Нет данных о влиянии лекарственного препарата Вакцина Е сыпнотифозная комбинированная живая (ЖКСВ-Е) на фертильность человека.&lt;/p&gt;</t>
    </r>
  </si>
  <si>
    <r>
      <rPr>
        <i/>
        <sz val="10"/>
        <color theme="1"/>
        <rFont val="Arial"/>
      </rPr>
      <t>Беременность</t>
    </r>
    <r>
      <rPr>
        <sz val="10"/>
        <color theme="1"/>
        <rFont val="Arial"/>
      </rPr>
      <t xml:space="preserve">
Применение при беременности противопоказано.
</t>
    </r>
    <r>
      <rPr>
        <i/>
        <sz val="10"/>
        <color theme="1"/>
        <rFont val="Arial"/>
      </rPr>
      <t>Лактация</t>
    </r>
    <r>
      <rPr>
        <sz val="10"/>
        <color theme="1"/>
        <rFont val="Arial"/>
      </rPr>
      <t xml:space="preserve">
Применение в период грудного вскармливания противопоказано.
</t>
    </r>
    <r>
      <rPr>
        <i/>
        <sz val="10"/>
        <color theme="1"/>
        <rFont val="Arial"/>
      </rPr>
      <t>Фертильность</t>
    </r>
    <r>
      <rPr>
        <sz val="10"/>
        <color theme="1"/>
        <rFont val="Arial"/>
      </rPr>
      <t xml:space="preserve">
Нет данных о влиянии лекарственного препарата ОспаВир на фертильность человека.</t>
    </r>
  </si>
  <si>
    <r>
      <rPr>
        <i/>
        <sz val="10"/>
        <color theme="1"/>
        <rFont val="Arial"/>
      </rPr>
      <t>&lt;p&gt;&lt;i&gt;Беременность</t>
    </r>
    <r>
      <rPr>
        <sz val="10"/>
        <color theme="1"/>
        <rFont val="Arial"/>
      </rPr>
      <t xml:space="preserve">&lt;/i&gt;&lt;br&gt;
Применение при беременности противопоказано.&lt;br&gt;&lt;br&gt;
</t>
    </r>
    <r>
      <rPr>
        <i/>
        <sz val="10"/>
        <color theme="1"/>
        <rFont val="Arial"/>
      </rPr>
      <t>&lt;i&gt;Лактация</t>
    </r>
    <r>
      <rPr>
        <sz val="10"/>
        <color theme="1"/>
        <rFont val="Arial"/>
      </rPr>
      <t xml:space="preserve">&lt;/i&gt;&lt;br&gt;
Применение в период грудного вскармливания противопоказано.&lt;br&gt;&lt;br&gt;
</t>
    </r>
    <r>
      <rPr>
        <i/>
        <sz val="10"/>
        <color theme="1"/>
        <rFont val="Arial"/>
      </rPr>
      <t>&lt;i&gt;Фертильность</t>
    </r>
    <r>
      <rPr>
        <sz val="10"/>
        <color theme="1"/>
        <rFont val="Arial"/>
      </rPr>
      <t>&lt;/i&gt;&lt;br&gt;
Нет данных о влиянии лекарственного препарата ОспаВир на фертильность человека.&lt;/p&gt;</t>
    </r>
  </si>
  <si>
    <t>Безопасность применения препарата при беременности и в период грудного вскармливания в процессе контролируемых клинических испытаний не исследовалась.
Применение препарата при беременности и в период грудного вскармливания возможно только в тех случаях, если потенциальная польза для матери превышает потенциальный риск для плода или новорожденного.</t>
  </si>
  <si>
    <t>&lt;p&gt;Безопасность применения препарата при беременности и в период грудного вскармливания в процессе контролируемых клинических испытаний не исследовалась.&lt;br&gt;
Применение препарата при беременности и в период грудного вскармливания возможно только в тех случаях, если потенциальная польза для матери превышает потенциальный риск для плода или новорожденного.&lt;/p&gt;</t>
  </si>
  <si>
    <r>
      <rPr>
        <i/>
        <sz val="10"/>
        <color theme="1"/>
        <rFont val="Arial"/>
      </rPr>
      <t>Беременность</t>
    </r>
    <r>
      <rPr>
        <sz val="10"/>
        <color theme="1"/>
        <rFont val="Arial"/>
      </rPr>
      <t xml:space="preserve">
Введение вакцины противопоказано при беременности.
Данные о применении вакцины ОртопоксВак у беременных женщин отсутствуют.
</t>
    </r>
    <r>
      <rPr>
        <i/>
        <sz val="10"/>
        <color theme="1"/>
        <rFont val="Arial"/>
      </rPr>
      <t>Грудное вскармливание</t>
    </r>
    <r>
      <rPr>
        <sz val="10"/>
        <color theme="1"/>
        <rFont val="Arial"/>
      </rPr>
      <t xml:space="preserve">
Введение вакцины противопоказано в период грудного вскармливания.
Сведения о проникновении вакцины ОртопоксВак в грудное молоко человека отсутствуют.
</t>
    </r>
    <r>
      <rPr>
        <i/>
        <sz val="10"/>
        <color theme="1"/>
        <rFont val="Arial"/>
      </rPr>
      <t>Фертильность</t>
    </r>
    <r>
      <rPr>
        <sz val="10"/>
        <color theme="1"/>
        <rFont val="Arial"/>
      </rPr>
      <t xml:space="preserve">
Доклинические исследования показали, что длительное введение вакцины ОртопоксВак в течение 15 дней самкам крыс и 48 дней самцам крыс в дозе, составляющей ½ от дозы, рекомендованной для введения человеку, не приводило к снижению показателей фертильности самцов и самок. Исследования репродуктивной токсичности на животных свидетельствуют об отсутствии репродуктивной токсичности.</t>
    </r>
  </si>
  <si>
    <r>
      <rPr>
        <i/>
        <sz val="10"/>
        <color theme="1"/>
        <rFont val="Arial"/>
      </rPr>
      <t>&lt;p&gt;&lt;i&gt;Беременность</t>
    </r>
    <r>
      <rPr>
        <sz val="10"/>
        <color theme="1"/>
        <rFont val="Arial"/>
      </rPr>
      <t xml:space="preserve">&lt;/i&gt;&lt;br&gt;
Введение вакцины противопоказано при беременности.&lt;br&gt;
Данные о применении вакцины ОртопоксВак у беременных женщин отсутствуют.&lt;br&gt;&lt;br&gt;
</t>
    </r>
    <r>
      <rPr>
        <i/>
        <sz val="10"/>
        <color theme="1"/>
        <rFont val="Arial"/>
      </rPr>
      <t>&lt;i&gt;Грудное вскармливание</t>
    </r>
    <r>
      <rPr>
        <sz val="10"/>
        <color theme="1"/>
        <rFont val="Arial"/>
      </rPr>
      <t xml:space="preserve">&lt;/i&gt;&lt;br&gt;
Введение вакцины противопоказано в период грудного вскармливания.&lt;br&gt;
Сведения о проникновении вакцины ОртопоксВак в грудное молоко человека отсутствуют.&lt;br&gt;&lt;br&gt;
</t>
    </r>
    <r>
      <rPr>
        <i/>
        <sz val="10"/>
        <color theme="1"/>
        <rFont val="Arial"/>
      </rPr>
      <t>&lt;i&gt;Фертильность</t>
    </r>
    <r>
      <rPr>
        <sz val="10"/>
        <color theme="1"/>
        <rFont val="Arial"/>
      </rPr>
      <t>&lt;/i&gt;&lt;br&gt;
Доклинические исследования показали, что длительное введение вакцины ОртопоксВак в течение 15&amp;nbsp;дней самкам крыс и 48&amp;nbsp;дней самцам крыс в дозе, составляющей ½ от дозы, рекомендованной для введения человеку, не приводило к снижению показателей фертильности самцов и самок. Исследования репродуктивной токсичности на животных свидетельствуют об отсутствии репродуктивной токсичности.&lt;/p&gt;</t>
    </r>
  </si>
  <si>
    <t>Препарат ФЛЕКСВАК противопоказан к применению при беременности и лактации.
Подобно другим инактивированным вакцинам, при непреднамеренной вакцинации беременной женщины вред для плода не ожидается.</t>
  </si>
  <si>
    <t>&lt;p&gt;Препарат ФЛЕКСВАК противопоказан к применению при беременности и лактации.&lt;br&gt;
Подобно другим инактивированным вакцинам, при непреднамеренной вакцинации беременной женщины вред для плода не ожидается.&lt;/p&gt;</t>
  </si>
  <si>
    <t>Применение вакцины желтой лихорадки противопоказано при беременности и в период грудного вскармливания.</t>
  </si>
  <si>
    <t>&lt;p&gt;Применение вакцины желтой лихорадки противопоказано при беременности и в период грудного вскармливания.&lt;/p&gt;</t>
  </si>
  <si>
    <t>Вакцину не следует вводить во время беременности.
Применение в период грудного вскармливания не изучено, клинических исследований не проводилось.</t>
  </si>
  <si>
    <t>&lt;p&gt;Вакцину не следует вводить во время беременности.&lt;br&gt;
Применение в период грудного вскармливания не изучено, клинических исследований не проводилось.&lt;/p&gt;</t>
  </si>
  <si>
    <r>
      <rPr>
        <i/>
        <sz val="10"/>
        <color theme="1"/>
        <rFont val="Arial"/>
      </rPr>
      <t>Беременность</t>
    </r>
    <r>
      <rPr>
        <sz val="10"/>
        <color theme="1"/>
        <rFont val="Arial"/>
      </rPr>
      <t xml:space="preserve">
Клинические исследования не проводилось.
</t>
    </r>
    <r>
      <rPr>
        <i/>
        <sz val="10"/>
        <color theme="1"/>
        <rFont val="Arial"/>
      </rPr>
      <t>Лактация</t>
    </r>
    <r>
      <rPr>
        <sz val="10"/>
        <color theme="1"/>
        <rFont val="Arial"/>
      </rPr>
      <t xml:space="preserve">
Клинические данные по применению лекарственного препарата ГамЭвак-Комби у женщин, кормящих грудью, и младенцев отсутствуют. В настоящее время неизвестно, способны ли действующие вещества, входящие в состав лекарственного препарата, проникать в грудное молоко. Перед принятием решения о вакцинации кормящей женщины необходимо оценить риски и пользу данной вакцинации.</t>
    </r>
  </si>
  <si>
    <r>
      <rPr>
        <i/>
        <sz val="10"/>
        <color theme="1"/>
        <rFont val="Arial"/>
      </rPr>
      <t>&lt;p&gt;&lt;i&gt;Беременность&lt;/i&gt;&lt;br&gt;</t>
    </r>
    <r>
      <rPr>
        <sz val="10"/>
        <color theme="1"/>
        <rFont val="Arial"/>
      </rPr>
      <t xml:space="preserve">
Клинические исследования не проводилось.&lt;br&gt;&lt;br&gt;
</t>
    </r>
    <r>
      <rPr>
        <i/>
        <sz val="10"/>
        <color theme="1"/>
        <rFont val="Arial"/>
      </rPr>
      <t>&lt;i&gt;Лактация&lt;/i&gt;&lt;br&gt;</t>
    </r>
    <r>
      <rPr>
        <sz val="10"/>
        <color theme="1"/>
        <rFont val="Arial"/>
      </rPr>
      <t xml:space="preserve">
Клинические данные по применению лекарственного препарата ГамЭвак-Комби у женщин, кормящих грудью, и младенцев отсутствуют. В настоящее время неизвестно, способны ли действующие вещества, входящие в состав лекарственного препарата, проникать в грудное молоко. Перед принятием решения о вакцинации кормящей женщины необходимо оценить риски и пользу данной вакцинации.&lt;/p&gt;</t>
    </r>
  </si>
  <si>
    <t>Противопоказано проводить вакцинацию во время беременности и в период грудного вскармливания.</t>
  </si>
  <si>
    <t>&lt;p&gt;Противопоказано проводить вакцинацию во время беременности и в период грудного вскармливания.&lt;/p&gt;</t>
  </si>
  <si>
    <t>Применение препарата противопоказано при беременности и в период кормления грудью.</t>
  </si>
  <si>
    <t>&lt;p&gt;Применение препарата противопоказано при беременности и в период кормления грудью.&lt;/p&gt;</t>
  </si>
  <si>
    <t>Безопасность применения данного медицинского препарата при беременности и в период грудного вскармливания в процессе контролируемых клинических испытаний не исследовалась.</t>
  </si>
  <si>
    <t>&lt;p&gt;Безопасность применения данного медицинского препарата при беременности и в период грудного вскармливания в процессе контролируемых клинических испытаний не исследовалась.&lt;/p&gt;</t>
  </si>
  <si>
    <r>
      <rPr>
        <i/>
        <sz val="10"/>
        <color theme="1"/>
        <rFont val="Arial"/>
      </rPr>
      <t>Беременность</t>
    </r>
    <r>
      <rPr>
        <sz val="10"/>
        <color theme="1"/>
        <rFont val="Arial"/>
      </rPr>
      <t xml:space="preserve">
Достаточные данные по применению Вакцины гепатита В рекомбинантной (рДНК) у женщин во время беременности отсутствуют. Исследования влияния на репродуктивную функцию животных не проводились. Однако, как и в случае применения всех инактивированных вирусных вакцин, риск воздействия на плод считается минимальным. Применение Вакцины гепатита В рекомбинантной (рДНК) возможно, если предполагаемая польза для матери превышает потенциальный риск для плода.
</t>
    </r>
    <r>
      <rPr>
        <i/>
        <sz val="10"/>
        <color theme="1"/>
        <rFont val="Arial"/>
      </rPr>
      <t>Лактация</t>
    </r>
    <r>
      <rPr>
        <sz val="10"/>
        <color theme="1"/>
        <rFont val="Arial"/>
      </rPr>
      <t xml:space="preserve">
Достаточные данные по применению вакцины у женщин во время грудного вскармливания отсутствуют. Хотя риск можно считать минимальным, Вакцину гепатита В рекомбинантную (рДНК) в период грудного вскармливания возможно применять, только если предполагаемая польза для матери превышает потенциальный риск для ребенка.</t>
    </r>
  </si>
  <si>
    <r>
      <rPr>
        <i/>
        <sz val="10"/>
        <color theme="1"/>
        <rFont val="Arial"/>
      </rPr>
      <t>&lt;p&gt;&lt;i&gt;Беременность&lt;/i&gt;&lt;br&gt;</t>
    </r>
    <r>
      <rPr>
        <sz val="10"/>
        <color theme="1"/>
        <rFont val="Arial"/>
      </rPr>
      <t xml:space="preserve">
Достаточные данные по применению Вакцины гепатита В рекомбинантной (рДНК) у женщин во время беременности отсутствуют. Исследования влияния на репродуктивную функцию животных не проводились. Однако, как и в случае применения всех инактивированных вирусных вакцин, риск воздействия на плод считается минимальным. Применение Вакцины гепатита В рекомбинантной (рДНК) возможно, если предполагаемая польза для матери превышает потенциальный риск для плода.&lt;br&gt;&lt;br&gt;
</t>
    </r>
    <r>
      <rPr>
        <i/>
        <sz val="10"/>
        <color theme="1"/>
        <rFont val="Arial"/>
      </rPr>
      <t>&lt;i&gt;Лактация&lt;/i&gt;&lt;br&gt;</t>
    </r>
    <r>
      <rPr>
        <sz val="10"/>
        <color theme="1"/>
        <rFont val="Arial"/>
      </rPr>
      <t xml:space="preserve">
Достаточные данные по применению вакцины у женщин во время грудного вскармливания отсутствуют. Хотя риск можно считать минимальным, Вакцину гепатита В рекомбинантную (рДНК) в период грудного вскармливания возможно применять, только если предполагаемая польза для матери превышает потенциальный риск для ребенка.&lt;/p&gt;</t>
    </r>
  </si>
  <si>
    <t>Применение при беременности противопоказано.
Возможность и особенности вакцинации женщин в период грудного вскармливания не изучали.</t>
  </si>
  <si>
    <t>&lt;p&gt;Применение при беременности противопоказано.&lt;br&gt;
Возможность и особенности вакцинации женщин в период грудного вскармливания не изучали.&lt;/p&gt;</t>
  </si>
  <si>
    <t xml:space="preserve">Применение при беременности противопоказано. </t>
  </si>
  <si>
    <t>&lt;p&gt;Применение при беременности противопоказано.&lt;/p&gt;</t>
  </si>
  <si>
    <r>
      <rPr>
        <i/>
        <sz val="10"/>
        <color theme="1"/>
        <rFont val="Arial"/>
      </rPr>
      <t>Беременность</t>
    </r>
    <r>
      <rPr>
        <sz val="10"/>
        <color theme="1"/>
        <rFont val="Arial"/>
      </rPr>
      <t xml:space="preserve">
Отсутствуют достаточные данные о применении Уро-БЦЖ медак у беременных женщин.
Лечение препаратом Уро-БЦЖ медак противопоказано беременным.
</t>
    </r>
    <r>
      <rPr>
        <i/>
        <sz val="10"/>
        <color theme="1"/>
        <rFont val="Arial"/>
      </rPr>
      <t>Период грудного вскармливания</t>
    </r>
    <r>
      <rPr>
        <sz val="10"/>
        <color theme="1"/>
        <rFont val="Arial"/>
      </rPr>
      <t xml:space="preserve">
Отсутствуют достаточные данные о том, проникают ли БЦЖ бактерии в грудное молоко.
Перед применением препарата грудное вскармливание необходимо прекратить.
</t>
    </r>
    <r>
      <rPr>
        <i/>
        <sz val="10"/>
        <color theme="1"/>
        <rFont val="Arial"/>
      </rPr>
      <t>Фертильность</t>
    </r>
    <r>
      <rPr>
        <sz val="10"/>
        <color theme="1"/>
        <rFont val="Arial"/>
      </rPr>
      <t xml:space="preserve">
Сообщалось о том, что внутрипузырная БЦЖ терапия оказывает влияние на сперматогенез и может вызвать олигоспермию или азооспермию. Исследованиях на животных дали основание полагать, что данные эффекты могут быть транзиторными и обратимыми. Однако, мужчинам перед началом терапии препаратом следует проконсультироваться со специалистом по вопросу консервации спермы.</t>
    </r>
  </si>
  <si>
    <r>
      <rPr>
        <i/>
        <sz val="10"/>
        <color theme="1"/>
        <rFont val="Arial"/>
      </rPr>
      <t>&lt;p&gt;&lt;i&gt;Беременность</t>
    </r>
    <r>
      <rPr>
        <sz val="10"/>
        <color theme="1"/>
        <rFont val="Arial"/>
      </rPr>
      <t xml:space="preserve">&lt;/i&gt;&lt;br&gt;
Отсутствуют достаточные данные о применении Уро-БЦЖ медак у беременных женщин.&lt;br&gt;
Лечение препаратом Уро-БЦЖ медак противопоказано беременным.&lt;br&gt;&lt;br&gt;
</t>
    </r>
    <r>
      <rPr>
        <i/>
        <sz val="10"/>
        <color theme="1"/>
        <rFont val="Arial"/>
      </rPr>
      <t>&lt;i&gt;Период грудного вскармливания</t>
    </r>
    <r>
      <rPr>
        <sz val="10"/>
        <color theme="1"/>
        <rFont val="Arial"/>
      </rPr>
      <t>&lt;/i&gt;&lt;br&gt;
Отсутствуют достаточные данные о том, проникают ли БЦЖ бактерии в грудное молоко.&lt;br&gt;
Перед применением препарата грудное вскармливание необходимо прекратить.&lt;br&gt;&lt;br&gt;
&lt;i&gt;Фертильность&lt;/i&gt;&lt;br&gt;
Сообщалось о том, что внутрипузырная БЦЖ терапия оказывает влияние на сперматогенез и может вызвать олигоспермию или азооспермию. Исследованиях на животных дали основание полагать, что данные эффекты могут быть транзиторными и обратимыми. Однако, мужчинам перед началом терапии препаратом следует проконсультироваться со специалистом по вопросу консервации спермы.&lt;/p&gt;</t>
    </r>
  </si>
  <si>
    <t>Применение противопоказано.</t>
  </si>
  <si>
    <t>&lt;p&gt;Применение противопоказано.&lt;/p&gt;</t>
  </si>
  <si>
    <t>Опыт применения гриппозных инактивированных вакцин показывает, что вакцинация не оказывает тератогенного или токсического действия на плод. Решение о вакцинации беременных должно приниматься врачом индивидуально с учетом риска заражения гриппом и возможных осложнений гриппозной инфекции. Наиболее безопасна вакцинация во втором и третьем триместрах.
Кормление грудью не является противопоказанием для вакцинации.</t>
  </si>
  <si>
    <t>&lt;p&gt;Опыт применения гриппозных инактивированных вакцин показывает, что вакцинация не оказывает тератогенного или токсического действия на плод. Решение о вакцинации беременных должно приниматься врачом индивидуально с учетом риска заражения гриппом и возможных осложнений гриппозной инфекции. Наиболее безопасна вакцинация во втором и третьем триместрах.&lt;br&gt;&lt;br&gt;
Кормление грудью не является противопоказанием для вакцинации.&lt;/p&gt;</t>
  </si>
  <si>
    <t>Применение вакцины у беременных и в период грудного вскармливания противопоказано.</t>
  </si>
  <si>
    <t>&lt;p&gt;Применение вакцины у беременных и в период грудного вскармливания противопоказано.&lt;/p&gt;</t>
  </si>
  <si>
    <r>
      <rPr>
        <i/>
        <sz val="10"/>
        <color theme="1"/>
        <rFont val="Arial"/>
      </rPr>
      <t>Беременность</t>
    </r>
    <r>
      <rPr>
        <sz val="10"/>
        <color theme="1"/>
        <rFont val="Arial"/>
      </rPr>
      <t xml:space="preserve">
Применение препарата при беременности противопоказано.
</t>
    </r>
    <r>
      <rPr>
        <i/>
        <sz val="10"/>
        <color theme="1"/>
        <rFont val="Arial"/>
      </rPr>
      <t>Лактация</t>
    </r>
    <r>
      <rPr>
        <sz val="10"/>
        <color theme="1"/>
        <rFont val="Arial"/>
      </rPr>
      <t xml:space="preserve">
Применение препарата в период грудного вскармливания противопоказано.</t>
    </r>
  </si>
  <si>
    <r>
      <rPr>
        <i/>
        <sz val="10"/>
        <color theme="1"/>
        <rFont val="Arial"/>
      </rPr>
      <t>&lt;p&gt;&lt;i&gt;Беременность</t>
    </r>
    <r>
      <rPr>
        <sz val="10"/>
        <color theme="1"/>
        <rFont val="Arial"/>
      </rPr>
      <t xml:space="preserve">&lt;/i&gt;&lt;br&gt;
Применение препарата при беременности противопоказано.&lt;br&gt;&lt;br&gt;
</t>
    </r>
    <r>
      <rPr>
        <i/>
        <sz val="10"/>
        <color theme="1"/>
        <rFont val="Arial"/>
      </rPr>
      <t>&lt;i&gt;Лактация&lt;/i&gt;&lt;br&gt;</t>
    </r>
    <r>
      <rPr>
        <sz val="10"/>
        <color theme="1"/>
        <rFont val="Arial"/>
      </rPr>
      <t xml:space="preserve">
Применение препарата в период грудного вскармливания противопоказано.&lt;/p&gt;</t>
    </r>
  </si>
  <si>
    <t>Опыт применения гриппозных инактивированных вакцин показывает, что вакцинация не оказывает тератогенного или токсического действия на плод. Решение о вакцинации беременных должно приниматься врачом индивидуально с учетом риска заражения гриппом и возможных осложнений гриппозной инфекцией. Наиболее безопасна вакцинация во втором и третьем триместрах.
Кормление грудью не является противопоказанием для вакцинации.</t>
  </si>
  <si>
    <t>&lt;p&gt;Опыт применения гриппозных инактивированных вакцин показывает, что вакцинация не оказывает тератогенного или токсического действия на плод. Решение о вакцинации беременных должно приниматься врачом индивидуально с учетом риска заражения гриппом и возможных осложнений гриппозной инфекцией. Наиболее безопасна вакцинация во втором и третьем триместрах.&lt;br&gt;&lt;br&gt;
Кормление грудью не является противопоказанием для вакцинации.&lt;/p&gt;</t>
  </si>
  <si>
    <r>
      <rPr>
        <i/>
        <sz val="10"/>
        <color theme="1"/>
        <rFont val="Arial"/>
      </rPr>
      <t>Беременность</t>
    </r>
    <r>
      <rPr>
        <sz val="10"/>
        <color theme="1"/>
        <rFont val="Arial"/>
      </rPr>
      <t xml:space="preserve">
Применение препарата при беременности противопоказано.
</t>
    </r>
    <r>
      <rPr>
        <i/>
        <sz val="10"/>
        <color theme="1"/>
        <rFont val="Arial"/>
      </rPr>
      <t>Лактация</t>
    </r>
    <r>
      <rPr>
        <sz val="10"/>
        <color theme="1"/>
        <rFont val="Arial"/>
      </rPr>
      <t xml:space="preserve">
Применение препарата в период грудного вскармливания противопоказано.
</t>
    </r>
    <r>
      <rPr>
        <i/>
        <sz val="10"/>
        <color theme="1"/>
        <rFont val="Arial"/>
      </rPr>
      <t>Фертильность</t>
    </r>
    <r>
      <rPr>
        <sz val="10"/>
        <color theme="1"/>
        <rFont val="Arial"/>
      </rPr>
      <t xml:space="preserve">
Нет данных о влиянии препарата на фертильность человека.</t>
    </r>
  </si>
  <si>
    <r>
      <rPr>
        <i/>
        <sz val="10"/>
        <color theme="1"/>
        <rFont val="Arial"/>
      </rPr>
      <t>&lt;p&gt;&lt;i&gt;Беременность&lt;/i&gt;&lt;br&gt;</t>
    </r>
    <r>
      <rPr>
        <sz val="10"/>
        <color theme="1"/>
        <rFont val="Arial"/>
      </rPr>
      <t xml:space="preserve">
Применение препарата при беременности противопоказано.&lt;br&gt;&lt;br&gt;
</t>
    </r>
    <r>
      <rPr>
        <i/>
        <sz val="10"/>
        <color theme="1"/>
        <rFont val="Arial"/>
      </rPr>
      <t>&lt;i&gt;Лактация&lt;/i&gt;&lt;br&gt;</t>
    </r>
    <r>
      <rPr>
        <sz val="10"/>
        <color theme="1"/>
        <rFont val="Arial"/>
      </rPr>
      <t xml:space="preserve">
Применение препарата в период грудного вскармливания противопоказано.&lt;br&gt;&lt;br&gt;
</t>
    </r>
    <r>
      <rPr>
        <i/>
        <sz val="10"/>
        <color theme="1"/>
        <rFont val="Arial"/>
      </rPr>
      <t>&lt;i&gt;Фертильность&lt;/i&gt;&lt;br&gt;</t>
    </r>
    <r>
      <rPr>
        <sz val="10"/>
        <color theme="1"/>
        <rFont val="Arial"/>
      </rPr>
      <t xml:space="preserve">
Нет данных о влиянии препарата на фертильность человека.&lt;/p&gt;</t>
    </r>
  </si>
  <si>
    <t>Противопоказано применение при беременности. Исследования по изучению влияния вакцины ГЕРПОВАКС® Вакцина герпетическая культуральная инактивированная в период грудного вскармливания не проводились.</t>
  </si>
  <si>
    <t>&lt;p&gt;Противопоказано применение при беременности. Исследования по изучению влияния вакцины ГЕРПОВАКС® Вакцина герпетическая культуральная инактивированная в период грудного вскармливания не проводились.&lt;/p&gt;</t>
  </si>
  <si>
    <r>
      <rPr>
        <i/>
        <sz val="10"/>
        <color theme="1"/>
        <rFont val="Arial"/>
      </rPr>
      <t>&lt;p&gt;&lt;i&gt;Беременность&lt;/i&gt;&lt;br&gt;</t>
    </r>
    <r>
      <rPr>
        <sz val="10"/>
        <color theme="1"/>
        <rFont val="Arial"/>
      </rPr>
      <t xml:space="preserve">
Применение препарата при беременности противопоказано.&lt;br&gt;&lt;br&gt;
</t>
    </r>
    <r>
      <rPr>
        <i/>
        <sz val="10"/>
        <color theme="1"/>
        <rFont val="Arial"/>
      </rPr>
      <t>&lt;i&gt;Лактация&lt;/i&gt;&lt;br&gt;</t>
    </r>
    <r>
      <rPr>
        <sz val="10"/>
        <color theme="1"/>
        <rFont val="Arial"/>
      </rPr>
      <t xml:space="preserve">
Применение препарата в период грудного вскармливания противопоказано.&lt;/p&gt;</t>
    </r>
  </si>
  <si>
    <r>
      <rPr>
        <i/>
        <sz val="10"/>
        <color theme="1"/>
        <rFont val="Arial"/>
      </rPr>
      <t>Беременность</t>
    </r>
    <r>
      <rPr>
        <sz val="10"/>
        <color theme="1"/>
        <rFont val="Arial"/>
      </rPr>
      <t xml:space="preserve">
Применение препарата при беременности противопоказано.</t>
    </r>
    <r>
      <rPr>
        <i/>
        <sz val="10"/>
        <color theme="1"/>
        <rFont val="Arial"/>
      </rPr>
      <t xml:space="preserve">
Лактация</t>
    </r>
    <r>
      <rPr>
        <sz val="10"/>
        <color theme="1"/>
        <rFont val="Arial"/>
      </rPr>
      <t xml:space="preserve">
Применение препарата в период грудного вскармливания противопоказано.</t>
    </r>
  </si>
  <si>
    <r>
      <rPr>
        <i/>
        <sz val="10"/>
        <color theme="1"/>
        <rFont val="Arial"/>
      </rPr>
      <t>&lt;p&gt;&lt;i&gt;Беременность&lt;/i&gt;&lt;br&gt;</t>
    </r>
    <r>
      <rPr>
        <sz val="10"/>
        <color theme="1"/>
        <rFont val="Arial"/>
      </rPr>
      <t xml:space="preserve">
Применение препарата при беременности противопоказано.&lt;br&gt;&lt;br&gt;</t>
    </r>
    <r>
      <rPr>
        <i/>
        <sz val="10"/>
        <color theme="1"/>
        <rFont val="Arial"/>
      </rPr>
      <t xml:space="preserve">
&lt;i&gt;Лактация&lt;/i&gt;&lt;br&gt;</t>
    </r>
    <r>
      <rPr>
        <sz val="10"/>
        <color theme="1"/>
        <rFont val="Arial"/>
      </rPr>
      <t xml:space="preserve">
Применение препарата в период грудного вскармливания противопоказано.&lt;/p&gt;</t>
    </r>
  </si>
  <si>
    <t>Противопоказано.
В связи с персистированием вакцинного вируса в организме, женщины детородного возраста должны быть предупреждены о необходимости предохранения от беременности в течение 3 месяцев после прививки.</t>
  </si>
  <si>
    <t>&lt;p&gt;Противопоказано.&lt;br&gt;
В связи с персистированием вакцинного вируса в организме, женщины детородного возраста должны быть предупреждены о необходимости предохранения от беременности в течение 3&amp;nbsp;месяцев после прививки.&lt;/p&gt;</t>
  </si>
  <si>
    <r>
      <rPr>
        <i/>
        <sz val="10"/>
        <color theme="1"/>
        <rFont val="Arial"/>
      </rPr>
      <t>&lt;p&gt;&lt;i&gt;Беременность</t>
    </r>
    <r>
      <rPr>
        <sz val="10"/>
        <color theme="1"/>
        <rFont val="Arial"/>
      </rPr>
      <t xml:space="preserve">&lt;/i&gt;&lt;br&gt;
Применение препарата при беременности противопоказано.&lt;br&gt;&lt;br&gt;
</t>
    </r>
    <r>
      <rPr>
        <i/>
        <sz val="10"/>
        <color theme="1"/>
        <rFont val="Arial"/>
      </rPr>
      <t>&lt;i&gt;Лактация</t>
    </r>
    <r>
      <rPr>
        <sz val="10"/>
        <color theme="1"/>
        <rFont val="Arial"/>
      </rPr>
      <t>&lt;/i&gt;&lt;br&gt;
Применение препарата в период грудного вскармливания противопоказано.&lt;/p&gt;</t>
    </r>
  </si>
  <si>
    <r>
      <rPr>
        <i/>
        <sz val="10"/>
        <color theme="1"/>
        <rFont val="Arial"/>
      </rPr>
      <t>Беременность</t>
    </r>
    <r>
      <rPr>
        <sz val="10"/>
        <color theme="1"/>
        <rFont val="Arial"/>
      </rPr>
      <t xml:space="preserve">
Клинические данные по применению лекарственного препарата у беременных женщин отсутствуют, поэтому применение лекарственного препарата при беременности противопоказано.
</t>
    </r>
    <r>
      <rPr>
        <i/>
        <sz val="10"/>
        <color theme="1"/>
        <rFont val="Arial"/>
      </rPr>
      <t>Лактация</t>
    </r>
    <r>
      <rPr>
        <sz val="10"/>
        <color theme="1"/>
        <rFont val="Arial"/>
      </rPr>
      <t xml:space="preserve">
Клинические данные по применению лекарственного препарата у кормящих женщин и младенцев, находящихся на грудном вскармливании отсутствуют, поэтому применение лекарственного препарата в период грудного вскармливания противопоказано.
</t>
    </r>
    <r>
      <rPr>
        <i/>
        <sz val="10"/>
        <color theme="1"/>
        <rFont val="Arial"/>
      </rPr>
      <t>Фертильность</t>
    </r>
    <r>
      <rPr>
        <sz val="10"/>
        <color theme="1"/>
        <rFont val="Arial"/>
      </rPr>
      <t xml:space="preserve">
Сведения о влиянии на фертильность при приеме лекарственного препарата отсутствуют.</t>
    </r>
  </si>
  <si>
    <r>
      <rPr>
        <i/>
        <sz val="10"/>
        <color theme="1"/>
        <rFont val="Arial"/>
      </rPr>
      <t>&lt;p&gt;&lt;i&gt;Беременность&lt;/i&gt;&lt;br&gt;</t>
    </r>
    <r>
      <rPr>
        <sz val="10"/>
        <color theme="1"/>
        <rFont val="Arial"/>
      </rPr>
      <t xml:space="preserve">
Клинические данные по применению лекарственного препарата у беременных женщин отсутствуют, поэтому применение лекарственного препарата при беременности противопоказано.&lt;br&gt;&lt;br&gt;
</t>
    </r>
    <r>
      <rPr>
        <i/>
        <sz val="10"/>
        <color theme="1"/>
        <rFont val="Arial"/>
      </rPr>
      <t>&lt;i&gt;Лактация&lt;/i&gt;&lt;br&gt;</t>
    </r>
    <r>
      <rPr>
        <sz val="10"/>
        <color theme="1"/>
        <rFont val="Arial"/>
      </rPr>
      <t xml:space="preserve">
Клинические данные по применению лекарственного препарата у кормящих женщин и младенцев, находящихся на грудном вскармливании отсутствуют, поэтому применение лекарственного препарата в период грудного вскармливания противопоказано.&lt;br&gt;&lt;br&gt;
</t>
    </r>
    <r>
      <rPr>
        <i/>
        <sz val="10"/>
        <color theme="1"/>
        <rFont val="Arial"/>
      </rPr>
      <t>&lt;i&gt;Фертильность</t>
    </r>
    <r>
      <rPr>
        <sz val="10"/>
        <color theme="1"/>
        <rFont val="Arial"/>
      </rPr>
      <t>&lt;/i&gt;&lt;br&gt;
Сведения о влиянии на фертильность при приеме лекарственного препарата отсутствуют.&lt;/p&gt;</t>
    </r>
  </si>
  <si>
    <r>
      <rPr>
        <i/>
        <sz val="10"/>
        <color theme="1"/>
        <rFont val="Arial"/>
      </rPr>
      <t>Беременность</t>
    </r>
    <r>
      <rPr>
        <sz val="10"/>
        <color theme="1"/>
        <rFont val="Arial"/>
      </rPr>
      <t xml:space="preserve">
При беременности применение лекарственного препарата не рекомендовано (клинические исследования не проводились).
</t>
    </r>
    <r>
      <rPr>
        <i/>
        <sz val="10"/>
        <color theme="1"/>
        <rFont val="Arial"/>
      </rPr>
      <t>Лактация</t>
    </r>
    <r>
      <rPr>
        <sz val="10"/>
        <color theme="1"/>
        <rFont val="Arial"/>
      </rPr>
      <t xml:space="preserve">
В период грудного вскармливания применение лекарственного препарата не рекомендовано (клинические исследования не проводились).
</t>
    </r>
    <r>
      <rPr>
        <i/>
        <sz val="10"/>
        <color theme="1"/>
        <rFont val="Arial"/>
      </rPr>
      <t>Фертильность</t>
    </r>
    <r>
      <rPr>
        <sz val="10"/>
        <color theme="1"/>
        <rFont val="Arial"/>
      </rPr>
      <t xml:space="preserve">
Сведения о влиянии на фертильность при приеме лекарственного препарата отсутствуют.</t>
    </r>
  </si>
  <si>
    <r>
      <rPr>
        <i/>
        <sz val="10"/>
        <color theme="1"/>
        <rFont val="Arial"/>
      </rPr>
      <t>&lt;p&gt;&lt;i&gt;Беременность&lt;/i&gt;&lt;br&gt;</t>
    </r>
    <r>
      <rPr>
        <sz val="10"/>
        <color theme="1"/>
        <rFont val="Arial"/>
      </rPr>
      <t xml:space="preserve">
При беременности применение лекарственного препарата не рекомендовано (клинические исследования не проводились).&lt;br&gt;&lt;br&gt;
</t>
    </r>
    <r>
      <rPr>
        <i/>
        <sz val="10"/>
        <color theme="1"/>
        <rFont val="Arial"/>
      </rPr>
      <t>&lt;i&gt;Лактация&lt;/i&gt;&lt;br&gt;</t>
    </r>
    <r>
      <rPr>
        <sz val="10"/>
        <color theme="1"/>
        <rFont val="Arial"/>
      </rPr>
      <t xml:space="preserve">
В период грудного вскармливания применение лекарственного препарата не рекомендовано (клинические исследования не проводились).&lt;br&gt;&lt;br&gt;
</t>
    </r>
    <r>
      <rPr>
        <i/>
        <sz val="10"/>
        <color theme="1"/>
        <rFont val="Arial"/>
      </rPr>
      <t>&lt;i&gt;Фертильность&lt;/i&gt;&lt;br&gt;</t>
    </r>
    <r>
      <rPr>
        <sz val="10"/>
        <color theme="1"/>
        <rFont val="Arial"/>
      </rPr>
      <t xml:space="preserve">
Сведения о влиянии на фертильность при приеме лекарственного препарата отсутствуют.&lt;/p&gt;</t>
    </r>
  </si>
  <si>
    <r>
      <rPr>
        <i/>
        <sz val="10"/>
        <color theme="1"/>
        <rFont val="Arial"/>
      </rPr>
      <t>Беременность</t>
    </r>
    <r>
      <rPr>
        <sz val="10"/>
        <color theme="1"/>
        <rFont val="Arial"/>
      </rPr>
      <t xml:space="preserve">
Данные о применении лекарственного препарата у беременных женщин отсутствуют.
Женщины с детородным потенциалом должны использовать надежные методы контрацепции во время лечения.
</t>
    </r>
    <r>
      <rPr>
        <i/>
        <sz val="10"/>
        <color theme="1"/>
        <rFont val="Arial"/>
      </rPr>
      <t>Лактация</t>
    </r>
    <r>
      <rPr>
        <sz val="10"/>
        <color theme="1"/>
        <rFont val="Arial"/>
      </rPr>
      <t xml:space="preserve">
Сведения о проникновении лекарственного препарата в грудное молоко человека отсутствуют.
</t>
    </r>
    <r>
      <rPr>
        <i/>
        <sz val="10"/>
        <color theme="1"/>
        <rFont val="Arial"/>
      </rPr>
      <t>Фертильность</t>
    </r>
    <r>
      <rPr>
        <sz val="10"/>
        <color theme="1"/>
        <rFont val="Arial"/>
      </rPr>
      <t xml:space="preserve">
Сведения о влиянии на фертильность при приеме лекарственного препарата отсутствуют.</t>
    </r>
  </si>
  <si>
    <r>
      <rPr>
        <i/>
        <sz val="10"/>
        <color theme="1"/>
        <rFont val="Arial"/>
      </rPr>
      <t>&lt;p&gt;&lt;i&gt;Беременность&lt;/i&gt;&lt;br&gt;</t>
    </r>
    <r>
      <rPr>
        <sz val="10"/>
        <color theme="1"/>
        <rFont val="Arial"/>
      </rPr>
      <t xml:space="preserve">
Данные о применении лекарственного препарата у беременных женщин отсутствуют.&lt;br&gt;
Женщины с детородным потенциалом должны использовать надежные методы контрацепции во время лечения.&lt;br&gt;&lt;br&gt;
</t>
    </r>
    <r>
      <rPr>
        <i/>
        <sz val="10"/>
        <color theme="1"/>
        <rFont val="Arial"/>
      </rPr>
      <t>&lt;i&gt;Лактация&lt;/i&gt;&lt;br&gt;</t>
    </r>
    <r>
      <rPr>
        <sz val="10"/>
        <color theme="1"/>
        <rFont val="Arial"/>
      </rPr>
      <t xml:space="preserve">
Сведения о проникновении лекарственного препарата в грудное молоко человека отсутствуют.&lt;br&gt;&lt;br&gt;
</t>
    </r>
    <r>
      <rPr>
        <i/>
        <sz val="10"/>
        <color theme="1"/>
        <rFont val="Arial"/>
      </rPr>
      <t>&lt;i&gt;Фертильность&lt;/i&gt;&lt;br&gt;</t>
    </r>
    <r>
      <rPr>
        <sz val="10"/>
        <color theme="1"/>
        <rFont val="Arial"/>
      </rPr>
      <t xml:space="preserve">
Сведения о влиянии на фертильность при приеме лекарственного препарата отсутствуют.&lt;/p&gt;</t>
    </r>
  </si>
  <si>
    <t>Вакцина Гексаксим не предназначена для взрослых.</t>
  </si>
  <si>
    <t>&lt;p&gt;Вакцина Гексаксим не предназначена для взрослых.&lt;/p&gt;</t>
  </si>
  <si>
    <t>По результатам доклинических исследований на животных (крысах), лекарственный препарат не оказывает негативного эффекта на репродуктивную функцию самок.
Клинические данные по применению лекарственного препарата Гам-VLР-мультивак у беременных женщин отсутствуют. Применение лекарственного препарата во время беременности противопоказано.
Клинические данные по применению лекарственного препарата Гам-VLР-мультивак у кормящих женщин и младенцев, находящихся на грудном вскармливании, отсутствуют. В настоящее время неизвестно, способны ли действующие вещества, входящие в состав лекарственного препарата, проникать в грудное молоко, поэтому применение лекарственного препарата Гам-VLР-мультивак во время периода лактации противопоказано.</t>
  </si>
  <si>
    <t>&lt;p&gt;По результатам доклинических исследований на животных (крысах), лекарственный препарат не оказывает негативного эффекта на репродуктивную функцию самок.&lt;br&gt;
Клинические данные по применению лекарственного препарата Гам-VLР-мультивак у беременных женщин отсутствуют. Применение лекарственного препарата во время беременности противопоказано.&lt;br&gt;
Клинические данные по применению лекарственного препарата Гам-VLР-мультивак у кормящих женщин и младенцев, находящихся на грудном вскармливании, отсутствуют. В настоящее время неизвестно, способны ли действующие вещества, входящие в состав лекарственного препарата, проникать в грудное молоко, поэтому применение лекарственного препарата Гам-VLР-мультивак во время периода лактации противопоказано.&lt;/p&gt;</t>
  </si>
  <si>
    <t>По результатам доклинических исследований на животных (крысах), лекарственный препарат не оказывает негативного эффекта на репродуктивную функцию самок.
Клинические данные по применению лекарственного препарата Гам-VLР-мультивак-н у беременных женщин отсутствуют. Применение лекарственного препарата во время беременности противопоказано.
Клинические данные по применению лекарственного препарата Гам-VLР-мультивак-н у кормящих женщин и младенцев, находящихся на грудном вскармливании, отсутствуют. В настоящее время неизвестно, способны ли действующие вещества, входящие в состав лекарственного препарата, проникать в грудное молоко, поэтому применение лекарственного препарата Гам-VLР-мультивак-н во время периода лактации противопоказано.</t>
  </si>
  <si>
    <t>&lt;p&gt;По результатам доклинических исследований на животных (крысах), лекарственный препарат не оказывает негативного эффекта на репродуктивную функцию самок.&lt;br&gt;
Клинические данные по применению лекарственного препарата Гам-VLР-мультивак-н у беременных женщин отсутствуют. Применение лекарственного препарата во время беременности противопоказано.&lt;br&gt;
Клинические данные по применению лекарственного препарата Гам-VLР-мультивак-н у кормящих женщин и младенцев, находящихся на грудном вскармливании, отсутствуют. В настоящее время неизвестно, способны ли действующие вещества, входящие в состав лекарственного препарата, проникать в грудное молоко, поэтому применение лекарственного препарата Гам-VLР-мультивак-н во время периода лактации противопоказано.&lt;/p&gt;</t>
  </si>
  <si>
    <r>
      <rPr>
        <i/>
        <sz val="10"/>
        <color theme="1"/>
        <rFont val="Arial"/>
      </rPr>
      <t>Беременность</t>
    </r>
    <r>
      <rPr>
        <sz val="10"/>
        <color theme="1"/>
        <rFont val="Arial"/>
      </rPr>
      <t xml:space="preserve">
Данные о применении вакцины Цегардекс у беременных женщин ограничены.
Исследования у животных не выявили прямого или опосредованного отрицательного влияния вакцины Цегардекс на репродуктивную функцию.
Вакцинируемых женщин следует предупредить о необходимости предохранения от беременности в течение курса вакцинации, а при наступлении беременности вакцинацию следует отложить до ее завершения.
Случайная вакцинация беременной не является показанием для прерывания беременности. Завершение курса вакцинации следует отложить до окончания беременности.</t>
    </r>
    <r>
      <rPr>
        <i/>
        <sz val="10"/>
        <color theme="1"/>
        <rFont val="Arial"/>
      </rPr>
      <t xml:space="preserve">
Лактация</t>
    </r>
    <r>
      <rPr>
        <sz val="10"/>
        <color theme="1"/>
        <rFont val="Arial"/>
      </rPr>
      <t xml:space="preserve">
Данные о возможном проникновении компонентов вакцины Цегардекс в грудное молоко отсутствуют. Влияние на детей, находящихся на грудном вскармливании, при введении вакцины Цегардекс их матерям, не изучалось.
Вакцину Цегардекс следует применять в период грудного вскармливания, если ожидаемая польза вакцинации превышает потенциальные риски.
</t>
    </r>
    <r>
      <rPr>
        <i/>
        <sz val="10"/>
        <color theme="1"/>
        <rFont val="Arial"/>
      </rPr>
      <t>Фертильность</t>
    </r>
    <r>
      <rPr>
        <sz val="10"/>
        <color theme="1"/>
        <rFont val="Arial"/>
      </rPr>
      <t xml:space="preserve">
В проведенном исследовании репродуктивной токсичности влияния вакцины Цегардекс на развитие плода у крыс не было получено данных об отрицательном влиянии вакцины на фертильность самок крыс или их способность к спариванию. Исследований влияния вакцины на самцов крыс не проводилось.</t>
    </r>
  </si>
  <si>
    <r>
      <rPr>
        <i/>
        <sz val="10"/>
        <color theme="1"/>
        <rFont val="Arial"/>
      </rPr>
      <t>&lt;p&gt;&lt;i&gt;Беременность&lt;/i&gt;&lt;br&gt;</t>
    </r>
    <r>
      <rPr>
        <sz val="10"/>
        <color theme="1"/>
        <rFont val="Arial"/>
      </rPr>
      <t xml:space="preserve">
Данные о применении вакцины Цегардекс у беременных женщин ограничены.&lt;br&gt;
Исследования у животных не выявили прямого или опосредованного отрицательного влияния вакцины Цегардекс на репродуктивную функцию.&lt;br&gt;
Вакцинируемых женщин следует предупредить о необходимости предохранения от беременности в течение курса вакцинации, а при наступлении беременности вакцинацию следует отложить до ее завершения.&lt;br&gt;
Случайная вакцинация беременной не является показанием для прерывания беременности. Завершение курса вакцинации следует отложить до окончания беременности</t>
    </r>
    <r>
      <rPr>
        <i/>
        <sz val="10"/>
        <color theme="1"/>
        <rFont val="Arial"/>
      </rPr>
      <t>.&lt;br&gt;&lt;br&gt;
&lt;i&gt;Лактация</t>
    </r>
    <r>
      <rPr>
        <sz val="10"/>
        <color theme="1"/>
        <rFont val="Arial"/>
      </rPr>
      <t xml:space="preserve">&lt;/i&gt;&lt;br&gt;
Данные о возможном проникновении компонентов вакцины Цегардекс в грудное молоко отсутствуют. Влияние на детей, находящихся на грудном вскармливании, при введении вакцины Цегардекс их матерям, не изучалось.&lt;br&gt;
Вакцину Цегардекс следует применять в период грудного вскармливания, если ожидаемая польза вакцинации превышает потенциальные риски.&lt;br&gt;&lt;br&gt;
</t>
    </r>
    <r>
      <rPr>
        <i/>
        <sz val="10"/>
        <color theme="1"/>
        <rFont val="Arial"/>
      </rPr>
      <t>&lt;i&gt;Фертильность</t>
    </r>
    <r>
      <rPr>
        <sz val="10"/>
        <color theme="1"/>
        <rFont val="Arial"/>
      </rPr>
      <t>&lt;/i&gt;&lt;br&gt;
В проведенном исследовании репродуктивной токсичности влияния вакцины Цегардекс на развитие плода у крыс не было получено данных об отрицательном влиянии вакцины на фертильность самок крыс или их способность к спариванию. Исследований влияния вакцины на самцов крыс не проводилось.&lt;/p&gt;</t>
    </r>
  </si>
  <si>
    <r>
      <rPr>
        <i/>
        <sz val="10"/>
        <color theme="1"/>
        <rFont val="Arial"/>
      </rPr>
      <t>Беременность</t>
    </r>
    <r>
      <rPr>
        <sz val="10"/>
        <color theme="1"/>
        <rFont val="Arial"/>
      </rPr>
      <t xml:space="preserve">
Данные о применении вакцины МЕНВЭЙД во время беременности отсутствуют.
Исследования на животных не выявили прямого или опосредованного отрицательного влияния вакцины МЕНВЭЙД на течение беременности и развитие эмбриона и плода, процесс родов и постнатальное развитие.
В связи с тем, что исследований у беременных женщин не проводилось, введение вакцины беременным женщинам рекомендуется только в случае крайней необходимости, например, во время вспышки менингококковой инфекции, перед поездкой в эндемичный район, и только после оценки соотношения пользы и риска вакцинации.
Случайная вакцинация беременной не является показанием для прерывания беременности.
</t>
    </r>
    <r>
      <rPr>
        <i/>
        <sz val="10"/>
        <color theme="1"/>
        <rFont val="Arial"/>
      </rPr>
      <t>Лактация</t>
    </r>
    <r>
      <rPr>
        <sz val="10"/>
        <color theme="1"/>
        <rFont val="Arial"/>
      </rPr>
      <t xml:space="preserve">
В настоящее время неизвестно, способны ли действующие вещества, входящие в состав вакцины, проникать в грудное молоко. Влияние на детей, находящихся на грудном вскармливании, при введении вакцины МЕНВЭЙД их матерям, не изучалось.
Вакцину МЕНВЭЙД следует применять в период грудного вскармливания, если ожидаемая польза вакцинации превышает потенциальные риски.
</t>
    </r>
    <r>
      <rPr>
        <i/>
        <sz val="10"/>
        <color theme="1"/>
        <rFont val="Arial"/>
      </rPr>
      <t>Фертильность</t>
    </r>
    <r>
      <rPr>
        <sz val="10"/>
        <color theme="1"/>
        <rFont val="Arial"/>
      </rPr>
      <t xml:space="preserve">
Исследования на животных не выявили прямого или опосредованного отрицательного влияния вакцины МЕНВЭЙД на фертильность самок крыс.</t>
    </r>
  </si>
  <si>
    <r>
      <rPr>
        <i/>
        <sz val="10"/>
        <color theme="1"/>
        <rFont val="Arial"/>
      </rPr>
      <t>&lt;p&gt;&lt;i&gt;Беременность&lt;/i&gt;&lt;br&gt;</t>
    </r>
    <r>
      <rPr>
        <sz val="10"/>
        <color theme="1"/>
        <rFont val="Arial"/>
      </rPr>
      <t xml:space="preserve">
Данные о применении вакцины МЕНВЭЙД во время беременности отсутствуют.&lt;br&gt;
Исследования на животных не выявили прямого или опосредованного отрицательного влияния вакцины МЕНВЭЙД на течение беременности и развитие эмбриона и плода, процесс родов и постнатальное развитие.&lt;br&gt;
В связи с тем, что исследований у беременных женщин не проводилось, введение вакцины беременным женщинам рекомендуется только в случае крайней необходимости, например, во время вспышки менингококковой инфекции, перед поездкой в эндемичный район, и только после оценки соотношения пользы и риска вакцинации.&lt;br&gt;
Случайная вакцинация беременной не является показанием для прерывания беременности.&lt;br&gt;&lt;br&gt;
</t>
    </r>
    <r>
      <rPr>
        <i/>
        <sz val="10"/>
        <color theme="1"/>
        <rFont val="Arial"/>
      </rPr>
      <t>&lt;i&gt;Лактация</t>
    </r>
    <r>
      <rPr>
        <sz val="10"/>
        <color theme="1"/>
        <rFont val="Arial"/>
      </rPr>
      <t xml:space="preserve">&lt;/i&gt;&lt;br&gt;
В настоящее время неизвестно, способны ли действующие вещества, входящие в состав вакцины, проникать в грудное молоко. Влияние на детей, находящихся на грудном вскармливании, при введении вакцины МЕНВЭЙД их матерям, не изучалось.&lt;br&gt;
Вакцину МЕНВЭЙД следует применять в период грудного вскармливания, если ожидаемая польза вакцинации превышает потенциальные риски.&lt;br&gt;&lt;br&gt;
</t>
    </r>
    <r>
      <rPr>
        <i/>
        <sz val="10"/>
        <color theme="1"/>
        <rFont val="Arial"/>
      </rPr>
      <t>&lt;i&gt;Фертильность&lt;/i&gt;&lt;br&gt;</t>
    </r>
    <r>
      <rPr>
        <sz val="10"/>
        <color theme="1"/>
        <rFont val="Arial"/>
      </rPr>
      <t xml:space="preserve">
Исследования на животных не выявили прямого или опосредованного отрицательного влияния вакцины МЕНВЭЙД на фертильность самок крыс.&lt;/p&gt;</t>
    </r>
  </si>
  <si>
    <r>
      <rPr>
        <i/>
        <sz val="10"/>
        <color theme="1"/>
        <rFont val="Arial"/>
      </rPr>
      <t>Беременность</t>
    </r>
    <r>
      <rPr>
        <sz val="10"/>
        <color theme="1"/>
        <rFont val="Arial"/>
      </rPr>
      <t xml:space="preserve">
Случаев нанесения вреда, отнесенных к использованию данной вакцины у беременных женщин, не зафиксировано.
Беременность не является противопоказанием для постэкспозиционной иммунизации.
</t>
    </r>
    <r>
      <rPr>
        <i/>
        <sz val="10"/>
        <color theme="1"/>
        <rFont val="Arial"/>
      </rPr>
      <t>Период грудного вскармливания</t>
    </r>
    <r>
      <rPr>
        <sz val="10"/>
        <color theme="1"/>
        <rFont val="Arial"/>
      </rPr>
      <t xml:space="preserve">
Поскольку сведения о проникновении вакцины Хирораб в грудное молоко отсутствуют, не выявлено рисков применения вакцины Хирораб в период грудного вскармливания. Вакцина Хирораб может быть использована кормящими женщинами при необходимости постэкспозиционной профилактики.</t>
    </r>
  </si>
  <si>
    <r>
      <rPr>
        <i/>
        <sz val="10"/>
        <color theme="1"/>
        <rFont val="Arial"/>
      </rPr>
      <t>&lt;p&gt;&lt;i&gt;Беременность</t>
    </r>
    <r>
      <rPr>
        <sz val="10"/>
        <color theme="1"/>
        <rFont val="Arial"/>
      </rPr>
      <t xml:space="preserve">&lt;/i&gt;&lt;br&gt;
Случаев нанесения вреда, отнесенных к использованию данной вакцины у беременных женщин, не зафиксировано.&lt;br&gt;
Беременность не является противопоказанием для постэкспозиционной иммунизации.&lt;br&gt;&lt;br&gt;
</t>
    </r>
    <r>
      <rPr>
        <i/>
        <sz val="10"/>
        <color theme="1"/>
        <rFont val="Arial"/>
      </rPr>
      <t>&lt;i&gt;Период грудного вскармливания</t>
    </r>
    <r>
      <rPr>
        <sz val="10"/>
        <color theme="1"/>
        <rFont val="Arial"/>
      </rPr>
      <t>&lt;/i&gt;&lt;br&gt;
Поскольку сведения о проникновении вакцины Хирораб в грудное молоко отсутствуют, не выявлено рисков применения вакцины Хирораб в период грудного вскармливания. Вакцина Хирораб может быть использована кормящими женщинами при необходимости постэкспозиционной профилактики.&lt;/p&gt;</t>
    </r>
  </si>
  <si>
    <r>
      <rPr>
        <i/>
        <sz val="10"/>
        <color theme="1"/>
        <rFont val="Arial"/>
      </rPr>
      <t>Беременность</t>
    </r>
    <r>
      <rPr>
        <sz val="10"/>
        <color theme="1"/>
        <rFont val="Arial"/>
      </rPr>
      <t xml:space="preserve">
Данные о применении препарата Превенар 20 у беременных женщин отсутствуют.
Исследования на животных свидетельствуют об отсутствии прямых и косвенных неблагоприятных токсических эффектов в отношении репродуктивной функции.
Введение препарата Превенар 20 во время беременности следует рассматривать только в тех случаях, когда потенциальная польза перевешивает любые потенциальные риски для матери и плода.
</t>
    </r>
    <r>
      <rPr>
        <i/>
        <sz val="10"/>
        <color theme="1"/>
        <rFont val="Arial"/>
      </rPr>
      <t>Лактация</t>
    </r>
    <r>
      <rPr>
        <sz val="10"/>
        <color theme="1"/>
        <rFont val="Arial"/>
      </rPr>
      <t xml:space="preserve">
Отсутствуют данные о выделении антигенов вакцины или поствакцинальных антител в грудное молоко человека. В качестве меры предосторожности предпочтительно избегать применения препарата в период грудного вскармливания; при принятии решения следует учитывать пользу для матери и пользу от грудного вскармливания для ребенка.
</t>
    </r>
    <r>
      <rPr>
        <i/>
        <sz val="10"/>
        <color theme="1"/>
        <rFont val="Arial"/>
      </rPr>
      <t>Фертильность</t>
    </r>
    <r>
      <rPr>
        <sz val="10"/>
        <color theme="1"/>
        <rFont val="Arial"/>
      </rPr>
      <t xml:space="preserve">
Данные о влиянии препарата Превенар 20 на репродуктивную функцию у человека отсутствуют. Исследования на животных свидетельствуют об отсутствии прямых или косвенных неблагоприятных эффектов на репродуктивную функцию.</t>
    </r>
  </si>
  <si>
    <r>
      <rPr>
        <i/>
        <sz val="10"/>
        <color theme="1"/>
        <rFont val="Arial"/>
      </rPr>
      <t>&lt;p&gt;&lt;i&gt;Беременность&lt;/i&gt;&lt;br&gt;</t>
    </r>
    <r>
      <rPr>
        <sz val="10"/>
        <color theme="1"/>
        <rFont val="Arial"/>
      </rPr>
      <t xml:space="preserve">
Данные о применении препарата Превенар&amp;nbsp;20 у беременных женщин отсутствуют.&lt;br&gt;
Исследования на животных свидетельствуют об отсутствии прямых и косвенных неблагоприятных токсических эффектов в отношении репродуктивной функции.&lt;br&gt;
Введение препарата Превенар&amp;nbsp;20 во время беременности следует рассматривать только в тех случаях, когда потенциальная польза перевешивает любые потенциальные риски для матери и плода.&lt;br&gt;&lt;br&gt;
</t>
    </r>
    <r>
      <rPr>
        <i/>
        <sz val="10"/>
        <color theme="1"/>
        <rFont val="Arial"/>
      </rPr>
      <t>&lt;i&gt;Лактация&lt;/i&gt;&lt;br&gt;</t>
    </r>
    <r>
      <rPr>
        <sz val="10"/>
        <color theme="1"/>
        <rFont val="Arial"/>
      </rPr>
      <t xml:space="preserve">
Отсутствуют данные о выделении антигенов вакцины или поствакцинальных антител в грудное молоко человека. В качестве меры предосторожности предпочтительно избегать применения препарата в период грудного вскармливания; при принятии решения следует учитывать пользу для матери и пользу от грудного вскармливания для ребенка.&lt;br&gt;&lt;br&gt;
</t>
    </r>
    <r>
      <rPr>
        <i/>
        <sz val="10"/>
        <color theme="1"/>
        <rFont val="Arial"/>
      </rPr>
      <t>&lt;i&gt;Фертильность&lt;/i&gt;&lt;br&gt;</t>
    </r>
    <r>
      <rPr>
        <sz val="10"/>
        <color theme="1"/>
        <rFont val="Arial"/>
      </rPr>
      <t xml:space="preserve">
Данные о влиянии препарата Превенар 20 на репродуктивную функцию у человека отсутствуют. Исследования на животных свидетельствуют об отсутствии прямых или косвенных неблагоприятных эффектов на репродуктивную функцию.&lt;/p&gt;</t>
    </r>
  </si>
  <si>
    <r>
      <rPr>
        <i/>
        <sz val="10"/>
        <color theme="1"/>
        <rFont val="Arial"/>
      </rPr>
      <t>Беременность</t>
    </r>
    <r>
      <rPr>
        <sz val="10"/>
        <color theme="1"/>
        <rFont val="Arial"/>
      </rPr>
      <t xml:space="preserve">
Данные о применении вакцины аАКДС-М у беременных женщин отсутствуют. Подобно другим инактивированным вакцинам, вред для плода не ожидается. Однако вакцину аАКДС-М следует применять во время беременности только при явном риске инфицирования.
</t>
    </r>
    <r>
      <rPr>
        <i/>
        <sz val="10"/>
        <color theme="1"/>
        <rFont val="Arial"/>
      </rPr>
      <t>Лактация</t>
    </r>
    <r>
      <rPr>
        <sz val="10"/>
        <color theme="1"/>
        <rFont val="Arial"/>
      </rPr>
      <t xml:space="preserve">
Влияние на детей, находящихся на грудном вскармливании, при введении вакцины аАКДС-М их матерям, не изучалось. Поскольку вакцина аАКДС-М представляет собой инактивированную вакцину, любой риск для матери или младенца маловероятен. Прежде чем принимать решение о вакцинации кормящей женщины, следует оценить риски и пользу от вакцинации.</t>
    </r>
  </si>
  <si>
    <r>
      <rPr>
        <i/>
        <sz val="10"/>
        <color theme="1"/>
        <rFont val="Arial"/>
      </rPr>
      <t>&lt;p&gt;&lt;i&gt;Беременность&lt;/i&gt;&lt;br&gt;</t>
    </r>
    <r>
      <rPr>
        <sz val="10"/>
        <color theme="1"/>
        <rFont val="Arial"/>
      </rPr>
      <t xml:space="preserve">
Данные о применении вакцины аАКДС-М у беременных женщин отсутствуют. Подобно другим инактивированным вакцинам, вред для плода не ожидается. Однако вакцину аАКДС-М следует применять во время беременности только при явном риске инфицирования.&lt;br&gt;&lt;br&gt;
</t>
    </r>
    <r>
      <rPr>
        <i/>
        <sz val="10"/>
        <color theme="1"/>
        <rFont val="Arial"/>
      </rPr>
      <t>&lt;i&gt;Лактация&lt;/i&gt;&lt;br&gt;</t>
    </r>
    <r>
      <rPr>
        <sz val="10"/>
        <color theme="1"/>
        <rFont val="Arial"/>
      </rPr>
      <t xml:space="preserve">
Влияние на детей, находящихся на грудном вскармливании, при введении вакцины аАКДС-М их матерям, не изучалось. Поскольку вакцина аАКДС-М представляет собой инактивированную вакцину, любой риск для матери или младенца маловероятен. Прежде чем принимать решение о вакцинации кормящей женщины, следует оценить риски и пользу от вакцинации.&lt;/p&gt;</t>
    </r>
  </si>
  <si>
    <r>
      <rPr>
        <i/>
        <sz val="10"/>
        <color theme="1"/>
        <rFont val="Arial"/>
      </rPr>
      <t>Беременность</t>
    </r>
    <r>
      <rPr>
        <sz val="10"/>
        <color theme="1"/>
        <rFont val="Arial"/>
      </rPr>
      <t xml:space="preserve">
Опыт применения препарата Нименрикс у беременных женщин ограничен.
Исследования препарата на животных свидетельствуют об отсутствии прямых или косвенных неблагоприятных эффектов в отношении беременности, эмбрионального развития, родов или постнатального периода.
Препарат Нименрикс следует применять во время беременности только при очевидной необходимости, когда возможная польза превышает потенциальные риски для плода.
</t>
    </r>
    <r>
      <rPr>
        <i/>
        <sz val="10"/>
        <color theme="1"/>
        <rFont val="Arial"/>
      </rPr>
      <t>Кормление грудью</t>
    </r>
    <r>
      <rPr>
        <sz val="10"/>
        <color theme="1"/>
        <rFont val="Arial"/>
      </rPr>
      <t xml:space="preserve">
Неизвестно, выделяется ли препарат Нименрикс с женским грудным молоком.
Препарат Нимедрикс следует применять у кормящих грудью женщин, только когда возможная польза превышает потенциальные риски.
</t>
    </r>
    <r>
      <rPr>
        <i/>
        <sz val="10"/>
        <color theme="1"/>
        <rFont val="Arial"/>
      </rPr>
      <t>Фертильность</t>
    </r>
    <r>
      <rPr>
        <sz val="10"/>
        <color theme="1"/>
        <rFont val="Arial"/>
      </rPr>
      <t xml:space="preserve">
Исследования на животных свидетельствуют об отсутствии прямых и косвенных неблагоприятных токсических эффектов в отношении репродуктивной функции.</t>
    </r>
  </si>
  <si>
    <r>
      <rPr>
        <i/>
        <sz val="10"/>
        <color theme="1"/>
        <rFont val="Arial"/>
      </rPr>
      <t>&lt;p&gt;&lt;i&gt;Беременность&lt;/i&gt;&lt;br&gt;</t>
    </r>
    <r>
      <rPr>
        <sz val="10"/>
        <color theme="1"/>
        <rFont val="Arial"/>
      </rPr>
      <t xml:space="preserve">
Опыт применения препарата Нименрикс у беременных женщин ограничен.&lt;br&gt;
Исследования препарата на животных свидетельствуют об отсутствии прямых или косвенных неблагоприятных эффектов в отношении беременности, эмбрионального развития, родов или постнатального периода.&lt;br&gt;
Препарат Нименрикс следует применять во время беременности только при очевидной необходимости, когда возможная польза превышает потенциальные риски для плода.&lt;br&gt;&lt;br&gt;
</t>
    </r>
    <r>
      <rPr>
        <i/>
        <sz val="10"/>
        <color theme="1"/>
        <rFont val="Arial"/>
      </rPr>
      <t>&lt;i&gt;Кормление грудью&lt;/i&gt;&lt;br&gt;</t>
    </r>
    <r>
      <rPr>
        <sz val="10"/>
        <color theme="1"/>
        <rFont val="Arial"/>
      </rPr>
      <t xml:space="preserve">
Неизвестно, выделяется ли препарат Нименрикс с женским грудным молоком.&lt;br&gt;
Препарат Нимедрикс следует применять у кормящих грудью женщин, только когда возможная польза превышает потенциальные риски.&lt;br&gt;&lt;br&gt;
</t>
    </r>
    <r>
      <rPr>
        <i/>
        <sz val="10"/>
        <color theme="1"/>
        <rFont val="Arial"/>
      </rPr>
      <t>&lt;i&gt;Фертильность&lt;/i&gt;&lt;br&gt;</t>
    </r>
    <r>
      <rPr>
        <sz val="10"/>
        <color theme="1"/>
        <rFont val="Arial"/>
      </rPr>
      <t xml:space="preserve">
Исследования на животных свидетельствуют об отсутствии прямых и косвенных неблагоприятных токсических эффектов в отношении репродуктивной функции.&lt;/p&gt;</t>
    </r>
  </si>
  <si>
    <t>interaction_text_w/o_html</t>
  </si>
  <si>
    <t>interaction_text_html</t>
  </si>
  <si>
    <t>interaction_date</t>
  </si>
  <si>
    <t>interaction_view_number</t>
  </si>
  <si>
    <t>interaction_version</t>
  </si>
  <si>
    <t>interaction_version_link</t>
  </si>
  <si>
    <t>Вакцину не следует смешивать с другими лекарственными препаратами в одном шприце, так как исследования совместимости не проводились.</t>
  </si>
  <si>
    <t>&lt;p&gt;Вакцину не следует смешивать с другими лекарственными препаратами в одном шприце, так как исследования совместимости не проводились.&lt;/p&gt;</t>
  </si>
  <si>
    <t xml:space="preserve">Инструкция не содержит указаний по взаимодействию с лекарственными препаратами. </t>
  </si>
  <si>
    <t>&lt;p&gt;&lt;i&gt;Инструкция не содержит указаний по взаимодействию с лекарственными препаратами.&lt;/i&gt;&lt;/p&gt;</t>
  </si>
  <si>
    <t>Вакцина Бубо®-Кок может вводиться с противоаллергическими препаратами. Взаимодействие с другими лекарственными средствами не установлено.</t>
  </si>
  <si>
    <t>&lt;p&gt;Вакцина Бубо®-Кок может вводиться с противоаллергическими препаратами. Взаимодействие с другими лекарственными средствами не установлено.&lt;/p&gt;</t>
  </si>
  <si>
    <t>Случаи значимого клинического взаимодействия с другими лекарственными средствами или биологическими препаратами (в том числе вакцинами) не зарегистрированы, за исключением иммунодепрессантов.
Если вакцина вводится лицам с нарушением образования антител вследствие генетического дефекта, заболевания, сопровождающегося иммунодефицитом, или иммунодепрессивной терапии, ожидаемый иммунный ответ может быть не получен. Врач должен быть информирован о недавно проводившемся либо совпадающем по времени с вакцинацией введении ребенку любого другого лекарственного препарата (в том числе безрецептурного).</t>
  </si>
  <si>
    <t>&lt;p&gt;Случаи значимого клинического взаимодействия с другими лекарственными средствами или биологическими препаратами (в том числе вакцинами) не зарегистрированы, за исключением иммунодепрессантов.&lt;br&gt;&lt;br&gt;
Если вакцина вводится лицам с нарушением образования антител вследствие генетического дефекта, заболевания, сопровождающегося иммунодефицитом, или иммунодепрессивной терапии, ожидаемый иммунный ответ может быть не получен. Врач должен быть информирован о недавно проводившемся либо совпадающем по времени с вакцинацией введении ребенку любого другого лекарственного препарата (в том числе безрецептурного).&lt;/p&gt;</t>
  </si>
  <si>
    <t>Как и в отношении других вакцин, можно ожидать, что у пациентов, получающих иммуносупрессивную терапию, адекватный иммунный ответ может не достигаться.</t>
  </si>
  <si>
    <t>&lt;p&gt;Как и в отношении других вакцин, можно ожидать, что у пациентов, получающих иммуносупрессивную терапию, адекватный иммунный ответ может не достигаться.&lt;/p&gt;</t>
  </si>
  <si>
    <t>У пациентов, получающих иммунодепрессивную терапию, и пациентов с иммунодефицитом может не развиться достаточный иммунный ответ.</t>
  </si>
  <si>
    <t>&lt;p&gt;У пациентов, получающих иммунодепрессивную терапию, и пациентов с иммунодефицитом может не развиться достаточный иммунный ответ.&lt;/p&gt;</t>
  </si>
  <si>
    <t>АД-М-анатоксин запрещено смешивать в одном шприце с любыми препаратами для парентерального введения.
АД-М-анатоксин можно вводить в любые сроки до или после введения иммуноглобулина.
Использование поддерживающих доз стероидов, а также ингаляционное, местное или внутрисуставное их применение, не являются противопоказаниями к прививке.
Поддерживающая курсовая терапия, в том числе психофармацевтическими препаратами, не является противопоказанием к введению АД-М-анатоксина.</t>
  </si>
  <si>
    <t>&lt;p&gt;АД-М-анатоксин запрещено смешивать в одном шприце с любыми препаратами для парентерального введения.&lt;br&gt;&lt;br&gt;
АД-М-анатоксин можно вводить в любые сроки до или после введения иммуноглобулина.&lt;br&gt;&lt;br&gt;
Использование поддерживающих доз стероидов, а также ингаляционное, местное или внутрисуставное их применение, не являются противопоказаниями к прививке.&lt;br&gt;&lt;br&gt;
Поддерживающая курсовая терапия, в том числе психофармацевтическими препаратами, не является противопоказанием к введению АД-М-анатоксина.&lt;/p&gt;</t>
  </si>
  <si>
    <t>АДС-анатоксин запрещено смешивать в одном шприце с любыми препаратами для парентерального введения.
АДС-анатоксин можно вводить в любые сроки до или после введения иммуноглобулина.
Использование поддерживающих доз стероидов, а также ингаляционное, местное или внутрисуставное их применение, не являются противопоказаниями к прививке.
Поддерживающая курсовая терапия, в том числе психофармацевтическими препаратами, не является противопоказанием к введению АДС-анатоксина.</t>
  </si>
  <si>
    <t>&lt;p&gt;АДС-анатоксин запрещено смешивать в одном шприце с любыми препаратами для парентерального введения.&lt;br&gt;&lt;br&gt;
АДС-анатоксин можно вводить в любые сроки до или после введения иммуноглобулина.&lt;br&gt;&lt;br&gt;
Использование поддерживающих доз стероидов, а также ингаляционное, местное или внутрисуставное их применение, не являются противопоказаниями к прививке.&lt;br&gt;&lt;br&gt;
Поддерживающая курсовая терапия, в том числе психофармацевтическими препаратами, не является противопоказанием к введению АДС-анатоксина.&lt;/p&gt;</t>
  </si>
  <si>
    <t>АДС-М-анатоксин запрещено смешивать в одном шприце с любыми препаратами для парентерального введения.
АДС-М-анатоксин можно вводить в любые сроки до или после введения иммуноглобулина.
Использование поддерживающих доз стероидов, а также ингаляционное, местное или внутрисуставное их применение, не являются противопоказаниями к прививке.
Поддерживающая курсовая терапия, в том числе психофармацевтическими препаратами, не является противопоказанием к введению АДС-М-анатоксина.</t>
  </si>
  <si>
    <t>&lt;p&gt;АДС-М-анатоксин запрещено смешивать в одном шприце с любыми препаратами для парентерального введения.&lt;br&gt;&lt;br&gt;
АДС-М-анатоксин можно вводить в любые сроки до или после введения иммуноглобулина.&lt;br&gt;&lt;br&gt;
Использование поддерживающих доз стероидов, а также ингаляционное, местное или внутрисуставное их применение, не являются противопоказаниями к прививке.&lt;br&gt;&lt;br&gt;
Поддерживающая курсовая терапия, в том числе психофармацевтическими препаратами, не является противопоказанием к введению АДС-М-анатоксина.&lt;/p&gt;</t>
  </si>
  <si>
    <t>Иммуносупрессивные средства при одновременном применении с вакциной могут оказывать влияние на формирование иммунного ответа. Иммунносупрессивная терапия, включая лучевую терапию, применение антиметаболитов, алкилирующих препаратов, цитотоксических препаратов и глюкокортикостероидов (в дозах выше терапевтических), может снижать иммунный ответ на вакцину.
Вакцину Адасель запрещено смешивать в одном шприце с любыми препаратами, предназначенными для парентерального введения.</t>
  </si>
  <si>
    <t>&lt;p&gt;Иммуносупрессивные средства при одновременном применении с вакциной могут оказывать влияние на формирование иммунного ответа. Иммунносупрессивная терапия, включая лучевую терапию, применение антиметаболитов, алкилирующих препаратов, цитотоксических препаратов и глюкокортикостероидов (в дозах выше терапевтических), может снижать иммунный ответ на вакцину.&lt;/p&gt;
&lt;p&gt;Вакцину Адасель запрещено смешивать в одном шприце с любыми препаратами, предназначенными для парентерального введения.&lt;/p&gt;</t>
  </si>
  <si>
    <t>У лиц, проходящих лечение иммуностимуляторами или иммунодепрессантами, и ВИЧ-инфицированных может наблюдаться слабый иммунный ответ на введение вакцины.</t>
  </si>
  <si>
    <t>&lt;p&gt;У лиц, проходящих лечение иммуностимуляторами или иммунодепрессантами, и ВИЧ-инфицированных может наблюдаться слабый иммунный ответ на введение вакцины.&lt;/p&gt;</t>
  </si>
  <si>
    <t>При одновременном введении с иммуноглобулинами человека защитное действие вакцины не снижается.
Если возникает необходимость ввести вакцину Хаврикс с иммуноглобулинами, то препараты вводят с использованием отдельных шприцев и игл в разные участки тела.
В связи с отсутствием исследований совместимости, вакцину Хаврикс не следует смешивать с другими лекарственными препаратами.</t>
  </si>
  <si>
    <t>&lt;p&gt;При одновременном введении с иммуноглобулинами человека защитное действие вакцины не снижается.&lt;br&gt;
Если возникает необходимость ввести вакцину Хаврикс с иммуноглобулинами, то препараты вводят с использованием отдельных шприцев и игл в разные участки тела.&lt;br&gt;&lt;br&gt;
В связи с отсутствием исследований совместимости, вакцину Хаврикс не следует смешивать с другими лекарственными препаратами.&lt;/p&gt;</t>
  </si>
  <si>
    <t>Вакцина Аваксим 80 (вакцина для профилактики гепатита А инактивированная, адсорбированная) может вводиться одновременно с иммуноглобулином в разные участки тела. Это не влияет на частоту сероконверсии, но может приводить к выработке более низких титров антител.</t>
  </si>
  <si>
    <t>&lt;p&gt;Вакцина Аваксим&amp;nbsp;80 (вакцина для профилактики гепатита А инактивированная, адсорбированная) может вводиться одновременно с иммуноглобулином в разные участки тела. Это не влияет на частоту сероконверсии, но может приводить к выработке более низких титров антител.&lt;/p&gt;</t>
  </si>
  <si>
    <t>Вакцина Аваксим 160 может вводиться одновременно с иммуноглобулином против гепатита А, в разные участки тела. Это не влияет на частоту сероконверсии, но может приводить к выработке более низких титров антител. При использовании вакцины Аваксим 160 для постэкспозиционной профилактики при вспышках гепатита А возможно введение вакцины без применения иммуноглобулина.</t>
  </si>
  <si>
    <t>&lt;p&gt;Вакцина Аваксим 160 может вводиться одновременно с иммуноглобулином против гепатита А, в разные участки тела. Это не влияет на частоту сероконверсии, но может приводить к выработке более низких титров антител. При использовании вакцины Аваксим 160 для постэкспозиционной профилактики при вспышках гепатита А возможно введение вакцины без применения иммуноглобулина.&lt;/p&gt;</t>
  </si>
  <si>
    <t>Вакцина против гепатита В может вводиться с противоаллергическими препаратами.
Взаимодействие с другими лекарственными средствами не установлено.
В связи с отсутствием исследований совместимости, данный лекарственный препарат не следует смешивать с другими лекарственными препаратами.</t>
  </si>
  <si>
    <t>&lt;p&gt;Вакцина против гепатита В может вводиться с противоаллергическими препаратами.&lt;br&gt;
Взаимодействие с другими лекарственными средствами не установлено.&lt;br&gt;
В связи с отсутствием исследований совместимости, данный лекарственный препарат не следует смешивать с другими лекарственными препаратами.&lt;/p&gt;</t>
  </si>
  <si>
    <t>В связи с отсутствием исследований совместимости данный лекарственный препарат не следует смешивать с другими лекарственными препаратами.</t>
  </si>
  <si>
    <t>&lt;p&gt;В связи с отсутствием исследований совместимости данный лекарственный препарат не следует смешивать с другими лекарственными препаратами.&lt;/p&gt;</t>
  </si>
  <si>
    <t>Вакцину Эувакс В нельзя смешивать в одном шприце с другими жидкими лекарственными препаратами [...].</t>
  </si>
  <si>
    <t>&lt;p&gt;Вакцину Эувакс&amp;nbsp;В нельзя смешивать в одном шприце с другими жидкими лекарственными препаратами [...].&lt;/p&gt;</t>
  </si>
  <si>
    <t>Вакцину Эувакс В нельзя смешивать в одном шприце с другими жидкими лекарственными препаратами.</t>
  </si>
  <si>
    <t>&lt;p&gt;Вакцину Эувакс&amp;nbsp;В нельзя смешивать в одном шприце с другими жидкими лекарственными препаратами.&lt;/p&gt;</t>
  </si>
  <si>
    <r>
      <rPr>
        <sz val="10"/>
        <color theme="1"/>
        <rFont val="Arial"/>
      </rPr>
      <t xml:space="preserve">Не допускается смешивать вакцину с другими препаратами в одном шприце!
</t>
    </r>
    <r>
      <rPr>
        <i/>
        <sz val="10"/>
        <color theme="1"/>
        <rFont val="Arial"/>
      </rPr>
      <t>Пероральные контрацептивы</t>
    </r>
    <r>
      <rPr>
        <sz val="10"/>
        <color theme="1"/>
        <rFont val="Arial"/>
      </rPr>
      <t xml:space="preserve">
В ходе клинических исследований было установлено, что примерно 60% женщин, получавших вакцину Церварикс, применяли пероральные контрацептивы (ПОК). Данные об отрицательном влиянии ПОК на эффективность вакцины Церварикс отсутствуют.
</t>
    </r>
    <r>
      <rPr>
        <i/>
        <sz val="10"/>
        <color theme="1"/>
        <rFont val="Arial"/>
      </rPr>
      <t>Иммунодепрессанты</t>
    </r>
    <r>
      <rPr>
        <sz val="10"/>
        <color theme="1"/>
        <rFont val="Arial"/>
      </rPr>
      <t xml:space="preserve">
Как и для любой другой вакцины предполагается, что у пациентов, получающих иммунодепрессанты, адекватный иммунный ответ может быть не достигнут.</t>
    </r>
  </si>
  <si>
    <r>
      <rPr>
        <sz val="10"/>
        <color theme="1"/>
        <rFont val="Arial"/>
      </rPr>
      <t xml:space="preserve">&lt;p&gt;Не допускается смешивать вакцину с другими препаратами в одном шприце!&lt;br&gt;&lt;br&gt;
</t>
    </r>
    <r>
      <rPr>
        <i/>
        <sz val="10"/>
        <color theme="1"/>
        <rFont val="Arial"/>
      </rPr>
      <t>&lt;i&gt;Пероральные контрацептивы</t>
    </r>
    <r>
      <rPr>
        <sz val="10"/>
        <color theme="1"/>
        <rFont val="Arial"/>
      </rPr>
      <t xml:space="preserve">&lt;/i&gt;&lt;br&gt;
В ходе клинических исследований было установлено, что примерно 60% женщин, получавших вакцину Церварикс, применяли пероральные контрацептивы (ПОК). Данные об отрицательном влиянии ПОК на эффективность вакцины Церварикс отсутствуют.&lt;br&gt;&lt;br&gt;
</t>
    </r>
    <r>
      <rPr>
        <i/>
        <sz val="10"/>
        <color theme="1"/>
        <rFont val="Arial"/>
      </rPr>
      <t>&lt;i&gt;Иммунодепрессанты</t>
    </r>
    <r>
      <rPr>
        <sz val="10"/>
        <color theme="1"/>
        <rFont val="Arial"/>
      </rPr>
      <t>&lt;/i&gt;&lt;br&gt;
Как и для любой другой вакцины предполагается, что у пациентов, получающих иммунодепрессанты, адекватный иммунный ответ может быть не достигнут.&lt;/p&gt;</t>
    </r>
  </si>
  <si>
    <r>
      <rPr>
        <sz val="10"/>
        <color theme="1"/>
        <rFont val="Arial"/>
      </rPr>
      <t xml:space="preserve">Из всех клинических исследований были исключены лица, получавшие иммуноглобулин или препараты крови в течение 6 месяцев до введения первой дозы вакцины.
</t>
    </r>
    <r>
      <rPr>
        <i/>
        <sz val="10"/>
        <color theme="1"/>
        <rFont val="Arial"/>
      </rPr>
      <t>Применение с распространенными лекарствами</t>
    </r>
    <r>
      <rPr>
        <sz val="10"/>
        <color theme="1"/>
        <rFont val="Arial"/>
      </rPr>
      <t xml:space="preserve">
Применение анальгетиков, противовоспалительных препаратов, антибиотиков и витаминных препаратов не влияло на эффективность, иммуногенность и безопасность вакцины.
</t>
    </r>
    <r>
      <rPr>
        <i/>
        <sz val="10"/>
        <color theme="1"/>
        <rFont val="Arial"/>
      </rPr>
      <t>Применение с гормональными контрацептивами</t>
    </r>
    <r>
      <rPr>
        <sz val="10"/>
        <color theme="1"/>
        <rFont val="Arial"/>
      </rPr>
      <t xml:space="preserve">
Применение гормональных контрацептивов не влияло на эффективность, иммуногенность и безопасность вакцины Гардасил.
</t>
    </r>
    <r>
      <rPr>
        <i/>
        <sz val="10"/>
        <color theme="1"/>
        <rFont val="Arial"/>
      </rPr>
      <t>Применение со стероидами</t>
    </r>
    <r>
      <rPr>
        <sz val="10"/>
        <color theme="1"/>
        <rFont val="Arial"/>
      </rPr>
      <t xml:space="preserve">
Ингаляционные, местные и парентеральные иммуносупрессанты не влияли на иммуногенность и безопасность вакцины Гардасил.
</t>
    </r>
    <r>
      <rPr>
        <i/>
        <sz val="10"/>
        <color theme="1"/>
        <rFont val="Arial"/>
      </rPr>
      <t>Применение с системными иммуносупрессантами</t>
    </r>
    <r>
      <rPr>
        <sz val="10"/>
        <color theme="1"/>
        <rFont val="Arial"/>
      </rPr>
      <t xml:space="preserve">
Данные об одновременном применении системных иммуносупрессантов и вакцины Гардасил отсутствуют. У лиц, принимающих иммуносупрессанты (системные кортикостероиды, антиметаболиты, алкилирующие препараты, цитотоксичные препараты), защитный эффект может быть снижен.
Вакцину не следует смешивать с другими лекарственными препаратами, поскольку
исследования совместимости не проводились.</t>
    </r>
  </si>
  <si>
    <r>
      <rPr>
        <sz val="10"/>
        <color theme="1"/>
        <rFont val="Arial"/>
      </rPr>
      <t xml:space="preserve">&lt;p&gt;Из всех клинических исследований были исключены лица, получавшие иммуноглобулин или препараты крови в течение 6&amp;nbsp;месяцев до введения первой дозы вакцины.&lt;/p&gt;
</t>
    </r>
    <r>
      <rPr>
        <i/>
        <sz val="10"/>
        <color theme="1"/>
        <rFont val="Arial"/>
      </rPr>
      <t>&lt;p&gt;&lt;i&gt;Применение с распространенными лекарствами</t>
    </r>
    <r>
      <rPr>
        <sz val="10"/>
        <color theme="1"/>
        <rFont val="Arial"/>
      </rPr>
      <t xml:space="preserve">&lt;/i&gt;&lt;br&gt;
Применение анальгетиков, противовоспалительных препаратов, антибиотиков и витаминных препаратов не влияло на эффективность, иммуногенность и безопасность вакцины.&lt;br&gt;&lt;br&gt;
</t>
    </r>
    <r>
      <rPr>
        <i/>
        <sz val="10"/>
        <color theme="1"/>
        <rFont val="Arial"/>
      </rPr>
      <t>&lt;i&gt;Применение с гормональными контрацептивами</t>
    </r>
    <r>
      <rPr>
        <sz val="10"/>
        <color theme="1"/>
        <rFont val="Arial"/>
      </rPr>
      <t xml:space="preserve">&lt;/i&gt;&lt;br&gt;
Применение гормональных контрацептивов не влияло на эффективность, иммуногенность и безопасность вакцины Гардасил.&lt;br&gt;&lt;br&gt;
</t>
    </r>
    <r>
      <rPr>
        <i/>
        <sz val="10"/>
        <color theme="1"/>
        <rFont val="Arial"/>
      </rPr>
      <t>&lt;i&gt;Применение со стероидами</t>
    </r>
    <r>
      <rPr>
        <sz val="10"/>
        <color theme="1"/>
        <rFont val="Arial"/>
      </rPr>
      <t xml:space="preserve">&lt;/i&gt;&lt;br&gt;
Ингаляционные, местные и парентеральные иммуносупрессанты не влияли на иммуногенность и безопасность вакцины Гардасил.&lt;br&gt;&lt;br&gt;
</t>
    </r>
    <r>
      <rPr>
        <i/>
        <sz val="10"/>
        <color theme="1"/>
        <rFont val="Arial"/>
      </rPr>
      <t>&lt;i&gt;Применение с системными иммуносупрессантами</t>
    </r>
    <r>
      <rPr>
        <sz val="10"/>
        <color theme="1"/>
        <rFont val="Arial"/>
      </rPr>
      <t>&lt;/i&gt;&lt;br&gt;
Данные об одновременном применении системных иммуносупрессантов и вакцины Гардасил отсутствуют. У лиц, принимающих иммуносупрессанты (системные кортикостероиды, антиметаболиты, алкилирующие препараты, цитотоксичные препараты), защитный эффект может быть снижен.&lt;/p&gt;
&lt;p&gt;Вакцину не следует смешивать с другими лекарственными препаратами, поскольку
исследования совместимости не проводились.&lt;/p&gt;</t>
    </r>
  </si>
  <si>
    <t>Специальных исследований лекарственных взаимодействий не проводилось.
В связи с отсутствием исследований совместимости, данный лекарственный препарат не следует смешивать с другими лекарственными препаратами в одном шприце.
У пациентов, получающих иммуносупрессивную терапию, и пациентов с иммунодефицитом может не развиться достаточный иммунный ответ. Применение иммуносупрессивной терапии (лекарственные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t>
  </si>
  <si>
    <t>&lt;p&gt;Специальных исследований лекарственных взаимодействий не проводилось.&lt;br&gt;
В связи с отсутствием исследований совместимости, данный лекарственный препарат не следует смешивать с другими лекарственными препаратами в одном шприце.&lt;br&gt;
У пациентов, получающих иммуносупрессивную терапию, и пациентов с иммунодефицитом может не развиться достаточный иммунный ответ. Применение иммуносупрессивной терапии (лекарственные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вакцинацию.&lt;/p&gt;</t>
  </si>
  <si>
    <t>Взаимодействие с другими лекарственными средствами не изучалось.</t>
  </si>
  <si>
    <t>&lt;p&gt;Взаимодействие с другими лекарственными средствами не изучалось.&lt;/p&gt;</t>
  </si>
  <si>
    <t>Вакцина может вводиться на фоне базисной терапии основного заболевания. Вакцинация пациентов, получающих иммуносупрессивную терапию, может быть менее эффективной.</t>
  </si>
  <si>
    <t>&lt;p&gt;Вакцина может вводиться на фоне базисной терапии основного заболевания. Вакцинация пациентов, получающих иммуносупрессивную терапию, может быть менее эффективной.&lt;/p&gt;</t>
  </si>
  <si>
    <t>Вакцина может вводиться на фоне базисной терапии основного заболевания. У пациентов, получающих иммуносупрессивную терапию (кортикостероиды, цитотоксические препараты, радиотерапия) и пациентов с иммунодефицитом может не развиться достаточный иммунный ответ.
В отсутствии результатов исследований совместимости вакцину не следует смешивать с другими лекарственными препаратами.</t>
  </si>
  <si>
    <t>&lt;p&gt;Вакцина может вводиться на фоне базисной терапии основного заболевания. У пациентов, получающих иммуносупрессивную терапию (кортикостероиды, цитотоксические препараты, радиотерапия) и пациентов с иммунодефицитом может не развиться достаточный иммунный ответ.&lt;br&gt;&lt;br&gt;
В отсутствии результатов исследований совместимости вакцину не следует смешивать с другими лекарственными препаратами.&lt;/p&gt;</t>
  </si>
  <si>
    <t>Специальные исследования лекарственных взаимодействий с препаратом СОВИГРИПП не проводились.
Вакцина может вводиться на фоне базисной терапии основного заболевания. Вакцинация лиц, получающих иммуносупрессивную терапию, может быть менее эффективной.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 но не приводит к повышению вероятности нежелательных реакций.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t>
  </si>
  <si>
    <t>&lt;p&gt;Специальные исследования лекарственных взаимодействий с препаратом СОВИГРИПП не проводились.&lt;br&gt;
Вакцина может вводиться на фоне базисной терапии основного заболевания. Вакцинация лиц, получающих иммуносупрессивную терапию, может быть менее эффективной.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 но не приводит к повышению вероятности нежелательных реакций.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лечения.&lt;/p&gt;</t>
  </si>
  <si>
    <t>Вакцинация пациентов, получающих иммуносупрессивную терапию, может быть менее эффективной.
В связи с отсутствием исследований совместимости, данный лекарственный препарат не следует смешивать с другими лекарственными препаратами.</t>
  </si>
  <si>
    <t>&lt;p&gt;Вакцинация пациентов, получающих иммуносупрессивную терапию, может быть менее эффективной.&lt;br&gt;&lt;br&gt;
В связи с отсутствием исследований совместимости, данный лекарственный препарат не следует смешивать с другими лекарственными препаратами.&lt;/p&gt;</t>
  </si>
  <si>
    <t>Вакцинация пациентов, получающих иммуносупрессивную терапию (кортикостероиды, цитотоксические и радиоактивные препараты), может быть менее эффективной.</t>
  </si>
  <si>
    <t>&lt;p&gt;Вакцинация пациентов, получающих иммуносупрессивную терапию (кортикостероиды, цитотоксические и радиоактивные препараты), может быть менее эффективной.&lt;/p&gt;</t>
  </si>
  <si>
    <t>Вакцину нельзя смешивать с каким-либо другим лекарственным препаратом в одном шприце.
После вакцинации против гриппа отмечалось ингибирование печеночного клиренса фенитоина, теофиллина и варфарина, однако в рамках последующих исследований возникновения нежелательных эффектов в связи с этим феноменом обнаружено не было.
При введении вакцины Ваксигрип® лицам, проходящим иммуносупрессивную терапию, иммунный ответ после вакцинации может быть сниженным.</t>
  </si>
  <si>
    <t>&lt;p&gt;Вакцину нельзя смешивать с каким-либо другим лекарственным препаратом в одном шприце.&lt;/p&gt;
&lt;p&gt;После вакцинации против гриппа отмечалось ингибирование печеночного клиренса фенитоина, теофиллина и варфарина, однако в рамках последующих исследований возникновения нежелательных эффектов в связи с этим феноменом обнаружено не было.&lt;/p&gt;
&lt;p&gt;При введении вакцины Ваксигрип® лицам, проходящим иммуносупрессивную терапию, иммунный ответ после вакцинации может быть сниженным.&lt;/p&gt;</t>
  </si>
  <si>
    <t>У пациентов, получающих иммуносупрессивную терапию, иммунный ответ на вакцинацию может быть снижен.
После вакцинации возможно появление ложноположительных результатов серологических тестов, основанных на методе ELISA, при определении антител против ВИЧ (HIV1), гепатита С, Т-клеточного лимфотропного вируса человека (HTLV1). Лабораторная диагностика методом Вестерн-Блоттинга позволяет исключить ложноположительные результаты тестов, основанных на методе ELISA.
Преходящие ложноположительные результаты могут быть обусловлены выработкой IgM после вакцинации.</t>
  </si>
  <si>
    <t>&lt;p&gt;У пациентов, получающих иммуносупрессивную терапию, иммунный ответ на вакцинацию может быть снижен.&lt;br&gt;&lt;br&gt;
После вакцинации возможно появление ложноположительных результатов серологических тестов, основанных на методе ELISA, при определении антител против ВИЧ (HIV1), гепатита С, Т-клеточного лимфотропного вируса человека (HTLV1). Лабораторная диагностика методом Вестерн-Блоттинга позволяет исключить ложноположительные результаты тестов, основанных на методе ELISA.&lt;br&gt;&lt;br&gt;
Преходящие ложноположительные результаты могут быть обусловлены выработкой IgM после вакцинации.&lt;/p&gt;</t>
  </si>
  <si>
    <t>Вакцина Ультрикс® Квадри может вводиться на фоне базисной терапии основного заболевания. Вакцинация пациентов, получивших иммуносупрессивную терапию (глюкокортикостероиды, цитотоксические препараты, радиотерапия), может быть менее эффективной.</t>
  </si>
  <si>
    <t>&lt;p&gt;Вакцина Ультрикс® Квадри может вводиться на фоне базисной терапии основного заболевания. Вакцинация пациентов, получивших иммуносупрессивную терапию (глюкокортикостероиды, цитотоксические препараты, радиотерапия), может быть менее эффективной.&lt;/p&gt;</t>
  </si>
  <si>
    <t>&lt;p&gt;Вакцина может вводиться на фоне базисной терапии основного заболевания. У пациентов, получающих иммуносупрессивную терапию (кортикостероиды, цитотоксические препараты, радиотерапия) и пациентов с иммунодефицитом может не развиться достаточный иммунный ответ.&lt;br&gt;
В отсутствии результатов исследований совместимости вакцину не следует смешивать с другими лекарственными препаратами.&lt;/p&gt;</t>
  </si>
  <si>
    <t>После введения препаратов иммуноглобулина человека прививки против кори проводят не ранее, чем через 3 мес. После введения коревой вакцины препараты иммуноглобулина можно вводить не ранее, чем через 2 нед.; в случае необходимости применения иммуноглобулина ранее этого срока вакцинацию против кори следует повторить.
После проведения иммуносупрессивной терапии вакцинацию против кори можно проводить через 3-6 мес. после окончания лечения.
Вакцину не следует смешивать с другими лекарственными препаратами в одном шприце.</t>
  </si>
  <si>
    <t>&lt;p&gt;После введения препаратов иммуноглобулина человека прививки против кори проводят не ранее, чем через 3&amp;nbsp;мес. После введения коревой вакцины препараты иммуноглобулина можно вводить не ранее, чем через 2&amp;nbsp;нед.; в случае необходимости применения иммуноглобулина ранее этого срока вакцинацию против кори следует повторить.&lt;br&gt;&lt;br&gt;
После проведения иммуносупрессивной терапии вакцинацию против кори можно проводить через 3-6&amp;nbsp;мес. после окончания лечения.&lt;br&gt;&lt;br&gt;
Вакцину не следует смешивать с другими лекарственными препаратами в одном шприце.&lt;/p&gt;</t>
  </si>
  <si>
    <r>
      <rPr>
        <sz val="10"/>
        <color theme="1"/>
        <rFont val="Arial"/>
      </rPr>
      <t xml:space="preserve">После введения коревой вакцины препараты иммуноглобулина можно вводить не ранее, чем через 2 недели. В случае необходимости применения иммуноглобулина ранее этого срока вакцинацию против кори следует повторить.
</t>
    </r>
    <r>
      <rPr>
        <i/>
        <sz val="10"/>
        <color theme="1"/>
        <rFont val="Arial"/>
      </rPr>
      <t>Туберкулинодиагностика</t>
    </r>
    <r>
      <rPr>
        <sz val="10"/>
        <color theme="1"/>
        <rFont val="Arial"/>
      </rPr>
      <t xml:space="preserve">
При необходимости постановки туберкулиновой пробы (пробы Манту) или Диаскинтеста они должны быть проведены не ранее, чем через 4 недели после вакцинации во избежание неинформативных результатов пробы (повышение вероятности ложноотрицательного результата из-за влияния коревого компонента вакцины на реакцию к туберкулину).
</t>
    </r>
    <r>
      <rPr>
        <i/>
        <sz val="10"/>
        <color theme="1"/>
        <rFont val="Arial"/>
      </rPr>
      <t>Препараты крови</t>
    </r>
    <r>
      <rPr>
        <sz val="10"/>
        <color theme="1"/>
        <rFont val="Arial"/>
      </rPr>
      <t xml:space="preserve">
После введения препаратов крови человека (иммуноглобулины, плазма и др.) вакцину против кори следует применять не ранее, чем через 3 мес. После иммунизации вакциной против кори препараты крови следует вводить не ранее, чем через 2 недели. В случае необходимости их применения ранее этого срока вакцинацию следует повторить через 3 мес.</t>
    </r>
  </si>
  <si>
    <r>
      <rPr>
        <sz val="10"/>
        <color theme="1"/>
        <rFont val="Arial"/>
      </rPr>
      <t xml:space="preserve">&lt;p&gt;После введения коревой вакцины препараты иммуноглобулина можно вводить не ранее, чем через 2&amp;nbspнедели. В случае необходимости применения иммуноглобулина ранее этого срока вакцинацию против кори следует повторить.&lt;br&gt;&lt;br&gt;
</t>
    </r>
    <r>
      <rPr>
        <i/>
        <sz val="10"/>
        <color theme="1"/>
        <rFont val="Arial"/>
      </rPr>
      <t>&lt;i&gt;Туберкулинодиагностика&lt;/i&gt;&lt;br&gt;</t>
    </r>
    <r>
      <rPr>
        <sz val="10"/>
        <color theme="1"/>
        <rFont val="Arial"/>
      </rPr>
      <t xml:space="preserve">
При необходимости постановки туберкулиновой пробы (пробы Манту) или Диаскинтеста они должны быть проведены не ранее, чем через 4&amp;nbspнедели после вакцинации во избежание неинформативных результатов пробы (повышение вероятности ложноотрицательного результата из-за влияния коревого компонента вакцины на реакцию к туберкулину).&lt;br&gt;&lt;br&gt;
</t>
    </r>
    <r>
      <rPr>
        <i/>
        <sz val="10"/>
        <color theme="1"/>
        <rFont val="Arial"/>
      </rPr>
      <t>&lt;i&gt;Препараты крови&lt;/i&gt;&lt;br&gt;</t>
    </r>
    <r>
      <rPr>
        <sz val="10"/>
        <color theme="1"/>
        <rFont val="Arial"/>
      </rPr>
      <t xml:space="preserve">
После введения препаратов крови человека (иммуноглобулины, плазма и др.) вакцину против кори следует применять не ранее, чем через 3&amp;nbspмес. После иммунизации вакциной против кори препараты крови следует вводить не ранее, чем через 2&amp;nbspнедели. В случае необходимости их применения ранее этого срока вакцинацию следует повторить через 3&amp;nbspмес.&lt;/p&gt;</t>
    </r>
  </si>
  <si>
    <t>После введения препаратов иммуноглобулина человека прививки против кори проводятся не ранее чем через 2 мес. После введения коревой вакцины препараты иммуноглобулина можно вводить не ранее чем через 2 недели; в случае необходимости применения иммуноглобулина ранее этого срока вакцинацию против кори следует повторить.</t>
  </si>
  <si>
    <t>&lt;p&gt;После введения препаратов иммуноглобулина человека прививки против кори проводятся не ранее чем через 2&amp;nbsp;мес. После введения коревой вакцины препараты иммуноглобулина можно вводить не ранее чем через 2&amp;nbsp;недели; в случае необходимости применения иммуноглобулина ранее этого срока вакцинацию против кори следует повторить.&lt;/p&gt;</t>
  </si>
  <si>
    <t>При необходимости постановки туберкулиновой пробы она должна быть проведена или одновременно с вакцинацией или через 6 недель после нее, поскольку коревой (а возможно и паротитный) вакцинальный процесс может вызвать временное снижение чувствительности кожи к туберкулину, что послужит причиной ложного отрицательного результата.
После введения препаратов иммуноглобулина человека прививки проводить не ранее, чем через 2 мес. После введения паротитно-коревой вакцины препараты иммуноглобулина можно вводить не ранее, чем через 2 недели; в случае необходимости применения иммуноглобулина ранее этого срока вакцинацию против паротита и кори следует повторить.
Вакцину не следует смешивать с другими лекарственными препаратами в одном шприце.</t>
  </si>
  <si>
    <t>&lt;p&gt;При необходимости постановки туберкулиновой пробы она должна быть проведена или одновременно с вакцинацией или через 6&amp;nbsp;недель после нее, поскольку коревой (а возможно и паротитный) вакцинальный процесс может вызвать временное снижение чувствительности кожи к туберкулину, что послужит причиной ложного отрицательного результата.&lt;br&gt;&lt;br&gt;
После введения препаратов иммуноглобулина человека прививки проводить не ранее, чем через 2&amp;nbsp;мес. После введения паротитно-коревой вакцины препараты иммуноглобулина можно вводить не ранее, чем через 2&amp;nbsp;недели; в случае необходимости применения иммуноглобулина ранее этого срока вакцинацию против паротита и кори следует повторить.&lt;br&gt;&lt;br&gt;
Вакцину не следует смешивать с другими лекарственными препаратами в одном шприце.&lt;/p&gt;</t>
  </si>
  <si>
    <r>
      <rPr>
        <i/>
        <sz val="10"/>
        <color theme="1"/>
        <rFont val="Arial"/>
      </rPr>
      <t xml:space="preserve">Препараты крови
</t>
    </r>
    <r>
      <rPr>
        <sz val="10"/>
        <color theme="1"/>
        <rFont val="Arial"/>
      </rPr>
      <t xml:space="preserve">После введения препаратов крови (иммуноглобулины, плазма и др.) вакцину против кори, краснухи и паротита следует применять не ранее чем через 3 месяца. После иммунизации вакциной против кори, краснухи и паротита препараты крови можно вводить не ранее чем через 2 недели. В случае необходимости их применения ранее этого срока вакцинацию следует повторить через 3 мес.
</t>
    </r>
    <r>
      <rPr>
        <i/>
        <sz val="10"/>
        <color theme="1"/>
        <rFont val="Arial"/>
      </rPr>
      <t>Туберкулиндиагностика</t>
    </r>
    <r>
      <rPr>
        <sz val="10"/>
        <color theme="1"/>
        <rFont val="Arial"/>
      </rPr>
      <t xml:space="preserve">
При необходимости постановки туберкулиновой пробы (пробы Манту) или Диаскинтеста, они должны быть проведены не ранее, чем через 4 недели после вакцинации во избежание неинформативных результатов пробы (повышение вероятности ложноотрицательного результата из-за влияния коревого компонента вакцины на туберкулин).</t>
    </r>
  </si>
  <si>
    <r>
      <rPr>
        <i/>
        <sz val="10"/>
        <color theme="1"/>
        <rFont val="Arial"/>
      </rPr>
      <t xml:space="preserve">&lt;p&gt;&lt;i&gt;Препараты крови&lt;/i&gt;&lt;br&gt;
</t>
    </r>
    <r>
      <rPr>
        <sz val="10"/>
        <color theme="1"/>
        <rFont val="Arial"/>
      </rPr>
      <t xml:space="preserve">После введения препаратов крови (иммуноглобулины, плазма и др.) вакцину против кори, краснухи и паротита следует применять не ранее чем через 3&amp;nbsp;месяца. После иммунизации вакциной против кори, краснухи и паротита препараты крови можно вводить не ранее чем через 2&amp;nbsp;недели. В случае необходимости их применения ранее этого срока вакцинацию следует повторить через 3&amp;nbsp;мес.&lt;br&gt;&lt;br&gt;
</t>
    </r>
    <r>
      <rPr>
        <i/>
        <sz val="10"/>
        <color theme="1"/>
        <rFont val="Arial"/>
      </rPr>
      <t>&lt;i&gt;Туберкулиндиагностика&lt;/i&gt;&lt;br&gt;</t>
    </r>
    <r>
      <rPr>
        <sz val="10"/>
        <color theme="1"/>
        <rFont val="Arial"/>
      </rPr>
      <t xml:space="preserve">
При необходимости постановки туберкулиновой пробы (пробы Манту) или Диаскинтеста, они должны быть проведены не ранее, чем через 4&amp;nbsp;недели после вакцинации во избежание неинформативных результатов пробы (повышение вероятности ложноотрицательного результата из-за влияния коревого компонента вакцины на туберкулин).&lt;/p&gt;</t>
    </r>
  </si>
  <si>
    <t>Введение иммуноглобулинов совместно с вакциной М-М-Р II® может нарушить ожидаемый иммунный ответ. Вакцинацию следует отложить на 3 месяца или провести за 4 недели до введения иммуноглобулинов человека, а также переливания крови или плазмы.</t>
  </si>
  <si>
    <t>&lt;p&gt;Введение иммуноглобулинов совместно с вакциной М-М-Р&amp;nbsp;II® может нарушить ожидаемый иммунный ответ. Вакцинацию следует отложить на 3&amp;nbsp;месяца или провести за 4&amp;nbsp;недели до введения иммуноглобулинов человека, а также переливания крови или плазмы.&lt;/p&gt;</t>
  </si>
  <si>
    <t>https://grls.rosminzdrav.ru/InstrImg/2022/09/20/1485497/d454a4ed-f278-470c-9ca3-82a7d582e3aa.pdf</t>
  </si>
  <si>
    <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
Вакцину не следует смешивать с другими лекарственными препаратами в одном
шприце, так как исследования совместимости не проводились.</t>
  </si>
  <si>
    <t>&lt;p&gt;До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препарата.&lt;/p&gt;
&lt;p&gt;Вакцину не следует смешивать с другими лекарственными препаратами в одном
шприце, так как исследования совместимости не проводились.&lt;/p&gt;</t>
  </si>
  <si>
    <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могут снижать иммунный ответ на вакцинацию, но не приводят к повышению вероятности нежелательных явлений.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
Вакцину не следует смешивать с другими лекарственными препаратами в одном шприце, так как исследования совместимости не проводились.</t>
  </si>
  <si>
    <t>&lt;p&gt;До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препарата.&lt;/p&gt;
&lt;p&gt;Применение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могут снижать иммунный ответ на вакцинацию, но не приводят к повышению вероятности нежелательных явлений.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лечения.&lt;/p&gt;
&lt;p&gt;Вакцину не следует смешивать с другими лекарственными препаратами в одном шприце, так как исследования совместимости не проводились.&lt;/p&gt;</t>
  </si>
  <si>
    <r>
      <rPr>
        <sz val="10"/>
        <color theme="1"/>
        <rFont val="Arial"/>
      </rPr>
      <t xml:space="preserve">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
</t>
    </r>
    <r>
      <rPr>
        <i/>
        <sz val="10"/>
        <color theme="1"/>
        <rFont val="Arial"/>
      </rPr>
      <t>Совместное применение с общими иммуносупрессивными препаратами:</t>
    </r>
    <r>
      <rPr>
        <sz val="10"/>
        <color theme="1"/>
        <rFont val="Arial"/>
      </rPr>
      <t xml:space="preserve">
У лиц, проходящих иммуносупрессивную терапию, иммунный ответ после вакцинации может быть снижен.
Вакцину не следует смешивать с другими лекарственными препаратами в одном шприце.</t>
    </r>
  </si>
  <si>
    <t>&lt;p&gt;До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препарата.&lt;br&gt;&lt;br&gt;
&lt;i&gt;Совместное применение с общими иммуносупрессивными препаратами:&lt;/i&gt;&lt;br&gt;
У лиц, проходящих иммуносупрессивную терапию, иммунный ответ после вакцинации может быть снижен.&lt;br&gt;&lt;br&gt;
Вакцину не следует смешивать с другими лекарственными препаратами в одном шприце.&lt;/p&gt;</t>
  </si>
  <si>
    <t>После введения препаратов иммуноглобулина человека прививки против паротита проводятся не ранее чем через 2 мес. После введения паротитной вакцины препараты иммуноглобулина можно вводить не ранее чем через 2 недели; в случае необходимости применения иммуноглобулина ранее этого срока вакцинацию против паротита следует повторить.
Вакцину не следует смешивать с другими лекарственными препаратами в одном шприце. Вакцину не следует восстанавливать другими лекарственными препаратами, кроме воды для инъекций.</t>
  </si>
  <si>
    <t>&lt;p&gt;После введения препаратов иммуноглобулина человека прививки против паротита проводятся не ранее чем через 2&amp;nbsp;мес. После введения паротитной вакцины препараты иммуноглобулина можно вводить не ранее чем через 2&amp;nbsp;недели; в случае необходимости применения иммуноглобулина ранее этого срока вакцинацию против паротита следует повторить.&lt;/p&gt;
&lt;p&gt;Вакцину не следует смешивать с другими лекарственными препаратами в одном шприце. Вакцину не следует восстанавливать другими лекарственными препаратами, кроме воды для инъекций.&lt;/p&gt;</t>
  </si>
  <si>
    <r>
      <rPr>
        <sz val="10"/>
        <color theme="1"/>
        <rFont val="Arial"/>
      </rPr>
      <t xml:space="preserve">В связи с отсутствием исследований совместимости, данный лекарственный препарат не следует смешивать с другими лекарственными препаратами.
</t>
    </r>
    <r>
      <rPr>
        <i/>
        <sz val="10"/>
        <color theme="1"/>
        <rFont val="Arial"/>
      </rPr>
      <t>Младенцы и дети в возрасте от 6 недель до 5 лет</t>
    </r>
    <r>
      <rPr>
        <sz val="10"/>
        <color theme="1"/>
        <rFont val="Arial"/>
      </rPr>
      <t xml:space="preserve">
Данные пострегистрационного клинического исследования, оценивавшего влияние жаропонижающих средств (ибупрофена и парацетамола) при профилактическом приеме на иммунный ответ на препарат Превенар 13, позволяют предположить, что прием парацетамола при вакцинации или в день вакцинации может снижать иммунный ответ на Превенар 13 после серии иммунизаций в младенческом возрасте. Влияние на ответ на бустерную дозу, введенную в возрасте 12 месяцев, отсутствовало. Клиническая значимость этого наблюдения неизвестна.</t>
    </r>
  </si>
  <si>
    <r>
      <rPr>
        <sz val="10"/>
        <color theme="1"/>
        <rFont val="Arial"/>
      </rPr>
      <t xml:space="preserve">&lt;p&gt;В связи с отсутствием исследований совместимости, данный лекарственный препарат не следует смешивать с другими лекарственными препаратами.&lt;/p&gt;
</t>
    </r>
    <r>
      <rPr>
        <i/>
        <sz val="10"/>
        <color theme="1"/>
        <rFont val="Arial"/>
      </rPr>
      <t>&lt;p&gt;&lt;i&gt;Младенцы и дети в возрасте от 6&amp;nbsp;недель до 5&amp;nbsp;лет</t>
    </r>
    <r>
      <rPr>
        <sz val="10"/>
        <color theme="1"/>
        <rFont val="Arial"/>
      </rPr>
      <t>&lt;/i&gt;&lt;br&gt;
Данные пострегистрационного клинического исследования, оценивавшего влияние жаропонижающих средств (ибупрофена и парацетамола) при профилактическом приеме на иммунный ответ на препарат Превенар&amp;nbsp;13, позволяют предположить, что прием парацетамола при вакцинации или в день вакцинации может снижать иммунный ответ на Превенар&amp;nbsp;13 после серии иммунизаций в младенческом возрасте. Влияние на ответ на бустерную дозу, введенную в возрасте 12&amp;nbsp;месяцев, отсутствовало. Клиническая значимость этого наблюдения неизвестна.&lt;/p&gt;</t>
    </r>
  </si>
  <si>
    <r>
      <rPr>
        <sz val="10"/>
        <color theme="1"/>
        <rFont val="Arial"/>
      </rPr>
      <t xml:space="preserve">Не смешивать вакцину с другими препаратами в одном шприце!
</t>
    </r>
    <r>
      <rPr>
        <i/>
        <sz val="10"/>
        <color theme="1"/>
        <rFont val="Arial"/>
      </rPr>
      <t>Применение с иммуносупрессивными препаратами системного действия.</t>
    </r>
    <r>
      <rPr>
        <sz val="10"/>
        <color theme="1"/>
        <rFont val="Arial"/>
      </rPr>
      <t xml:space="preserve">
У пациентов, получающих иммуносупрессивную терапию, Синфлорикс (как и другие вакцины в аналогичном случае) может не вызвать адекватный иммунный ответ.
</t>
    </r>
    <r>
      <rPr>
        <i/>
        <sz val="10"/>
        <color theme="1"/>
        <rFont val="Arial"/>
      </rPr>
      <t>Применение с жаропонижающими средствами</t>
    </r>
    <r>
      <rPr>
        <sz val="10"/>
        <color theme="1"/>
        <rFont val="Arial"/>
      </rPr>
      <t xml:space="preserve">
Профилактическое применение парацетамола в качестве жаропонижающего средства может снизить иммунный ответ на введение пневмококковых вакцин. Клиническое значение этого наблюдения остается неизвестным.</t>
    </r>
  </si>
  <si>
    <r>
      <rPr>
        <sz val="10"/>
        <color theme="1"/>
        <rFont val="Arial"/>
      </rPr>
      <t xml:space="preserve">&lt;p&gt;Не смешивать вакцину с другими препаратами в одном шприце!&lt;/p&gt;
</t>
    </r>
    <r>
      <rPr>
        <i/>
        <sz val="10"/>
        <color theme="1"/>
        <rFont val="Arial"/>
      </rPr>
      <t>&lt;p&gt;&lt;i&gt;Применение с иммуносупрессивными препаратами системного действия.</t>
    </r>
    <r>
      <rPr>
        <sz val="10"/>
        <color theme="1"/>
        <rFont val="Arial"/>
      </rPr>
      <t xml:space="preserve">&lt;/i&gt;&lt;br&gt;
У пациентов, получающих иммуносупрессивную терапию, Синфлорикс (как и другие вакцины в аналогичном случае) может не вызвать адекватный иммунный ответ.&lt;/p&gt;
</t>
    </r>
    <r>
      <rPr>
        <i/>
        <sz val="10"/>
        <color theme="1"/>
        <rFont val="Arial"/>
      </rPr>
      <t>&lt;p&gt;&lt;i&gt;Применение с жаропонижающими средствами</t>
    </r>
    <r>
      <rPr>
        <sz val="10"/>
        <color theme="1"/>
        <rFont val="Arial"/>
      </rPr>
      <t>&lt;/i&gt;&lt;br&gt;
Профилактическое применение парацетамола в качестве жаропонижающего средства может снизить иммунный ответ на введение пневмококковых вакцин. Клиническое значение этого наблюдения остается неизвестным.&lt;/p&gt;</t>
    </r>
  </si>
  <si>
    <t>Вакцину не следует смешивать с другими лекарственными препаратами, поскольку исследования совместимости не проводились.</t>
  </si>
  <si>
    <t>&lt;p&gt;Вакцину не следует смешивать с другими лекарственными препаратами, поскольку исследования совместимости не проводились.&lt;/p&gt;</t>
  </si>
  <si>
    <t>Иммуносупрессоры могут уменьшить иммунный ответ на вакцинацию пероральной полиомиелитной вакциной, способствовать размножению вакцинных вирусов и увеличить время выделения вакцинных вирусов с калом.</t>
  </si>
  <si>
    <t>&lt;p&gt;Иммуносупрессоры могут уменьшить иммунный ответ на вакцинацию пероральной полиомиелитной вакциной, способствовать размножению вакцинных вирусов и увеличить время выделения вакцинных вирусов с калом.&lt;/p&gt;</t>
  </si>
  <si>
    <t>Вакцину нельзя смешивать в одном шприце с другими лекарственными препаратами.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t>
  </si>
  <si>
    <t>&lt;p&gt;Вакцину нельзя смешивать в одном шприце с другими лекарственными препаратами.&lt;br&gt;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вакцинацию.&lt;br&gt;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лечения.&lt;/p&gt;</t>
  </si>
  <si>
    <t>Во время курса лечебно-профилактической иммунизации назначение иммунодепрессантов и кортикостероидов осуществляется только по жизненным показаниям. 
Глюкокортикостероиды и иммунодепрессанты могут привести к неэффективности вакцинотерапии. Поэтому в случаях проведения вакцинации на фоне приема кортикостероидов и иммунодепрессантов определение титра вируснейтрализующих антител является обязательным. При отсутствии вируснейтрализующих антител проводится дополнительный курс введения вакцины по схеме 0, 7 и 30 дней.</t>
  </si>
  <si>
    <t>&lt;p&gt;Во время курса лечебно-профилактической иммунизации назначение иммунодепрессантов и кортикостероидов осуществляется только по жизненным показаниям. &lt;/p&gt;
&lt;p&gt;Глюкокортикостероиды и иммунодепрессанты могут привести к неэффективности вакцинотерапии. Поэтому в случаях проведения вакцинации на фоне приема кортикостероидов и иммунодепрессантов определение титра вируснейтрализующих антител является обязательным. При отсутствии вируснейтрализующих антител проводится дополнительный курс введения вакцины по схеме 0, 7 и 30&amp;nbsp;дней.&lt;/p&gt;</t>
  </si>
  <si>
    <t>Кортикостероиды и иммунодепрессанты могут привести к неудачам вакцинотерапии. Поэтому в случаях проведения вакцинации на фоне приема кортикостероидов и иммунодепрессантов, определение уровня вируснейтрализующих антител является обязательным. При отсутствии вируснейтрализующих антител или при уровне антител ниже защитного (0,5 МЕ/мл), необходим дополнительный курс введения вакцины по схеме 0, 7 и 30 дней.</t>
  </si>
  <si>
    <t>&lt;p&gt;Кортикостероиды и иммунодепрессанты могут привести к неудачам вакцинотерапии. Поэтому в случаях проведения вакцинации на фоне приема кортикостероидов и иммунодепрессантов, определение уровня вируснейтрализующих антител является обязательным. При отсутствии вируснейтрализующих антител или при уровне антител ниже защитного (0,5&amp;nbsp;МЕ/мл), необходим дополнительный курс введения вакцины по схеме 0, 7 и 30&amp;nbsp;дней.&lt;/p&gt;</t>
  </si>
  <si>
    <t>Во время курса лечебно-профилактической иммунизации назначение иммунодепрессантов и глюкокортикостероидов производится только по жизненным показаниям.</t>
  </si>
  <si>
    <t>&lt;p&gt;Во время курса лечебно-профилактической иммунизации назначение иммунодепрессантов и глюкокортикостероидов производится только по жизненным показаниям.&lt;/p&gt;</t>
  </si>
  <si>
    <t>https://grls.rosminzdrav.ru/InstrImg/2022/11/25/1488637/081df120-9112-42bd-a1fc-c7b9aa3e2987.pdf</t>
  </si>
  <si>
    <t>После введения препаратов крови человека (иммуноглобулин, плазма и др.) вакцину вводят не ранее, чем через 3 месяца. После введения вакцины против краснухи препараты крови можно вводить не ранее, чем через 2 недели; в случае необходимости применения иммуноглобулина ранее этого срока вакцинацию против краснухи следует повторить через 3 месяца. При наличии антител к вирусу краснухи в сыворотке крови повторную вакцинацию не проводят.
Туберкулиновые пробы рекомендуется проводить до или через 4-6 недель после введения вакцины против краснухи.
После назначения иммунодепрессантов и лучевой терапии вакцинацию проводят не ранее, чем через 12 месяцев после окончания лечения.
Вакцину не следует смешивать с другими лекарственными препаратами в одном шприце.</t>
  </si>
  <si>
    <t>&lt;p&gt;После введения препаратов крови человека (иммуноглобулин, плазма и др.) вакцину вводят не ранее, чем через 3&amp;nbsp;месяца. После введения вакцины против краснухи препараты крови можно вводить не ранее, чем через 2&amp;nbsp;недели; в случае необходимости применения иммуноглобулина ранее этого срока вакцинацию против краснухи следует повторить через 3&amp;nbsp;месяца. При наличии антител к вирусу краснухи в сыворотке крови повторную вакцинацию не проводят.&lt;br&gt;&lt;br&gt;
Туберкулиновые пробы рекомендуется проводить до или через 4-6&amp;nbsp;недель после введения вакцины против краснухи.&lt;br&gt;&lt;br&gt;
После назначения иммунодепрессантов и лучевой терапии вакцинацию проводят не ранее, чем через 12&amp;nbsp;месяцев после окончания лечения.&lt;br&gt;&lt;br&gt;
Вакцину не следует смешивать с другими лекарственными препаратами в одном шприце.&lt;/p&gt;</t>
  </si>
  <si>
    <t>После введения препаратов крови человека (иммуноглобулины, плазма и др.) вакцину против краснухи следует применять не ранее чем через 3 мес. После иммунизации вакциной против краснухи препараты крови следует вводить не ранее чем через 2 недели. В случае необходимости их применения ранее этого срока вакцинацию против краснухи следует повторить через 3 мес.
Туберкулиновые пробы рекомендуется проводить до или через 4-6 недель после введения вакцины против краснухи.</t>
  </si>
  <si>
    <t>&lt;p&gt;После введения препаратов крови человека (иммуноглобулины, плазма и др.) вакцину против краснухи следует применять не ранее чем через 3&amp;nbsp;мес. После иммунизации вакциной против краснухи препараты крови следует вводить не ранее чем через 2&amp;nbsp;недели. В случае необходимости их применения ранее этого срока вакцинацию против краснухи следует повторить через 3&amp;nbsp;мес.&lt;/p&gt;
&lt;p&gt;Туберкулиновые пробы рекомендуется проводить до или через 4-6&amp;nbsp;недель после введения вакцины против краснухи.&lt;/p&gt;</t>
  </si>
  <si>
    <t>АС-анатоксин можно вводить в любые сроки до или после введения иммуноглобулина.
Использование поддерживающих доз стероидов, а также ингаляционное, местное или внутрисуставное их применение, не являются противопоказаниями к прививке.
Поддерживающая курсовая терапия, в том числе психофармацевтическими препаратами, не является противопоказанием к плановой вакцинации, которую проводят через 12 мес. после окончания лечения.</t>
  </si>
  <si>
    <t>&lt;p&gt;AC-анатоксин можно вводить в любые сроки до или после введения иммуноглобулина.&lt;br&gt;&lt;br&gt;
Использование поддерживающих доз стероидов, а также ингаляционное, местное или внутрисуставное их применение, не являются противопоказаниями к прививке.&lt;br&gt;&lt;br&gt;
Поддерживающая курсовая терапия, в том числе психофармацевтическими препаратами, не является противопоказанием к плановой вакцинации, которую проводят через 12&amp;nbsp;мес. после окончания лечения.&lt;/p&gt;</t>
  </si>
  <si>
    <t>Взаимодействия с другими лекарственными средствами не установлено.</t>
  </si>
  <si>
    <t>&lt;p&gt;Взаимодействия с другими лекарственными средствами не установлено.&lt;/p&gt;</t>
  </si>
  <si>
    <t>Применение с иммуноглобулином человека.
В случае профилактики гепатита А после контакта с возбудителем заболевания либо при необходимости быстрой и долговременной профилактики, например, у лиц, срочно выезжающих в эндемичные районы, вакцина ВАКТА® может вводиться одновременно с иммуноглобулином (дозу иммуноглобулина следует уточнить в инструкции по применению компании-производителя) отдельными шприцами в разные участки тела.</t>
  </si>
  <si>
    <t>&lt;p&gt;Применение с иммуноглобулином человека.&lt;br&gt;
В случае профилактики гепатита А после контакта с возбудителем заболевания либо при необходимости быстрой и долговременной профилактики, например, у лиц, срочно выезжающих в эндемичные районы, вакцина ВАКТА® может вводиться одновременно с иммуноглобулином (дозу иммуноглобулина следует уточнить в инструкции по применению компании-производителя) отдельными шприцами в разные участки тела.&lt;/p&gt;</t>
  </si>
  <si>
    <t>Клинические исследования взаимодействия с другими лекарственными средствами не проводились.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могут снижать иммунный ответ на вакцинацию, но не приводят к повышению вероятности нежелательных явлений.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
После введения иммуноглобулина против клещевого энцефалита иммунизацию против клещевого энцефалита следует проводить не ранее, чем 4 недели.</t>
  </si>
  <si>
    <t>&lt;p&gt;Клинические исследования взаимодействия с другими лекарственными средствами не проводились.&lt;br&gt;&lt;br&gt;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могут снижать иммунный ответ на вакцинацию, но не приводят к повышению вероятности нежелательных явлений.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лечения.&lt;br&gt;&lt;br&gt;
После введения иммуноглобулина против клещевого энцефалита иммунизацию против клещевого энцефалита следует проводить не ранее, чем 4&amp;nbsp;недели.&lt;/p&gt;</t>
  </si>
  <si>
    <t>Специальные исследования лекарственных взаимодействий с препаратом ЭнцеВир не проводились.
После введения иммуноглобулина против клещевого энцефалита иммунизацию следует проводить не ранее чем через 4 недели.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 но не приводит к повышению вероятности нежелательных реакций.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t>
  </si>
  <si>
    <t>&lt;p&gt;Специальные исследования лекарственных взаимодействий с препаратом ЭнцеВир не проводились.&lt;br&gt;&lt;br&gt;
После введения иммуноглобулина против клещевого энцефалита иммунизацию следует проводить не ранее чем через 4&amp;nbsp;недели.&lt;br&gt;&lt;br&gt;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 но не приводит к повышению вероятности нежелательных реакций.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лечения.&lt;/p&gt;</t>
  </si>
  <si>
    <t>Специальные исследования лекарственных взаимодействий с препаратом ЭнцеВир Нео детский не проводились.
После введения иммуноглобулина против клещевого энцефалита иммунизацию следует проводить не ранее, чем через 4 недели.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 но не приводит к повышению вероятности нежелательных реакций.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t>
  </si>
  <si>
    <t>&lt;p&gt;Специальные исследования лекарственных взаимодействий с препаратом ЭнцеВир Нео детский не проводились.&lt;br&gt;&lt;br&gt;
После введения иммуноглобулина против клещевого энцефалита иммунизацию следует проводить не ранее, чем через 4&amp;nbsp;недели.&lt;br&gt;&lt;br&gt;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 но не приводит к повышению вероятности нежелательных реакций.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лечения.&lt;/p&gt;</t>
  </si>
  <si>
    <r>
      <rPr>
        <sz val="10"/>
        <color theme="1"/>
        <rFont val="Arial"/>
      </rPr>
      <t xml:space="preserve">В связи с отсутствием исследований совместимости, вакцину Варилрикс не следует смешивать с другими лекарственными препаратами.
</t>
    </r>
    <r>
      <rPr>
        <i/>
        <sz val="10"/>
        <color theme="1"/>
        <rFont val="Arial"/>
      </rPr>
      <t>Туберкулинодиагностика</t>
    </r>
    <r>
      <rPr>
        <sz val="10"/>
        <color theme="1"/>
        <rFont val="Arial"/>
      </rPr>
      <t xml:space="preserve">
При необходимости постановки туберкулиновой пробы она должна быть проведена до вакцинации, поскольку по имеющимся данным живые вирусные вакцины могут вызывать временное снижение чувствительности кожи к туберкулину. В связи с тем, что подобное снижение чувствительности может сохраняться до 6 недель, не следует осуществлять туберкулинодиагностику в течение указанного периода времени после вакцинации во избежание получения ложноотрицательных результатов.
</t>
    </r>
    <r>
      <rPr>
        <i/>
        <sz val="10"/>
        <color theme="1"/>
        <rFont val="Arial"/>
      </rPr>
      <t>Иммуноглобулины и переливание крови</t>
    </r>
    <r>
      <rPr>
        <sz val="10"/>
        <color theme="1"/>
        <rFont val="Arial"/>
      </rPr>
      <t xml:space="preserve">
Лицам, получившим иммуноглобулины или перенесшим переливание крови, вакцинацию следует отложить не менее чем на 3 месяца по причине возможной неэффективности вакцинации вследствие пассивно приобретенных антител.
</t>
    </r>
    <r>
      <rPr>
        <i/>
        <sz val="10"/>
        <color theme="1"/>
        <rFont val="Arial"/>
      </rPr>
      <t>Салицилаты</t>
    </r>
    <r>
      <rPr>
        <sz val="10"/>
        <color theme="1"/>
        <rFont val="Arial"/>
      </rPr>
      <t xml:space="preserve">
В течение 6 недель после каждой вакцинации следует избегать применения производных салициловой кислоты, поскольку имеются сообщения о развитии синдрома Рейе при использовании производных салициловой кислоты на фоне инфекции, вызванной диким штаммом вируса ветряной оспы.</t>
    </r>
  </si>
  <si>
    <r>
      <rPr>
        <sz val="10"/>
        <color theme="1"/>
        <rFont val="Arial"/>
      </rPr>
      <t xml:space="preserve">&lt;p&gt;В связи с отсутствием исследований совместимости, вакцину Варилрикс не следует смешивать с другими лекарственными препаратами.&lt;/p&gt;
</t>
    </r>
    <r>
      <rPr>
        <i/>
        <sz val="10"/>
        <color theme="1"/>
        <rFont val="Arial"/>
      </rPr>
      <t>&lt;p&gt;&lt;i&gt;Туберкулинодиагностика</t>
    </r>
    <r>
      <rPr>
        <sz val="10"/>
        <color theme="1"/>
        <rFont val="Arial"/>
      </rPr>
      <t xml:space="preserve">&lt;/i&gt;&lt;br&gt;
При необходимости постановки туберкулиновой пробы она должна быть проведена до вакцинации, поскольку по имеющимся данным живые вирусные вакцины могут вызывать временное снижение чувствительности кожи к туберкулину. В связи с тем, что подобное снижение чувствительности может сохраняться до 6&amp;nbsp;недель, не следует осуществлять туберкулинодиагностику в течение указанного периода времени после вакцинации во избежание получения ложноотрицательных результатов.&lt;/p&gt;
</t>
    </r>
    <r>
      <rPr>
        <i/>
        <sz val="10"/>
        <color theme="1"/>
        <rFont val="Arial"/>
      </rPr>
      <t>&lt;p&gt;&lt;i&gt;Иммуноглобулины и переливание крови</t>
    </r>
    <r>
      <rPr>
        <sz val="10"/>
        <color theme="1"/>
        <rFont val="Arial"/>
      </rPr>
      <t xml:space="preserve">&lt;/i&gt;&lt;br&gt;
Лицам, получившим иммуноглобулины или перенесшим переливание крови, вакцинацию следует отложить не менее чем на 3&amp;nbsp;месяца по причине возможной неэффективности вакцинации вследствие пассивно приобретенных антител.&lt;/p&gt;
</t>
    </r>
    <r>
      <rPr>
        <i/>
        <sz val="10"/>
        <color theme="1"/>
        <rFont val="Arial"/>
      </rPr>
      <t>&lt;p&gt;&lt;i&gt;Салицилаты</t>
    </r>
    <r>
      <rPr>
        <sz val="10"/>
        <color theme="1"/>
        <rFont val="Arial"/>
      </rPr>
      <t>&lt;/i&gt;&lt;br&gt;
В течение 6&amp;nbsp;недель после каждой вакцинации следует избегать применения производных салициловой кислоты, поскольку имеются сообщения о развитии синдрома Рейе при использовании производных салициловой кислоты на фоне инфекции, вызванной диким штаммом вируса ветряной оспы.&lt;/p&gt;</t>
    </r>
  </si>
  <si>
    <t>https://grls.rosminzdrav.ru/InstrImg/2024/01/11/1500686/a4e8c4ef-1a75-4265-b493-987635facdbe.pdf</t>
  </si>
  <si>
    <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
Вакцину не следует смешивать с другими лекарственными препаратами в одном шприце, так как исследования совместимости не проводились.</t>
  </si>
  <si>
    <t>&lt;p&gt;До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препарата.&lt;br&gt;
Вакцину не следует смешивать с другими лекарственными препаратами в одном шприце, так как исследования совместимости не проводились.&lt;/p&gt;</t>
  </si>
  <si>
    <t>Допускается одновременное введение вакцины ВЧMM с доксициклином в дозе до 200 мг в сутки. Взаимодействие с другими лекарственными средствами не изучалось.</t>
  </si>
  <si>
    <t>&lt;p&gt;Допускается одновременное введение вакцины ВЧMM с доксициклином в дозе до 200&amp;nbsp;мг в сутки. Взаимодействие с другими лекарственными средствами не изучалось.&lt;/p&gt;</t>
  </si>
  <si>
    <t>Не допускается введение вакцины чумной живой в сочетании с применением антибиотиков стрептомицинового, тетрациклинового ряда и сульфаниламидов в терапевтических дозах одновременно и ранее, чем через 14 дней после вакцинации.</t>
  </si>
  <si>
    <t>&lt;p&gt;Не допускается введение вакцины чумной живой в сочетании с применением антибиотиков стрептомицинового, тетрациклинового ряда и сульфаниламидов в терапевтических дозах одновременно и ранее, чем через 14&amp;nbsp;дней после вакцинации.&lt;/p&gt;</t>
  </si>
  <si>
    <t>Вакцина чувствительна к антибиотикам, в связи с чем иммунизация на фоне применения антибиотиков, не допускается.</t>
  </si>
  <si>
    <t>&lt;p&gt;Вакцина чувствительна к антибиотикам, в связи с чем иммунизация на фоне применения антибиотиков, не допускается.&lt;/p&gt;</t>
  </si>
  <si>
    <t>Не допускается применение антибиотиков стрептомицинового, тетрациклинового ряда и сульфаниламидов в терапевтических дозах одновременно с введением вакцины чумной живой и в течение 14 дней после иммунизации.</t>
  </si>
  <si>
    <t>&lt;p&gt;Не допускается применение антибиотиков стрептомицинового, тетрациклинового ряда и сульфаниламидов в терапевтических дозах одновременно с введением вакцины чумной живой и в течение 14&amp;nbsp;дней после иммунизации.&lt;/p&gt;</t>
  </si>
  <si>
    <t xml:space="preserve">Допустимо использование вакцины одновременно с проведением курса антибиотикотерапии. </t>
  </si>
  <si>
    <t>&lt;p&gt;Допустимо использование вакцины одновременно с проведением курса антибиотикотерапии.&lt;/p&gt;</t>
  </si>
  <si>
    <t>До проведения вакцинации врач (фельдшер)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t>
  </si>
  <si>
    <t>&lt;p&gt;До проведения вакцинации врач (фельдшер)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препарата.&lt;/p&gt;</t>
  </si>
  <si>
    <t>Вакцина чувствительна к антибиотикам, в связи с чем иммунизация на фоне приема антибиотиков не допускается.</t>
  </si>
  <si>
    <t>&lt;p&gt;Вакцина чувствительна к антибиотикам, в связи с чем иммунизация на фоне приема антибиотиков не допускается.&lt;/p.</t>
  </si>
  <si>
    <t>Вакцина чувствительна к антибиотикам, в связи с чем иммунизация на фоне применения антибиотиков не допускается.</t>
  </si>
  <si>
    <t>&lt;p&gt;Вакцина чувствительна к антибиотикам, в связи с чем иммунизация на фоне применения антибиотиков не допускается.&lt;/p&gt;</t>
  </si>
  <si>
    <t>Во время курса постэкспозиционной вакцинации рекомендуется воздерживаться от одновременного приема иммуносупрессивных препаратов и противомалярийных лекарственных средств.
У пациентов, получающих иммуносупрессивную терапию, а также у лиц с первичными или вторичными иммунодефицитами вакцинация может быть недостаточно эффективной для выработки необходимого иммунного ответа.
Антирабический иммуноглобулин должен применяться в строго установленных количествах. Не следует превышать или уменьшать дозу, равно как и вводить ее повторно в связи с опасностью снизить эффективность одновременно проводимой вакцинации.</t>
  </si>
  <si>
    <t>&lt;p&gt;Во время курса постэкспозиционной вакцинации рекомендуется воздерживаться от одновременного приема иммуносупрессивных препаратов и противомалярийных лекарственных средств.&lt;br&gt;
У пациентов, получающих иммуносупрессивную терапию, а также у лиц с первичными или вторичными иммунодефицитами вакцинация может быть недостаточно эффективной для выработки необходимого иммунного ответа.&lt;br&gt;
Антирабический иммуноглобулин должен применяться в строго установленных количествах. Не следует превышать или уменьшать дозу, равно как и вводить ее повторно в связи с опасностью снизить эффективность одновременно проводимой вакцинации.&lt;/p&gt;</t>
  </si>
  <si>
    <t>Взаимодействие с другими лекарственными средствами не установлено.</t>
  </si>
  <si>
    <t>&lt;p&gt;Взаимодействие с другими лекарственными средствами не установлено.&lt;/p.</t>
  </si>
  <si>
    <t>При отсутствии результатов исследований совместимости вакцину не следует смешивать с другими лекарственными препаратами.</t>
  </si>
  <si>
    <t>&lt;p&gt;При отсутствии результатов исследований совместимости вакцину не следует смешивать с другими лекарственными препаратами.&lt;/p&gt;</t>
  </si>
  <si>
    <t>Не изучалось.
Ввиду отсутствия данных исследований совместимости, вакцину КовиВак (Вакцина коронавирусная инактивированная цельновирионная концентрированная очищенная) нельзя смешивать с другими лекарственными средствами в одном шприце.</t>
  </si>
  <si>
    <t>&lt;p&gt;Не изучалось.&lt;br&gt;
Ввиду отсутствия данных исследований совместимости, вакцину КовиВак (Вакцина коронавирусная инактивированная цельновирионная концентрированная очищенная) нельзя смешивать с другими лекарственными средствами в одном шприце.&lt;/p&gt;</t>
  </si>
  <si>
    <t>Специальных исследований лекарственных взаимодействий не проводилось.
В связи с отсутствием исследований по совместимости, данный лекарственный препарат не следует смешивать с другими лекарственными препаратами в одном шприце.</t>
  </si>
  <si>
    <t>&lt;p&gt;Специальных исследований лекарственных взаимодействий не проводилось.&lt;br&gt;
В связи с отсутствием исследований по совместимости, данный лекарственный препарат не следует смешивать с другими лекарственными препаратами в одном шприце.&lt;/p&gt;</t>
  </si>
  <si>
    <t>Не изучалось. Ввиду отсутствия данных исследований совместимости, вакцину Гам-КОВИД-Вак-М (Комбинированная векторная вакцина для профилактики коронавирусной инфекции, вызываемой вирусом SARS-CoV-2) нельзя смешивать с другими лекарственными средствами в одном шприце.</t>
  </si>
  <si>
    <t>&lt;p&gt;Не изучалось. Ввиду отсутствия данных исследований совместимости, вакцину Гам-КОВИД-Вак-М (Комбинированная векторная вакцина для профилактики коронавирусной инфекции, вызываемой вирусом SARS-CoV-2) нельзя смешивать с другими лекарственными средствами в одном шприце.&lt;/p&gt;</t>
  </si>
  <si>
    <t>Специальных исследований лекарственных взаимодействий не проводилось.</t>
  </si>
  <si>
    <t>&lt;p&gt;Специальных исследований лекарственных взаимодействий не проводилось.&lt;/p&gt;</t>
  </si>
  <si>
    <t>Не изучалось.</t>
  </si>
  <si>
    <t>&lt;p&gt;Не изучалось.&lt;/p&gt;</t>
  </si>
  <si>
    <r>
      <rPr>
        <i/>
        <sz val="10"/>
        <color theme="1"/>
        <rFont val="Arial"/>
      </rPr>
      <t>Совместное применение с распространенными препаратами</t>
    </r>
    <r>
      <rPr>
        <sz val="10"/>
        <color theme="1"/>
        <rFont val="Arial"/>
      </rPr>
      <t xml:space="preserve">
Исследования взаимодействия вакцины Рота-V-Эйд с другими лекарственными средствами у детей не проводились.
</t>
    </r>
    <r>
      <rPr>
        <i/>
        <sz val="10"/>
        <color theme="1"/>
        <rFont val="Arial"/>
      </rPr>
      <t>Совместное применение с системными иммунодепрессантами</t>
    </r>
    <r>
      <rPr>
        <sz val="10"/>
        <color theme="1"/>
        <rFont val="Arial"/>
      </rPr>
      <t xml:space="preserve">
Данные об одновременном применении системных иммунодепрессантов и вакцины Рота-V-Эйд отсутствуют. Иммуносупрессивная терапия, включая облучение, антиметаболиты, алкилирующие средства, цитотоксические средства и кортикостероиды (используемые в дозах больших, чем минимальные), могут снижать иммунный ответ на вакцинацию.</t>
    </r>
  </si>
  <si>
    <r>
      <rPr>
        <i/>
        <sz val="10"/>
        <color theme="1"/>
        <rFont val="Arial"/>
      </rPr>
      <t>&lt;p&gt;&lt;i&gt;Совместное применение с распространенными препаратами</t>
    </r>
    <r>
      <rPr>
        <sz val="10"/>
        <color theme="1"/>
        <rFont val="Arial"/>
      </rPr>
      <t xml:space="preserve">&lt;/i&gt;&lt;br&gt;
Исследования взаимодействия вакцины Рота-V-Эйд с другими лекарственными средствами у детей не проводились.&lt;br&gt;&lt;br&gt;
</t>
    </r>
    <r>
      <rPr>
        <i/>
        <sz val="10"/>
        <color theme="1"/>
        <rFont val="Arial"/>
      </rPr>
      <t>&lt;i&gt;Совместное применение с системными иммунодепрессантами&lt;/i&gt;&lt;br&gt;</t>
    </r>
    <r>
      <rPr>
        <sz val="10"/>
        <color theme="1"/>
        <rFont val="Arial"/>
      </rPr>
      <t xml:space="preserve">
Данные об одновременном применении системных иммунодепрессантов и вакцины Рота-V-Эйд отсутствуют. Иммуносупрессивная терапия, включая облучение, антиметаболиты, алкилирующие средства, цитотоксические средства и кортикостероиды (используемые в дозах больших, чем минимальные), могут снижать иммунный ответ на вакцинацию.&lt;/p&gt;</t>
    </r>
  </si>
  <si>
    <r>
      <rPr>
        <i/>
        <sz val="10"/>
        <color theme="1"/>
        <rFont val="Arial"/>
      </rPr>
      <t>Туберкулинодиагностика</t>
    </r>
    <r>
      <rPr>
        <sz val="10"/>
        <color theme="1"/>
        <rFont val="Arial"/>
      </rPr>
      <t xml:space="preserve">
При необходимости постановки туберкулиновой пробы она должна быть проведена до или одновременно с вакцинацией, поскольку по имеющимся данным комбинированные вакцины для профилактики кори, краснухи и паротита могут вызывать временное снижение чувствительности кожи к туберкулину. В связи с тем, что подобное снижение чувствительности может сохраняться до 6 недель, не следует осуществлять туберкулинодиагностику в течение указанного периода времени после вакцинации во избежание получения ложноотрицательных результатов.
</t>
    </r>
    <r>
      <rPr>
        <i/>
        <sz val="10"/>
        <color theme="1"/>
        <rFont val="Arial"/>
      </rPr>
      <t>Гамма-глобулины и переливание крови</t>
    </r>
    <r>
      <rPr>
        <sz val="10"/>
        <color theme="1"/>
        <rFont val="Arial"/>
      </rPr>
      <t xml:space="preserve">
Лицам, получившим гамма-глобулин человека или перенесшим переливание крови, вакцинацию следует отложить не менее чем на 3 месяца по причине возможной неэффективности вакцинации вследствие пассивно приобретенных антител.
</t>
    </r>
    <r>
      <rPr>
        <i/>
        <sz val="10"/>
        <color theme="1"/>
        <rFont val="Arial"/>
      </rPr>
      <t>Салицилаты</t>
    </r>
    <r>
      <rPr>
        <sz val="10"/>
        <color theme="1"/>
        <rFont val="Arial"/>
      </rPr>
      <t xml:space="preserve">
В течение 6 недель после каждой вакцинации следует избегать применения производных салициловой кислоты, поскольку имеются сообщения о развитии синдрома Рейе при использовании производных салициловой кислоты на фоне инфекции, вызванной диким штаммом вируса ветряной оспы.</t>
    </r>
  </si>
  <si>
    <r>
      <rPr>
        <i/>
        <sz val="10"/>
        <color theme="1"/>
        <rFont val="Arial"/>
      </rPr>
      <t>&lt;p&gt;&lt;i&gt;Туберкулинодиагностика</t>
    </r>
    <r>
      <rPr>
        <sz val="10"/>
        <color theme="1"/>
        <rFont val="Arial"/>
      </rPr>
      <t xml:space="preserve">&lt;/i&gt;&lt;br&gt;
При необходимости постановки туберкулиновой пробы она должна быть проведена до или одновременно с вакцинацией, поскольку по имеющимся данным комбинированные вакцины для профилактики кори, краснухи и паротита могут вызывать временное снижение чувствительности кожи к туберкулину. В связи с тем, что подобное снижение чувствительности может сохраняться до 6&amp;nbsp;недель, не следует осуществлять туберкулинодиагностику в течение указанного периода времени после вакцинации во избежание получения ложноотрицательных результатов.&lt;br&gt;&lt;br&gt;
</t>
    </r>
    <r>
      <rPr>
        <i/>
        <sz val="10"/>
        <color theme="1"/>
        <rFont val="Arial"/>
      </rPr>
      <t>&lt;i&gt;Гамма-глобулины и переливание крови</t>
    </r>
    <r>
      <rPr>
        <sz val="10"/>
        <color theme="1"/>
        <rFont val="Arial"/>
      </rPr>
      <t xml:space="preserve">&lt;/i&gt;&lt;br&gt;
Лицам, получившим гамма-глобулин человека или перенесшим переливание крови, вакцинацию следует отложить не менее чем на 3&amp;nbsp;месяца по причине возможной неэффективности вакцинации вследствие пассивно приобретенных антител.&lt;br&gt;&lt;br&gt;
</t>
    </r>
    <r>
      <rPr>
        <i/>
        <sz val="10"/>
        <color theme="1"/>
        <rFont val="Arial"/>
      </rPr>
      <t>&lt;i&gt;Салицилаты</t>
    </r>
    <r>
      <rPr>
        <sz val="10"/>
        <color theme="1"/>
        <rFont val="Arial"/>
      </rPr>
      <t>&lt;/i&gt;&lt;br&gt;
В течение 6&amp;nbsp;недель после каждой вакцинации следует избегать применения производных салициловой кислоты, поскольку имеются сообщения о развитии синдрома Рейе при использовании производных салициловой кислоты на фоне инфекции, вызванной диким штаммом вируса ветряной оспы.&lt;/p&gt;</t>
    </r>
  </si>
  <si>
    <t>Если вакцинируемый получает иммунодепрессанты, иммунный ответ может быть снижен.</t>
  </si>
  <si>
    <t>&lt;p&gt;Если вакцинируемый получает иммунодепрессанты, иммунный ответ может быть снижен.&lt;/p&gt;</t>
  </si>
  <si>
    <t>https://grls.rosminzdrav.ru/InstrImg/2023/04/13/1492490/163b41fd-d4cb-4d41-b651-49a0c6b9110f.pdf</t>
  </si>
  <si>
    <r>
      <rPr>
        <sz val="10"/>
        <color theme="1"/>
        <rFont val="Arial"/>
      </rPr>
      <t xml:space="preserve">Исследований лекарственного взаимодействия с вакциной ВаксигрипТетра не проводилось.
У лиц, проходящих иммуносупрессивную терапию, иммунный ответ после вакцинации может быть снижен.
</t>
    </r>
    <r>
      <rPr>
        <i/>
        <sz val="10"/>
        <color theme="1"/>
        <rFont val="Arial"/>
      </rPr>
      <t>Влияние на лабораторное и диагностическое тестирование</t>
    </r>
    <r>
      <rPr>
        <sz val="10"/>
        <color theme="1"/>
        <rFont val="Arial"/>
      </rPr>
      <t xml:space="preserve">
После вакцинации против гриппа наблюдались ложноположительные результаты серологических исследований с использованием метода ИФА для выявления антител к ВИЧ-1, гепатиту С и особенно Т-лимфотропному вирусу человека I типа (HTLV1). Для опровержения ложноположительного результата ИФА может быть использован метод Вестерн-блоттинга. Транзиторные ложноположительные результаты при использовании метода ИФА могут быть обусловлены IgM-ответом, вызванным вакциной.
В отсутствие результатов исследований совместимости вакцину не следует смешивать с другими лекарственными препаратами в одном шприце.</t>
    </r>
  </si>
  <si>
    <r>
      <rPr>
        <sz val="10"/>
        <color theme="1"/>
        <rFont val="Arial"/>
      </rPr>
      <t xml:space="preserve">&lt;p&gt;Исследований лекарственного взаимодействия с вакциной ВаксигрипТетра не проводилось.&lt;br&gt;&lt;br&gt;
У лиц, проходящих иммуносупрессивную терапию, иммунный ответ после вакцинации может быть снижен.&lt;br&gt;&lt;br&gt;
</t>
    </r>
    <r>
      <rPr>
        <i/>
        <sz val="10"/>
        <color theme="1"/>
        <rFont val="Arial"/>
      </rPr>
      <t>&lt;i&gt;Влияние на лабораторное и диагностическое тестирование</t>
    </r>
    <r>
      <rPr>
        <sz val="10"/>
        <color theme="1"/>
        <rFont val="Arial"/>
      </rPr>
      <t>&lt;/i&gt;&lt;br&gt;
После вакцинации против гриппа наблюдались ложноположительные результаты серологических исследований с использованием метода ИФА для выявления антител к ВИЧ-1, гепатиту С и особенно Т-лимфотропному вирусу человека I&amp;nbsp;типа (HTLV1). Для опровержения ложноположительного результата ИФА может быть использован метод Вестерн-блоттинга. Транзиторные ложноположительные результаты при использовании метода ИФА могут быть обусловлены IgM-ответом, вызванным вакциной.&lt;br&gt;&lt;br&gt;
В отсутствие результатов исследований совместимости вакцину не следует смешивать с другими лекарственными препаратами в одном шприце.&lt;/p&gt;</t>
    </r>
  </si>
  <si>
    <r>
      <rPr>
        <i/>
        <sz val="10"/>
        <color theme="1"/>
        <rFont val="Arial"/>
      </rPr>
      <t>Переливание компонентов крови и ведение иммуноглобулинов</t>
    </r>
    <r>
      <rPr>
        <sz val="10"/>
        <color theme="1"/>
        <rFont val="Arial"/>
      </rPr>
      <t xml:space="preserve">
Вакцина может быть неэффективной у пациентов, получающих переливания компонентов крови или препараты иммуноглобулина, поскольку вакцинный вирус может быть нейтрализован антителами к вирусу </t>
    </r>
    <r>
      <rPr>
        <i/>
        <sz val="10"/>
        <color theme="1"/>
        <rFont val="Arial"/>
      </rPr>
      <t>Varicella Zoster</t>
    </r>
    <r>
      <rPr>
        <sz val="10"/>
        <color theme="1"/>
        <rFont val="Arial"/>
      </rPr>
      <t>. Вакцинация таких пациентов должна быть отложена на срок не менее 3 мес с момента последнего получения иммуноглобулина или компонентов крови.
У пациентов, получающих высокодозную терапию иммуноглобулинами (200 мг/кг и более), например, при идиопатической тромбоцитопенической пурпуре или болезни Кавасаки, вакцинация должна быть отложена на срок не менее 6 мес с момента окончания иммуноглобулиновой терапии.
Если в течение 14 дней после введения Окавакса был введен иммуноглобулин человека, вакцинация может оказаться неэффективной. Такие пациенты должны быть привиты повторно не ранее чем через 3 мес после предшествовавшей вакцинации.</t>
    </r>
  </si>
  <si>
    <r>
      <rPr>
        <sz val="10"/>
        <color theme="1"/>
        <rFont val="Arial"/>
      </rPr>
      <t>&lt;p&gt;&lt;i&gt;</t>
    </r>
    <r>
      <rPr>
        <i/>
        <sz val="10"/>
        <color theme="1"/>
        <rFont val="Arial"/>
      </rPr>
      <t>Переливание компонентов крови и ведение иммуноглобулинов&lt;/i&gt;</t>
    </r>
    <r>
      <rPr>
        <sz val="10"/>
        <color theme="1"/>
        <rFont val="Arial"/>
      </rPr>
      <t xml:space="preserve">&lt;br&gt;
Вакцина может быть неэффективной у пациентов, получающих переливания компонентов крови или препараты иммуноглобулина, поскольку вакцинный вирус может быть нейтрализован антителами к вирусу </t>
    </r>
    <r>
      <rPr>
        <i/>
        <sz val="10"/>
        <color theme="1"/>
        <rFont val="Arial"/>
      </rPr>
      <t>&lt;i&gt;Varicella Zoster&lt;/i&gt;</t>
    </r>
    <r>
      <rPr>
        <sz val="10"/>
        <color theme="1"/>
        <rFont val="Arial"/>
      </rPr>
      <t>. Вакцинация таких пациентов должна быть отложена на срок не менее 3&amp;nbsp;мес с момента последнего получения иммуноглобулина или компонентов крови.&lt;br&gt;
У пациентов, получающих высокодозную терапию иммуноглобулинами (200&amp;nbsp;мг/кг и более), например, при идиопатической тромбоцитопенической пурпуре или болезни Кавасаки, вакцинация должна быть отложена на срок не менее 6&amp;nbsp;мес с момента окончания иммуноглобулиновой терапии.&lt;br&gt;
Если в течение 14&amp;nbsp;дней после введения Окавакса был введен иммуноглобулин человека, вакцинация может оказаться неэффективной. Такие пациенты должны быть привиты повторно не ранее чем через 3&amp;nbsp;мес после предшествовавшей вакцинации.&lt;/p&gt;</t>
    </r>
  </si>
  <si>
    <t>Пациент должен быть проинформирован о необходимости сообщить врачу о любом лечении, предшествующем вакцинации или совпадающем по времени с вакцинацией.</t>
  </si>
  <si>
    <t>&lt;p&gt;Пациент должен быть проинформирован о необходимости сообщить врачу о любом лечении, предшествующем вакцинации или совпадающем по времени с вакцинацией.&lt;/p&gt;</t>
  </si>
  <si>
    <t>ВАРИВАКС нельзя смешивать с какой-либо другой вакциной или другим лекарственным препаратом в одном шприце. Другие инъекционные вакцины или другие лекарственные препараты должны вводиться в виде отдельных инъекций в разные участки тела.
Вакцинацию следует отложить, по крайней мере, на 5 месяцев после переливания крови или плазмы, или введения нормального иммуноглобулина человека или иммуноглобулина против вируса ветряной оспы (VZIG).
Введение препаратов крови, содержащих антитела к вирусу ветряной оспы, включая VZIG или другие препараты иммуноглобулинов, в течение 1 месяца после введения дозы препарата ВАРИВАКС может снизить иммунный ответ на вакцинацию и, следовательно, снизить ее защитную эффективность. Поэтому следует избегать введения любого из этих препаратов в течение 1 месяца после введения препарата ВАРИВАКС, за исключением случаев введения таких препаратов по медицинским показаниям.
Вакцинированным лицам следует избегать применения салицилатов в течение 6 недель после вакцинации препаратом ВАРИВАКС, поскольку были зарегистрированы случаи развития синдрома Рейе при применении салицилатов на фоне инфекции, вызванной диким типом вируса ветряной оспы.</t>
  </si>
  <si>
    <t>&lt;p&gt;ВАРИВАКС нельзя смешивать с какой-либо другой вакциной или другим лекарственным препаратом в одном шприце. Другие инъекционные вакцины или другие лекарственные препараты должны вводиться в виде отдельных инъекций в разные участки тела.&lt;br&gt;&lt;br&gt;
Вакцинацию следует отложить, по крайней мере, на 5&amp;nbsp;месяцев после переливания крови или плазмы, или введения нормального иммуноглобулина человека или иммуноглобулина против вируса ветряной оспы (VZIG).&lt;br&gt;
Введение препаратов крови, содержащих антитела к вирусу ветряной оспы, включая VZIG или другие препараты иммуноглобулинов, в течение 1&amp;nbsp;месяца после введения дозы препарата ВАРИВАКС может снизить иммунный ответ на вакцинацию и, следовательно, снизить ее защитную эффективность. Поэтому следует избегать введения любого из этих препаратов в течение 1&amp;nbsp;месяца после введения препарата ВАРИВАКС, за исключением случаев введения таких препаратов по медицинским показаниям.&lt;br&gt;&lt;br&gt;
Вакцинированным лицам следует избегать применения салицилатов в течение 6&amp;nbsp;недель после вакцинации препаратом ВАРИВАКС, поскольку были зарегистрированы случаи развития синдрома Рейе при применении салицилатов на фоне инфекции, вызванной диким типом вируса ветряной оспы.&lt;/p&gt;</t>
  </si>
  <si>
    <t>Вакцину не следует смешивать с другими лекарственными препаратами в одном шприце.</t>
  </si>
  <si>
    <t>&lt;p&gt;Вакцину не следует смешивать с другими лекарственными препаратами в одном шприце.&lt;/p&gt;</t>
  </si>
  <si>
    <t>При необходимости постановки туберкулиновой пробы она должна быть проведена до или одновременно с вакцинацией, поскольку по имеющимся данным живые вакцины могут вызывать временное снижение чувствительности кожи к туберкулину. В связи с тем, что подобное снижение чувствительности может сохраняться от 4 до 6 недель, не следует проводить туберкулинодиагностику в течение указанного периода времени после вакцинации во избежание получения ложноотрицательных результатов.
Лицам, получившим гамма-глобулин человека или перенесшим переливание крови, вакцинацию следует отложить не менее чем на 3 месяца по причине возможной неэффективности вакцинации вследствие пассивно приобретенных антител.</t>
  </si>
  <si>
    <t>&lt;p&gt;При необходимости постановки туберкулиновой пробы она должна быть проведена до или одновременно с вакцинацией, поскольку по имеющимся данным живые вакцины могут вызывать временное снижение чувствительности кожи к туберкулину. В связи с тем, что подобное снижение чувствительности может сохраняться от 4 до 6&amp;nbsp;недель, не следует проводить туберкулинодиагностику в течение указанного периода времени после вакцинации во избежание получения ложноотрицательных результатов.&lt;/p&gt;
&lt;p&gt;Лицам, получившим гамма-глобулин человека или перенесшим переливание крови, вакцинацию следует отложить не менее чем на 3&amp;nbsp;месяца по причине возможной неэффективности вакцинации вследствие пассивно приобретенных антител.&lt;/p&gt;</t>
  </si>
  <si>
    <t>https://grls.rosminzdrav.ru/InstrImg/2021/04/08/1467900/c382c9c7-0b55-4bb8-a3af-a3be999c3012.pdf</t>
  </si>
  <si>
    <r>
      <rPr>
        <sz val="10"/>
        <color theme="1"/>
        <rFont val="Arial"/>
      </rPr>
      <t xml:space="preserve">В случае одновременного введения препараты должны вводиться в разные участки тела, предпочтительно контралатерально, с использованием разных шприцев.
</t>
    </r>
    <r>
      <rPr>
        <i/>
        <sz val="10"/>
        <color theme="1"/>
        <rFont val="Arial"/>
      </rPr>
      <t>Совместное применение с общими иммуносупрессивными препаратами</t>
    </r>
    <r>
      <rPr>
        <sz val="10"/>
        <color theme="1"/>
        <rFont val="Arial"/>
      </rPr>
      <t xml:space="preserve">
У лиц, проходящих иммуносупрессивную терапию, иммунный ответ после вакцинации может быть снижен.
В отсутствие результатов исследований совместимости вакцину МенКвадфи не следует смешивать с другими лекарственными препаратами в одном шприце.</t>
    </r>
  </si>
  <si>
    <r>
      <rPr>
        <sz val="10"/>
        <color theme="1"/>
        <rFont val="Arial"/>
      </rPr>
      <t xml:space="preserve">&lt;p&gt;В случае одновременного введения препараты должны вводиться в разные участки тела, предпочтительно контралатерально, с использованием разных шприцев.&lt;br&gt;&lt;br&gt;
</t>
    </r>
    <r>
      <rPr>
        <i/>
        <sz val="10"/>
        <color theme="1"/>
        <rFont val="Arial"/>
      </rPr>
      <t>&lt;i&gt;Совместное применение с общими иммуносупрессивными препаратами</t>
    </r>
    <r>
      <rPr>
        <sz val="10"/>
        <color theme="1"/>
        <rFont val="Arial"/>
      </rPr>
      <t>&lt;/i&gt;&lt;br&gt;
У лиц, проходящих иммуносупрессивную терапию, иммунный ответ после вакцинации может быть снижен.&lt;br&gt;&lt;br&gt;
В отсутствие результатов исследований совместимости вакцину МенКвадфи не следует смешивать с другими лекарственными препаратами в одном шприце.&lt;/p&gt;</t>
    </r>
  </si>
  <si>
    <t>Профилактическое применение парацетамола снижает частоту и тяжесть лихорадки, не оказывая влияния на иммуногенность вакцины Бексеро или вакцин для плановой иммунопрофилактики. Исследования влияния жаропонижающих препаратов, за исключением парацетамола, на иммунный ответ не проводились.
В связи с отсутствием исследований совместимости, данный лекарственный препарат не следует смешивать с другими лекарственными препаратами.</t>
  </si>
  <si>
    <t>&lt;p&gt;Профилактическое применение парацетамола снижает частоту и тяжесть лихорадки, не оказывая влияния на иммуногенность вакцины Бексеро или вакцин для плановой иммунопрофилактики. Исследования влияния жаропонижающих препаратов, за исключением парацетамола, на иммунный ответ не проводились.&lt;br&gt;&lt;br&gt;
В связи с отсутствием исследований совместимости, данный лекарственный препарат не следует смешивать с другими лекарственными препаратами.&lt;/p&gt;</t>
  </si>
  <si>
    <t>Не изучалось. Ввиду отсутствия данных исследований совместимости, лекарственный препарат Гам-КОВИД-Вак-Д (Комбинированная векторная вакцина для профилактики коронавирусной инфекции, вызываемой вирусом SARS-CoV-2) нельзя смешивать с другими лекарственными препаратами в одном шприце.</t>
  </si>
  <si>
    <t>&lt;p&gt;Не изучалось. Ввиду отсутствия данных исследований совместимости, лекарственный препарат Гам-КОВИД-Вак-Д (Комбинированная векторная вакцина для профилактики коронавирусной инфекции, вызываемой вирусом SARS-CoV-2) нельзя смешивать с другими лекарственными препаратами в одном шприце.&lt;/p&gt;</t>
  </si>
  <si>
    <t>У пациентов, получающих иммуносупрессивную терапию, вакцинация может быть менее эффективной.
После введения иммуноглобулина против клещевого энцефалита вакцинацию Энценур® детский следует проводить не ранее чем через 4 недели, в противном случае уровень специфических антител может быть снижен.</t>
  </si>
  <si>
    <t>&lt;p&gt;У пациентов, получающих иммуносупрессивную терапию, вакцинация может быть менее эффективной.&lt;/p&gt;
&lt;p&gt;После введения иммуноглобулина против клещевого энцефалита вакцинацию Энценур®&amp;nbsp;детский следует проводить не ранее чем через 4&amp;nbsp;недели, в противном случае уровень специфических антител может быть снижен.&lt;/p&gt;</t>
  </si>
  <si>
    <t>У пациентов, получающих иммуносупрессивную терапию, вакцинация может быть менее эффективной.
После введения иммуноглобулина против клещевого энцефалита вакцинацию Энцепур взрослый следует проводить не ранее чем через 4 недели, в противном случае уровень специфических антител может быть снижен.</t>
  </si>
  <si>
    <t>&lt;p&gt;У пациентов, получающих иммуносупрессивную терапию, вакцинация может быть менее эффективной.&lt;/p&gt;
&lt;p&gt;После введения иммуноглобулина против клещевого энцефалита вакцинацию Энцепур&amp;nbsp;взрослый следует проводить не ранее чем через 4&amp;nbsp;недели, в противном случае уровень специфических антител может быть снижен.&lt;/p&gt;</t>
  </si>
  <si>
    <t>За исключением иммуносупрессивной терапии нет достоверных данных о возможном взаимном влиянии при использовании с другими лекарственными препаратами.
Восстановленную вакцину нельзя смешивать с другими лекарственными препаратами.
Врач должен быть информирован о недавно проводившемся либо совпадающем по времени с вакцинацией введении ребенку любого другого лекарственного препарата (в том числе — безрецептурного).</t>
  </si>
  <si>
    <t>&lt;p&gt;За исключением иммуносупрессивной терапии нет достоверных данных о возможном взаимном влиянии при использовании с другими лекарственными препаратами.&lt;/p&gt;
&lt;p&gt;Восстановленную вакцину нельзя смешивать с другими лекарственными препаратами.&lt;/p&gt;
&lt;p&gt;Врач должен быть информирован о недавно проводившемся либо совпадающем по времени с вакцинацией введении ребенку любого другого лекарственного препарата (в том числе — безрецептурного).&lt;/p&gt;</t>
  </si>
  <si>
    <t>Как и в случае применения других вакцин, у лиц, получающих иммуносупрессивную терапию, адекватный иммунный ответ может быть не достигнут.</t>
  </si>
  <si>
    <t>&lt;p&gt;Как и в случае применения других вакцин, у лиц, получающих иммуносупрессивную терапию, адекватный иммунный ответ может быть не достигнут.&lt;/p&gt;</t>
  </si>
  <si>
    <t>После введения иммуноглобулина против клещевого энцефалита вакцина ФСМЕ-ИММУН® Джуниор (Вакцина клещевого энцефалита культуральная инактивированная очищенная сорбированная) может быть введена не ранее чем через 4 недели, в противном случае уровень специфических антител может быть снижен.</t>
  </si>
  <si>
    <t>&lt;p&gt;После введения иммуноглобулина против клещевого энцефалита вакцина ФСМЕ-ИММУН®&amp;nbsp;Джуниор (Вакцина клещевого энцефалита культуральная инактивированная очищенная сорбированная) может быть введена не ранее чем через 4&amp;nbsp;недели, в противном случае уровень специфических антител может быть снижен.&lt;/p&gt;</t>
  </si>
  <si>
    <t>Специальных исследований взаимодействия с другими лекарственными средствами не проводилось. [...] Пациенты, получающие иммуносупрессивную терапию, могут не выработать полноценный иммунный ответ на вакцинацию.</t>
  </si>
  <si>
    <t>&lt;p&gt;Специальных исследований взаимодействия с другими лекарственными средствами не проводилось. [...] Пациенты, получающие иммуносупрессивную терапию, могут не выработать полноценный иммунный ответ на вакцинацию.&lt;/p&gt;</t>
  </si>
  <si>
    <t>Не изучалось. Ввиду отсутствия данных исследований совместимости, вакцину Сай-Би-Вак нельзя смешивать с другими лекарственными средствами в одном шприце.</t>
  </si>
  <si>
    <t>&lt;p&gt;Не изучалось. Ввиду отсутствия данных исследований совместимости, вакцину Сай-Би-Вак нельзя смешивать с другими лекарственными средствами в одном шприце.&lt;/p&gt;</t>
  </si>
  <si>
    <t>Иммуносупрессивная терапия или состояние иммунодефицита могут быть причиной слабого иммунного ответа на введение вакцины. В этих случаях рекомендуется отложить вакцинацию до окончания такой терапии или ремиссии заболевания. Тем не менее, лицам с хроническим иммунодефицитом (например, ВИЧ-инфекция) вакцинация рекомендована, даже если иммунный ответ может быть ослабленным.</t>
  </si>
  <si>
    <t>&lt;p&gt;Иммуносупрессивная терапия или состояние иммунодефицита могут быть причиной слабого иммунного ответа на введение вакцины. В этих случаях рекомендуется отложить вакцинацию до окончания такой терапии или ремиссии заболевания. Тем не менее, лицам с хроническим иммунодефицитом (например, ВИЧ-инфекция) вакцинация рекомендована, даже если иммунный ответ может быть ослабленным.&lt;/p&gt;</t>
  </si>
  <si>
    <t>Случаев несовместимости с другими лекарственными средствами не выявлено.</t>
  </si>
  <si>
    <t>&lt;p&gt;Случаев несовместимости с другими лекарственными средствами не выявлено.&lt;/p&gt;</t>
  </si>
  <si>
    <t>&lt;p&gt;Сообщите лечащему врачу о том, что Вы принимаете, недавно принимали или можете начать принимать какие-либо другие препараты.&lt;/p&gt;
&lt;p&gt;Вакцину Шингрикс не следует смешивать с другими лекарственными препаратами в одном шприце, так как исследования совместимости не проводились.&lt;/p&gt;</t>
  </si>
  <si>
    <r>
      <rPr>
        <i/>
        <sz val="10"/>
        <color theme="1"/>
        <rFont val="Arial"/>
      </rPr>
      <t>Туберкулинодиагностика</t>
    </r>
    <r>
      <rPr>
        <sz val="10"/>
        <color theme="1"/>
        <rFont val="Arial"/>
      </rPr>
      <t xml:space="preserve">
При необходимости постановки туберкулиновой пробы (пробы Манту) или Диаскинтеста они должны быть проведены не ранее, чем через 4 недели после вакцинации во избежание неинформативных результатов пробы (повышение вероятности ложноотрицательного результата из-за влияния коревого компонента вакцины на реакцию на туберкулин).
</t>
    </r>
    <r>
      <rPr>
        <i/>
        <sz val="10"/>
        <color theme="1"/>
        <rFont val="Arial"/>
      </rPr>
      <t>Препараты крови</t>
    </r>
    <r>
      <rPr>
        <sz val="10"/>
        <color theme="1"/>
        <rFont val="Arial"/>
      </rPr>
      <t xml:space="preserve">
После введения препаратов крови человека (иммуноглобулины, плазма и др.) вакцину ТРИВЭЙД следует применять не ранее, чем через 3 мес. После иммунизации препараты крови следует вводить не ранее, чем через 2 недели. В случае необходимости их применения ранее этого срока вакцинацию следует повторить через 3 мес.
У лиц, получающих кортикостероиды, другие иммунодепрессанты или лучевую терапию, также может не развиться достаточный иммунный ответ на вакцинацию.</t>
    </r>
  </si>
  <si>
    <r>
      <rPr>
        <i/>
        <sz val="10"/>
        <color theme="1"/>
        <rFont val="Arial"/>
      </rPr>
      <t>&lt;p&gt;&lt;i&gt;Туберкулинодиагностика&lt;/i&gt;&lt;br&gt;</t>
    </r>
    <r>
      <rPr>
        <sz val="10"/>
        <color theme="1"/>
        <rFont val="Arial"/>
      </rPr>
      <t xml:space="preserve">
При необходимости постановки туберкулиновой пробы (пробы Манту) или Диаскинтеста они должны быть проведены не ранее, чем через 4&amp;nbsp;недели после вакцинации во избежание неинформативных результатов пробы (повышение вероятности ложноотрицательного результата из-за влияния коревого компонента вакцины на реакцию на туберкулин).&lt;br&gt;
</t>
    </r>
    <r>
      <rPr>
        <i/>
        <sz val="10"/>
        <color theme="1"/>
        <rFont val="Arial"/>
      </rPr>
      <t>&lt;i&gt;Препараты крови&lt;/i&gt;&lt;br&gt;</t>
    </r>
    <r>
      <rPr>
        <sz val="10"/>
        <color theme="1"/>
        <rFont val="Arial"/>
      </rPr>
      <t xml:space="preserve">
После введения препаратов крови человека (иммуноглобулины, плазма и др.) вакцину ТРИВЭЙД следует применять не ранее, чем через 3&amp;nbsp;мес. После иммунизации препараты крови следует вводить не ранее, чем через 2&amp;nbsp;недели. В случае необходимости их применения ранее этого срока вакцинацию следует повторить через 3&amp;nbsp;мес.&lt;br&gt;
У лиц, получающих кортикостероиды, другие иммунодепрессанты или лучевую терапию, также может не развиться достаточный иммунный ответ на вакцинацию.&lt;/p&gt;</t>
    </r>
  </si>
  <si>
    <t>В связи с отсутствием исследований совместимости, АС-анатоксин для доноров не следует смешивать с другими лекарственными препаратами.</t>
  </si>
  <si>
    <t>&lt;p&gt;В связи с отсутствием исследований совместимости, АС-анатоксин для доноров не следует смешивать с другими лекарственными препаратами.&lt;/p&gt;</t>
  </si>
  <si>
    <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
Вакцину не следует смешивать с другими лекарственными препаратами, так как исследования совместимости не проводились.</t>
  </si>
  <si>
    <t>&lt;p&gt;До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препарата.&lt;/p&gt;
&lt;p&gt;Вакцину не следует смешивать с другими лекарственными препаратами, так как исследования совместимости не проводились.&lt;/p&gt;</t>
  </si>
  <si>
    <t>Вакцину не следует смешивать с другими лекарственными препаратами в одном шприце, так как исследования совместимости не проводилось.</t>
  </si>
  <si>
    <t>&lt;p&gt;Вакцину не следует смешивать с другими лекарственными препаратами в одном шприце, так как исследования совместимости не проводилось.&lt;/p&gt;</t>
  </si>
  <si>
    <t>Специальные исследования лекарственных взаимодействий с препаратом Вакцина Е сыпнотифозная комбинированная живая (ЖКСВ-Е) не проводились.
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t>
  </si>
  <si>
    <t>&lt;p&gt;Специальные исследования лекарственных взаимодействий с препаратом Вакцина Е сыпнотифозная комбинированная живая (ЖКСВ-Е) не проводились.&lt;/p&gt;
&lt;p&gt;До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препарата.&lt;/p&gt;</t>
  </si>
  <si>
    <t>Специальные исследования лекарственных взаимодействий с препаратом ОспаВир не проводились.
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t>
  </si>
  <si>
    <t>&lt;p&gt;Специальные исследования лекарственных взаимодействий с препаратом ОспаВир не проводились.&lt;/p&gt;
&lt;p&gt;До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препарата.&lt;/p&gt;</t>
  </si>
  <si>
    <t>Возможно одновременное проведение антибиотикотерапии.
В отсутствии результатов исследований совместимости вакцину не следует смешивать в одном шприце с другими лекарственными препаратами.</t>
  </si>
  <si>
    <t>&lt;p&gt;Возможно одновременное проведение антибиотикотерапии.&lt;/p&gt;
&lt;p&gt;В отсутствии результатов исследований совместимости вакцину не следует смешивать в одном шприце с другими лекарственными препаратами.&lt;/p&gt;</t>
  </si>
  <si>
    <t>В связи с отсутствием результатов исследований совместимости вакцину не следует смешивать с другими лекарственными препаратами.
Одновременное введение с какими-либо иммуноглобулинами, включая иммуноглобулин противооспенный не изучалось. Вместе с вакциной ОртопоксВак не допускается вводить иммуноглобулин.</t>
  </si>
  <si>
    <t>&lt;p&gt;В связи с отсутствием результатов исследований совместимости вакцину не следует смешивать с другими лекарственными препаратами.&lt;/p&gt;
&lt;p&gt;Одновременное введение с какими-либо иммуноглобулинами, включая иммуноглобулин противооспенный не изучалось. Вместе с вакциной ОртопоксВак не допускается вводить иммуноглобулин.&lt;/p&gt;</t>
  </si>
  <si>
    <t>Вакцину не следует смешивать в одном шприце с другими лекарственными средствами.</t>
  </si>
  <si>
    <t>&lt;p&gt;Вакцину не следует смешивать в одном шприце с другими лекарственными средствами.&lt;/p&gt;</t>
  </si>
  <si>
    <t>https://grls.rosminzdrav.ru/InstrImg/2025/01/09/1512384/c6523a43-f889-4421-a55b-e3e8be3bdc34.pdf</t>
  </si>
  <si>
    <t>Нет данных о возможном взаимном влиянии при совместном использовании с другими лекарственными средствами и продуктами.</t>
  </si>
  <si>
    <t>&lt;p&gt;Нет данных о возможном взаимном влиянии при совместном использовании с другими лекарственными средствами и продуктами.&lt;/p&gt;</t>
  </si>
  <si>
    <t>Нет данных о возможном взаимном влиянии при совместном использовании с другими лекарственными препаратами.</t>
  </si>
  <si>
    <t>&lt;p&gt;Нет данных о возможном взаимном влиянии при совместном использовании с другими лекарственными препаратами.&lt;/p&gt;</t>
  </si>
  <si>
    <t>Не установлено.</t>
  </si>
  <si>
    <t>&lt;p&gt;Не установлено.&lt;/p&gt;</t>
  </si>
  <si>
    <t>До настоящего времени нет данных.</t>
  </si>
  <si>
    <t>&lt;p&gt;До настоящего времени нет данных.&lt;/p&gt;</t>
  </si>
  <si>
    <t>Иммуносупрессоры могут уменьшить иммунный ответ на вакцинацию пероральной полиомиелитной вакциной, способствовать размножению вакцинных вирусов и увеличивать время выделения вакцинных вирусов с калом.</t>
  </si>
  <si>
    <t>&lt;p&gt;Иммуносупрессоры могут уменьшить иммунный ответ на вакцинацию пероральной полиомиелитной вакциной, способствовать размножению вакцинных вирусов и увеличивать время выделения вакцинных вирусов с калом.&lt;/p&gt;</t>
  </si>
  <si>
    <r>
      <rPr>
        <sz val="10"/>
        <color theme="1"/>
        <rFont val="Arial"/>
      </rPr>
      <t xml:space="preserve">Бактерии БЦЖ чувствительны к противотуберкулезным препаратам (например, этамбутолу, стрептомицину, парааминосалициловой кислоте [ПАСК], изониазиду и рифампицину), антибиотикам, антисептикам и смазочным средствам. Наблюдалась устойчивость БЦЖ к пиразинамиду и циклосерину.
Во время курса внутрипузырных инстилляций БЦЖ следует избегать одновременного 
назначения противотуберкулезных средств и антибактериальных препаратов, таких как фторхинолоны, доксициклин или гентамицин, ввиду чувствительности БЦЖ к этим препаратам.
</t>
    </r>
    <r>
      <rPr>
        <i/>
        <sz val="10"/>
        <color theme="1"/>
        <rFont val="Arial"/>
      </rPr>
      <t>Фармацевтическая несовместимость</t>
    </r>
    <r>
      <rPr>
        <sz val="10"/>
        <color theme="1"/>
        <rFont val="Arial"/>
      </rPr>
      <t xml:space="preserve">
Препарат Уро-БЦЖ медак несовместим с гипотоническими и гипертоническими растворами.
Внутрипузырная терапия препаратом Уро-БЦЖ медак может вызвать развитие чувствительности к туберкулину и впоследствии затруднить интерпретацию туберкулиновых кожных проб при диагностике микобактериальной инфекции. Поэтому туберкулиновую пробу следует провести перед назначением Уро-БЦЖ медак.</t>
    </r>
  </si>
  <si>
    <r>
      <rPr>
        <sz val="10"/>
        <color theme="1"/>
        <rFont val="Arial"/>
      </rPr>
      <t xml:space="preserve">&lt;p&gt;Бактерии БЦЖ чувствительны к противотуберкулезным препаратам (например, этамбутолу, стрептомицину, парааминосалициловой кислоте [ПАСК], изониазиду и рифампицину), антибиотикам, антисептикам и смазочным средствам. Наблюдалась устойчивость БЦЖ к пиразинамиду и циклосерину.&lt;br&gt;
Во время курса внутрипузырных инстилляций БЦЖ следует избегать одновременного 
назначения противотуберкулезных средств и антибактериальных препаратов, таких как фторхинолоны, доксициклин или гентамицин, ввиду чувствительности БЦЖ к этим препаратам.&lt;br&gt;&lt;br&gt;
</t>
    </r>
    <r>
      <rPr>
        <i/>
        <sz val="10"/>
        <color theme="1"/>
        <rFont val="Arial"/>
      </rPr>
      <t>&lt;i&gt;Фармацевтическая несовместимость</t>
    </r>
    <r>
      <rPr>
        <sz val="10"/>
        <color theme="1"/>
        <rFont val="Arial"/>
      </rPr>
      <t>&lt;/i&gt;&lt;br&gt;
Препарат Уро-БЦЖ медак несовместим с гипотоническими и гипертоническими растворами.&lt;/p&gt;
&lt;p&gt;Внутрипузырная терапия препаратом Уро-БЦЖ медак может вызвать развитие чувствительности к туберкулину и впоследствии затруднить интерпретацию туберкулиновых кожных проб при диагностике микобактериальной инфекции. Поэтому туберкулиновую пробу следует провести перед назначением Уро-БЦЖ медак.&lt;/p&gt;</t>
    </r>
  </si>
  <si>
    <t>В связи с отсутствием исследований совместимости, данный лекарственный препарат не следует смешивать с другими лекарственными препаратами.</t>
  </si>
  <si>
    <t>&lt;p&gt;В связи с отсутствием исследований совместимости, данный лекарственный препарат не следует смешивать с другими лекарственными препаратами.&lt;/p&gt;</t>
  </si>
  <si>
    <t>Вакцина может вводиться на фоне базисной терапии имеющегося у прививаемого заболевания. Вакцинация пациентов, получающих иммуносупрессивную терапию (глюкокортикостероиды, цитостатические препараты, радиотерапия), может быть менее эффективной.</t>
  </si>
  <si>
    <t>&lt;p&gt;Вакцина может вводиться на фоне базисной терапии имеющегося у прививаемого заболевания. Вакцинация пациентов, получающих иммуносупрессивную терапию (глюкокортикостероиды, цитостатические препараты, радиотерапия), может быть менее эффективной.&lt;/p&gt;</t>
  </si>
  <si>
    <t>Случаев взаимодействия или несовместимости с другими лекарственными средствами не выявлено.</t>
  </si>
  <si>
    <t>&lt;p&gt;Случаев взаимодействия или несовместимости с другими лекарственными средствами не выявлено.&lt;/p&gt;</t>
  </si>
  <si>
    <t>Вакцина может вводиться на фоне базисной терапии основного заболевания.</t>
  </si>
  <si>
    <t>&lt;p&gt;Вакцина может вводиться на фоне базисной терапии основного заболевания.&lt;/p&gt;</t>
  </si>
  <si>
    <t>В связи с отсутствием исследований совместимости Тетраанатоксин очищенный адсорбированный не следует смешивать с другими лекарственными препаратами.</t>
  </si>
  <si>
    <t>&lt;p&gt;В связи с отсутствием исследований совместимости Тетраанатоксин очищенный адсорбированный не следует смешивать с другими лекарственными препаратами.&lt;/p&gt;</t>
  </si>
  <si>
    <t>Лекарственный препарат Анатоксин стафилококковый очищенный адсорбированный следует вводить не ранее, чем через 3 недели после предшествующей инъекции иммуноглобулина человека или антистафилококковой плазмы.</t>
  </si>
  <si>
    <t>&lt;p&gt;Лекарственный препарат Анатоксин стафилококковый очищенный адсорбированный следует вводить не ранее, чем через 3&amp;nbsp;недели после предшествующей инъекции иммуноглобулина человека или антистафилококковой плазмы.&lt;/p&gt;</t>
  </si>
  <si>
    <t>Лечение лекарственным препаратом «Анатоксин стафилококковый очищенный» может проводиться одновременно с другой общей и местной терапией, за исключением введения иммуноглобулинов и антистафилококковой плазмы.</t>
  </si>
  <si>
    <t>&lt;p&gt;Лечение лекарственным препаратом «Анатоксин стафилококковый очищенный» может проводиться одновременно с другой общей и местной терапией, за исключением введения иммуноглобулинов и антистафилококковой плазмы.&lt;/p&gt;</t>
  </si>
  <si>
    <t>Во время курса внутрипузырных инстилляций Имурон-вак следует избегать одновременного назначения средств, к которым чувствительны микобактерии БЦЖ: противотуберкулезные лекарственные препараты; антибиотики, например, фторхинолоны, доксициклин, канамицин или амикацин.</t>
  </si>
  <si>
    <t>&lt;p&gt;Во время курса внутрипузырных инстилляций Имурон-вак следует избегать одновременного назначения средств, к которым чувствительны микобактерии БЦЖ: противотуберкулезные лекарственные препараты; антибиотики, например, фторхинолоны, доксициклин, канамицин или амикацин.&lt;/p&gt;</t>
  </si>
  <si>
    <t>Вакцину Гексаксим нельзя смешивать в одном шприце с любыми другими лекарственными средствами, вводимыми парентерально.
За исключением случаев проведения иммуносупрессивной терапии, сообщений о существенном клиническом взаимодействии вакцины Гексаксим с другими лекарственными средствами или биологическими препаратами не было.
Врач должен быть информирован о недавно проводившемся либо совпадающем по времени с вакцинацией введении ребенку любого другого лекарственного препарата (в том числе безрецептурного).</t>
  </si>
  <si>
    <t>&lt;p&gt;Вакцину Гексаксим нельзя смешивать в одном шприце с любыми другими лекарственными средствами, вводимыми парентерально.&lt;br&gt;&lt;br&gt;
За исключением случаев проведения иммуносупрессивной терапии, сообщений о существенном клиническом взаимодействии вакцины Гексаксим с другими лекарственными средствами или биологическими препаратами не было.&lt;br&gt;&lt;br&gt;
Врач должен быть информирован о недавно проводившемся либо совпадающем по времени с вакцинацией введении ребенку любого другого лекарственного препарата (в том числе безрецептурного).&lt;/p&gt;</t>
  </si>
  <si>
    <t>Специальных исследований лекарственных взаимодействий не проводилось. Не допускается смешивание лекарственного препарата Гам-VLР-мультивак Вакцина на основе вирусоподобных частиц для профилактики коронавирусной инфекции, вызываемой SARS­CoV-2, с другими иммунобиологическими лекарственными препаратами или иными лекарственными средствами в одном шприце, так как нет данных о фармацевтическом взаимодействии. Не допускается введение разных лекарственных препаратов в один участок тела.</t>
  </si>
  <si>
    <t>&lt;p&gt;Специальных исследований лекарственных взаимодействий не проводилось. Не допускается смешивание лекарственного препарата Гам-VLР-мультивак Вакцина на основе вирусоподобных частиц для профилактики коронавирусной инфекции, вызываемой SARS­CoV-2, с другими иммунобиологическими лекарственными препаратами или иными лекарственными средствами в одном шприце, так как нет данных о фармацевтическом взаимодействии. Не допускается введение разных лекарственных препаратов в один участок тела.&lt;/p&gt;</t>
  </si>
  <si>
    <t>Специальных исследований лекарственных взаимодействий не проводилось.
У пациентов, получающих иммуносупрессивную терапию, и пациентов с иммунодефицитом может не развиться достаточный иммунный ответ, поэтому прием лекарственных препаратов, угнетающих функцию иммунной системы, противопоказан в течение, как минимум, 1 месяца до и после вакцинации из-за риска снижения иммуногенности.</t>
  </si>
  <si>
    <t>&lt;p&gt;Специальных исследований лекарственных взаимодействий не проводилось.&lt;br&gt;
У пациентов, получающих иммуносупрессивную терапию, и пациентов с иммунодефицитом может не развиться достаточный иммунный ответ, поэтому прием лекарственных препаратов, угнетающих функцию иммунной системы, противопоказан в течение, как минимум, 1&amp;nbsp;месяца до и после вакцинации из-за риска снижения иммуногенности.&lt;/p&gt;</t>
  </si>
  <si>
    <r>
      <rPr>
        <sz val="10"/>
        <color theme="1"/>
        <rFont val="Arial"/>
      </rPr>
      <t xml:space="preserve">В клинических исследованиях исключались лица, получавшие иммуноглобулин или препараты крови в течение 6 месяцев до введения первой дозы вакцины.
</t>
    </r>
    <r>
      <rPr>
        <i/>
        <sz val="10"/>
        <color theme="1"/>
        <rFont val="Arial"/>
      </rPr>
      <t>Совместное применение с распространенными препаратами</t>
    </r>
    <r>
      <rPr>
        <sz val="10"/>
        <color theme="1"/>
        <rFont val="Arial"/>
      </rPr>
      <t xml:space="preserve">
Применение анальгетиков, противовоспалительных препаратов и витаминных препаратов не влияло на эффективность, иммуногенность и безопасность вакцины против вируса папилломы человека квадривалентной рекомбинантной (типов 6, 11, 16, 18).
</t>
    </r>
    <r>
      <rPr>
        <i/>
        <sz val="10"/>
        <color theme="1"/>
        <rFont val="Arial"/>
      </rPr>
      <t>Совместное применение с системными иммунодепрессантами</t>
    </r>
    <r>
      <rPr>
        <sz val="10"/>
        <color theme="1"/>
        <rFont val="Arial"/>
      </rPr>
      <t xml:space="preserve">
Данные об одновременном применении системных иммунодепрессантов и вакцины Цегардекс отсутствуют. У пациентов, получающих иммунодепрессивную терапию, и пациентов с иммунодефицитом может не развиться достаточный иммунный ответ.
</t>
    </r>
    <r>
      <rPr>
        <i/>
        <sz val="10"/>
        <color theme="1"/>
        <rFont val="Arial"/>
      </rPr>
      <t>Использование с гормональными контрацептивами</t>
    </r>
    <r>
      <rPr>
        <sz val="10"/>
        <color theme="1"/>
        <rFont val="Arial"/>
      </rPr>
      <t xml:space="preserve">
В клинических исследованиях 38,8% женщин в возрасте от 18 до 45 лет, получавших вакцину Цегардекс, использовали гормональные контрацептивы в период вакцинации. Использование гормональных контрацептивов не влияет на иммунный ответ на вакцину Цегардекс.</t>
    </r>
  </si>
  <si>
    <r>
      <rPr>
        <sz val="10"/>
        <color theme="1"/>
        <rFont val="Arial"/>
      </rPr>
      <t xml:space="preserve">&lt;p&gt;В клинических исследованиях исключались лица, получавшие иммуноглобулин или препараты крови в течение 6&amp;nbsp;месяцев до введения первой дозы вакцины.&lt;br&gt;&lt;br&gt;
</t>
    </r>
    <r>
      <rPr>
        <i/>
        <sz val="10"/>
        <color theme="1"/>
        <rFont val="Arial"/>
      </rPr>
      <t>&lt;i&gt;Совместное применение с распространенными препаратами&lt;/i&gt;&lt;br&gt;</t>
    </r>
    <r>
      <rPr>
        <sz val="10"/>
        <color theme="1"/>
        <rFont val="Arial"/>
      </rPr>
      <t xml:space="preserve">
Применение анальгетиков, противовоспалительных препаратов и витаминных препаратов не влияло на эффективность, иммуногенность и безопасность вакцины против вируса папилломы человека квадривалентной рекомбинантной (типов 6, 11, 16, 18).&lt;br&gt;&lt;br&gt;
</t>
    </r>
    <r>
      <rPr>
        <i/>
        <sz val="10"/>
        <color theme="1"/>
        <rFont val="Arial"/>
      </rPr>
      <t>&lt;i&gt;Совместное применение с системными иммунодепрессантами&lt;/i&gt;&lt;br&gt;</t>
    </r>
    <r>
      <rPr>
        <sz val="10"/>
        <color theme="1"/>
        <rFont val="Arial"/>
      </rPr>
      <t xml:space="preserve">
Данные об одновременном применении системных иммунодепрессантов и вакцины Цегардекс отсутствуют. У пациентов, получающих иммунодепрессивную терапию, и пациентов с иммунодефицитом может не развиться достаточный иммунный ответ.&lt;br&gt;&lt;br&gt;
</t>
    </r>
    <r>
      <rPr>
        <i/>
        <sz val="10"/>
        <color theme="1"/>
        <rFont val="Arial"/>
      </rPr>
      <t>&lt;i&gt;Использование с гормональными контрацептивами&lt;/i&gt;&lt;br&gt;</t>
    </r>
    <r>
      <rPr>
        <sz val="10"/>
        <color theme="1"/>
        <rFont val="Arial"/>
      </rPr>
      <t xml:space="preserve">
В клинических исследованиях 38,8% женщин в возрасте от 18 до 45&amp;nbsp;лет, получавших вакцину Цегардекс, использовали гормональные контрацептивы в период вакцинации. Использование гормональных контрацептивов не влияет на иммунный ответ на вакцину Цегардекс.&lt;/p&gt;</t>
    </r>
  </si>
  <si>
    <r>
      <rPr>
        <i/>
        <sz val="10"/>
        <color theme="1"/>
        <rFont val="Arial"/>
      </rPr>
      <t>Совместное применение с системными иммунодепрессантами</t>
    </r>
    <r>
      <rPr>
        <sz val="10"/>
        <color theme="1"/>
        <rFont val="Arial"/>
      </rPr>
      <t xml:space="preserve">
Данные об одновременном применении системных иммунодепрессантов и вакцины МЕНВЭЙД отсутствуют. Иммуносупрессивная терапия, включая облучение, антиметаболиты, алкилирующие средства, цитотоксические средства и кортикостероиды, могут снижать иммунный ответ на вакцинацию.
</t>
    </r>
    <r>
      <rPr>
        <i/>
        <sz val="10"/>
        <color theme="1"/>
        <rFont val="Arial"/>
      </rPr>
      <t>Совместное применение с другими лекарственными препаратами</t>
    </r>
    <r>
      <rPr>
        <sz val="10"/>
        <color theme="1"/>
        <rFont val="Arial"/>
      </rPr>
      <t xml:space="preserve">
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t>
    </r>
  </si>
  <si>
    <t>&lt;p&gt;&lt;i&gt;Совместное применение с системными иммунодепрессантами&lt;/i&gt;&lt;br&gt;
Данные об одновременном применении системных иммунодепрессантов и вакцины МЕНВЭЙД отсутствуют. Иммуносупрессивная терапия, включая облучение, антиметаболиты, алкилирующие средства, цитотоксические средства и кортикостероиды, могут снижать иммунный ответ на вакцинацию.&lt;br&gt;&lt;br&gt;
&lt;i&gt;Совместное применение с другими лекарственными препаратами&lt;/i&gt;&lt;br&gt;
До проведения вакцинации врач должен быть проинформирован о недавно проводившемся или совпадающем по времени с вакцинацией применением другого, в том числе безрецептурного лекарственного препарата.&lt;/p&gt;</t>
  </si>
  <si>
    <t>Запрещено смешивать препарат Превенар 20 с другими лекарственными препаратами в одном шприце.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t>
  </si>
  <si>
    <t>&lt;p&gt;Запрещено смешивать препарат Превенар&amp;nbsp;20 с другими лекарственными препаратами в одном шприце.&lt;br&gt;
Применение иммуносупрессивной терапии (препараты, подавляющие работу иммунной системы, в т.ч. химиотерапия, некоторые виды иммунобиологической терапии, длительный прием высоких доз кортикостероидов) может снижать иммунный ответ на вакцинацию. Лечащему врачу следует определить целесообразность вакцинации и/или подобрать оптимальные сроки для вакцинации в периоды наименьшей интенсивности лечения.&lt;/p&gt;</t>
  </si>
  <si>
    <t>Иммуносупрессивные средства при одновременном применении с вакциной могут оказывать влияние на формирование иммунного ответа. Иммунносупрессивная терапия, включая лучевую терапию, применение антиметаболитов, алкилирующих препаратов, цитотоксических препаратов и глюкокортикостероидов (в дозах выше терапевтических), может снижать иммунный ответ на вакцину.</t>
  </si>
  <si>
    <t>&lt;p&gt;Иммуносупрессивные средства при одновременном применении с вакциной могут оказывать влияние на формирование иммунного ответа. Иммунносупрессивная терапия, включая лучевую терапию, применение антиметаболитов, алкилирующих препаратов, цитотоксических препаратов и глюкокортикостероидов (в дозах выше терапевтических), может снижать иммунный ответ на вакцину.&lt;/p&gt;</t>
  </si>
  <si>
    <t>Возможно, что у пациентов, получающих иммуносупрессивную терапию, надлежащий иммунный ответ будет отсутствовать.</t>
  </si>
  <si>
    <t>&lt;p&gt;Возможно, что у пациентов, получающих иммуносупрессивную терапию, надлежащий иммунный ответ будет отсутствовать.&lt;/p&gt;</t>
  </si>
  <si>
    <t>simult_admin_text_w/o_html</t>
  </si>
  <si>
    <t>simult_admin_text_html</t>
  </si>
  <si>
    <t>simult_admin_date</t>
  </si>
  <si>
    <t>simult_admin_view_number</t>
  </si>
  <si>
    <t>simult_admin_version</t>
  </si>
  <si>
    <t>simult_admin_version_link</t>
  </si>
  <si>
    <t>Другие профилактические прививки могут быть проведены с интервалом не менее 1 месяца до и после вакцинации (ревакцинации) БЦЖ. Исключением является вакцинация для профилактики вирусного гепатита В в случае первичной иммунизации.</t>
  </si>
  <si>
    <t>&lt;p&gt;Другие профилактические прививки могут быть проведены с интервалом не менее 1&amp;nbsp;месяца до и после вакцинации (ревакцинации) БЦЖ. Исключением является вакцинация для профилактики вирусного гепатита&amp;nbsp;В в случае первичной иммунизации.&lt;/p&gt;</t>
  </si>
  <si>
    <t>Другие профилактические прививки могут быть проведены с интервалом не менее 1 месяца до (за исключением вакцинации против вирусного гепатита В) и после вакцинации БЦЖ-М.
Специальные исследования взаимодействия вакцины БЦЖ-М и других вакцин не проводились, при этом отсутствуют какие-либо данные о негативном взаимодействии вакцин против туберкулеза с другими вакцинами.</t>
  </si>
  <si>
    <t>&lt;p&gt;Другие профилактические прививки могут быть проведены с интервалом не менее 1&amp;nbsp;месяца до (за исключением вакцинации против вирусного гепатита В) и после вакцинации БЦЖ-М.&lt;br&gt;&lt;br&gt;
Специальные исследования взаимодействия вакцины БЦЖ-М и других вакцин не проводились, при этом отсутствуют какие-либо данные о негативном взаимодействии вакцин против туберкулеза с другими вакцинами.&lt;/p&gt;</t>
  </si>
  <si>
    <t>Другие профилактические прививки могут быть проведены с интервалом не менее 1 мес. до и после вакцинации (ревакцинации) БЦЖ (за исключением вакцины против гепатита В, которую вводят в соответствии с Национальным календарем профилактических прививок в РФ).</t>
  </si>
  <si>
    <t>&lt;p&gt;Другие профилактические прививки могут быть проведены с интервалом не менее 1&amp;nbsp;мес. до и после вакцинации (ревакцинации) БЦЖ (за исключением вакцины против гепатита В, которую вводят в соответствии с Национальным календарем профилактических прививок в РФ).&lt;/p&gt;</t>
  </si>
  <si>
    <t>Другие профилактические прививки могут быть проведены с интервалом не менее 1 месяца до и после вакцинации БЦЖ-М (за исключением вакцины против гепатита В, которую вводят в соответствии с Национальным календарем профилактических прививок в РФ).</t>
  </si>
  <si>
    <t>&lt;p&gt;Другие профилактические прививки могут быть проведены с интервалом не менее 1&amp;nbsp;месяца до и после вакцинации БЦЖ-М (за исключением вакцины против гепатита В, которую вводят в соответствии с Национальным календарем профилактических прививок в РФ).&lt;/p&gt;</t>
  </si>
  <si>
    <r>
      <rPr>
        <sz val="10"/>
        <color theme="1"/>
        <rFont val="Arial"/>
      </rPr>
      <t xml:space="preserve">Вакцину Инфанрикс можно вводить одновременно (в один день) с другими вакцинами Национального календаря профилактических прививок Российской Федерации (за исключением вакцины БЦЖ) и инактивированными вакцинами календаря профилактических прививок по эпидемическим показаниям. При этом другие вакцины следует вводить в другие участки тела.
Допускается смешивать в одном шприце вакцину Инфанрикс с вакциной Хиберикс (Вакцина для профилактики инфекции, вызываемой </t>
    </r>
    <r>
      <rPr>
        <i/>
        <sz val="10"/>
        <color theme="1"/>
        <rFont val="Arial"/>
      </rPr>
      <t>Haemophilus influenzae</t>
    </r>
    <r>
      <rPr>
        <sz val="10"/>
        <color theme="1"/>
        <rFont val="Arial"/>
      </rPr>
      <t xml:space="preserve"> тип </t>
    </r>
    <r>
      <rPr>
        <i/>
        <sz val="10"/>
        <color theme="1"/>
        <rFont val="Arial"/>
      </rPr>
      <t>b</t>
    </r>
    <r>
      <rPr>
        <sz val="10"/>
        <color theme="1"/>
        <rFont val="Arial"/>
      </rPr>
      <t>). При этом растворитель, прилагаемый к вакцине Хиберикс, необходимо заменить вакциной Инфанрикс.
Растворитель, прилагаемый к вакцине Хиберикс, необходимо утилизировать. Для получения восстановленной комбинированной вакцины необходимо внести все содержимое шприца с вакциной Инфанрикс во флакон с лиофилизатом Хиберикс.
Введение приготовленной непосредственно перед применением смеси осуществляется в соответствии с инструкцией по медицинскому применению на вакцину Инфанрикс.
Смешивание вакцины Инфанрикс с другими вакцинами, за исключением вакцины Хиберикс, не допускается.</t>
    </r>
  </si>
  <si>
    <r>
      <rPr>
        <sz val="10"/>
        <color theme="1"/>
        <rFont val="Arial"/>
      </rPr>
      <t>&lt;p&gt;Вакцину Инфанрикс можно вводить одновременно (в один день) с другими вакцинами Национального календаря профилактических прививок Российской Федерации (за исключением вакцины БЦЖ) и инактивированными вакцинами календаря профилактических прививок по эпидемическим показаниям. При этом другие вакцины следует вводить в другие участки тела.&lt;br&gt;
Допускается смешивать в одном шприце вакцину Инфанрикс с вакциной Хиберикс (Вакцина для профилактики инфекции, вызываемой &lt;i&gt;Haemophilus influenzae</t>
    </r>
    <r>
      <rPr>
        <i/>
        <sz val="10"/>
        <color theme="1"/>
        <rFont val="Arial"/>
      </rPr>
      <t>&lt;/i&gt;</t>
    </r>
    <r>
      <rPr>
        <sz val="10"/>
        <color theme="1"/>
        <rFont val="Arial"/>
      </rPr>
      <t xml:space="preserve"> тип &lt;i&gt;b&lt;/i&gt;). При этом растворитель, прилагаемый к вакцине Хиберикс, необходимо заменить вакциной Инфанрикс.&lt;br&gt;
Растворитель, прилагаемый к вакцине Хиберикс, необходимо утилизировать. Для получения восстановленной комбинированной вакцины необходимо внести все содержимое шприца с вакциной Инфанрикс во флакон с лиофилизатом Хиберикс.&lt;br&gt;
Введение приготовленной непосредственно перед применением смеси осуществляется в соответствии с инструкцией по медицинскому применению на вакцину Инфанрикс.&lt;br&gt;
Смешивание вакцины Инфанрикс с другими вакцинами, за исключением вакцины Хиберикс, не допускается.&lt;/p&gt;</t>
    </r>
  </si>
  <si>
    <t>АКДС-вакцину допускается вводить одновременно (в один день) с любыми другими вакцинами Национального календаря профилактических прививок Российской Федарации (за исключением БЦЖ и БЦЖ-М) и Календаря профилактических прививок по эпидемическим показаниям Российской Федерации, при условии их введения разными шприцами в разные участки тела.
Допускается введение АКДС-вакцины с другими вакцинами с любым интервалом между введением (за исключением БЦЖ и БЦЖ-М). Интервал до и после введения вакцин против туберкулеза от введения других вакцин составляет 1 месяц.</t>
  </si>
  <si>
    <t>&lt;p&gt;АКДС-вакцину допускается вводить одновременно (в один день) с любыми другими вакцинами Национального календаря профилактических прививок Российской Федарации (за исключением БЦЖ и БЦЖ-М) и Календаря профилактических прививок по эпидемическим показаниям Российской Федерации, при условии их введения разными шприцами в разные участки тела.&lt;/p&gt;
&lt;p&gt;Допускается введение АКДС-вакцины с другими вакцинами с любым интервалом между введением (за исключением БЦЖ и БЦЖ-М). Интервал до и после введения вакцин против туберкулеза от введения других вакцин составляет 1&amp;nbsp;месяц.&lt;/p&gt;</t>
  </si>
  <si>
    <t>АКДС-вакцину можно вводить одновременно с полиомиелитной вакциной и другими препаратами национального календаря профилактических прививок, за исключением вакцины БЦЖ.</t>
  </si>
  <si>
    <t>&lt;p&gt;АКДС-вакцину можно вводить одновременно с полиомиелитной вакциной и другими препаратами национального календаря профилактических прививок, за исключением вакцины БЦЖ.&lt;/p&gt;</t>
  </si>
  <si>
    <t>Прививки вакциной Бубо®-Кок можно проводить одновременно с другими вакцинами Национального календаря профилактических прививок или через 1 мес. после прививок против других инфекций.</t>
  </si>
  <si>
    <t>&lt;p&gt;Прививки вакциной Бубо®-Кок можно проводить одновременно с другими вакцинами Национального календаря профилактических прививок или через 1&amp;nbsp;мес. после прививок против других инфекций.&lt;/p&gt;</t>
  </si>
  <si>
    <t>В соответствии с Национальным календарем Российской Федерации допускается одновременное введение с другими вакцинами (кроме БЦЖ) при условии их введения разными шприцами в разные участки тела. При необходимости раздельного (не в один календарный день) введения вакцины Пентаксим и других вакцин, допустим любой интервал между введениями, т. к. вакцина Пентаксим является неживой.
Вакцину Пентаксим можно вводить одновременно с вакциной против кори, эпидемического паротита и краснухи в разные участки тела.</t>
  </si>
  <si>
    <t>&lt;p&gt;В соответствии с Национальным календарем Российской Федерации допускается одновременное введение с другими вакцинами (кроме БЦЖ) при условии их введения разными шприцами в разные участки тела. При необходимости раздельного (не в один календарный день) введения вакцины Пентаксим и других вакцин, допустим любой интервал между введениями, т. к. вакцина Пентаксим является неживой.&lt;br&gt;
Вакцину Пентаксим можно вводить одновременно с вакциной против кори, эпидемического паротита и краснухи в разные участки тела.&lt;/p&gt;</t>
  </si>
  <si>
    <t>Вакцину Инфанрикс Гекса можно вводить одновременно с вакциной пневмококковой конъюгированной, менингококковой (серогруппы С) конъюгированной, менингококковой (серогрупп А, С, W, Y) конъюгированной, вакциной для профилактики ротавирусной инфекции, вакциной для профилактики кори, паротита, краснухи, вакциной для профилактики ветряной оспы. Данные свидетельствуют об отсутствии клинически значимого изменения в выработке антител против каждого из антигенов, входящих в состав вакцин.
Данные клинических исследований свидетельствуют о более высокой частоте встречаемости повышения температуры тела у детей, одновременно получавших вакцину Инфанрикс Гекса и пневмококковую конъюгированную вакцину, по сравнению с детьми, получавшими только вакцину Инфанрикс Гекса.
Вакцину Инфанрикс Гекса нельзя смешивать с другими вакцинами в одном шприце.</t>
  </si>
  <si>
    <t>&lt;p&gt;Вакцину Инфанрикс Гекса можно вводить одновременно с вакциной пневмококковой конъюгированной, менингококковой (серогруппы С) конъюгированной, менингококковой (серогрупп А, С, W, Y) конъюгированной, вакциной для профилактики ротавирусной инфекции, вакциной для профилактики кори, паротита, краснухи, вакциной для профилактики ветряной оспы. Данные свидетельствуют об отсутствии клинически значимого изменения в выработке антител против каждого из антигенов, входящих в состав вакцин.&lt;br&gt;&lt;br&gt;
Данные клинических исследований свидетельствуют о более высокой частоте встречаемости повышения температуры тела у детей, одновременно получавших вакцину Инфанрикс Гекса и пневмококковую конъюгированную вакцину, по сравнению с детьми, получавшими только вакцину Инфанрикс Гекса.&lt;br&gt;&lt;br&gt;
Вакцину Инфанрикс Гекса нельзя смешивать с другими вакцинами в одном шприце.&lt;/p&gt;</t>
  </si>
  <si>
    <t>В соответствии с национальными рекомендациями допускается одновременное введение вакцины Бубо-М с другими вакцинами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Бубо-М является неживой.</t>
  </si>
  <si>
    <t>&lt;p&gt;В соответствии с национальными рекомендациями допускается одновременное введение вакцины Бубо-М с другими вакцинами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Бубо-М является неживой.&lt;/p&gt;</t>
  </si>
  <si>
    <t>АД-М-анатоксин можно вводить одновременно (в один день) с другими препаратами национального календаря профилактических прививок, а также с инактивированными вакцинами календаря профилактических прививок по эпидемическим показаниям разными шприцами, в разные участки тела. АД-М-анатоксин можно вводить одновременно (в один день) с другими препаратами национального календаря профилактических прививок, а также с инактивированными вакцинами календаря профилактических прививок по эпидемическим показаниям разными шприцами, в разные участки тела. Допускается введение неживых вакцин с любым интервалом между собой, между живой и неживой вакцинами, также допустим любой интервал. Интервал до и после введения вакцин против туберкулеза от введения других вакцин составляет 1 месяц.</t>
  </si>
  <si>
    <t>&lt;p&gt;АД-М-анатоксин можно вводить одновременно (в один день) с другими препаратами национального календаря профилактических прививок, а также с инактивированными вакцинами календаря профилактических прививок по эпидемическим показаниям разными шприцами, в разные участки тела. АД-М-анатоксин можно вводить одновременно (в один день) с другими препаратами национального календаря профилактических прививок, а также с инактивированными вакцинами календаря профилактических прививок по эпидемическим показаниям разными шприцами, в разные участки тела. Допускается введение неживых вакцин с любым интервалом между собой, между живой и неживой вакцинами, также допустим любой интервал. Интервал до и после введения вакцин против туберкулеза от введения других вакцин составляет 1&amp;nbsp;месяц.&lt;/p&gt;</t>
  </si>
  <si>
    <t>АДС-анатоксин можно вводить одновременно (в один день) с другими препаратами национального календаря профилактических прививок, а также с инактивированными вакцинами календаря профилактических прививок по эпидемическим показаниям разными шприцами, в разные участки тела. Допускается введение неживых вакцин с любым интервалом между собой, между живой и неживой вакцинами, также допустим любой интервал. Интервал до и после введения вакцины против туберкулеза от введения других вакцин составляет 1 месяц.</t>
  </si>
  <si>
    <t>&lt;p&gt;АДС-анатоксин можно вводить одновременно (в один день) с другими препаратами национального календаря профилактических прививок, а также с инактивированными вакцинами календаря профилактических прививок по эпидемическим показаниям разными шприцами, в разные участки тела. Допускается введение неживых вакцин с любым интервалом между собой, между живой и неживой вакцинами, также допустим любой интервал. Интервал до и после введения вакцины против туберкулеза от введения других вакцин составляет 1&amp;nbsp;месяц.&lt;/p&gt;</t>
  </si>
  <si>
    <t>АДС-М-анатоксин можно вводить одновременно (в один день) с другими препаратами национального календаря профилактических прививок, а также с инактивированными вакцинами календаря профилактических прививок по эпидемическим показаниям разными шприцами, в разные участки тела.</t>
  </si>
  <si>
    <t>&lt;p&gt;АДС-М-анатоксин можно вводить одновременно (в один день) с другими препаратами национального календаря профилактических прививок, а также с инактивированными вакцинами календаря профилактических прививок по эпидемическим показаниям разными шприцами, в разные участки тела.&lt;/p&gt;</t>
  </si>
  <si>
    <t>АДС-М анатоксин можно вводить одновременно с полиомиелитной вакциной и другими препаратами национального календаря прививок.</t>
  </si>
  <si>
    <t>&lt;p&gt;АДС-М анатоксин можно вводить одновременно с полиомиелитной вакциной и другими препаратами национального календаря прививок.&lt;/p&gt;</t>
  </si>
  <si>
    <t>Вакцину Адасель можно вводить одновременно с противогриппозной вакциной, вакциной для профилактики гепатита B, папилломавируса, четырехвалентной полисахаридной конъюгированной вакциной для профилактики менингита (A, C, Y и W-135), вакциной для профилактики полиомиелита инактивированной, вакциной для профилактики полиомиелита пероральной. В соответствии с национальными рекомендациями, возрастом пациента и его предыдущим графиком вакцинации, иные живые или инактивированные вакцины могут быть введены одновременно с вакциной Адасель.
Как при одновременном введении вакцины Адасель и трехвалентной инактивированной противогриппозной вакцины, так и при введении этих вакцин с интервалом 1 мес, были получены сопоставимые результаты в отношении безопасности и иммуногенности у подростков и взрослых (в возрасте от 19 до 64 лет).
У подростков (в возрасте от 11 до 12 лет) сравнивали безопасность и иммуногенность вакцины Адасель и вакцины для профилактики гепатита В, которые назначали как одновременно, так и с интервалом в 1 мес. В ходе формирования иммунного ответа не наблюдалось взаимного влияния ни на один из антигенов, независимо от того, вводились ли вакцина Адасель и вакцина для профилактики гепатита В одновременно или в разное время. При одновременном введении с другими вакцинами, каждую вакцину следует вводить разными шприцами, в разные участки тела, предпочтительно, в разные конечности.</t>
  </si>
  <si>
    <t>&lt;p&gt;Вакцину Адасель можно вводить одновременно с противогриппозной вакциной, вакциной для профилактики гепатита B, папилломавируса, четырехвалентной полисахаридной конъюгированной вакциной для профилактики менингита (A, C, Y и W-135), вакциной для профилактики полиомиелита инактивированной, вакциной для профилактики полиомиелита пероральной. В соответствии с национальными рекомендациями, возрастом пациента и его предыдущим графиком вакцинации, иные живые или инактивированные вакцины могут быть введены одновременно с вакциной Адасель.&lt;/p&gt;
&lt;p&gt;Как при одновременном введении вакцины Адасель и трехвалентной инактивированной противогриппозной вакцины, так и при введении этих вакцин с интервалом 1&amp;nbsp;мес, были получены сопоставимые результаты в отношении безопасности и иммуногенности у подростков и взрослых (в возрасте от 19 до 64&amp;nbsp;лет).&lt;/p&gt;
&lt;p&gt;У подростков (в возрасте от 11 до 12&amp;nbsp;лет) сравнивали безопасность и иммуногенность вакцины Адасель и вакцины для профилактики гепатита В, которые назначали как одновременно, так и с интервалом в 1&amp;nbsp;мес. В ходе формирования иммунного ответа не наблюдалось взаимного влияния ни на один из антигенов, независимо от того, вводились ли вакцина Адасель и вакцина для профилактики гепатита В одновременно или в разное время. При одновременном введении с другими вакцинами, каждую вакцину следует вводить разными шприцами, в разные участки тела, предпочтительно, в разные конечности.&lt;/p&gt;</t>
  </si>
  <si>
    <r>
      <rPr>
        <sz val="10"/>
        <color theme="1"/>
        <rFont val="Arial"/>
      </rPr>
      <t xml:space="preserve">АЛЬГАВАК® М можно вводить одновременно (в один день) или с интервалом 1 месяц с другими инактивированными вакцинами Национального календаря профилактических прививок и календаря профилактических прививок по эпидемическим показаниям (за исключением антирабической вакцины).
</t>
    </r>
    <r>
      <rPr>
        <i/>
        <sz val="10"/>
        <color theme="1"/>
        <rFont val="Arial"/>
      </rPr>
      <t>Вакцины вводят отдельными шприцами в разные участки тела.
Вакцину нельзя смешивать в одном шприце с другими вакцинами.</t>
    </r>
    <r>
      <rPr>
        <sz val="10"/>
        <color theme="1"/>
        <rFont val="Arial"/>
      </rPr>
      <t xml:space="preserve">
АЛЬГАВАК® М можно использовать для ревакцинации в тех случаях, когда предыдущая вакцинация осуществлялась другими инактивированными вакцинами для профилактики гепатита А.</t>
    </r>
  </si>
  <si>
    <t>&lt;p&gt;АЛЬГАВАК®&amp;nbsp;М можно вводить одновременно (в один день) или с интервалом 1&amp;nbsp;месяц с другими инактивированными вакцинами Национального календаря профилактических прививок и календаря профилактических прививок по эпидемическим показаниям (за исключением антирабической вакцины).&lt;/p&gt;
&lt;p&gt;&lt;i&gt;Вакцины вводят отдельными шприцами в разные участки тела.&lt;/i&gt;&lt;/p&gt;
&lt;p&gt;&lt;i&gt;Вакцину нельзя смешивать в одном шприце с другими вакцинами.&lt;/i&gt;&lt;/p&gt;
&lt;p&gt;АЛЬГАВАК®&amp;nbsp;М можно использовать для ревакцинации в тех случаях, когда предыдущая вакцинация осуществлялась другими инактивированными вакцинами для профилактики гепатита А.&lt;/p&gt;</t>
  </si>
  <si>
    <t>Вакцину АЛЬГАВАК можно вводить одновременно (в один день) или с интервалом 1 месяц с другими инактивированными вакцинами Национального календаря профилактических прививок и календаря профилактических прививок по эпидемическим показаниям (за исключением антирабической вакцины).
Вакцины вводят отдельными шприцами в разные участки тела.
Вакцину нельзя смешивать в одном шприце с другими вакцинами.</t>
  </si>
  <si>
    <t>&lt;p&gt;Вакцину АЛЬГАВАК можно вводить одновременно (в один день) или с интервалом 1&amp;nbsp;месяц с другими инактивированными вакцинами Национального календаря профилактических прививок и календаря профилактических прививок по эпидемическим показаниям (за исключением антирабической вакцины).&lt;br&gt;
Вакцины вводят отдельными шприцами в разные участки тела.&lt;br&gt;
Вакцину нельзя смешивать в одном шприце с другими вакцинами.&lt;/p&gt;</t>
  </si>
  <si>
    <t>Поскольку вакцина Хаврикс является инактивированной вакциной, маловероятно, что ее одновременное введение с другими инактивированными вакцинами приведет к нарушению формирования иммунного ответа.
Вакцину Хаврикс можно вводить одновременно со следующими вакцинами Национального календаря профилактических прививок и календаря профилактических прививок по эпидемическим показаниям:
• вакцина для профилактики брюшного тифа;
• вакцина для профилактики желтой лихорадки;
• вакцина для профилактики столбняка;
• моновалентные и комбинированные вакцины для профилактики кори, эпидемического паротита, краснухи, ветряной оспы.
Если возникает необходимость ввести вакцину Хаврикс с другими вакцинами, то препараты вводят с использованием отдельных шприцев и игл в разные участки тела.</t>
  </si>
  <si>
    <t>&lt;p&gt;Поскольку вакцина Хаврикс является инактивированной вакциной, маловероятно, что ее одновременное введение с другими инактивированными вакцинами приведет к нарушению формирования иммунного ответа.&lt;br&gt;
Вакцину Хаврикс можно вводить одновременно со следующими вакцинами Национального календаря профилактических прививок и календаря профилактических прививок по эпидемическим показаниям:
&lt;ul&gt;&lt;li&gt;вакцина для профилактики брюшного тифа;&lt;/li&gt;
&lt;li&gt;вакцина для профилактики желтой лихорадки;&lt;/li&gt;
&lt;li&gt;вакцина для профилактики столбняка;&lt;/li&gt;
&lt;li&gt;моновалентные и комбинированные вакцины для профилактики кори, эпидемического паротита, краснухи, ветряной оспы.&lt;/li&gt;&lt;/ul&gt;
Если возникает необходимость ввести вакцину Хаврикс с другими вакцинами, то препараты вводят с использованием отдельных шприцев и игл в разные участки тела.&lt;/p&gt;</t>
  </si>
  <si>
    <t>Вакцина Аваксим 80 (вакцина для профилактики гепатита А инактивированная, адсорбированная) может быть введена одновременно в разные участки тела с вакцинами, входящими в национальный календарь профилактических прививок и содержащими один или более следующих компонентов: анатоксины дифтерийный, столбнячный; вакцины против вирусного гепатита В, коклюша (бесклеточная или цельноклеточная), гемофильной инфекции типа b, полиомиелита (живая или инактивированная), против кори, эндемического паротита и краснухи.
Поскольку данная вакцина является инактивированной, ее комбинация с другими инактивированными вакцинами обычно не влияет на эффективность вакцинации при условии введения вакцин в разные участки тела.
Вакцина Аваксим 80 (вакцина для профилактики гепатита А инактивированная, адсорбированная) может использоваться в качестве ревакцинирующей дозы в случае, если для проведения первичной вакцинации была использована другая инактивированная вакцина против гепатита А.</t>
  </si>
  <si>
    <t>&lt;p&gt;Вакцина Аваксим&amp;nbsp;80 (вакцина для профилактики гепатита А инактивированная, адсорбированная) может быть введена одновременно в разные участки тела с вакцинами, входящими в национальный календарь профилактических прививок и содержащими один или более следующих компонентов: анатоксины дифтерийный, столбнячный; вакцины против вирусного гепатита В, коклюша (бесклеточная или цельноклеточная), гемофильной инфекции типа b, полиомиелита (живая или инактивированная), против кори, эндемического паротита и краснухи.&lt;/p&gt;
&lt;p&gt;Поскольку данная вакцина является инактивированной, ее комбинация с другими инактивированными вакцинами обычно не влияет на эффективность вакцинации при условии введения вакцин в разные участки тела.&lt;/p&gt;
&lt;p&gt;Вакцина Аваксим&amp;nbsp;80 (вакцина для профилактики гепатита А инактивированная, адсорбированная) может использоваться в качестве ревакцинирующей дозы в случае, если для проведения первичной вакцинации была использована другая инактивированная вакцина против гепатита А.&lt;/p&gt;</t>
  </si>
  <si>
    <t xml:space="preserve">Вакцина Аваксим 160 может быть введена одновременно в разные части тела, с вакциной для профилактики вирусного гепатита В, вакциной для профилактики брюшного тифа и вакциной для профилактики желтой лихорадки. 
Поскольку данная данная вакцина является инактивированной, ее комбинация с другими инактивированными вакцинами обычно не влияет на эффективность вакцинации при условии введения вакцин в разные части тела. 
Вакцина Аваксим 160 может использоваться в качестве ревакцинирующей дозы в случае, если для проведения первичной вакцинации была использована другая инактивированная вакцина против гепатита А. 
</t>
  </si>
  <si>
    <t xml:space="preserve">&lt;p&gt;Вакцина Аваксим&amp;nbsp;160 может быть введена одновременно в разные части тела, с вакциной для профилактики вирусного гепатита В, вакциной для профилактики брюшного тифа и вакциной для профилактики желтой лихорадки.&lt;/p&gt;
&lt;p&gt;Поскольку данная данная вакцина является инактивированной, ее комбинация с другими инактивированными вакцинами обычно не влияет на эффективность вакцинации при условии введения вакцин в разные части тела.&lt;/p&gt;
&lt;p&gt;Вакцина Аваксим&amp;nbsp;160 может использоваться в качестве ревакцинирующей дозы в случае, если для проведения первичной вакцинации была использована другая инактивированная вакцина против гепатита А.&lt;/p&gt;
</t>
  </si>
  <si>
    <t>Плановые прививки против гепатита В можно проводить одновременно (в один день) с вакцинами Национального календаря профилактических прививок (за исключением вакцины БЦЖ), а также инактивированными вакцинами календаря профилактических прививок по эпидемическим показаниям.
Возможно использование вакцины Регевак В (Вакцина против гепатита В, рекомбинантная дрожжевая жидкая) для завершения курса прививок, начатого другими вакцинами против гепатита В, равно как и для ревакцинации при необходимости.</t>
  </si>
  <si>
    <t>&lt;p&gt;Плановые прививки против гепатита В можно проводить одновременно (в один день) с вакцинами Национального календаря профилактических прививок (за исключением вакцины БЦЖ), а также инактивированными вакцинами календаря профилактических прививок по эпидемическим показаниям.&lt;/p&gt;
&lt;p&gt;Возможно использование вакцины Регевак В (Вакцина против гепатита В, рекомбинантная дрожжевая жидкая) для завершения курса прививок, начатого другими вакцинами против гепатита В, равно как и для ревакцинации при необходимости.&lt;/p&gt;</t>
  </si>
  <si>
    <t>В соответствии с национальными рекомендациями допускается одновременное введение вакцины для профилактики гепатита В (рДНК, адсорбированной) с другими вакцинами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для профилактики гепатита В (рДНК, адсорбированная) является неживой.</t>
  </si>
  <si>
    <t>&lt;p&gt;В соответствии с национальными рекомендациями допускается одновременное введение вакцины для профилактики гепатита В (рДНК, адсорбированной) с другими вакцинами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для профилактики гепатита В (рДНК, адсорбированная) является неживой.&lt;/p&gt;</t>
  </si>
  <si>
    <t>Вакцину Эувакс В можно применять одновременно (в один день) с вакцинами для профилактики дифтерии, столбняка, коклюша, краснухи, кори, паротита, полиомиелита. При этом препараты вводятся в разные участки тела с использованием разных шприцев.
Вакцину Эувакс В нельзя смешивать в одном шприце с другими [...] вакцинами.</t>
  </si>
  <si>
    <t>&lt;p&gt;Вакцину Эувакс&amp;nbsp;В можно применять одновременно (в один день) с вакцинами для профилактики дифтерии, столбняка, коклюша, краснухи, кори, паротита, полиомиелита. При этом препараты вводятся в разные участки тела с использованием разных шприцев.&lt;/p&gt;
&lt;p&gt;Вакцину Эувакс&amp;nbsp;В нельзя смешивать в одном шприце с другими [...] вакцинами.&lt;/p&gt;</t>
  </si>
  <si>
    <t>Вакцину Эувакс В можно применять одновременно (в один день) с вакцинами для профилактики дифтерии, столбняка, коклюша, краснухи, кори, паротита, полиомиелита. При этом препараты вводятся в разные участки тела с использованием разных шприцев.
Вакцину Эувакс В нельзя смешивать в одном шприце с другими вакцинами.</t>
  </si>
  <si>
    <t>&lt;p&gt;Вакцину Эувакс&amp;nbsp;В можно применять одновременно (в один день) с вакцинами для профилактики дифтерии, столбняка, коклюша, краснухи, кори, паротита, полиомиелита. При этом препараты вводятся в разные участки тела с использованием разных шприцев.&lt;/p&gt;
&lt;p&gt;Вакцину Эувакс&amp;nbsp;В нельзя смешивать в одном шприце с другими вакцинами.&lt;/p&gt;</t>
  </si>
  <si>
    <t>Вакцина Церварикс может применяться одновременно с другими вакцинами, такими как:
• инактивированная вакцина для профилактики полиомиелита;
• инактивированная вакцина для профилактики гепатита А;
• рекомбинантная вакцина для профилактики гепатита В;
• комбинированная вакцина для профилактики гепатитов А и В.
Если возникает необходимость ввести вакцину Церварикс с другими вакцинами, то вакцины вводят с использованием отдельных шприцев и игл в разные участки тела.</t>
  </si>
  <si>
    <t>&lt;p&gt;Вакцина Церварикс может применяться одновременно с другими вакцинами, такими как:
&lt;ul&gt;&lt;li&gt;инактивированная вакцина для профилактики полиомиелита;&lt;/li&gt;
&lt;li&gt;инактивированная вакцина для профилактики гепатита А;&lt;/li&gt;
&lt;li&gt;рекомбинантная вакцина для профилактики гепатита В;&lt;/li&gt;
&lt;li&gt;комбинированная вакцина для профилактики гепатитов А и В.&lt;/li&gt;&lt;/ul&gt;
Если возникает необходимость ввести вакцину Церварикс с другими вакцинами, то вакцины вводят с использованием отдельных шприцев и игл в разные участки тела.&lt;/p&gt;</t>
  </si>
  <si>
    <t>Вакцину Гардасил можно вводить одновременно (в другой участок тела) с рекомбинантной вакциной против гепатита В, с вакциной менингококковой, конъюгированной с дифтерийным анатоксином, и с инактивированной вакциной против дифтерии, столбняка, коклюша (бесклеточный компонент), вакциной против полиомиелита (инактивированной).</t>
  </si>
  <si>
    <r>
      <rPr>
        <i/>
        <sz val="10"/>
        <color theme="1"/>
        <rFont val="Arial"/>
      </rPr>
      <t>&lt;p&gt;</t>
    </r>
    <r>
      <rPr>
        <sz val="10"/>
        <color theme="1"/>
        <rFont val="Arial"/>
      </rPr>
      <t>Вакцину Гардасил можно вводить одновременно (в другой участок тела) с рекомбинантной вакциной против гепатита В, с вакциной менингококковой, конъюгированной с дифтерийным анатоксином, и с инактивированной вакциной против дифтерии, столбняка, коклюша (бесклеточный компонент), вакциной против полиомиелита (инактивированной).&lt;/p&gt;</t>
    </r>
  </si>
  <si>
    <t>Взаимодействие с лекарственным препаратом для профилактики гриппа изучено в доклинических исследованиях, показано отсутствие снижения иммуногенности как лекарственного препарата Гам-КОВИД-Вак (Комбинированная векторная вакцина для профилактики коронавирусной инфекции, вызываемой вирусом SARS-CoV-2), так и гриппозной вакцины в эксперименте при их одновременном введении. Ожидается отсутствие снижения иммуногенности для расщепленных, субъединичных и полимерсубъединичных гриппозных вакцин.
Допускается одновременное введение вакцины Гам-КОВИД-Вак с другими вакцинами при условии их введения разными шприцами в разные участки тела. При необходимости допускается введение более одной вакцины в одну мышцу, при этом следует сделать отступ между местами инъекции в 2,5—3 см, чтобы в случае возникновения местной реакции была возможность дифференцировать, какая вакцина ее вызвала. В случае раздельного (не в один календарный день) введения вакцины Гам-КОВИД-Вак и других вакцин, допустим любой интервал между введениями, т.к. вакцина Гам-КОВИД-Вак является неживой.</t>
  </si>
  <si>
    <t>&lt;p&gt;Взаимодействие с лекарственным препаратом для профилактики гриппа изучено в доклинических исследованиях, показано отсутствие снижения иммуногенности как лекарственного препарата Гам-КОВИД-Вак (Комбинированная векторная вакцина для профилактики коронавирусной инфекции, вызываемой вирусом SARS-CoV-2), так и гриппозной вакцины в эксперименте при их одновременном введении. Ожидается отсутствие снижения иммуногенности для расщепленных, субъединичных и полимерсубъединичных гриппозных вакцин.&lt;br&gt;
Допускается одновременное введение вакцины Гам-КОВИД-Вак с другими вакцинами при условии их введения разными шприцами в разные участки тела. При необходимости допускается введение более одной вакцины в одну мышцу, при этом следует сделать отступ между местами инъекции в 2,5—3 см, чтобы в случае возникновения местной реакции была возможность дифференцировать, какая вакцина ее вызвала. В случае раздельного (не в один календарный день) введения вакцины Гам-КОВИД-Вак и других вакцин, допустим любой интервал между введениями, т.к. вакцина Гам-КОВИД-Вак является неживой.&lt;/p&gt;</t>
  </si>
  <si>
    <t>Взаимодействие с другими вакцинами не изучалось.</t>
  </si>
  <si>
    <t>&lt;p&gt;Взаимодействие с другими вакцинами не изучалось.&lt;/p&gt;</t>
  </si>
  <si>
    <t>Вакцина может применяться одновременно с другими инактивированными вакцинами, а также с вакцинами национального календаря профилактических прививок, за исключением БЦЖ. При этом должны учитываться противопоказания к каждой из применяемых вакцин, препараты должны вводиться в разные участки тела разными шприцами.</t>
  </si>
  <si>
    <t>&lt;p&gt;Вакцина может применяться одновременно с другими инактивированными вакцинами, а также с вакцинами национального календаря профилактических прививок, за исключением БЦЖ. При этом должны учитываться противопоказания к каждой из применяемых вакцин, препараты должны вводиться в разные участки тела разными шприцами.&lt;/p&gt;</t>
  </si>
  <si>
    <t>Вакцина Гриппол® может применяться одновременно с вакцинами национального календаря профилактических прививок (за исключением БЦЖ и БЦЖ-М) и инактивированными вакцинами профилактических прививок по эпидемическим показаниям (за исключением антирабических). При этом должны учитываться противопоказания к каждой из применяемой вакцин. Разные препараты должны вводиться в разные участки тела разными шприцами.</t>
  </si>
  <si>
    <t>&lt;p&gt;Вакцина Гриппол® может применяться одновременно с вакцинами национального календаря профилактических прививок (за исключением БЦЖ и БЦЖ-М) и инактивированными вакцинами профилактических прививок по эпидемическим показаниям (за исключением антирабических). При этом должны учитываться противопоказания к каждой из применяемой вакцин. Разные препараты должны вводиться в разные участки тела разными шприцами.&lt;/p&gt;</t>
  </si>
  <si>
    <t>Вакцина Гриппол плюс может применяться одновременно с инактивированными и живыми вакцинами Национального календаря профилактических прививок (за исключением БЦЖ (вакцина против туберкулеза) и БЦЖ-М (вакцина против туберкулеза для щадящей первичной иммунизации) и инактивированными вакцинами календаря профилактических прививок по эпидемическим показаниям (за исключением антирабических). При этом должны учитываться противопоказания к каждой из применяемой вакцин; препараты следует вводить в разные участки тела разными шприцами.</t>
  </si>
  <si>
    <t>&lt;p&gt;Вакцина Гриппол плюс может применяться одновременно с инактивированными и живыми вакцинами Национального календаря профилактических прививок (за исключением БЦЖ (вакцина против туберкулеза) и БЦЖ-М (вакцина против туберкулеза для щадящей первичной иммунизации) и инактивированными вакцинами календаря профилактических прививок по эпидемическим показаниям (за исключением антирабических). При этом должны учитываться противопоказания к каждой из применяемой вакцин; препараты следует вводить в разные участки тела разными шприцами.&lt;/p&gt;</t>
  </si>
  <si>
    <t>Допускается одновременное введение вакцины СОВИГРИПП с другими вакцинами (за исключением антирабических вакцин и вакцин для профилактики туберкулеза) при условии их введения разными шприцами в разные участки тела. При необходимости допускается введение более одной вакцины в одну мышцу, при этом следует сделать отступ между местами инъекции в 2,5—3 см, чтобы в случае возникновения местной реакции была возможность дифференцировать, какая вакцина ее вызвала. При необходимости раздельного (не в один календарный день) введения вакцины СОВИГРИПП и других вакцин, допустим любой интервал между введениями, т.к. вакцина СОВИГРИПП является инактивированной.
Интервал до и после введения вакцины для профилактики туберкулеза и вакцины СОВИГРИПП составляет 1 месяц.
Введение вакцины СОВИГРИПП допускается не ранее, чем через 2 месяца после окончания курса лечебно-профилактической иммунизации против бешенства или за 1 месяц до или после профилактической иммунизации против бешенства.</t>
  </si>
  <si>
    <t>&lt;p&gt;Допускается одновременное введение вакцины СОВИГРИПП с другими вакцинами (за исключением антирабических вакцин и вакцин для профилактики туберкулеза) при условии их введения разными шприцами в разные участки тела. При необходимости допускается введение более одной вакцины в одну мышцу, при этом следует сделать отступ между местами инъекции в 2,5—3&amp;nbsp;см, чтобы в случае возникновения местной реакции была возможность дифференцировать, какая вакцина ее вызвала. При необходимости раздельного (не в один календарный день) введения вакцины СОВИГРИПП и других вакцин, допустим любой интервал между введениями, т.к. вакцина СОВИГРИПП является инактивированной.&lt;br&gt;
Интервал до и после введения вакцины для профилактики туберкулеза и вакцины СОВИГРИПП составляет 1&amp;nbsp;месяц.&lt;br&gt;
Введение вакцины СОВИГРИПП допускается не ранее, чем через 2&amp;nbsp;месяца после окончания курса лечебно-профилактической иммунизации против бешенства или за 1&amp;nbsp;месяц до или после профилактической иммунизации против бешенства.&lt;/p&gt;</t>
  </si>
  <si>
    <t>Вакцина может применяться одновременно с другими инактивированными вакцинами. При этом должны учитываться противопоказания к каждой из применяемых вакцин, препараты должны вводиться в разные участки тела разными шприцами.</t>
  </si>
  <si>
    <t>&lt;p&gt;Вакцина может применяться одновременно с другими инактивированными вакцинами. При этом должны учитываться противопоказания к каждой из применяемых вакцин, препараты должны вводиться в разные участки тела разными шприцами.&lt;/p&gt;</t>
  </si>
  <si>
    <t>Вакцинация может быть проведена одновременно (в один день) с любыми другими прививками Национального календаря профилактических прививок и календаря профилактических прививок по эпидемическим показаниям, за исключением вакцин для профилактики туберкулеза. При этом препараты вводят отдельными шприцами в разные участки тела. При необходимости раздельного (не в один календарный день) введения вакцины Флю-М и других вакцин, допустим любой интервал между введениями, так как вакцина Флю-М является инактивированной. Интервал до и после введения вакцины для профилактики туберкулеза и вакцины Флю-М составляет 1 месяц.</t>
  </si>
  <si>
    <t>&lt;p&gt;Вакцинация может быть проведена одновременно (в один день) с любыми другими прививками Национального календаря профилактических прививок и календаря профилактических прививок по эпидемическим показаниям, за исключением вакцин для профилактики туберкулеза. При этом препараты вводят отдельными шприцами в разные участки тела. При необходимости раздельного (не в один календарный день) введения вакцины Флю-М и других вакцин, допустим любой интервал между введениями, так как вакцина Флю-М является инактивированной. Интервал до и после введения вакцины для профилактики туберкулеза и вакцины Флю-М составляет 1&amp;nbsp;месяц.&lt;/p&gt;</t>
  </si>
  <si>
    <t>Вакцина Ваксигрип® может применяться одновременно (в один день) с другими вакцинами. При этом препараты должны вводиться в разные участки тела с использованием разных шприцев.</t>
  </si>
  <si>
    <t>&lt;p&gt;Вакцина Ваксигрип® может применяться одновременно (в один день) с другими вакцинами. При этом препараты должны вводиться в разные участки тела с использованием разных шприцев.&lt;/p&gt;</t>
  </si>
  <si>
    <t>Препарат Инфлювак можно применять одновременно с другими вакцинами в один день разными шприцами в разные участки тела (кроме вакцин для профилактики туберкулеза). Возможно усиление нежелательных реакций. При неодновременном (не в один календарный день) введении с другими вакцинами допустим любой интервал, так как вакцина Инфлювак является инактивированной.</t>
  </si>
  <si>
    <t>&lt;p&gt;Препарат Инфлювак можно применять одновременно с другими вакцинами в один день разными шприцами в разные участки тела (кроме вакцин для профилактики туберкулеза). Возможно усиление нежелательных реакций. При неодновременном (не в один календарный день) введении с другими вакцинами допустим любой интервал, так как вакцина Инфлювак является инактивированной.&lt;/p&gt;</t>
  </si>
  <si>
    <t>Вакцина Ультрикс® Квадри может применяться одновременно с инактивированными и живыми вакцинами Национального календаря профилактических прививок (за исключением туберкулезных вакцин) и инактивированными вакцинами Календаря профилактических прививок по эпидемиологическим показаниям (за исключением антирабических). При этом должны учитываться противопоказания к каждой из применяемых вакцин; препараты следует вводить в разные участки тела разными шприцами.</t>
  </si>
  <si>
    <t>&lt;p&gt;Вакцина Ультрикс® Квадри может применяться одновременно с инактивированными и живыми вакцинами Национального календаря профилактических прививок (за исключением туберкулезных вакцин) и инактивированными вакцинами Календаря профилактических прививок по эпидемиологическим показаниям (за исключением антирабических). При этом должны учитываться противопоказания к каждой из применяемых вакцин; препараты следует вводить в разные участки тела разными шприцами.&lt;/p&gt;</t>
  </si>
  <si>
    <t>Вакцина Гриппол Квадривалент может применяться одновременно с инактивированными и живыми вакцинами Национального календаря профилактических прививок (за исключением БЦЖ (вакцина против туберкулеза) и БЦЖ-М (вакцина против туберкулеза для щадящей первичной иммунизации) и инактивированными вакцинами календаря профилактических прививок по эпидемическим показаниям (за исключением антирабических). При этом должны учитываться противопоказания к каждой из применяемой вакцин; препараты следует вводить в разные участки тела разными шприцами.</t>
  </si>
  <si>
    <t>&lt;p&gt;Вакцина Гриппол Квадривалент может применяться одновременно с инактивированными и живыми вакцинами Национального календаря профилактических прививок (за исключением БЦЖ (вакцина против туберкулеза) и БЦЖ-М (вакцина против туберкулеза для щадящей первичной иммунизации) и инактивированными вакцинами календаря профилактических прививок по эпидемическим показаниям (за исключением антирабических). При этом должны учитываться противопоказания к каждой из применяемой вакцин; препараты следует вводить в разные участки тела разными шприцами.&lt;/p&gt;</t>
  </si>
  <si>
    <t>Вакцинация против кори может быть проведена одновременно (в один день) с другими прививками Национального календаря профилактических прививок (против эпидемического паротита, краснухи, полиомиелита, гепатита В, коклюша, дифтерии, столбняка, гриппа) или не ранее чем через 1 мес после предшествующей прививки.</t>
  </si>
  <si>
    <t>&lt;p&gt;Вакцинация против кори может быть проведена одновременно (в один день) с другими прививками Национального календаря профилактических прививок (против эпидемического паротита, краснухи, полиомиелита, гепатита В, коклюша, дифтерии, столбняка, гриппа) или не ранее чем через 1&amp;nbsp;мес после предшествующей прививки.&lt;/p&gt;</t>
  </si>
  <si>
    <t>В соответствии с национальными рекомендациями допускается одновременное введение Вакцины против кори живой аттенуированной с другими вакцинами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Вакцины против кори живой аттенуированной и других живых вакцин, рекомендуется интервал 1 месяц; при введении с неживыми вакцинами допустим любой интервал.</t>
  </si>
  <si>
    <t>&lt;p&gt;В соответствии с национальными рекомендациями допускается одновременное введение Вакцины против кори живой аттенуированной с другими вакцинами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Вакцины против кори живой аттенуированной и других живых вакцин, рекомендуется интервал 1&amp;nbsp;месяц; при введении с неживыми вакцинами допустим любой интервал.&lt;/p&gt;</t>
  </si>
  <si>
    <t>Вакцинация против кори может быть проведена одновременно (в один день) с другими прививками Национального календаря (против эпидемического паротита, краснухи, полиомиелита, гепатита В, коклюша, дифтерии, столбняка) или не ранее чем через 1 мес после предшествующей прививки.</t>
  </si>
  <si>
    <t>&lt;p&gt;Вакцинация против кори может быть проведена одновременно (в один день) с другими прививками Национального календаря (против эпидемического паротита, краснухи, полиомиелита, гепатита В, коклюша, дифтерии, столбняка) или не ранее чем через 1&amp;nbsp;мес после предшествующей прививки.&lt;/p&gt;</t>
  </si>
  <si>
    <t>Вакцинация может быть проведена одновременно (в один день) с АКДС и АДС вакцинами, живой и инактивированной полиомиелитной вакциной, вакциной против гепатита В, краснухи, гриппа, гемофильной инфекции, при условии введения в разные участки тела. Другие живые вирусные вакцины вводят с интервалом не менее 1 мес.</t>
  </si>
  <si>
    <t>&lt;p&gt;Вакцинация может быть проведена одновременно (в один день) с АКДС и АДС вакцинами, живой и инактивированной полиомиелитной вакциной, вакциной против гепатита В, краснухи, гриппа, гемофильной инфекции, при условии введения в разные участки тела. Другие живые вирусные вакцины вводят с интервалом не менее 1&amp;nbsp;мес.&lt;/p&gt;</t>
  </si>
  <si>
    <t>Вакцинация может быть проведена одновременно (в один день) с другими прививками Национального календаря профилактических прививок и календаря профилактических прививок по эпидемическим показаниям, за исключением антирабических вакцин и вакцин для профилактики туберкулеза. При этом препараты вводят отдельными шприцами в разные участки тела. При неодновременном введении живых вакцин между ними рекомендуется интервал 1 месяц, между живой и неживой вакцинами допустим любой интервал введения.</t>
  </si>
  <si>
    <t>&lt;p&gt;Вакцинация может быть проведена одновременно (в один день) с другими прививками Национального календаря профилактических прививок и календаря профилактических прививок по эпидемическим показаниям, за исключением антирабических вакцин и вакцин для профилактики туберкулеза. При этом препараты вводят отдельными шприцами в разные участки тела. При неодновременном введении живых вакцин между ними рекомендуется интервал 1&amp;nbsp;месяц, между живой и неживой вакцинами допустим любой интервал введения.&lt;/p&gt;</t>
  </si>
  <si>
    <r>
      <rPr>
        <sz val="10"/>
        <color theme="1"/>
        <rFont val="Arial"/>
      </rPr>
      <t>Вакцину М-М-Р II® следует назначать за 1 месяц до или через 1 месяц после введения других живых вирусных вакцин.
Вакцину М-М-Р II® применяли одновременно с конъюгированной инактивированной вакциной против гемофильной инфекции типа b (</t>
    </r>
    <r>
      <rPr>
        <i/>
        <sz val="10"/>
        <color theme="1"/>
        <rFont val="Arial"/>
      </rPr>
      <t>Haemophilus influenza type b</t>
    </r>
    <r>
      <rPr>
        <sz val="10"/>
        <color theme="1"/>
        <rFont val="Arial"/>
      </rPr>
      <t>) и живой аттенуированной вакциной против ветряной оспы, при этом вакцины вводились разными шприцами в разные участки тела. Не было обнаружено нарушений иммунного ответа на вводимые антигены, а характер, частота и выраженность побочных реакций были сходными с таковыми при введении вакцин по-отдельности.
Применение АКДС (вакцина против коклюша, дифтерии и столбняка) и/или ОПВ (вакцины оральной полиомиелитной) одновременно с вакциной против кори, паротита и краснухи не рекомендуется в связи с ограниченными данными по результатам их одновременного введения.
Также использовались  иные схемы иммунизации. Данные опубликованных исследований, касающиеся одновременного введения рекомендованных вакцин для плановой иммунизации (например, АКДС [или АаКДС], ИПВ [или ОПВ], вакцины против гемофильной инфекции типа b с/или без вакцины для профилактики гепатита В, и вакцины против ветряной оспы) с другими педиатрическими вакцинами (живыми, аттенуированными или инактивированными), не выявили каого-либо взаимодействия между ними.</t>
    </r>
  </si>
  <si>
    <r>
      <rPr>
        <sz val="10"/>
        <color theme="1"/>
        <rFont val="Arial"/>
      </rPr>
      <t>&lt;p&gt;Вакцину М-М-Р&amp;nbsp;II® следует назначать за 1&amp;nbsp;месяц до или через 1&amp;nbsp;месяц после введения других живых вирусных вакцин.&lt;/p&gt;
&lt;p&gt;Вакцину М-М-Р&amp;nbsp;II® применяли одновременно с конъюгированной инактивированной вакциной против гемофильной инфекции типа b (&lt;i&gt;</t>
    </r>
    <r>
      <rPr>
        <i/>
        <sz val="10"/>
        <color theme="1"/>
        <rFont val="Arial"/>
      </rPr>
      <t>Haemophilus influenza type b&lt;/i&gt;</t>
    </r>
    <r>
      <rPr>
        <sz val="10"/>
        <color theme="1"/>
        <rFont val="Arial"/>
      </rPr>
      <t>) и живой аттенуированной вакциной против ветряной оспы, при этом вакцины вводились разными шприцами в разные участки тела. Не было обнаружено нарушений иммунного ответа на вводимые антигены, а характер, частота и выраженность побочных реакций были сходными с таковыми при введении вакцин по-отдельности.&lt;/p&gt;
&lt;p&gt;Применение АКДС (вакцина против коклюша, дифтерии и столбняка) и/или ОПВ (вакцины оральной полиомиелитной) одновременно с вакциной против кори, паротита и краснухи не рекомендуется в связи с ограниченными данными по результатам их одновременного введения.&lt;/p&gt;
&lt;p&gt;Также использовались  иные схемы иммунизации. Данные опубликованных исследований, касающиеся одновременного введения рекомендованных вакцин для плановой иммунизации (например, АКДС [или АаКДС], ИПВ [или ОПВ], вакцины против гемофильной инфекции типа b с/или без вакцины для профилактики гепатита В, и вакцины против ветряной оспы) с другими педиатрическими вакцинами (живыми, аттенуированными или инактивированными), не выявили каого-либо взаимодействия между ними.&lt;/p&gt;</t>
    </r>
  </si>
  <si>
    <t>Пункт "Применение с другими вакцинами" содержится в разделе "Способ применения и дозы".</t>
  </si>
  <si>
    <t>Допускается одновременное введение Вакцины менингококковой группы А полисахаридной с другими инактивированными вакцинами Национального календаря профилактических прививок и прививок по эпидемическим показаниям при условии их введения разными шприцами в разные участки тела. Интервал между вакцинациями при раздельном введении инактивированных вакцин или введении живых вакцин должен составлять не менее 1 месяца.</t>
  </si>
  <si>
    <t>&lt;p&gt;Допускается одновременное введение Вакцины менингококковой группы&amp;nbsp;А полисахаридной с другими инактивированными вакцинами Национального календаря профилактических прививок и прививок по эпидемическим показаниям при условии их введения разными шприцами в разные участки тела. Интервал между вакцинациями при раздельном введении инактивированных вакцин или введении живых вакцин должен составлять не менее 1&amp;nbsp;месяца.&lt;/p&gt;</t>
  </si>
  <si>
    <t>Эффективность и безопасность введения препарата Вакцина менингококковая групп А и С полисахаридная с другими вакцинами национального календаря профилактических прививок не изучалась.
Допускается одновременное введение Вакцины менингококковой групп А и С полисахаридной с другими вакцинами Национального календаря профилактических прививок и прививок по эпидемическим показаниям (кроме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Вакцины менингококковой групп А и С полисахаридной и других вакцин, допустим любой интервал между введениями, т.к. Вакцина менингококковая групп А и С полисахаридная является инактивированной.</t>
  </si>
  <si>
    <t>&lt;p&gt;Эффективность и безопасность введения препарата Вакцина менингококковая групп А и С полисахаридная с другими вакцинами национального календаря профилактических прививок не изучалась.&lt;/p&gt;
&lt;p&gt;Допускается одновременное введение Вакцины менингококковой групп А и С полисахаридной с другими вакцинами Национального календаря профилактических прививок и прививок по эпидемическим показаниям (кроме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Вакцины менингококковой групп А и С полисахаридной и других вакцин, допустим любой интервал между введениями, т.к. Вакцина менингококковая групп А и С полисахаридная является инактивированной.&lt;/p&gt;</t>
  </si>
  <si>
    <r>
      <rPr>
        <sz val="10"/>
        <color theme="1"/>
        <rFont val="Arial"/>
      </rPr>
      <t xml:space="preserve">Вакцина Менактра может применяться одновременно со следующими вакцинами: столбнячной, дифтерийной, коклюшной (бесклеточной), инактивированной полиомиелитной, вакциной для профилактики инфекций, вызываемых </t>
    </r>
    <r>
      <rPr>
        <i/>
        <sz val="10"/>
        <color theme="1"/>
        <rFont val="Arial"/>
      </rPr>
      <t>Haemophilus influenzae</t>
    </r>
    <r>
      <rPr>
        <sz val="10"/>
        <color theme="1"/>
        <rFont val="Arial"/>
      </rPr>
      <t xml:space="preserve"> тип </t>
    </r>
    <r>
      <rPr>
        <i/>
        <sz val="10"/>
        <color theme="1"/>
        <rFont val="Arial"/>
      </rPr>
      <t>b</t>
    </r>
    <r>
      <rPr>
        <sz val="10"/>
        <color theme="1"/>
        <rFont val="Arial"/>
      </rPr>
      <t>, кори и краснухи, полисахаридной брюшнотифозной, конъюгированной пневмококковой вакциной, вакцинами против вируса папилломы человека в соответствии с инструкциями по их применению и Национальным календарем профилактических прививок и прививок по эпидемическим показаниям Российской Федерации.
Допускается введение вакцины Менактра с другими инактивированными вакцинами в один день разными шприцами в разные участки тела.
При раздельном введении вакцины Менактра с другими инактивированными либо живыми вакцинами (кроме БЦЖ) допускается их введение с любым интервалом между собой.
Интервал до и после введения вакцины БЦЖ составляет 1 месяц.
При совместном применении вакцины Менактра и вакцины против дифтерии, столбняка и коклюша (бесклеточной) у детей в возрасте от 4 до 6 лет включительно предпочтительно вводить одновременно обе указанные вакцины, или следует вводить вакцину Менактра перед применением вакцины против дифтерии, столбняка и коклюша (бесклеточной). Снижение иммунного ответа на вакцину Менактра было продемонстрированно при ее введении через месяц после введения вакцины против дифтерии, столбняка и коклюша (бесклеточной).
Титры пневмококковых антител против некоторых серотипов, содержащихся в 7-валентной конъюгированной вакцине (ПКВ7), были снижены после одновременного введения вакцины Менактра и вакцины ПКВ7.
Отсутствуют данные по оценке иммунного ответа на введение вакцины Менактра после введения вакцины против дифтерии, столбняка и коклюша (бесклеточной) у детей до 4 лет или на введение вакцины Менактра лицам младше 11 лет после введения других вакцин, содержащих дифтерийный анатоксин.
БЦЖ вакцина не должна применяться одновременно с вакциной Менактра.</t>
    </r>
  </si>
  <si>
    <r>
      <rPr>
        <sz val="10"/>
        <color theme="1"/>
        <rFont val="Arial"/>
      </rPr>
      <t xml:space="preserve">&lt;p&gt;Вакцина Менактра может применяться одновременно со следующими вакцинами: столбнячной, дифтерийной, коклюшной (бесклеточной), инактивированной полиомиелитной, вакциной для профилактики инфекций, вызываемых </t>
    </r>
    <r>
      <rPr>
        <i/>
        <sz val="10"/>
        <color theme="1"/>
        <rFont val="Arial"/>
      </rPr>
      <t>&lt;i&gt;Haemophilus influenzae</t>
    </r>
    <r>
      <rPr>
        <sz val="10"/>
        <color theme="1"/>
        <rFont val="Arial"/>
      </rPr>
      <t xml:space="preserve">&lt;/i&gt; тип </t>
    </r>
    <r>
      <rPr>
        <i/>
        <sz val="10"/>
        <color theme="1"/>
        <rFont val="Arial"/>
      </rPr>
      <t>&lt;i&gt;b&lt;/i&gt;</t>
    </r>
    <r>
      <rPr>
        <sz val="10"/>
        <color theme="1"/>
        <rFont val="Arial"/>
      </rPr>
      <t>, кори и краснухи, полисахаридной брюшнотифозной, конъюгированной пневмококковой вакциной, вакцинами против вируса папилломы человека в соответствии с инструкциями по их применению и Национальным календарем профилактических прививок и прививок по эпидемическим показаниям Российской Федерации.&lt;br&gt;
Допускается введение вакцины Менактра с другими инактивированными вакцинами в один день разными шприцами в разные участки тела.&lt;br&gt;
При раздельном введении вакцины Менактра с другими инактивированными либо живыми вакцинами (кроме БЦЖ) допускается их введение с любым интервалом между собой.&lt;br&gt;
Интервал до и после введения вакцины БЦЖ составляет 1&amp;nbsp;месяц.&lt;br&gt;
При совместном применении вакцины Менактра и вакцины против дифтерии, столбняка и коклюша (бесклеточной) у детей в возрасте от 4 до 6&amp;nbsp;лет включительно предпочтительно вводить одновременно обе указанные вакцины, или следует вводить вакцину Менактра перед применением вакцины против дифтерии, столбняка и коклюша (бесклеточной). Снижение иммунного ответа на вакцину Менактра было продемонстрированно при ее введении через месяц после введения вакцины против дифтерии, столбняка и коклюша (бесклеточной).&lt;br&gt;
Титры пневмококковых антител против некоторых серотипов, содержащихся в 7-валентной конъюгированной вакцине (ПКВ7), были снижены после одновременного введения вакцины Менактра и вакцины ПКВ7.&lt;br&gt;
Отсутствуют данные по оценке иммунного ответа на введение вакцины Менактра после введения вакцины против дифтерии, столбняка и коклюша (бесклеточной) у детей до 4&amp;nbsp;лет или на введение вакцины Менактра лицам младше 11&amp;nbsp;лет после введения других вакцин, содержащих дифтерийный анатоксин.&lt;br&gt;
БЦЖ вакцина не должна применяться одновременно с вакциной Менактра.&lt;/p&gt;</t>
    </r>
  </si>
  <si>
    <t>Вакцинация против паротита может быть проведена одновременно (в один день) с другими календарными прививками (против кори, краснухи, полиомиелита, гепатита В, коклюша, дифтерии, столбняка, гриппа, гемофильной инфекции) при условии введения в разные участки тела или не ранее чем через 1 мес после предшествующей прививки.</t>
  </si>
  <si>
    <t>&lt;p&gt;Вакцинация против паротита может быть проведена одновременно (в один день) с другими календарными прививками (против кори, краснухи, полиомиелита, гепатита В, коклюша, дифтерии, столбняка, гриппа, гемофильной инфекции) при условии введения в разные участки тела или не ранее чем через 1&amp;nbsp;мес после предшествующей прививки.&lt;/p&gt;</t>
  </si>
  <si>
    <r>
      <rPr>
        <i/>
        <sz val="10"/>
        <color theme="1"/>
        <rFont val="Arial"/>
      </rPr>
      <t>Младенцы и дети в возрасте от 6 недель до 5 лет</t>
    </r>
    <r>
      <rPr>
        <sz val="10"/>
        <color theme="1"/>
        <rFont val="Arial"/>
      </rPr>
      <t xml:space="preserve">
Препарат Превенар 13 можно применять с любыми из следующих вакцинных антигенов, как с моновалентными, так и с комбинированными вакцинами, такими как вакцина против дифтерии, вакцина против столбняка, вакцина с бесклеточным или цельноклеточным коклюшным компонентом, вакцина против </t>
    </r>
    <r>
      <rPr>
        <i/>
        <sz val="10"/>
        <color theme="1"/>
        <rFont val="Arial"/>
      </rPr>
      <t>Haemophilus influenzae</t>
    </r>
    <r>
      <rPr>
        <sz val="10"/>
        <color theme="1"/>
        <rFont val="Arial"/>
      </rPr>
      <t xml:space="preserve"> типа </t>
    </r>
    <r>
      <rPr>
        <i/>
        <sz val="10"/>
        <color theme="1"/>
        <rFont val="Arial"/>
      </rPr>
      <t>b</t>
    </r>
    <r>
      <rPr>
        <sz val="10"/>
        <color theme="1"/>
        <rFont val="Arial"/>
      </rPr>
      <t xml:space="preserve">, инактивированная полиомиелитная вакцина, вакцина против гепатита B, (для получения рекомендаций по вакцине Инфанрикс Гекса см. раздел 4.4), вакцина против менингококка серогруппы С, вакцины против кори, эпидемического паротита, краснухи, ветряной оспы, и вакцина против ротавируса.
Препарат Превенар 13 также можно применять в период с 12 до 23 месяцев одновременно с менингококковой полисахаридной вакциной серогрупп A, C, W, Y со столбнячным анатоксином у детей, получивших первичную вакцинацию препаратом Превенар 13 (в соответствии с местными рекомендациями).
</t>
    </r>
    <r>
      <rPr>
        <i/>
        <sz val="10"/>
        <color theme="1"/>
        <rFont val="Arial"/>
      </rPr>
      <t>Дети и подростки в возрасте от 6 до 17 лет</t>
    </r>
    <r>
      <rPr>
        <sz val="10"/>
        <color theme="1"/>
        <rFont val="Arial"/>
      </rPr>
      <t xml:space="preserve">
В настоящее время данные об одновременном применении с другими вакцинами отсутствуют.
</t>
    </r>
    <r>
      <rPr>
        <i/>
        <sz val="10"/>
        <color theme="1"/>
        <rFont val="Arial"/>
      </rPr>
      <t>Взрослые пациенты в возрасте от 18 до 49 лет</t>
    </r>
    <r>
      <rPr>
        <sz val="10"/>
        <color theme="1"/>
        <rFont val="Arial"/>
      </rPr>
      <t xml:space="preserve">
Данные об одновременном применении с другими вакцинами отсутствуют.
</t>
    </r>
    <r>
      <rPr>
        <i/>
        <sz val="10"/>
        <color theme="1"/>
        <rFont val="Arial"/>
      </rPr>
      <t>Взрослые в возрасте 50 лет и старше</t>
    </r>
    <r>
      <rPr>
        <sz val="10"/>
        <color theme="1"/>
        <rFont val="Arial"/>
      </rPr>
      <t xml:space="preserve">
Препарат Превенар 13 может применяться совместно с сезонной трехвалентной инактивированной гриппозной вакциной (ТИГВ).
В двух исследованиях, которые проводились у взрослых в возрасте 50-59 и 65 лет и старше, было продемонстрировано, что препарат Превенар 13 можно вводить одновременно с трехвалентной инактивированной гриппозной вакциной (ТИГВ). Ответы на все три антигена ТИГВ были сопоставимыми, когда вводили ТИГВ отдельно или в комбинации с препаратом Превенар 13.
Когда препарат Превенар 13 вводили одновременно с ТИГВ, иммунные ответы на Превенар 13 были более слабыми, чем при введении одного Превенар 13, однако долгосрочный эффект на уровни антител в циркулирующей крови отсутствовал.
В третьем исследовании с участием взрослых в возрасте 50-93 года было продемонстрировано, что препарат Превенар 13 можно вводить одновременно с сезонной четырехвалентной инактивированной вакциной против сезонного гриппа (ЧИГВ). Иммунные ответы на все четыре штамма ЧИГВ были не ниже при применении препарата Превенар 13 одновременно с ЧИГВ, чем при применении только ЧИГВ.
Иммунные ответы на препарат Превенар 13 были не ниже при применении Превенар 13 одновременно с ЧИГВ, чем при применении только препарата Превенар 13. Как и в случае одновременного применения с трехвалентными вакцинами, иммунные ответы на некоторые пневмококковые серотипы были ниже, чем когда обе вакцины применялись одновременно.
Одновременное применение с другими вакцинами не изучалось.
Разные инъекционные вакцины всегда следует вводить в разные места.
Одновременное применение препарата Превенар 13 и 23-валентной пневмококковой полисахаридной вакцины не изучалось. В клинических исследованиях, когда Превенар 13 вводили через 1 год после 23-валентной пневмококковой полисахаридной вакцины, иммунные ответы были более слабыми для всех серотипов, чем когда Превенар 13 вводили лицам, ранее не иммунизированным 23-валентной пневмококковой полисахаридной вакциной. Клиническая значимость этого явления неизвестна.
</t>
    </r>
    <r>
      <rPr>
        <i/>
        <sz val="10"/>
        <color theme="1"/>
        <rFont val="Arial"/>
      </rPr>
      <t>4.4. Особые указания и меры предосторожности при применении</t>
    </r>
    <r>
      <rPr>
        <sz val="10"/>
        <color theme="1"/>
        <rFont val="Arial"/>
      </rPr>
      <t xml:space="preserve">
[...] При одновременном применении вакцины Превенар 13 и Инфанрикс Гекса наблюдалось повышение частоты сообщений о развитии судорог (с повышением температуры или без него) и гипотонических-гипореактивных эпизодов (ГГЭ) [...].</t>
    </r>
  </si>
  <si>
    <r>
      <rPr>
        <i/>
        <sz val="10"/>
        <color theme="1"/>
        <rFont val="Arial"/>
      </rPr>
      <t>&lt;p&gt;&lt;i&gt;Младенцы и дети в возрасте от 6&amp;nbsp;недель до 5&amp;nbsp;лет</t>
    </r>
    <r>
      <rPr>
        <sz val="10"/>
        <color theme="1"/>
        <rFont val="Arial"/>
      </rPr>
      <t>&lt;/i&gt;&lt;br&gt;
Препарат Превенар&amp;nbsp;13 можно применять с любыми из следующих вакцинных антигенов, как с моновалентными, так и с комбинированными вакцинами, такими как вакцина против дифтерии, вакцина против столбняка, вакцина с бесклеточным или цельноклеточным коклюшным компонентом, вакцина против &lt;i&gt;</t>
    </r>
    <r>
      <rPr>
        <i/>
        <sz val="10"/>
        <color theme="1"/>
        <rFont val="Arial"/>
      </rPr>
      <t>Haemophilus influenzae</t>
    </r>
    <r>
      <rPr>
        <sz val="10"/>
        <color theme="1"/>
        <rFont val="Arial"/>
      </rPr>
      <t>&lt;/i&gt; типа &lt;i&gt;</t>
    </r>
    <r>
      <rPr>
        <i/>
        <sz val="10"/>
        <color theme="1"/>
        <rFont val="Arial"/>
      </rPr>
      <t>b</t>
    </r>
    <r>
      <rPr>
        <sz val="10"/>
        <color theme="1"/>
        <rFont val="Arial"/>
      </rPr>
      <t xml:space="preserve">&lt;/i&gt;, инактивированная полиомиелитная вакцина, вакцина против гепатита B, (для получения рекомендаций по вакцине Инфанрикс Гекса см. раздел 4.4), вакцина против менингококка серогруппы С, вакцины против кори, эпидемического паротита, краснухи, ветряной оспы, и вакцина против ротавируса.&lt;br&gt;
Препарат Превенар&amp;nbsp;13 также можно применять в период с 12 до 23&amp;nbsp;месяцев одновременно с менингококковой полисахаридной вакциной серогрупп A, C, W, Y со столбнячным анатоксином у детей, получивших первичную вакцинацию препаратом Превенар&amp;nbsp;13 (в соответствии с местными рекомендациями).&lt;/p&gt;
</t>
    </r>
    <r>
      <rPr>
        <i/>
        <sz val="10"/>
        <color theme="1"/>
        <rFont val="Arial"/>
      </rPr>
      <t>&lt;p&gt;&lt;i&gt;Дети и подростки в возрасте от 6 до 17&amp;nbsp;лет</t>
    </r>
    <r>
      <rPr>
        <sz val="10"/>
        <color theme="1"/>
        <rFont val="Arial"/>
      </rPr>
      <t xml:space="preserve">&lt;/i&gt;&lt;br&gt;
В настоящее время данные об одновременном применении с другими вакцинами отсутствуют.&lt;/p&gt;
</t>
    </r>
    <r>
      <rPr>
        <i/>
        <sz val="10"/>
        <color theme="1"/>
        <rFont val="Arial"/>
      </rPr>
      <t>&lt;p&gt;&lt;i&gt;Взрослые пациенты в возрасте от 18 до 49&amp;nbsp;лет</t>
    </r>
    <r>
      <rPr>
        <sz val="10"/>
        <color theme="1"/>
        <rFont val="Arial"/>
      </rPr>
      <t xml:space="preserve">&lt;/i&gt;&lt;br&gt;
Данные об одновременном применении с другими вакцинами отсутствуют.&lt;/p&gt;
</t>
    </r>
    <r>
      <rPr>
        <i/>
        <sz val="10"/>
        <color theme="1"/>
        <rFont val="Arial"/>
      </rPr>
      <t>&lt;p&gt;&lt;i&gt;Взрослые в возрасте 50&amp;nbsp;лет и старше</t>
    </r>
    <r>
      <rPr>
        <sz val="10"/>
        <color theme="1"/>
        <rFont val="Arial"/>
      </rPr>
      <t xml:space="preserve">&lt;/i&gt;&lt;br&gt;
Препарат Превенар&amp;nbsp;13 может применяться совместно с сезонной трехвалентной инактивированной гриппозной вакциной (ТИГВ).&lt;br&gt;
В двух исследованиях, которые проводились у взрослых в возрасте 50-59 и 65&amp;nbsp;лет и старше, было продемонстрировано, что препарат Превенар 13 можно вводить одновременно с трехвалентной инактивированной гриппозной вакциной (ТИГВ). Ответы на все три антигена ТИГВ были сопоставимыми, когда вводили ТИГВ отдельно или в комбинации с препаратом Превенар&amp;nbsp;13.&lt;br&gt;
Когда препарат Превенар&amp;nbsp;13 вводили одновременно с ТИГВ, иммунные ответы на Превенар&amp;nbsp;13 были более слабыми, чем при введении одного Превенар&amp;nbsp;13, однако долгосрочный эффект на уровни антител в циркулирующей крови отсутствовал.
В третьем исследовании с участием взрослых в возрасте 50-93&amp;nbsp;года было продемонстрировано, что препарат Превенар&amp;nbsp;13 можно вводить одновременно с сезонной четырехвалентной инактивированной вакциной против сезонного гриппа (ЧИГВ). Иммунные ответы на все четыре штамма ЧИГВ были не ниже при применении препарата Превенар&amp;nbsp;13 одновременно с ЧИГВ, чем при применении только ЧИГВ.
Иммунные ответы на препарат Превенар&amp;nbsp;13 были не ниже при применении Превенар&amp;nbsp;13 одновременно с ЧИГВ, чем при применении только препарата Превенар&amp;nbsp;13. Как и в случае одновременного применения с трехвалентными вакцинами, иммунные ответы на некоторые пневмококковые серотипы были ниже, чем когда обе вакцины применялись одновременно.&lt;/p&gt;
&lt;p&gt;Одновременное применение с другими вакцинами не изучалось.&lt;br&gt;
Разные инъекционные вакцины всегда следует вводить в разные места.&lt;/p&gt;
&lt;p&gt;Одновременное применение препарата Превенар&amp;nbsp;13 и 23-валентной пневмококковой полисахаридной вакцины не изучалось. В клинических исследованиях, когда Превенар&amp;nbsp;13 вводили через 1&amp;nbsp;год после 23-валентной пневмококковой полисахаридной вакцины, иммунные ответы были более слабыми для всех серотипов, чем когда Превенар&amp;nbsp;13 вводили лицам, ранее не иммунизированным 23-валентной пневмококковой полисахаридной вакциной. Клиническая значимость этого явления неизвестна.&lt;/p&gt;
</t>
    </r>
    <r>
      <rPr>
        <i/>
        <sz val="10"/>
        <color theme="1"/>
        <rFont val="Arial"/>
      </rPr>
      <t>&lt;p&gt;&lt;i&gt;4.4. Особые указания и меры предосторожности при применении</t>
    </r>
    <r>
      <rPr>
        <sz val="10"/>
        <color theme="1"/>
        <rFont val="Arial"/>
      </rPr>
      <t>&lt;/i&gt;&lt;br&gt;
[...] При одновременном применении вакцины Превенар&amp;nbsp;13 и Инфанрикс Гекса наблюдалось повышение частоты сообщений о развитии судорог (с повышением температуры или без него) и гипотонических-гипореактивных эпизодов (ГГЭ) [...].&lt;/p&gt;</t>
    </r>
  </si>
  <si>
    <r>
      <rPr>
        <sz val="10"/>
        <color theme="1"/>
        <rFont val="Arial"/>
      </rPr>
      <t xml:space="preserve">Прививку вакциной Синфлорикс можно проводить одновременно с любой из следующих моновалентных или комбинированных вакцин (включая комбинированные вакцины (AКаДС-ГепВ-ИПВ/Хиб и АКцДС-ГепВ/Хиб): дифтерийно-столбнячная бесклеточная коклюшная вакцина (AКаДС), дифтерийно-столбнячная цельноклеточная коклюшная вакцина (AKцДС), вакцина для профилактики инфекции, вызываемой </t>
    </r>
    <r>
      <rPr>
        <i/>
        <sz val="10"/>
        <color theme="1"/>
        <rFont val="Arial"/>
      </rPr>
      <t>Haemophilus influenzae</t>
    </r>
    <r>
      <rPr>
        <sz val="10"/>
        <color theme="1"/>
        <rFont val="Arial"/>
      </rPr>
      <t xml:space="preserve"> тип </t>
    </r>
    <r>
      <rPr>
        <i/>
        <sz val="10"/>
        <color theme="1"/>
        <rFont val="Arial"/>
      </rPr>
      <t>b</t>
    </r>
    <r>
      <rPr>
        <sz val="10"/>
        <color theme="1"/>
        <rFont val="Arial"/>
      </rPr>
      <t xml:space="preserve"> (Хиб), вакцина против гепатита В, вакцина для профилактики полиомиелита инактивированная (ИПВ), вакцина против кори, эпидемического паротита и краснухи, вакцина против ветряной оспы, вакцина менингококковая серогруппы C конъюгированная (конъюгаты CRM₁₉₇ и ТТ), пероральная вакцина против полиомиелита (ОПВ), вакцина против ротавирусной инфекции.
</t>
    </r>
    <r>
      <rPr>
        <i/>
        <sz val="10"/>
        <color theme="1"/>
        <rFont val="Arial"/>
      </rPr>
      <t>Инъекции различными вакцинами нужно всегда делать в разные участки тела!</t>
    </r>
    <r>
      <rPr>
        <sz val="10"/>
        <color theme="1"/>
        <rFont val="Arial"/>
      </rPr>
      <t xml:space="preserve">
Иммунный ответ и профиль безопасности совместно вводимых вакцин остаются неизменными, за исключением иммунного ответа на инактивированную вакцину против полиомиелита (инактивированный вирус полиомиелита 2-го типа), в отношении которой наблюдалась неоднородность результатов (значения серопротекции варьировали в диапазоне от 78% до 100%). Клиническое значение данного явления неизвестно.
Наблюдалось усиление иммунного ответа к капсульному полисахариду </t>
    </r>
    <r>
      <rPr>
        <i/>
        <sz val="10"/>
        <color theme="1"/>
        <rFont val="Arial"/>
      </rPr>
      <t>Haemophilus influenzae</t>
    </r>
    <r>
      <rPr>
        <sz val="10"/>
        <color theme="1"/>
        <rFont val="Arial"/>
      </rPr>
      <t xml:space="preserve"> тип </t>
    </r>
    <r>
      <rPr>
        <i/>
        <sz val="10"/>
        <color theme="1"/>
        <rFont val="Arial"/>
      </rPr>
      <t>b</t>
    </r>
    <r>
      <rPr>
        <sz val="10"/>
        <color theme="1"/>
        <rFont val="Arial"/>
      </rPr>
      <t>, конъюгированному со столбнячным анатоксином, а также дифтерийному и столбнячному антигенам.</t>
    </r>
  </si>
  <si>
    <r>
      <rPr>
        <sz val="10"/>
        <color theme="1"/>
        <rFont val="Arial"/>
      </rPr>
      <t xml:space="preserve">&lt;p&gt;Прививку вакциной Синфлорикс можно проводить одновременно с любой из следующих моновалентных или комбинированных вакцин (включая комбинированные вакцины (AКаДС-ГепВ-ИПВ/Хиб и АКцДС-ГепВ/Хиб): дифтерийно-столбнячная бесклеточная коклюшная вакцина (AКаДС), дифтерийно-столбнячная цельноклеточная коклюшная вакцина (AKцДС), вакцина для профилактики инфекции, вызываемой </t>
    </r>
    <r>
      <rPr>
        <i/>
        <sz val="10"/>
        <color theme="1"/>
        <rFont val="Arial"/>
      </rPr>
      <t>&lt;i&gt;Haemophilus influenzae&lt;/i&gt;</t>
    </r>
    <r>
      <rPr>
        <sz val="10"/>
        <color theme="1"/>
        <rFont val="Arial"/>
      </rPr>
      <t xml:space="preserve"> тип &lt;i&gt;</t>
    </r>
    <r>
      <rPr>
        <i/>
        <sz val="10"/>
        <color theme="1"/>
        <rFont val="Arial"/>
      </rPr>
      <t>b&lt;/i&gt;</t>
    </r>
    <r>
      <rPr>
        <sz val="10"/>
        <color theme="1"/>
        <rFont val="Arial"/>
      </rPr>
      <t xml:space="preserve"> (Хиб), вакцина против гепатита В, вакцина для профилактики полиомиелита инактивированная (ИПВ), вакцина против кори, эпидемического паротита и краснухи, вакцина против ветряной оспы, вакцина менингококковая серогруппы C конъюгированная (конъюгаты CRM₁₉₇ и ТТ), пероральная вакцина против полиомиелита (ОПВ), вакцина против ротавирусной инфекции.&lt;/p&gt;
</t>
    </r>
    <r>
      <rPr>
        <i/>
        <sz val="10"/>
        <color theme="1"/>
        <rFont val="Arial"/>
      </rPr>
      <t>&lt;p&gt;&lt;i&gt;Инъекции различными вакцинами нужно всегда делать в разные участки тела!</t>
    </r>
    <r>
      <rPr>
        <sz val="10"/>
        <color theme="1"/>
        <rFont val="Arial"/>
      </rPr>
      <t>&lt;/i&gt;&lt;/p&gt;
&lt;p&gt;Иммунный ответ и профиль безопасности совместно вводимых вакцин остаются неизменными, за исключением иммунного ответа на инактивированную вакцину против полиомиелита (инактивированный вирус полиомиелита 2-го типа), в отношении которой наблюдалась неоднородность результатов (значения серопротекции варьировали в диапазоне от 78% до 100%). Клиническое значение данного явления неизвестно.&lt;/p&gt;
&lt;p&gt;Наблюдалось усиление иммунного ответа к капсульному полисахариду &lt;i&gt;</t>
    </r>
    <r>
      <rPr>
        <i/>
        <sz val="10"/>
        <color theme="1"/>
        <rFont val="Arial"/>
      </rPr>
      <t>Haemophilus influenzae&lt;/i&gt;</t>
    </r>
    <r>
      <rPr>
        <sz val="10"/>
        <color theme="1"/>
        <rFont val="Arial"/>
      </rPr>
      <t xml:space="preserve"> тип &lt;i&gt;</t>
    </r>
    <r>
      <rPr>
        <i/>
        <sz val="10"/>
        <color theme="1"/>
        <rFont val="Arial"/>
      </rPr>
      <t>b&lt;/i&gt;</t>
    </r>
    <r>
      <rPr>
        <sz val="10"/>
        <color theme="1"/>
        <rFont val="Arial"/>
      </rPr>
      <t>, конъюгированному со столбнячным анатоксином, а также дифтерийному и столбнячному антигенам.&lt;/p&gt;</t>
    </r>
  </si>
  <si>
    <t>Пневмококковую вакцину можно вводить одновременно с вакциной для профилактики гриппа (которую вводят в другую руку). Такое введение не приводит к повышению частоты побочных эффектов или снижению интенсивности иммунного ответа на введение каждой из вакцин. Пневмококковую вакцину можно вводить одновременно (в один день) с другими вакцинами (за исключением вакцин для профилактики туберкулеза) в разные участки тела с использованием разных шприцев.</t>
  </si>
  <si>
    <t>&lt;p&gt;Пневмококковую вакцину можно вводить одновременно с вакциной для профилактики гриппа (которую вводят в другую руку). Такое введение не приводит к повышению частоты побочных эффектов или снижению интенсивности иммунного ответа на введение каждой из вакцин. Пневмококковую вакцину можно вводить одновременно (в один день) с другими вакцинами (за исключением вакцин для профилактики туберкулеза) в разные участки тела с использованием разных шприцев.&lt;/p&gt;</t>
  </si>
  <si>
    <t>Прививки против полиомиелита разрешается проводить в один день с вакцинацией АКДС-вакциной (АДС или АДС-М анатоксином), допускается одновременное введение полиомиелитной вакцины с другими препаратами Национального календаря профилактических прививок.</t>
  </si>
  <si>
    <t>&lt;p&gt;Прививки против полиомиелита разрешается проводить в один день с вакцинацией АКДС-вакциной (АДС или АДС-М анатоксином), допускается одновременное введение полиомиелитной вакцины с другими препаратами Национального календаря профилактических прививок.&lt;/p&gt;</t>
  </si>
  <si>
    <t>Прививки против полиомиелита разрешается проводить в один день с вакцинацией АКДС-вакциной (АДС или АДС-М анатоксином), допускается одновременное введение полиомиелитной вакцины с другими препаратами Национального календаря профилактических прививок и Календаря прививок по эпидемиологическим показаниям. При неодновременном введении между живыми вакцинами рекомендуется интервал 1 месяц; между живой и неживой вакцинами допустим любой интервал.</t>
  </si>
  <si>
    <t>&lt;p&gt;Прививки против полиомиелита разрешается проводить в один день с вакцинацией АКДС-вакциной (АДС или АДС-М анатоксином), допускается одновременное введение полиомиелитной вакцины с другими препаратами Национального календаря профилактических прививок и Календаря прививок по эпидемиологическим показаниям. При неодновременном введении между живыми вакцинами рекомендуется интервал 1 месяц; между живой и неживой вакцинами допустим любой интервал.&lt;/p&gt;</t>
  </si>
  <si>
    <t>Допускается одновременное введение вакцины ПОЛИМИЛЕКС® с другими вакцинами (в т.ч. вакцинами Национального календаря профилактических прививок и прививок по эпидемическим показаниям, кроме БЦЖ и БЦЖ-М) при условии их введения разными шприцами в разные участки тела. При необходимости раздельного (не в один календарные день) введения вакцины ПОЛИМИЛЕКС® и других вакцин, допустим любой интервал между введениями, т.к. вакцина ПОЛИМИЛЕКС® является инактивированной.</t>
  </si>
  <si>
    <t>&lt;p&gt;Допускается одновременное введение вакцины ПОЛИМИЛЕКС® с другими вакцинами (в т.ч. вакцинами Национального календаря профилактических прививок и прививок по эпидемическим показаниям, кроме БЦЖ и БЦЖ-М) при условии их введения разными шприцами в разные участки тела. При необходимости раздельного (не в один календарные день) введения вакцины ПОЛИМИЛЕКС® и других вакцин, допустим любой интервал между введениями, т.к. вакцина ПОЛИМИЛЕКС® является инактивированной.&lt;/p&gt;</t>
  </si>
  <si>
    <t>Во время проведения курса лечебно-профилактической вакцинации проведение вакцинации другими препаратами запрещается. После окончания вакцинации против бешенства проведение прививок другими вакцинами допускается не ранее чем через 2 месяца.
Профилактическую вакцинацию проводят не ранее чем через 1 месяц после вакцинации против другого инфекционного заболевания.</t>
  </si>
  <si>
    <t>&lt;p&gt;Во время проведения курса лечебно-профилактической вакцинации проведение вакцинации другими препаратами запрещается. После окончания вакцинации против бешенства проведение прививок другими вакцинами допускается не ранее чем через 2&amp;nbsp;месяца.&lt;br&gt;
Профилактическую вакцинацию проводят не ранее чем через 1&amp;nbsp;месяц после вакцинации против другого инфекционного заболевания.&lt;/p&gt;</t>
  </si>
  <si>
    <t>Во время проведения курса лечебно-профилактической вакцинации проведение вакцинации другими препаратами запрещается, за исключением препаратов, назначаемых по жизненным показаниям. После окончания вакцинации против бешенства проведение прививок другими вакцинами допускается не ранее чем через 2 месяца.
Профилактическую вакцинацию проводят не ранее чем через 1 месяц после вакцинации против другого инфекционного заболевания.</t>
  </si>
  <si>
    <t>&lt;p&gt;Во время проведения курса лечебно-профилактической вакцинации проведение вакцинации другими препаратами запрещается, за исключением препаратов, назначаемых по жизненным показаниям. После окончания вакцинации против бешенства проведение прививок другими вакцинами допускается не ранее чем через 2&amp;nbsp;месяца.&lt;/p&gt;
&lt;p&gt;Профилактическую вакцинацию проводят не ранее чем через 1&amp;nbsp;месяц после вакцинации против другого инфекционного заболевания.&lt;/p&gt;</t>
  </si>
  <si>
    <t>Согласно п. 2,3 схемы применения антирабических препаратов Рабивак-Внуково-32 применяется комплексно вместе с антирабическим иммуноглобулином (АИГ). Во время проведения курса лечебно-профилактической иммунизации проведение вакцинации другими препаратами запрещается. После окончания вакцинации против бешенства проведение прививок другими вакцинами допускается не ранее чем через 2 месяца. Профилактическую вакцинацию проводят не ранее чем через 1 месяц после вакцинации против другого инфекционного заболевания.</t>
  </si>
  <si>
    <t>&lt;p&gt;Согласно п.&amp;nbsp;2,3 схемы применения антирабических препаратов Рабивак-Внуково-32 применяется комплексно вместе с антирабическим иммуноглобулином (АИГ). Во время проведения курса лечебно-профилактической иммунизации проведение вакцинации другими препаратами запрещается. После окончания вакцинации против бешенства проведение прививок другими вакцинами допускается не ранее чем через 2&amp;nbsp;месяца. Профилактическую вакцинацию проводят не ранее чем через 1&amp;nbsp;месяц после вакцинации против другого инфекционного заболевания.&lt;/p&gt;</t>
  </si>
  <si>
    <r>
      <rPr>
        <sz val="10"/>
        <color theme="1"/>
        <rFont val="Arial"/>
      </rPr>
      <t xml:space="preserve">Препарат РотаТек® можно вводить детям одновременно с любыми следующими антигенами, входящими в состав как моновалентных, так и комбинированных вакцин: дифтерийным анатоксином, столбнячным анатоксином, коклюшной вакциной, конъюгированной вакциной против </t>
    </r>
    <r>
      <rPr>
        <i/>
        <sz val="10"/>
        <color theme="1"/>
        <rFont val="Arial"/>
      </rPr>
      <t>Haemophilus influenzae</t>
    </r>
    <r>
      <rPr>
        <sz val="10"/>
        <color theme="1"/>
        <rFont val="Arial"/>
      </rPr>
      <t xml:space="preserve"> тип </t>
    </r>
    <r>
      <rPr>
        <i/>
        <sz val="10"/>
        <color theme="1"/>
        <rFont val="Arial"/>
      </rPr>
      <t>b</t>
    </r>
    <r>
      <rPr>
        <sz val="10"/>
        <color theme="1"/>
        <rFont val="Arial"/>
      </rPr>
      <t>, инактивированной полиомиелитной вакциной, вакциной против вирусного гепатита В, гексавалентной вакциной (содержащей вышеперечисленные компоненты), конъюгированной пневмококковой вакциной, конъюгированной менингококковой вакциной серогруппы С. Не было отмечено снижения иммунного ответа при одновременном введении нескольких вакцин и вакцины РотаТек®.
Одновременное введение пероральной полиовакцины (ОПВ) и вакцины РотаТек® не влияло на иммунный ответ, вызываемый ОПВ, но несколько снижало иммунный ответ на вакцину РотаТек®, однако нет данных, подтверждающих снижение степени защиты от тяжелых форм ротавирусного гастроэнтерита. Иммунный ответ на вакцину РотаТек® не изменялся при введении ОПВ через две недели после введения вакцины РотаТек®</t>
    </r>
  </si>
  <si>
    <r>
      <rPr>
        <sz val="10"/>
        <color theme="1"/>
        <rFont val="Arial"/>
      </rPr>
      <t>&lt;p&gt;Препарат РотаТек® можно вводить детям одновременно с любыми следующими антигенами, входящими в состав как моновалентных, так и комбинированных вакцин: дифтерийным анатоксином, столбнячным анатоксином, коклюшной вакциной, конъюгированной вакциной против &lt;i&gt;</t>
    </r>
    <r>
      <rPr>
        <i/>
        <sz val="10"/>
        <color theme="1"/>
        <rFont val="Arial"/>
      </rPr>
      <t>Haemophilus influenzae&lt;/i&gt;</t>
    </r>
    <r>
      <rPr>
        <sz val="10"/>
        <color theme="1"/>
        <rFont val="Arial"/>
      </rPr>
      <t xml:space="preserve"> тип &lt;i&gt;</t>
    </r>
    <r>
      <rPr>
        <i/>
        <sz val="10"/>
        <color theme="1"/>
        <rFont val="Arial"/>
      </rPr>
      <t>b</t>
    </r>
    <r>
      <rPr>
        <sz val="10"/>
        <color theme="1"/>
        <rFont val="Arial"/>
      </rPr>
      <t>&lt;/i&gt;, инактивированной полиомиелитной вакциной, вакциной против вирусного гепатита В, гексавалентной вакциной (содержащей вышеперечисленные компоненты), конъюгированной пневмококковой вакциной, конъюгированной менингококковой вакциной серогруппы С. Не было отмечено снижения иммунного ответа при одновременном введении нескольких вакцин и вакцины РотаТек®.&lt;/p&gt;
&lt;p&gt;Одновременное введение пероральной полиовакцины (ОПВ) и вакцины РотаТек® не влияло на иммунный ответ, вызываемый ОПВ, но несколько снижало иммунный ответ на вакцину РотаТек®, однако нет данных, подтверждающих снижение степени защиты от тяжелых форм ротавирусного гастроэнтерита. Иммунный ответ на вакцину РотаТек® не изменялся при введении ОПВ через две недели после введения вакцины РотаТек®&lt;/p&gt;</t>
    </r>
  </si>
  <si>
    <t xml:space="preserve">Вакцинация против краснухи может быть проведена одновременно (в один день) с другими календарными прививками (против коклюша, дифтерии, столбняка, эпидемического паротита, кори, полиомиелита, гепатита В) или не ранее чем через 1 месяц после предшествующей прививки. При одновременной вакцинации препараты вводят в разные места, смешивание вакцин в одном шприце запрещается. </t>
  </si>
  <si>
    <t>&lt;p&gt;Вакцинация против краснухи может быть проведена одновременно (в один день) с другими календарными прививками (против коклюша, дифтерии, столбняка, эпидемического паротита, кори, полиомиелита, гепатита В) или не ранее чем через 1&amp;nbsp;месяц после предшествующей прививки. При одновременной вакцинации препараты вводят в разные места, смешивание вакцин в одном шприце запрещается.&lt;/p&gt;</t>
  </si>
  <si>
    <t>Вакцина может быть введена одновременно (в один день) с другими вакцинами Национального календаря профилактических прививок (против эпидемического паротита, кори, коклюша, дифтерии, столбняка, полиомиелита, гепатита В) отдельными шприцами в разные участки тела или через 1 мес. после предыдущей вакцинации.</t>
  </si>
  <si>
    <t>&lt;p&gt;Вакцина может быть введена одновременно (в один день) с другими вакцинами Национального календаря профилактических прививок (против эпидемического паротита, кори, коклюша, дифтерии, столбняка, полиомиелита, гепатита В) отдельными шприцами в разные участки тела или через 1&amp;nbsp;мес. после предыдущей вакцинации.&lt;/p&gt;</t>
  </si>
  <si>
    <t>AC-анатоксин можно вводить одновременно (в один день) с другими препаратами национального календаря профилактических прививок, а также с инактивированными вакцинами календаря профилактических прививок по эпидемическим показаниям разными шприцами, в разные участки тела. AC-анатоксин запрещено смешивать в одном шприце с любыми препаратами для парентерального введения.</t>
  </si>
  <si>
    <t>&lt;p&gt;AC-анатоксин можно вводить одновременно (в один день) с другими препаратами национального календаря профилактических прививок, а также с инактивированными вакцинами календаря профилактических прививок по эпидемическим показаниям разными шприцами, в разные участки тела. AC-анатоксин запрещено смешивать в одном шприце с любыми препаратами для парентерального введения.&lt;/p&gt;</t>
  </si>
  <si>
    <r>
      <rPr>
        <sz val="10"/>
        <color theme="1"/>
        <rFont val="Arial"/>
      </rPr>
      <t xml:space="preserve">Вакцина ВАКТА® может вводиться одновременно с другими вакцинами детям от 1 года до 17 лет: живой вирусной вакциной против кори, краснухи, паротита, ветряной оспы, коньюгированной 7-валентной пневмококковой вакциной, пероральной или инактивированной полиомиелитной вакциной, дифтерийным, столбнячным анатоксинами и бесклеточной вакциной против коклюша, вакциной для профилактики инфекции, вызываемой </t>
    </r>
    <r>
      <rPr>
        <i/>
        <sz val="10"/>
        <color theme="1"/>
        <rFont val="Arial"/>
      </rPr>
      <t>Haemophilus influenzae</t>
    </r>
    <r>
      <rPr>
        <sz val="10"/>
        <color theme="1"/>
        <rFont val="Arial"/>
      </rPr>
      <t xml:space="preserve"> тип </t>
    </r>
    <r>
      <rPr>
        <i/>
        <sz val="10"/>
        <color theme="1"/>
        <rFont val="Arial"/>
      </rPr>
      <t>b</t>
    </r>
    <r>
      <rPr>
        <sz val="10"/>
        <color theme="1"/>
        <rFont val="Arial"/>
      </rPr>
      <t>. Данные по применению с другими вакцинами ограничены.
При одновременном применении вакцин их необходимо вводить в разные участки тела и использовать разные шприцы.
Для взрослых старше 18 лет существуют ограниченные данные исследований, где вакцину ВАКТА® использовали одновременно с противодифтерийной, полиомиелитной (пероральной и инактивированной), противостолбнячной вакцинами, пероральной вакциной против брюшного тифа, противохолерной вакциной, вакциной против Японского энцефалита, антирабической вакциной и вакциной против желтой лихорадки. При этом иммунный ответ ни на одну из вакцин не снижался, частота нежелательных явлений не возрастала.
В исследованиях было показано, что одновременно с вакциной ВАКТА® можно назначать вакцину против гепатита В, при этом иммуногенность и частота нежелательных явлений также не меняются.</t>
    </r>
  </si>
  <si>
    <r>
      <rPr>
        <sz val="10"/>
        <color theme="1"/>
        <rFont val="Arial"/>
      </rPr>
      <t>&lt;p&gt;Вакцина ВАКТА® может вводиться одновременно с другими вакцинами детям от 1&amp;nbsp;года до 17&amp;nbsp;лет: живой вирусной вакциной против кори, краснухи, паротита, ветряной оспы, коньюгированной 7-валентной пневмококковой вакциной, пероральной или инактивированной полиомиелитной вакциной, дифтерийным, столбнячным анатоксинами и бесклеточной вакциной против коклюша, вакциной для профилактики инфекции, вызываемой &lt;i&gt;</t>
    </r>
    <r>
      <rPr>
        <i/>
        <sz val="10"/>
        <color theme="1"/>
        <rFont val="Arial"/>
      </rPr>
      <t>Haemophilus influenzae&lt;/i&gt;</t>
    </r>
    <r>
      <rPr>
        <sz val="10"/>
        <color theme="1"/>
        <rFont val="Arial"/>
      </rPr>
      <t xml:space="preserve"> тип &lt;i&gt;</t>
    </r>
    <r>
      <rPr>
        <i/>
        <sz val="10"/>
        <color theme="1"/>
        <rFont val="Arial"/>
      </rPr>
      <t>b&lt;/i&gt;</t>
    </r>
    <r>
      <rPr>
        <sz val="10"/>
        <color theme="1"/>
        <rFont val="Arial"/>
      </rPr>
      <t>. Данные по применению с другими вакцинами ограничены.&lt;/p&gt;
&lt;p&gt;При одновременном применении вакцин их необходимо вводить в разные участки тела и использовать разные шприцы.&lt;/p&gt;
&lt;p&gt;Для взрослых старше 18&amp;nbsp;лет существуют ограниченные данные исследований, где вакцину ВАКТА® использовали одновременно с противодифтерийной, полиомиелитной (пероральной и инактивированной), противостолбнячной вакцинами, пероральной вакциной против брюшного тифа, противохолерной вакциной, вакциной против Японского энцефалита, антирабической вакциной и вакциной против желтой лихорадки. При этом иммунный ответ ни на одну из вакцин не снижался, частота нежелательных явлений не возрастала.&lt;/p&gt;
&lt;p&gt;В исследованиях было показано, что одновременно с вакциной ВАКТА® можно назначать вакцину против гепатита В, при этом иммуногенность и частота нежелательных явлений также не меняются.&lt;/p&gt;</t>
    </r>
  </si>
  <si>
    <t>Клинические исследования взаимодействия с другими вакцинами не проводились.
Допускается одновременное введение вакцины Клещ-Э-Вак с другими инактивированными вакцинами Национального календаря профилактических прививок и прививок по эпидемическим показаниям (кроме БЦЖ) при условии их введения разными шприцами в разные участки тела. При необходимости раздельного (не в один календарный день) введения вакцины Клещ-Э-Вак и других вакцин, допустим любой интервал между введениями, т.к. вакцина Клещ-Э-Вак является инактивированной.</t>
  </si>
  <si>
    <t>&lt;p&gt;Клинические исследования взаимодействия с другими вакцинами не проводились.&lt;/p&gt;
&lt;p&gt;Допускается одновременное введение вакцины Клещ-Э-Вак с другими инактивированными вакцинами Национального календаря профилактических прививок и прививок по эпидемическим показаниям (кроме БЦЖ) при условии их введения разными шприцами в разные участки тела. При необходимости раздельного (не в один календарный день) введения вакцины Клещ-Э-Вак и других вакцин, допустим любой интервал между введениями, т.к. вакцина Клещ-Э-Вак является инактивированной.&lt;/p&gt;</t>
  </si>
  <si>
    <t>Допускается одновременное введение вакцин (кроме антирабической вакцины) с использованием разных шприцов и в разные анатомические области тела. Одновременным считается введение вакцин в пределах одного календарного дня.
При необходимости раздельного (не в один календарный день) введения вакцины ЭнцеВир и других вакцин, допустим любой интервал между введениями, т.к. вакцина ЭнцеВир является инактивированной.</t>
  </si>
  <si>
    <t>&lt;p&gt;Допускается одновременное введение вакцин (кроме антирабической вакцины) с использованием разных шприцов и в разные анатомические области тела. Одновременным считается введение вакцин в пределах одного календарного дня.&lt;br&gt;
При необходимости раздельного (не в один календарный день) введения вакцины ЭнцеВир и других вакцин, допустим любой интервал между введениями, т.к. вакцина ЭнцеВир является инактивированной.&lt;/p&gt;</t>
  </si>
  <si>
    <t>Допускается одновременное введение вакцин (кроме антирабической вакцины и вакцин для профилактики туберкулеза), с использованием разных шприцов и в разные анатомические области тела. Одновременным считается введение вакцин в пределах одного календарного дня.
При необходимости раздельного (не в один календарный день) введения вакцины ЭнцеВир Нео детский и других вакцин, допустим любой интервал между введениями, т.к. вакцина ЭнцеВир Нео детский является инактивированной</t>
  </si>
  <si>
    <t>&lt;p&gt;Допускается одновременное введение вакцин (кроме антирабической вакцины и вакцин для профилактики туберкулеза), с использованием разных шприцов и в разные анатомические области тела. Одновременным считается введение вакцин в пределах одного календарного дня.&lt;br&gt;
При необходимости раздельного (не в один календарный день) введения вакцины ЭнцеВир Нео детский и других вакцин, допустим любой интервал между введениями, т.к. вакцина ЭнцеВир Нео детский является инактивированной&lt;/p&gt;</t>
  </si>
  <si>
    <t>Клинические исследования взаимодействия с другими вакцинами не проводились.
Допускается одновременное введение Вакцины клещевого энцефалита культуральной очищенной концентрированной инактивированной сухой с другими вакцинами Национального календаря профилактических прививок и прививок по эпидемическим показаниям (кроме БЦЖ) при условии их введения разными шприцами в разные участки тела. При необходимости раздельного (не в один календарный день) введения Вакцины клещевого энцефалита культуральной очищенной концентрированной инактивированной сухой и других вакцин, допустим любой интервал между введениями, т.к. Вакцина клещевого энцефалита культуральная очищенная концентрированная инактивированная сухая является инактивированной.</t>
  </si>
  <si>
    <t>&lt;p&gt;Клинические исследования взаимодействия с другими вакцинами не проводились.&lt;br&gt;&lt;br&gt;
Допускается одновременное введение Вакцины клещевого энцефалита культуральной очищенной концентрированной инактивированной сухой с другими вакцинами Национального календаря профилактических прививок и прививок по эпидемическим показаниям (кроме БЦЖ) при условии их введения разными шприцами в разные участки тела. При необходимости раздельного (не в один календарный день) введения Вакцины клещевого энцефалита культуральной очищенной концентрированной инактивированной сухой и других вакцин, допустим любой интервал между введениями, т.к. Вакцина клещевого энцефалита культуральная очищенная концентрированная инактивированная сухая является инактивированной.&lt;/p&gt;</t>
  </si>
  <si>
    <r>
      <rPr>
        <sz val="10"/>
        <color theme="1"/>
        <rFont val="Arial"/>
      </rPr>
      <t xml:space="preserve">Вакцину Варилрикс можно вводить одновременно с инактивированными вакцинами национального календаря профилактических прививок и календаря прививок по эпидемическим показаниям, за исключением антирабической вакцины.
Вакцину Варилрикс можно назначать в один день с вакцинами для профилактики кори, краснухи и паротита.
В клинических исследованиях продемонстрировано, что вакцину Варилрикс можно применять одновременно с любой из перечисленных ниже моновалентных или комбинированных вакцин:
• вакцина для профилактики кори, краснухи и паротита;
• вакцина для профилактики дифтерии, столбняка, коклюша (бесклеточная);
• вакцина для профилактики дифтерии, столбняка, коклюша (бесклеточная) с пониженным количеством антигенов;
• вакцина для профилактики инфекции, вызываемой </t>
    </r>
    <r>
      <rPr>
        <i/>
        <sz val="10"/>
        <color theme="1"/>
        <rFont val="Arial"/>
      </rPr>
      <t>Haemophilus influenzae</t>
    </r>
    <r>
      <rPr>
        <sz val="10"/>
        <color theme="1"/>
        <rFont val="Arial"/>
      </rPr>
      <t xml:space="preserve"> тип </t>
    </r>
    <r>
      <rPr>
        <i/>
        <sz val="10"/>
        <color theme="1"/>
        <rFont val="Arial"/>
      </rPr>
      <t>b</t>
    </r>
    <r>
      <rPr>
        <sz val="10"/>
        <color theme="1"/>
        <rFont val="Arial"/>
      </rPr>
      <t xml:space="preserve">;
• вакцина для профилактики полиомиелита инактивированная;
• вакцина для профилактики гепатита B;
• шестивалентная вакцина (вакцина для профилактики дифтерии, столбняка, коклюша (бесклеточная), гепатита B, полиомиелита вместе с вакциной для профилактики инфекции, вызываемой </t>
    </r>
    <r>
      <rPr>
        <i/>
        <sz val="10"/>
        <color theme="1"/>
        <rFont val="Arial"/>
      </rPr>
      <t>Haemophilus influenzae</t>
    </r>
    <r>
      <rPr>
        <sz val="10"/>
        <color theme="1"/>
        <rFont val="Arial"/>
      </rPr>
      <t xml:space="preserve"> тип </t>
    </r>
    <r>
      <rPr>
        <i/>
        <sz val="10"/>
        <color theme="1"/>
        <rFont val="Arial"/>
      </rPr>
      <t>b</t>
    </r>
    <r>
      <rPr>
        <sz val="10"/>
        <color theme="1"/>
        <rFont val="Arial"/>
      </rPr>
      <t xml:space="preserve">);
• вакцина для профилактики гепатита A;
• вакцина для профилактики менингококковой инфекции, вызываемой </t>
    </r>
    <r>
      <rPr>
        <i/>
        <sz val="10"/>
        <color theme="1"/>
        <rFont val="Arial"/>
      </rPr>
      <t>Neisseria meningitidis</t>
    </r>
    <r>
      <rPr>
        <sz val="10"/>
        <color theme="1"/>
        <rFont val="Arial"/>
      </rPr>
      <t xml:space="preserve"> серогруппы B;
• вакцина для профилактики менингококковой инфекции серогруппы C;
• вакцина для профилактики менингококковой инфекции серогрупп A, C, W, Y;
• вакцина пневмококковая конъюгированная.
Если вакцина Варилрикс подлежит применению одновременно с другой вакциной для парентерального введения, вакцины вводят в разные участки тела.
При применении вакцины Варилрикс с коревой вакциной, в случае если прививки не были сделаны в один день, рекомендуется соблюдать интервал 30 дней.
Лицам с повышенным риском тяжелого и осложненного течения ветряной оспы вакцину Варилрикс не следует назначать одновременно с другими живыми аттенуированными вакцинами, за исключением комбинированной вакцины против кори, краснухи и паротита. Однако если эти вакцины не были назначены одновременно, то интервал между их назначением для достижения максимального уровня антител должен составлять не менее 30 дней.</t>
    </r>
  </si>
  <si>
    <r>
      <rPr>
        <sz val="10"/>
        <color theme="1"/>
        <rFont val="Arial"/>
      </rPr>
      <t xml:space="preserve">&lt;p&gt;Вакцину Варилрикс можно вводить одновременно с инактивированными вакцинами национального календаря профилактических прививок и календаря прививок по эпидемическим показаниям, за исключением антирабической вакцины.&lt;br&gt;
Вакцину Варилрикс можно назначать в один день с вакцинами для профилактики кори, краснухи и паротита.&lt;/p&gt;
&lt;p&gt;В клинических исследованиях продемонстрировано, что вакцину Варилрикс можно применять одновременно с любой из перечисленных ниже моновалентных или комбинированных вакцин:
&lt;ul&gt;&lt;li&gt;вакцина для профилактики кори, краснухи и паротита;&lt;/li&gt;
&lt;li&gt;вакцина для профилактики дифтерии, столбняка, коклюша (бесклеточная);&lt;/li&gt;
&lt;li&gt;вакцина для профилактики дифтерии, столбняка, коклюша (бесклеточная) с пониженным количеством антигенов;&lt;/li&gt;
&lt;li&gt;вакцина для профилактики инфекции, вызываемой </t>
    </r>
    <r>
      <rPr>
        <i/>
        <sz val="10"/>
        <color theme="1"/>
        <rFont val="Arial"/>
      </rPr>
      <t>&lt;i&gt;Haemophilus influenzae&lt;/i&gt;</t>
    </r>
    <r>
      <rPr>
        <sz val="10"/>
        <color theme="1"/>
        <rFont val="Arial"/>
      </rPr>
      <t xml:space="preserve"> тип &lt;i&gt;</t>
    </r>
    <r>
      <rPr>
        <i/>
        <sz val="10"/>
        <color theme="1"/>
        <rFont val="Arial"/>
      </rPr>
      <t>b&lt;/i&gt;</t>
    </r>
    <r>
      <rPr>
        <sz val="10"/>
        <color theme="1"/>
        <rFont val="Arial"/>
      </rPr>
      <t>;&lt;/li&gt;
&lt;li&gt;вакцина для профилактики полиомиелита инактивированная;&lt;/li&gt;
&lt;li&gt;вакцина для профилактики гепатита B;&lt;/li&gt;
&lt;li&gt;шестивалентная вакцина (вакцина для профилактики дифтерии, столбняка, коклюша (бесклеточная), гепатита B, полиомиелита вместе с вакциной для профилактики инфекции, вызываемой &lt;i&gt;</t>
    </r>
    <r>
      <rPr>
        <i/>
        <sz val="10"/>
        <color theme="1"/>
        <rFont val="Arial"/>
      </rPr>
      <t>Haemophilus influenzae</t>
    </r>
    <r>
      <rPr>
        <sz val="10"/>
        <color theme="1"/>
        <rFont val="Arial"/>
      </rPr>
      <t>&lt;/i&gt; тип &lt;i&gt;</t>
    </r>
    <r>
      <rPr>
        <i/>
        <sz val="10"/>
        <color theme="1"/>
        <rFont val="Arial"/>
      </rPr>
      <t>b&lt;/i&gt;</t>
    </r>
    <r>
      <rPr>
        <sz val="10"/>
        <color theme="1"/>
        <rFont val="Arial"/>
      </rPr>
      <t>);&lt;/li&gt;
&lt;li&gt;вакцина для профилактики гепатита A;&lt;/li&gt;
&lt;li&gt;вакцина для профилактики менингококковой инфекции, вызываемой &lt;i&gt;</t>
    </r>
    <r>
      <rPr>
        <i/>
        <sz val="10"/>
        <color theme="1"/>
        <rFont val="Arial"/>
      </rPr>
      <t>Neisseria meningitidis&lt;/i&gt;</t>
    </r>
    <r>
      <rPr>
        <sz val="10"/>
        <color theme="1"/>
        <rFont val="Arial"/>
      </rPr>
      <t xml:space="preserve"> серогруппы B;&lt;/li&gt;
&lt;li&gt;вакцина для профилактики менингококковой инфекции серогруппы C;&lt;/li&gt;
&lt;li&gt;вакцина для профилактики менингококковой инфекции серогрупп A, C, W, Y;&lt;/li&gt;
&lt;li&gt;вакцина пневмококковая конъюгированная.&lt;/li&gt;&lt;/ul&gt;
Если вакцина Варилрикс подлежит применению одновременно с другой вакциной для парентерального введения, вакцины вводят в разные участки тела.&lt;br&gt;
При применении вакцины Варилрикс с коревой вакциной, в случае если прививки не были сделаны в один день, рекомендуется соблюдать интервал 30&amp;nbsp;дней.&lt;br&gt;
Лицам с повышенным риском тяжелого и осложненного течения ветряной оспы вакцину Варилрикс не следует назначать одновременно с другими живыми аттенуированными вакцинами, за исключением комбинированной вакцины против кори, краснухи и паротита. Однако если эти вакцины не были назначены одновременно, то интервал между их назначением для достижения максимального уровня антител должен составлять не менее 30&amp;nbsp;дней.&lt;/p&gt;</t>
    </r>
  </si>
  <si>
    <t>Допускается проводить вакцинацию против желтой лихорадки одновременно (в один день) с другими прививками национального календаря профилактических прививок и календаря профилактических прививок по эпидемическим показаниям за исключением вакцин для профилактики туберкулеза. Однако, чтобы обеспечить максимальный защитный эффект для детей до 15 лет, рекомендуется по возможности соблюдать интервал не менее 2 месяцев между предшествующей вакцинацией против желтой лихорадки и вакцинациями против других заболеваний.
В случае необходимости применения вакцины одновременно с другими прививками, препараты следует вводить в разные анатомические области тела.
Не рекомендовано использование вакцины желтой лихорадки одновременно с живой вакциной для профилактики холеры. При проведении вакцинации в разные дни, интервал между вакцинациями должен быть не менее одного месяца.</t>
  </si>
  <si>
    <t>&lt;p&gt;Допускается проводить вакцинацию против желтой лихорадки одновременно (в один день) с другими прививками национального календаря профилактических прививок и календаря профилактических прививок по эпидемическим показаниям за исключением вакцин для профилактики туберкулеза. Однако, чтобы обеспечить максимальный защитный эффект для детей до 15&amp;nbsp;лет, рекомендуется по возможности соблюдать интервал не менее 2&amp;nbsp;месяцев между предшествующей вакцинацией против желтой лихорадки и вакцинациями против других заболеваний.&lt;br&gt;
В случае необходимости применения вакцины одновременно с другими прививками, препараты следует вводить в разные анатомические области тела.&lt;br&gt;
Не рекомендовано использование вакцины желтой лихорадки одновременно с живой вакциной для профилактики холеры. При проведении вакцинации в разные дни, интервал между вакцинациями должен быть не менее одного месяца.&lt;/p&gt;</t>
  </si>
  <si>
    <t>Допускается одновременная накожная вакцинация взрослых старше 18 лет живыми вакцинами против туляремии, бруцеллеза и чумы (на разных участках тела).</t>
  </si>
  <si>
    <t>&lt;p&gt;Допускается одновременная накожная вакцинация взрослых старше 18&amp;nbsp;лет живыми вакцинами против туляремии, бруцеллеза и чумы (на разных участках тела).&lt;/p&gt;</t>
  </si>
  <si>
    <t>Допускается одновременная накожная вакцинация взрослых против чумы, бруцеллеза и туляремии на разных участках наружной поверхности верхней трети плеча.</t>
  </si>
  <si>
    <t>&lt;p&gt;Допускается одновременная накожная вакцинация взрослых против чумы, бруцеллеза и туляремии на разных участках наружной поверхности верхней трети плеча.&lt;/p&gt;</t>
  </si>
  <si>
    <t>Допускается одновременная пероральная вакцинация взрослых против чумы и нaкожная против бруцеллеза и туляремии на разных участках наружной поверхности верхней трети плеча.</t>
  </si>
  <si>
    <t>&lt;p&gt;Допускается одновременная пероральная вакцинация взрослых против чумы и нaкожная против бруцеллеза и туляремии на разных участках наружной поверхности верхней трети плеча.&lt;/p&gt;</t>
  </si>
  <si>
    <t>Допускается одновременная накожная вакцинация взрослых против чумы, бруцеллеза и туляремии на разных участках наружной поверхности верхней трети плеча разными шприцами и иглами.</t>
  </si>
  <si>
    <t>&lt;p&gt;Допускается одновременная накожная вакцинация взрослых против чумы, бруцеллеза и туляремии на разных участках наружной поверхности верхней трети плеча разными шприцами и иглами.&lt;/p&gt;</t>
  </si>
  <si>
    <t xml:space="preserve">Инструкция не содержит указаний по взаимодействию с другими вакцинами. </t>
  </si>
  <si>
    <t>&lt;p&gt;&lt;i&gt;Инструкция не содержит указаний по взаимодействию с другими вакцинами.&lt;/i&gt;&lt;/p&gt;</t>
  </si>
  <si>
    <t>Прививки против бруцеллеза проводят не ранее чем через 1 мес после других профилактических прививок или за 1 мес до них.
Допускается одновременная накожная вакцинация живыми вакцинами против бруцеллеза с прививками против одной из следующих инфекций: ку-риккетсиоза, туляремии и чумы.</t>
  </si>
  <si>
    <t>&lt;p&gt;Прививки против бруцеллеза проводят не ранее чем через 1&amp;nbsp;мес после других профилактических прививок или за 1&amp;nbsp;мес до них.&lt;/p&gt;
&lt;p&gt;Допускается одновременная накожная вакцинация живыми вакцинами против бруцеллеза с прививками против одной из следующих инфекций: ку-риккетсиоза, туляремии и чумы.&lt;/p&gt;</t>
  </si>
  <si>
    <t>Интервал между вакцинацией против сибирской язвы и введением других вакцин должен быть не менее одного месяца, а в отношении детских контингентов — не менее двух месяцев.</t>
  </si>
  <si>
    <t>&lt;p&gt;Интервал между вакцинацией против сибирской язвы и введением других вакцин должен быть не менее одного месяца, а в отношении детских контингентов — не менее двух месяцев.&lt;/p&gt;</t>
  </si>
  <si>
    <t>Во время проведения курса постэкспозиционной иммунизации допускается одновременное применение анатоксина столбнячного и противостолбнячной сыворотки. После окончания вакцинации против бешенства проведение вакцинации против других инфекционных заболеваний допускается не ранее чем через 2 месяца. Предэкспозиционную иммунизацию проводят не ранее чем через 1 месяц после вакцинации против другого инфекционного заболевания.</t>
  </si>
  <si>
    <t>&lt;p&gt;Во время проведения курса постэкспозиционной иммунизации допускается одновременное применение анатоксина столбнячного и противостолбнячной сыворотки. После окончания вакцинации против бешенства проведение вакцинации против других инфекционных заболеваний допускается не ранее чем через 2&amp;nbsp;месяца. Предэкспозиционную иммунизацию проводят не ранее чем через 1&amp;nbsp;месяц после вакцинации против другого инфекционного заболевания.&lt;/p&gt;</t>
  </si>
  <si>
    <t>Допускается введение инактивированных вакцин, применяемых в рамках календаря профилактических прививок по эпидемическим показаниям и национального календаря профилактических прививок, в один день разными шприцами в разные участки тела.</t>
  </si>
  <si>
    <t>&lt;p&gt;Допускается введение инактивированных вакцин, применяемых в рамках календаря профилактических прививок по эпидемическим показаниям и национального календаря профилактических прививок, в один день разными шприцами в разные участки тела.&lt;/p&gt;</t>
  </si>
  <si>
    <t>Прививки проводят не ранее чем через 1 месяц после предыдущей иммунизации другими вакцинами. Допускаются одновременные прививки вакцинами против Ку-лихорадки и бруцеллеза. Бруцеллезную вакцину вводят в соответствии с инструкцией по применению препарата в другую руку.</t>
  </si>
  <si>
    <t>&lt;p&gt;Прививки проводят не ранее чем через 1&amp;nbsp;месяц после предыдущей иммунизации другими вакцинами. Допускаются одновременные прививки вакцинами против Ку-лихорадки и бруцеллеза. Бруцеллезную вакцину вводят в соответствии с инструкцией по применению препарата в другую руку.&lt;/p&gt;</t>
  </si>
  <si>
    <t>В соответствии с национальными рекомендациями допускается одновременное введение вакцины ВИАНВАК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ВИАНВАК является неживой.</t>
  </si>
  <si>
    <t>&lt;p&gt;В соответствии с национальными рекомендациями допускается одновременное введение вакцины ВИАНВАК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ВИАНВАК является неживой.&lt;/p.</t>
  </si>
  <si>
    <t>После введения брюшнотифозной вакцины плановые прививки другими препаратами проводят не ранее чем через 1 месяц.</t>
  </si>
  <si>
    <t>&lt;p&gt;После введения брюшнотифозной вакцины плановые прививки другими препаратами проводят не ранее чем через 1&amp;nbsp;месяц.&lt;/p&gt;</t>
  </si>
  <si>
    <t>В соответствии с национальными рекомендациями допускается одновременное введение вакцины Шигеллвак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Шигеллвак является неживой.</t>
  </si>
  <si>
    <t>&lt;p&gt;В соответствии с национальными рекомендациями допускается одновременное введение вакцины Шигеллвак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Шигеллвак является неживой.&lt;/p&gt;</t>
  </si>
  <si>
    <t>Не изучалось.
Ввиду отсутствия данных исследований совместимости, вакцину КовиВак (Вакцина коронавирусная инактивированная цельновирионная концентрированная очищенная) нельзя смешивать с другими вакцинами в одном шприце.</t>
  </si>
  <si>
    <t>&lt;p&gt;Не изучалось.&lt;/p&gt;
&lt;p&gt;Ввиду отсутствия данных исследований совместимости, вакцину КовиВак (Вакцина коронавирусная инактивированная цельновирионная концентрированная очищенная) нельзя смешивать с другими вакцинами в одном шприце.&lt;/p&gt;</t>
  </si>
  <si>
    <t>Взаимодействие с лекарственным препаратом для профилактики гриппа изучено в доклинических исследованиях, показано отсутствие снижения иммуногенности как лекарственного препарата «Спутник Лайт (Векторная вакцина для профилактики коронавирусной инфекции, вызываемой вирусом SARS-CoV-2)», так и гриппозной вакцины в эксперименте при их одновременном введении. Ожидается отсутствие снижения иммуногенности для расщепленных, субъединичных и полимерсубъединичных гриппозных вакцин.
Допускается одновременное введение вакцины Спутник Лайт с другими вакцинами при условии их введения разными шприцами в разные участки тела. При необходимости допускается введение более одной вакцины в одну мышцу, при этом следует сделать отступ между местами инъекции в 2,5—3 см, чтобы в случае возникновения местной реакции была возможность дифференцировать, какая вакцина ее вызвала. В случае раздельного (не в один календарный день) введения вакцины Спутник Лайт и других вакцин, допустим любой интервал между введениями, т.к. вакцина Спутник Лайт является неживой.</t>
  </si>
  <si>
    <t>&lt;p&gt;Взаимодействие с лекарственным препаратом для профилактики гриппа изучено в доклинических исследованиях, показано отсутствие снижения иммуногенности как лекарственного препарата «Спутник Лайт (Векторная вакцина для профилактики коронавирусной инфекции, вызываемой вирусом SARS-CoV-2)», так и гриппозной вакцины в эксперименте при их одновременном введении. Ожидается отсутствие снижения иммуногенности для расщепленных, субъединичных и полимерсубъединичных гриппозных вакцин.&lt;br&gt;
Допускается одновременное введение вакцины Спутник Лайт с другими вакцинами при условии их введения разными шприцами в разные участки тела. При необходимости допускается введение более одной вакцины в одну мышцу, при этом следует сделать отступ между местами инъекции в 2,5—3&amp;nbsp;см, чтобы в случае возникновения местной реакции была возможность дифференцировать, какая вакцина ее вызвала. В случае раздельного (не в один календарный день) введения вакцины Спутник Лайт и других вакцин, допустим любой интервал между введениями, т.к. вакцина Спутник Лайт является неживой.&lt;/p&gt;</t>
  </si>
  <si>
    <t>Не изучалось. Ввиду отсутствия данных исследований совместимости, вакцину Гам-КОВИД-Вак-М (Комбинированная векторная вакцина для профилактики коронавирусной инфекции, вызываемой вирусом SARS-CoV-2) нельзя смешивать с другими вакцинами в одном шприце.</t>
  </si>
  <si>
    <t>&lt;p&gt;Не изучалось. Ввиду отсутствия данных исследований совместимости, вакцину Гам-КОВИД-Вак-М (Комбинированная векторная вакцина для профилактики коронавирусной инфекции, вызываемой вирусом SARS-CoV-2) нельзя смешивать с другими вакцинами в одном шприце.&lt;/p&gt;</t>
  </si>
  <si>
    <t>Взаимодействие с лекарственным препаратом для профилактики гриппа изучено в доклинических исследованиях, показано отсутствие снижения иммуногенности лекарственного препарата Конвасэл в эксперименте при одновременном введении вакцины для профилактики гриппа и вакцины Конвасэл. Ожидается отсутствие снижения иммуногенности для расщепленных, субъединичных и полимерсубъединичных гриппозных вакцин.
Допускается одновременное введение вакцины Конвасэл с другими вакцинами (кроме БЦЖ) при условии их введения разными шприцами в разные участки тела. В случае раздельного (не в один календарный день) введения вакцины Конвасэл и других вакцин, допустим любой интервал между введениями, т.к. вакцина Конвасэл является неживой.</t>
  </si>
  <si>
    <t>&lt;p&gt;Взаимодействие с лекарственным препаратом для профилактики гриппа изучено в доклинических исследованиях, показано отсутствие снижения иммуногенности лекарственного препарата Конвасэл в эксперименте при одновременном введении вакцины для профилактики гриппа и вакцины Конвасэл. Ожидается отсутствие снижения иммуногенности для расщепленных, субъединичных и полимерсубъединичных гриппозных вакцин.&lt;br&gt;
Допускается одновременное введение вакцины Конвасэл с другими вакцинами (кроме БЦЖ) при условии их введения разными шприцами в разные участки тела. В случае раздельного (не в один календарный день) введения вакцины Конвасэл и других вакцин, допустим любой интервал между введениями, т.к. вакцина Конвасэл является неживой.&lt;/p&gt;</t>
  </si>
  <si>
    <r>
      <rPr>
        <sz val="10"/>
        <color theme="1"/>
        <rFont val="Arial"/>
      </rPr>
      <t xml:space="preserve">Вакцину Рота-V-Эйд можно вводить одновременно с другими вакцинами в рамках программы иммунизации детей, включая комбинированные вакцины против коклюша, дифтерии и столбняка, инактивированную полиомиелитную вакцину, оральную полиомиелитную вакцину, вакцину против </t>
    </r>
    <r>
      <rPr>
        <i/>
        <sz val="10"/>
        <color theme="1"/>
        <rFont val="Arial"/>
      </rPr>
      <t>Haemophilus influenzae</t>
    </r>
    <r>
      <rPr>
        <sz val="10"/>
        <color theme="1"/>
        <rFont val="Arial"/>
      </rPr>
      <t xml:space="preserve"> типа </t>
    </r>
    <r>
      <rPr>
        <i/>
        <sz val="10"/>
        <color theme="1"/>
        <rFont val="Arial"/>
      </rPr>
      <t>b</t>
    </r>
    <r>
      <rPr>
        <sz val="10"/>
        <color theme="1"/>
        <rFont val="Arial"/>
      </rPr>
      <t>, вакцину против гепатита В и конъюгированную пневмококковую вакцину.
Одновременным считается введение вакцин в пределах одного календарного дня.
В связи с тем, что оральная ротавирусная вакцина может обладать успокаивающим действием при введении ребенку из-за содержания в составе сахарозы, рекомендуется вводить ее перед введением инъекционных вакцин при одновременном применении.</t>
    </r>
  </si>
  <si>
    <r>
      <rPr>
        <sz val="10"/>
        <color theme="1"/>
        <rFont val="Arial"/>
      </rPr>
      <t>&lt;p&gt;Вакцину Рота-V-Эйд можно вводить одновременно с другими вакцинами в рамках программы иммунизации детей, включая комбинированные вакцины против коклюша, дифтерии и столбняка, инактивированную полиомиелитную вакцину, оральную полиомиелитную вакцину, вакцину против &lt;i&gt;</t>
    </r>
    <r>
      <rPr>
        <i/>
        <sz val="10"/>
        <color theme="1"/>
        <rFont val="Arial"/>
      </rPr>
      <t>Haemophilus influenzae&lt;/i&gt;</t>
    </r>
    <r>
      <rPr>
        <sz val="10"/>
        <color theme="1"/>
        <rFont val="Arial"/>
      </rPr>
      <t xml:space="preserve"> типа &lt;i&gt;</t>
    </r>
    <r>
      <rPr>
        <i/>
        <sz val="10"/>
        <color theme="1"/>
        <rFont val="Arial"/>
      </rPr>
      <t>b&lt;/i&gt;</t>
    </r>
    <r>
      <rPr>
        <sz val="10"/>
        <color theme="1"/>
        <rFont val="Arial"/>
      </rPr>
      <t>, вакцину против гепатита В и конъюгированную пневмококковую вакцину.&lt;br&gt;
Одновременным считается введение вакцин в пределах одного календарного дня.&lt;br&gt;
В связи с тем, что оральная ротавирусная вакцина может обладать успокаивающим действием при введении ребенку из-за содержания в составе сахарозы, рекомендуется вводить ее перед введением инъекционных вакцин при одновременном применении.&lt;/p&gt;</t>
    </r>
  </si>
  <si>
    <t>Допускается введение вакцин (кроме вакцин для профилактики туберкулеза), применяемых в рамках национального календаря профилактических прививок, в один день разными шприцами в разные участки тела.</t>
  </si>
  <si>
    <t>&lt;p&gt;Допускается введение вакцин (кроме вакцин для профилактики туберкулеза), применяемых в рамках национального календаря профилактических прививок, в один день разными шприцами в разные участки тела.&lt;/p&gt;</t>
  </si>
  <si>
    <r>
      <rPr>
        <sz val="10"/>
        <color theme="1"/>
        <rFont val="Arial"/>
      </rPr>
      <t xml:space="preserve">В клинических исследованиях продемонстрировано, что вакцину Приорикс-Тетра можно применять одновременно с любой из перечисленных ниже моновалентных или комбинированных вакцин:
• шестикомпонентная адсорбированная вакцина АаКДС-ГепВ-ИПВ/Хиб;
• бесклеточная коклюшно-дифтерийно-столбнячная вакцина (АаКДС);
• вакцина для профилактики инфекций, вызываемых </t>
    </r>
    <r>
      <rPr>
        <i/>
        <sz val="10"/>
        <color theme="1"/>
        <rFont val="Arial"/>
      </rPr>
      <t>Haemophilus influenzae</t>
    </r>
    <r>
      <rPr>
        <sz val="10"/>
        <color theme="1"/>
        <rFont val="Arial"/>
      </rPr>
      <t xml:space="preserve"> тип </t>
    </r>
    <r>
      <rPr>
        <i/>
        <sz val="10"/>
        <color theme="1"/>
        <rFont val="Arial"/>
      </rPr>
      <t>b</t>
    </r>
    <r>
      <rPr>
        <sz val="10"/>
        <color theme="1"/>
        <rFont val="Arial"/>
      </rPr>
      <t xml:space="preserve"> (Хиб);
• вакцина для профилактики полиомиелита инактивированная (ИПВ);
• вакцина для профилактики вирусного гепатита B (ГепB);
• вакцина для профилактики вирусного гепатита А;
• вакцина для профилактики пневмококковых инфекций конъюгированная.
Если вакцина Приорикс-Тетра подлежит применению одновременно с другой вакциной для парентерального введения, введение вакцин выполняют в разные участки тела.</t>
    </r>
  </si>
  <si>
    <r>
      <rPr>
        <sz val="10"/>
        <color theme="1"/>
        <rFont val="Arial"/>
      </rPr>
      <t>&lt;p&gt;В клинических исследованиях продемонстрировано, что вакцину Приорикс-Тетра можно применять одновременно с любой из перечисленных ниже моновалентных или комбинированных вакцин:
&lt;ul&gt;&lt;li&gt;шестикомпонентная адсорбированная вакцина АаКДС-ГепВ-ИПВ/Хиб;&lt;/li&gt;
&lt;li&gt;бесклеточная коклюшно-дифтерийно-столбнячная вакцина (АаКДС);&lt;/li&gt;
&lt;li&gt;вакцина для профилактики инфекций, вызываемых &lt;i&gt;</t>
    </r>
    <r>
      <rPr>
        <i/>
        <sz val="10"/>
        <color theme="1"/>
        <rFont val="Arial"/>
      </rPr>
      <t>Haemophilus influenzae&lt;/i&gt;</t>
    </r>
    <r>
      <rPr>
        <sz val="10"/>
        <color theme="1"/>
        <rFont val="Arial"/>
      </rPr>
      <t xml:space="preserve"> тип </t>
    </r>
    <r>
      <rPr>
        <i/>
        <sz val="10"/>
        <color theme="1"/>
        <rFont val="Arial"/>
      </rPr>
      <t>&lt;i&gt;b&lt;/i&gt;</t>
    </r>
    <r>
      <rPr>
        <sz val="10"/>
        <color theme="1"/>
        <rFont val="Arial"/>
      </rPr>
      <t xml:space="preserve"> (Хиб);&lt;/li&gt;
&lt;li&gt;вакцина для профилактики полиомиелита инактивированная (ИПВ);&lt;/li&gt;
&lt;li&gt;вакцина для профилактики вирусного гепатита B (ГепB);&lt;/li&gt;
&lt;li&gt;вакцина для профилактики вирусного гепатита А;&lt;/li&gt;
&lt;li&gt;вакцина для профилактики пневмококковых инфекций конъюгированная.&lt;/li&gt;&lt;/ul&gt;
Если вакцина Приорикс-Тетра подлежит применению одновременно с другой вакциной для парентерального введения, введение вакцин выполняют в разные участки тела.&lt;/p&gt;</t>
    </r>
  </si>
  <si>
    <r>
      <rPr>
        <sz val="10"/>
        <color theme="1"/>
        <rFont val="Arial"/>
      </rPr>
      <t xml:space="preserve">Вакцину Менвео можно вводить одновременно с вакциной для профилактики менингококковой инфекции, вызываемой </t>
    </r>
    <r>
      <rPr>
        <i/>
        <sz val="10"/>
        <color theme="1"/>
        <rFont val="Arial"/>
      </rPr>
      <t>Neisseria meningitidis</t>
    </r>
    <r>
      <rPr>
        <sz val="10"/>
        <color theme="1"/>
        <rFont val="Arial"/>
      </rPr>
      <t xml:space="preserve"> серогруппы B (Бексеро).
Детям в возрасте от 2 до 23 месяцев, вакцинированным в ходе клинических исследований, вакцину Менвео вводили одновременно с вакцинами, содержащими следующие антигены: дифтерийный анатоксин, коклюшный антиген бесклеточный, столбнячный анатоксин, капсульный полисахарид </t>
    </r>
    <r>
      <rPr>
        <i/>
        <sz val="10"/>
        <color theme="1"/>
        <rFont val="Arial"/>
      </rPr>
      <t>Haemophilus influenzae</t>
    </r>
    <r>
      <rPr>
        <sz val="10"/>
        <color theme="1"/>
        <rFont val="Arial"/>
      </rPr>
      <t xml:space="preserve"> типа b (Hib), инактивированный вирус полиомиелита, антиген вируса гепатита В, инактивированный вирус гепатита А, капсульные антигены 7-валетной и 13-валетной пневмококковой конъюгированной вакцины (ПКВ 7 и ПКВ 13), пятивалентный ротавирус, a также вирусы кори, эпидемического паротита, краснухи и ветряной оспы. Увеличение реактогенности или изменение профиля безопасности рутинной вакцинации не наблюдалось.
В ходе 2 клинических исследований с участием детей, которых начинали вакцинировать в возрасте 2 месяцев, вакцину Менвео вводили одновременно с плановыми вакцинами для детей, такими как противодифтерийная вакцина, противококлюшная вакцина (бесклеточная), противостолбнячная вакцина, инактивированная вакцина против полиомиелита типов 1, 2 и 3, вакцина против гепатита В (ВГВ), вакцина против инфекции, вызываемой </t>
    </r>
    <r>
      <rPr>
        <i/>
        <sz val="10"/>
        <color theme="1"/>
        <rFont val="Arial"/>
      </rPr>
      <t>Haemophilus influenzae</t>
    </r>
    <r>
      <rPr>
        <sz val="10"/>
        <color theme="1"/>
        <rFont val="Arial"/>
      </rPr>
      <t xml:space="preserve"> типа b (Hib), пятивалентная ротавирусная вакцина и 7-валентная пневмококковая конъюгированная вакцина.
Четвертую дозу вакцины Менвео вводили детям в возрасте от 12 месяцев одновременно со следующими вакцинами: 7-валетной пневмококковой конъюгированной вакциной, комбинированной вакциной для профилактики кори, эпидемического паротита, краснухи и вакциной для профилактики ветряной оспы или комбинированной вакциной для профилактики кори, эпидемического паротита, краснухи и ветряной оспы, а также инактивированной вакциной против гепатита А.
Одновременное введение вакцин не вызвало иммунной интерференции (клинически значимого изменения в выработке антител против каждого из антигенов, входящих в состав вакцин); исключение составил антиген серотипа 6В, входящий в состав пневмококковой вакцины, после введения 3 дозы.
Интерференция не наблюдалась после введения 4 дозы пневмококковых вакцин всех серотипов.
В ходе клинического исследования с участием детей (в возрасте ≥7 месяцев), вакцину Менвео вводили участникам одновременно с комбинированной вакциной для профилактики кори, эпидемического паротита, краснухи и вакциной для профилактики ветряной оспы или комбинированной вакциной для профилактики кори, эпидемического паротита, краснухи и ветряной оспы в возрасте 12 месяцев. Одновременное введение вакцин не вызвало иммунной интерференции.
Для детей в возрасте от 2 до 10 лет данные по оценке безопасности и иммуногенности других детских вакцин при введении одновременно с вакциной Менвео отсутствуют.
Подросткам в возрасте от 11 до 18 лет вакцину Менвео можно вводить одновременно с АаКДС с уменьшенным содержанием дифтерийного и коклюшного антигенов и рекомбинантной четырехвалентной вакциной против вируса папилломы человека (ВПЧ) типов 6, 11, 16 и 18.
Для данной возрастной группы оценка вакцины Менвео проводилась в рамках 2 клинических исследований, в ходе которых вакцина вводилась совместно с вакциной АаКДС с уменьшенным содержанием дифтерийного и коклюшного антигенов или вакцинами АаКДС с уменьшенным содержанием дифтерийного и коклюшного антигенов и ВПЧ. Признаки увеличения степени реактогенности и изменения профиля безопасности вакцины не наблюдались на протяжении обоих исследований. Совместное введение не оказало отрицательного влияния на развитие серологического иммунного ответа на компоненты вакцины Менвео и вакцины АаКДС с уменьшенным содержанием дифтерийного и коклюшного антигенов или вакцины против ВПЧ. В результате последовательного введения вакцины Менвео через 1 месяц после вакцины АаКДС с уменьшенным содержанием дифтерийного и коклюшного антигенов наблюдалось снижение иммунного ответа на серогруппу W₁₃₅ при оценке доли вакцинированных с серологическим ответом.
Но поскольку у не менее чем 95% вакцинированных после вакцинации уровень hSBA против серогруппы С составлял ≥8, клиническая значимость этих данных неизвестна.
Взрослым вакцину Менвео можно вводить одновременно с вакциной для профилактики гепатита А, вакциной для профилактики гепатита В, вакциной против желтой лихорадки, брюшнотифозной вакциной (полисахарид Vi), вакциной против японского энцефалита и антирабической вакциной.
Совместное введение вакцины Менвео с вакциной для профилактики гепатита А и вакциной для профилактики гепатита В, либо с брюшнотифозной вакциной и вакциной против желтой лихорадки, либо с вакциной против японского энцефалита и антирабической вакциной было оценено в ходе клинического исследования у взрослых. Значимая интерференция серологических иммунных ответов на антигены вирусов гепатита А и В, полисахарида Vi брюшного тифа, желтой лихорадки, японского энцефалита и бешенства после завершения курса вакцинации не наблюдалась. Одновременное введение вакцин не оказало отрицательного влияния на иммунный ответ на вакцину Менвео. Изменения в профиле безопасности вакцины не наблюдались.
Одновременное применение вакцины Менвео с другими вакцинами, кроме перечисленных выше, не изучалось. При необходимости одновременного введения Менвео с другими инъекционными вакцинами, вакцины должны вводиться в разные участки тела, предпочтительно контралатерально.</t>
    </r>
  </si>
  <si>
    <r>
      <rPr>
        <sz val="10"/>
        <color theme="1"/>
        <rFont val="Arial"/>
      </rPr>
      <t xml:space="preserve">&lt;p&gt;Вакцину Менвео можно вводить одновременно с вакциной для профилактики менингококковой инфекции, вызываемой </t>
    </r>
    <r>
      <rPr>
        <i/>
        <sz val="10"/>
        <color theme="1"/>
        <rFont val="Arial"/>
      </rPr>
      <t>&lt;i&gt;Neisseria meningitidis&lt;/i&gt;</t>
    </r>
    <r>
      <rPr>
        <sz val="10"/>
        <color theme="1"/>
        <rFont val="Arial"/>
      </rPr>
      <t xml:space="preserve"> серогруппы&amp;nbsp;B (Бексеро).&lt;/p&gt;
&lt;p&gt;Детям в возрасте от 2 до 23&amp;nbsp;месяцев, вакцинированным в ходе клинических исследований, вакцину Менвео вводили одновременно с вакцинами, содержащими следующие антигены: дифтерийный анатоксин, коклюшный антиген бесклеточный, столбнячный анатоксин, капсульный полисахарид </t>
    </r>
    <r>
      <rPr>
        <i/>
        <sz val="10"/>
        <color theme="1"/>
        <rFont val="Arial"/>
      </rPr>
      <t>Haemophilus influenzae</t>
    </r>
    <r>
      <rPr>
        <sz val="10"/>
        <color theme="1"/>
        <rFont val="Arial"/>
      </rPr>
      <t xml:space="preserve"> типа b (Hib), инактивированный вирус полиомиелита, антиген вируса гепатита В, инактивированный вирус гепатита А, капсульные антигены 7-валетной и 13-валетной пневмококковой конъюгированной вакцины (ПКВ&amp;nbsp;7 и ПКВ&amp;nbsp;13), пятивалентный ротавирус, a также вирусы кори, эпидемического паротита, краснухи и ветряной оспы. Увеличение реактогенности или изменение профиля безопасности рутинной вакцинации не наблюдалось.&lt;/p&gt;
&lt;p&gt;В ходе 2&amp;nbsp;клинических исследований с участием детей, которых начинали вакцинировать в возрасте 2&amp;nbsp;месяцев, вакцину Менвео вводили одновременно с плановыми вакцинами для детей, такими как противодифтерийная вакцина, противококлюшная вакцина (бесклеточная), противостолбнячная вакцина, инактивированная вакцина против полиомиелита типов 1, 2 и 3, вакцина против гепатита В (ВГВ), вакцина против инфекции, вызываемой </t>
    </r>
    <r>
      <rPr>
        <i/>
        <sz val="10"/>
        <color theme="1"/>
        <rFont val="Arial"/>
      </rPr>
      <t>&lt;i&gt;Haemophilus influenzae&lt;/i&gt;</t>
    </r>
    <r>
      <rPr>
        <sz val="10"/>
        <color theme="1"/>
        <rFont val="Arial"/>
      </rPr>
      <t xml:space="preserve"> типа b (Hib), пятивалентная ротавирусная вакцина и 7-валентная пневмококковая конъюгированная вакцина.&lt;/p&gt;
&lt;p&gt;Четвертую дозу вакцины Менвео вводили детям в возрасте от 12&amp;nbsp;месяцев одновременно со следующими вакцинами: 7-валетной пневмококковой конъюгированной вакциной, комбинированной вакциной для профилактики кори, эпидемического паротита, краснухи и вакциной для профилактики ветряной оспы или комбинированной вакциной для профилактики кори, эпидемического паротита, краснухи и ветряной оспы, а также инактивированной вакциной против гепатита А.&lt;/p&gt;
&lt;p&gt;Одновременное введение вакцин не вызвало иммунной интерференции (клинически значимого изменения в выработке антител против каждого из антигенов, входящих в состав вакцин); исключение составил антиген серотипа&amp;nbsp;6В, входящий в состав пневмококковой вакцины, после введения 3&amp;nbsp;дозы.&lt;/p&gt;
&lt;p&gt;Интерференция не наблюдалась после введения 4 дозы пневмококковых вакцин всех серотипов.&lt;/p&gt;
&lt;p&gt;В ходе клинического исследования с участием детей (в возрасте ≥7&amp;nbsp;месяцев), вакцину Менвео вводили участникам одновременно с комбинированной вакциной для профилактики кори, эпидемического паротита, краснухи и вакциной для профилактики ветряной оспы или комбинированной вакциной для профилактики кори, эпидемического паротита, краснухи и ветряной оспы в возрасте 12&amp;nbsp;месяцев. Одновременное введение вакцин не вызвало иммунной интерференции.&lt;/p&gt;
&lt;p&gt;Для детей в возрасте от 2 до 10&amp;nbsp;лет данные по оценке безопасности и иммуногенности других детских вакцин при введении одновременно с вакциной Менвео отсутствуют.
Подросткам в возрасте от 11 до 18&amp;nbsp;лет вакцину Менвео можно вводить одновременно с АаКДС с уменьшенным содержанием дифтерийного и коклюшного антигенов и рекомбинантной четырехвалентной вакциной против вируса папилломы человека (ВПЧ) типов 6, 11, 16 и 18.&lt;/p&gt;
&lt;p&gt;Для данной возрастной группы оценка вакцины Менвео проводилась в рамках 2&amp;nbsp;клинических исследований, в ходе которых вакцина вводилась совместно с вакциной АаКДС с уменьшенным содержанием дифтерийного и коклюшного антигенов или вакцинами АаКДС с уменьшенным содержанием дифтерийного и коклюшного антигенов и ВПЧ. Признаки увеличения степени реактогенности и изменения профиля безопасности вакцины не наблюдались на протяжении обоих исследований. Совместное введение не оказало отрицательного влияния на развитие серологического иммунного ответа на компоненты вакцины Менвео и вакцины АаКДС с уменьшенным содержанием дифтерийного и коклюшного антигенов или вакцины против ВПЧ. В результате последовательного введения вакцины Менвео через 1&amp;nbsp;месяц после вакцины АаКДС с уменьшенным содержанием дифтерийного и коклюшного антигенов наблюдалось снижение иммунного ответа на серогруппу&amp;nbsp;W₁₃₅ при оценке доли вакцинированных с серологическим ответом.&lt;/p&gt;
&lt;p&gt;Но поскольку у не менее чем 95% вакцинированных после вакцинации уровень hSBA против серогруппы&amp;nbsp;С составлял ≥8, клиническая значимость этих данных неизвестна.
Взрослым вакцину Менвео можно вводить одновременно с вакциной для профилактики гепатита А, вакциной для профилактики гепатита В, вакциной против желтой лихорадки, брюшнотифозной вакциной (полисахарид&amp;nbsp;Vi), вакциной против японского энцефалита и антирабической вакциной.&lt;/p&gt;
&lt;p&gt;Совместное введение вакцины Менвео с вакциной для профилактики гепатита А и вакциной для профилактики гепатита В, либо с брюшнотифозной вакциной и вакциной против желтой лихорадки, либо с вакциной против японского энцефалита и антирабической вакциной было оценено в ходе клинического исследования у взрослых. Значимая интерференция серологических иммунных ответов на антигены вирусов гепатита А и В, полисахарида&amp;nbsp;Vi брюшного тифа, желтой лихорадки, японского энцефалита и бешенства после завершения курса вакцинации не наблюдалась. Одновременное введение вакцин не оказало отрицательного влияния на иммунный ответ на вакцину Менвео. Изменения в профиле безопасности вакцины не наблюдались.&lt;/p&gt;
&lt;p&gt;Одновременное применение вакцины Менвео с другими вакцинами, кроме перечисленных выше, не изучалось. При необходимости одновременного введения Менвео с другими инъекционными вакцинами, вакцины должны вводиться в разные участки тела, предпочтительно контралатерально.&lt;/p&gt;</t>
    </r>
  </si>
  <si>
    <t>Вакцинация может быть проведена одновременно (в один день) с любыми другими прививками Национального календаря профилактических прививок и календаря профилактических прививок по эпидемическим показаниям, за исключением вакцин для профилактики туберкулеза. При этом препараты вводят отдельными шприцами в разные участки тела. При необходимости раздельного (не в один календарный день) введения вакцины Флю-м Тетра и других вакцин, допустим любой интервал между введениями, т.к. вакцина Флю-М Тетра является инактивированной. Интервал до и после введения вакцины для профилактики туберкулеза и вакцины Флю-М Тетра составляет 1 месяц.</t>
  </si>
  <si>
    <t>&lt;p&gt;Вакцинация может быть проведена одновременно (в один день) с любыми другими прививками Национального календаря профилактических прививок и календаря профилактических прививок по эпидемическим показаниям, за исключением вакцин для профилактики туберкулеза. При этом препараты вводят отдельными шприцами в разные участки тела. При необходимости раздельного (не в один календарный день) введения вакцины Флю-м Тетра и других вакцин, допустим любой интервал между введениями, т.к. вакцина Флю-М Тетра является инактивированной. Интервал до и после введения вакцины для профилактики туберкулеза и вакцины Флю-М Тетра составляет 1&amp;nbsp;месяц.&lt;/p&gt;</t>
  </si>
  <si>
    <t>Согласно официальным рекомендациям, инактивированные вакцины могут применяться одновременно с другими вакцинами, применяемыми для плановой иммунизации.
В случае одновременного введения препараты должны вводиться в разные участки тела с использованием разных шприцев.</t>
  </si>
  <si>
    <t>&lt;p&gt;Согласно официальным рекомендациям, инактивированные вакцины могут применяться одновременно с другими вакцинами, применяемыми для плановой иммунизации.&lt;br&gt;
В случае одновременного введения препараты должны вводиться в разные участки тела с использованием разных шприцев.&lt;/p&gt;</t>
  </si>
  <si>
    <t>Проверено Елена Савинова. Раздел 2, подраздел "Другие препараты и препарат Ваксигрип Тетра".</t>
  </si>
  <si>
    <r>
      <rPr>
        <i/>
        <sz val="10"/>
        <color theme="1"/>
        <rFont val="Arial"/>
      </rPr>
      <t>Другие живые вакцины</t>
    </r>
    <r>
      <rPr>
        <sz val="10"/>
        <color theme="1"/>
        <rFont val="Arial"/>
      </rPr>
      <t xml:space="preserve">
Лицам, получившим прививки живыми вакцинами (полиовакцина, коревая, паротитная, краснушная, БЦЖ, вакцина против желтой лихорадки), вакцинацию Окаваксом следует проводить не ранее чем через 4 недели спустя.
</t>
    </r>
    <r>
      <rPr>
        <i/>
        <sz val="10"/>
        <color theme="1"/>
        <rFont val="Arial"/>
      </rPr>
      <t>Инактивированные вакцины</t>
    </r>
    <r>
      <rPr>
        <sz val="10"/>
        <color theme="1"/>
        <rFont val="Arial"/>
      </rPr>
      <t xml:space="preserve">
За исключением антирабической вакцины, разрешено одновременное применение Окавакса и инактивированных вакцин национального календаря профилактических прививок и календаря прививок по эпидемическим показаниям, при условии их введения разными шприцами в разные участки тела.</t>
    </r>
  </si>
  <si>
    <r>
      <rPr>
        <i/>
        <sz val="10"/>
        <color theme="1"/>
        <rFont val="Arial"/>
      </rPr>
      <t>&lt;p&gt;&lt;i&gt;Другие живые вакцины</t>
    </r>
    <r>
      <rPr>
        <sz val="10"/>
        <color theme="1"/>
        <rFont val="Arial"/>
      </rPr>
      <t xml:space="preserve">&lt;/i&gt;&lt;br&gt;
Лицам, получившим прививки живыми вакцинами (полиовакцина, коревая, паротитная, краснушная, БЦЖ, вакцина против желтой лихорадки), вакцинацию Окаваксом следует проводить не ранее чем через 4&amp;nbsp;недели спустя.&lt;/p&gt;
</t>
    </r>
    <r>
      <rPr>
        <i/>
        <sz val="10"/>
        <color theme="1"/>
        <rFont val="Arial"/>
      </rPr>
      <t>&lt;p&gt;&lt;i&gt;Инактивированные вакцины</t>
    </r>
    <r>
      <rPr>
        <sz val="10"/>
        <color theme="1"/>
        <rFont val="Arial"/>
      </rPr>
      <t>&lt;/i&gt;&lt;br&gt;
За исключением антирабической вакцины, разрешено одновременное применение Окавакса и инактивированных вакцин национального календаря профилактических прививок и календаря прививок по эпидемическим показаниям, при условии их введения разными шприцами в разные участки тела.&lt;/p&gt;</t>
    </r>
  </si>
  <si>
    <t>Пневмо 23 можно вводить одновременно (в один день) с другими вакцинами (за исключением вакцин для профилактики туберкулеза) в разные участки тела использованием разных шприцев.</t>
  </si>
  <si>
    <t>&lt;p&gt;Пневмо&amp;nbsp;23 можно вводить одновременно (в один день) с другими вакцинами (за исключением вакцин для профилактики туберкулеза) в разные участки тела использованием разных шприцев.&lt;/p&gt;</t>
  </si>
  <si>
    <r>
      <rPr>
        <sz val="10"/>
        <color theme="1"/>
        <rFont val="Arial"/>
      </rPr>
      <t xml:space="preserve">ВАРИВАКС нельзя смешивать с какой-либо другой вакциной или другим лекарственным препаратом в одном шприце. Другие инъекционные вакцины или другие лекарственные препараты должны вводиться в виде отдельных инъекций в разные участки тела.
ВАРИВАКС вводили детям преддошкольного возраста в разные участки тела одновременно с комбинированной вакциной против кори, эпидемического паротита и краснухи, конъюгированной вакциной против </t>
    </r>
    <r>
      <rPr>
        <i/>
        <sz val="10"/>
        <color theme="1"/>
        <rFont val="Arial"/>
      </rPr>
      <t>Haemophilus influenzae</t>
    </r>
    <r>
      <rPr>
        <sz val="10"/>
        <color theme="1"/>
        <rFont val="Arial"/>
      </rPr>
      <t xml:space="preserve"> типа</t>
    </r>
    <r>
      <rPr>
        <i/>
        <sz val="10"/>
        <color theme="1"/>
        <rFont val="Arial"/>
      </rPr>
      <t xml:space="preserve"> b</t>
    </r>
    <r>
      <rPr>
        <sz val="10"/>
        <color theme="1"/>
        <rFont val="Arial"/>
      </rPr>
      <t>, вакциной против гепатита B, вакциной против дифтерии/столбняка/цельноклеточной коклюшной вакциной и оральной вакциной против полиомиелита. Не было получено доказательств клинически значимой разницы иммунного ответа на введение любого из антигенов при совместном применении с вакциной ВАРИВАКС. Если вакцина против ветряной оспы (живая, аттенуированная) (штамм Oka/Merck) не вводится одновременно с вакциной против кори, эпидемического паротита и краснухи, следует соблюдать интервал продолжительностью не менее 1 месяца между введением двух живых вирусных вакцин.
Одновременное введение вакцины ВАРИВАКС и четырехвалентной, пятивалентной или шестивалентной вакцин, содержащих компоненты против дифтерии, столбняка и бесклеточной вакцины против коклюша (аАКДС) не изучали.</t>
    </r>
  </si>
  <si>
    <t>&lt;p&gt;ВАРИВАКС нельзя смешивать с какой-либо другой вакциной или другим лекарственным препаратом в одном шприце. Другие инъекционные вакцины или другие лекарственные препараты должны вводиться в виде отдельных инъекций в разные участки тела.&lt;br&gt;&lt;br&gt;
ВАРИВАКС вводили детям преддошкольного возраста в разные участки тела одновременно с комбинированной вакциной против кори, эпидемического паротита и краснухи, конъюгированной вакциной против &lt;i&gt;Haemophilus influenzae&lt;/i&gt; типа &lt;i&gt;b&lt;/i&gt;, вакциной против гепатита B, вакциной против дифтерии/столбняка/цельноклеточной коклюшной вакциной и оральной вакциной против полиомиелита. Не было получено доказательств клинически значимой разницы иммунного ответа на введение любого из антигенов при совместном применении с вакциной ВАРИВАКС. Если вакцина против ветряной оспы (живая, аттенуированная) (штамм Oka/Merck) не вводится одновременно с вакциной против кори, эпидемического паротита и краснухи, следует соблюдать интервал продолжительностью не менее 1&amp;nbsp;месяца между введением двух живых вирусных вакцин.&lt;br&gt;&lt;br&gt;
Одновременное введение вакцины ВАРИВАКС и четырехвалентной, пятивалентной или шестивалентной вакцин, содержащих компоненты против дифтерии, столбняка и бесклеточной вакцины против коклюша (аАКДС) не изучали.&lt;/p&gt;</t>
  </si>
  <si>
    <r>
      <rPr>
        <sz val="10"/>
        <color theme="1"/>
        <rFont val="Arial"/>
      </rPr>
      <t xml:space="preserve">Допускается одновременное введение вакцины ПНЕМОТЕКС с другими вакцинами Национального календаря профилактических прививок и прививок по эпидемическим показаниям (кроме БЦЖ) при условии их введения разными шприцами в разные участки тела. При необходимости раздельного (не в один календарный день) введения вакцины ПНЕМОТЕКС и других вакцин, допустим любой интервал между введениями, т.к. вакцина ПНЕМОТЕКС не является живой вакциной.
</t>
    </r>
    <r>
      <rPr>
        <i/>
        <sz val="10"/>
        <color theme="1"/>
        <rFont val="Arial"/>
      </rPr>
      <t>Дети в возрасте от 2 месяцев до 5 лет</t>
    </r>
    <r>
      <rPr>
        <sz val="10"/>
        <color theme="1"/>
        <rFont val="Arial"/>
      </rPr>
      <t xml:space="preserve">
Препарат ПНЕМОТЕКС сочетается с любыми другими вакцинами, входящими в национальный календарь профилактических прививок детей первых лет жизни, за исключением БЦЖ. Одновременное введение препарата ПНЕМОТЕКС с любыми следующими антигенами, входящими в состав как моновалентных, так и комбинированных вакцин: дифтерийным, столбнячным, бесклеточным или цельноклеточным коклюшным, </t>
    </r>
    <r>
      <rPr>
        <i/>
        <sz val="10"/>
        <color theme="1"/>
        <rFont val="Arial"/>
      </rPr>
      <t>Haemophilus influenza</t>
    </r>
    <r>
      <rPr>
        <sz val="10"/>
        <color theme="1"/>
        <rFont val="Arial"/>
      </rPr>
      <t xml:space="preserve">e тип </t>
    </r>
    <r>
      <rPr>
        <i/>
        <sz val="10"/>
        <color theme="1"/>
        <rFont val="Arial"/>
      </rPr>
      <t>b</t>
    </r>
    <r>
      <rPr>
        <sz val="10"/>
        <color theme="1"/>
        <rFont val="Arial"/>
      </rPr>
      <t xml:space="preserve">, полиомиелитным, гепатит А, гепатит В, коревым, эпидемического паротита, краснухи, ветряной оспы и ротавирусной инфекции — не влияет на иммуногенность данных вакцин.
</t>
    </r>
    <r>
      <rPr>
        <i/>
        <sz val="10"/>
        <color theme="1"/>
        <rFont val="Arial"/>
      </rPr>
      <t>Дети и подростки в возрасте от 6 до 17 лет</t>
    </r>
    <r>
      <rPr>
        <sz val="10"/>
        <color theme="1"/>
        <rFont val="Arial"/>
      </rPr>
      <t xml:space="preserve">
Данные о применении препарата ПНЕМОТЕКС одновременно с вакциной против папилломавирусной инфекции человека, конъюгированной менингококковой вакциной, вакциной против столбняка, дифтерии и коклюша, клещевого энцефалита отсутствуют.
</t>
    </r>
    <r>
      <rPr>
        <i/>
        <sz val="10"/>
        <color theme="1"/>
        <rFont val="Arial"/>
      </rPr>
      <t>Лица в возрасте от 18 до 49 лет</t>
    </r>
    <r>
      <rPr>
        <sz val="10"/>
        <color theme="1"/>
        <rFont val="Arial"/>
      </rPr>
      <t xml:space="preserve">
Данные по одновременному применению препарата ПНЕМОТЕКС с другими вакцинами отсутствуют.
</t>
    </r>
    <r>
      <rPr>
        <i/>
        <sz val="10"/>
        <color theme="1"/>
        <rFont val="Arial"/>
      </rPr>
      <t>Лица в возрасте от 50 лет</t>
    </r>
    <r>
      <rPr>
        <sz val="10"/>
        <color theme="1"/>
        <rFont val="Arial"/>
      </rPr>
      <t xml:space="preserve">
Препарат ПНЕМОТЕКС может использоваться совместно с тривалентной инактивированной вакциной против сезонного гриппа (ТГВ).</t>
    </r>
  </si>
  <si>
    <r>
      <rPr>
        <sz val="10"/>
        <color theme="1"/>
        <rFont val="Arial"/>
      </rPr>
      <t xml:space="preserve">&lt;p&gt;Допускается одновременное введение вакцины ПНЕМОТЕКС с другими вакцинами Национального календаря профилактических прививок и прививок по эпидемическим показаниям (кроме БЦЖ) при условии их введения разными шприцами в разные участки тела. При необходимости раздельного (не в один календарный день) введения вакцины ПНЕМОТЕКС и других вакцин, допустим любой интервал между введениями, т.к. вакцина ПНЕМОТЕКС не является живой вакциной.&lt;br&gt;&lt;br&gt;
</t>
    </r>
    <r>
      <rPr>
        <i/>
        <sz val="10"/>
        <color theme="1"/>
        <rFont val="Arial"/>
      </rPr>
      <t>&lt;i&gt;Дети в возрасте от 2&amp;nbsp;месяцев до 5&amp;nbsp;лет&lt;/i&gt;&lt;br&gt;</t>
    </r>
    <r>
      <rPr>
        <sz val="10"/>
        <color theme="1"/>
        <rFont val="Arial"/>
      </rPr>
      <t xml:space="preserve">
Препарат ПНЕМОТЕКС сочетается с любыми другими вакцинами, входящими в национальный календарь профилактических прививок детей первых лет жизни, за исключением БЦЖ. Одновременное введение препарата ПНЕМОТЕКС с любыми следующими антигенами, входящими в состав как моновалентных, так и комбинированных вакцин: дифтерийным, столбнячным, бесклеточным или цельноклеточным коклюшным, </t>
    </r>
    <r>
      <rPr>
        <i/>
        <sz val="10"/>
        <color theme="1"/>
        <rFont val="Arial"/>
      </rPr>
      <t>&lt;i&gt;Haemophilus influenza</t>
    </r>
    <r>
      <rPr>
        <sz val="10"/>
        <color theme="1"/>
        <rFont val="Arial"/>
      </rPr>
      <t>e&lt;/i&gt; тип &lt;i&gt;</t>
    </r>
    <r>
      <rPr>
        <i/>
        <sz val="10"/>
        <color theme="1"/>
        <rFont val="Arial"/>
      </rPr>
      <t>b&lt;/i&gt;</t>
    </r>
    <r>
      <rPr>
        <sz val="10"/>
        <color theme="1"/>
        <rFont val="Arial"/>
      </rPr>
      <t xml:space="preserve">, полиомиелитным, гепатит А, гепатит В, коревым, эпидемического паротита, краснухи, ветряной оспы и ротавирусной инфекции — не влияет на иммуногенность данных вакцин.&lt;br&gt;&lt;br&gt;
</t>
    </r>
    <r>
      <rPr>
        <i/>
        <sz val="10"/>
        <color theme="1"/>
        <rFont val="Arial"/>
      </rPr>
      <t>&lt;i&gt;Дети и подростки в возрасте от 6 до 17&amp;nbsp;лет&lt;/i&gt;&lt;br&gt;</t>
    </r>
    <r>
      <rPr>
        <sz val="10"/>
        <color theme="1"/>
        <rFont val="Arial"/>
      </rPr>
      <t xml:space="preserve">
Данные о применении препарата ПНЕМОТЕКС одновременно с вакциной против папилломавирусной инфекции человека, конъюгированной менингококковой вакциной, вакциной против столбняка, дифтерии и коклюша, клещевого энцефалита отсутствуют.&lt;br&gt;&lt;br&gt;
</t>
    </r>
    <r>
      <rPr>
        <i/>
        <sz val="10"/>
        <color theme="1"/>
        <rFont val="Arial"/>
      </rPr>
      <t>&lt;i&gt;Лица в возрасте от 18 до 49&amp;nbsp;лет&lt;/i&gt;&lt;br&gt;</t>
    </r>
    <r>
      <rPr>
        <sz val="10"/>
        <color theme="1"/>
        <rFont val="Arial"/>
      </rPr>
      <t xml:space="preserve">
Данные по одновременному применению препарата ПНЕМОТЕКС с другими вакцинами отсутствуют.&lt;br&gt;&lt;br&gt;
</t>
    </r>
    <r>
      <rPr>
        <i/>
        <sz val="10"/>
        <color theme="1"/>
        <rFont val="Arial"/>
      </rPr>
      <t>&lt;i&gt;Лица в возрасте от 50&amp;nbsp;лет&lt;/i&gt;&lt;br&gt;</t>
    </r>
    <r>
      <rPr>
        <sz val="10"/>
        <color theme="1"/>
        <rFont val="Arial"/>
      </rPr>
      <t xml:space="preserve">
Препарат ПНЕМОТЕКС может использоваться совместно с тривалентной инактивированной вакциной против сезонного гриппа (ТГВ).&lt;/p&gt;</t>
    </r>
  </si>
  <si>
    <r>
      <rPr>
        <sz val="10"/>
        <color theme="1"/>
        <rFont val="Arial"/>
      </rPr>
      <t xml:space="preserve">Вакцину Приорикс® можно вводить одновременно (в один день) со следующими моновалентными и комбинированными вакцинами: вакцина для профилактики дифтерии, столбняка, коклюша (бесклеточная), гепатита B, полиомиелита (инактивированная) и инфекций, вызываемых </t>
    </r>
    <r>
      <rPr>
        <i/>
        <sz val="10"/>
        <color theme="1"/>
        <rFont val="Arial"/>
      </rPr>
      <t>Haemophilus influenzae</t>
    </r>
    <r>
      <rPr>
        <sz val="10"/>
        <color theme="1"/>
        <rFont val="Arial"/>
      </rPr>
      <t xml:space="preserve"> тип b (АКаДС-ВГВ-ИПВ/Хиб), вакцина для профилактики дифтерии, столбняка, коклюша (бесклеточная) (АКаДС)вакцина для профилактики дифтерии, столбняка, коклюша (бесклеточная) с уменьшенным содержанием антигенов, вакцина для профилактики инфекции, вызываемой </t>
    </r>
    <r>
      <rPr>
        <i/>
        <sz val="10"/>
        <color theme="1"/>
        <rFont val="Arial"/>
      </rPr>
      <t>Haemophilus influenzae</t>
    </r>
    <r>
      <rPr>
        <sz val="10"/>
        <color theme="1"/>
        <rFont val="Arial"/>
      </rPr>
      <t xml:space="preserve"> тип b (Хиб), вакцина для профилактики полиомиелита инактивированная, вакцина для профилактики вирусного гепатита В, вакцина для профилактики вирусного гепатита А, вакцина менингококковая серогрупп A, C, W₁₃₅, Y конъюгированная, вакцина для профилактики ветряной оспы, вакцина для профилактики пневмококковых инфекций конъюгированная.
Кроме того, в соответствии с общепринятой практикой допускается совместное введение комбинированной вакцины для профилактики кори, краснухи и паротита с пероральной полиомиелитной живой вакциной или с вакциной для профилактики дифтерии, столбняка, коклюша (цельноклеточной).
При совместном введении вакцины Приорикс® с другими вакцинами инъекции различными вакцинами делают отдельными шприцами в разные участки тела.
Если введение вакцины Приорикс® с другими живыми аттенуированными вакцинами невозможно выполнить одновременно, интервал между инъекциями различных вакцин должен составлять не менее 1 месяца.
</t>
    </r>
    <r>
      <rPr>
        <i/>
        <sz val="10"/>
        <color theme="1"/>
        <rFont val="Arial"/>
      </rPr>
      <t>Не допускается смешивать вакцину Приорикс® с другими вакцинами в одном шприце.</t>
    </r>
    <r>
      <rPr>
        <sz val="10"/>
        <color theme="1"/>
        <rFont val="Arial"/>
      </rPr>
      <t xml:space="preserve">
Вакцина Приорикс® может быть использована для проведения повторной прививки лицам, ранее вакцинированным другой комбинированной вакциной против кори, паротита и краснухи или соответствующими монопрепаратами.</t>
    </r>
  </si>
  <si>
    <r>
      <rPr>
        <sz val="10"/>
        <color theme="1"/>
        <rFont val="Arial"/>
      </rPr>
      <t>&lt;p&gt;Вакцину Приорикс® можно вводить одновременно (в один день) со следующими моновалентными и комбинированными вакцинами: вакцина для профилактики дифтерии, столбняка, коклюша (бесклеточная), гепатита B, полиомиелита (инактивированная) и инфекций, вызываемых &lt;i&gt;</t>
    </r>
    <r>
      <rPr>
        <i/>
        <sz val="10"/>
        <color theme="1"/>
        <rFont val="Arial"/>
      </rPr>
      <t>Haemophilus influenzae&lt;/i&gt;</t>
    </r>
    <r>
      <rPr>
        <sz val="10"/>
        <color theme="1"/>
        <rFont val="Arial"/>
      </rPr>
      <t xml:space="preserve"> тип b (АКаДС-ВГВ-ИПВ/Хиб), вакцина для профилактики дифтерии, столбняка, коклюша (бесклеточная) (АКаДС)вакцина для профилактики дифтерии, столбняка, коклюша (бесклеточная) с уменьшенным содержанием антигенов, вакцина для профилактики инфекции, вызываемой </t>
    </r>
    <r>
      <rPr>
        <i/>
        <sz val="10"/>
        <color theme="1"/>
        <rFont val="Arial"/>
      </rPr>
      <t>&lt;i&gt;Haemophilus influenzae</t>
    </r>
    <r>
      <rPr>
        <sz val="10"/>
        <color theme="1"/>
        <rFont val="Arial"/>
      </rPr>
      <t xml:space="preserve">&lt;/i&gt; тип b (Хиб), вакцина для профилактики полиомиелита инактивированная, вакцина для профилактики вирусного гепатита В, вакцина для профилактики вирусного гепатита А, вакцина менингококковая серогрупп A, C, W₁₃₅, Y конъюгированная, вакцина для профилактики ветряной оспы, вакцина для профилактики пневмококковых инфекций конъюгированная.&lt;/p&gt;
&lt;p&gt;Кроме того, в соответствии с общепринятой практикой допускается совместное введение комбинированной вакцины для профилактики кори, краснухи и паротита с пероральной полиомиелитной живой вакциной или с вакциной для профилактики дифтерии, столбняка, коклюша (цельноклеточной).&lt;/p&gt;
&lt;p&gt;При совместном введении вакцины Приорикс® с другими вакцинами инъекции различными вакцинами делают отдельными шприцами в разные участки тела.&lt;/p&gt;
&lt;p&gt;Если введение вакцины Приорикс® с другими живыми аттенуированными вакцинами невозможно выполнить одновременно, интервал между инъекциями различных вакцин должен составлять не менее 1&amp;nbsp;месяца.&lt;/p&gt;
</t>
    </r>
    <r>
      <rPr>
        <i/>
        <sz val="10"/>
        <color theme="1"/>
        <rFont val="Arial"/>
      </rPr>
      <t>&lt;p&gt;&lt;i&gt;Не допускается смешивать вакцину Приорикс® с другими вакцинами в одном шприце.</t>
    </r>
    <r>
      <rPr>
        <sz val="10"/>
        <color theme="1"/>
        <rFont val="Arial"/>
      </rPr>
      <t>&lt;/i&gt;&lt;/p&gt;
&lt;p&gt;Вакцина Приорикс® может быть использована для проведения повторной прививки лицам, ранее вакцинированным другой комбинированной вакциной против кори, паротита и краснухи или соответствующими монопрепаратами.&lt;/p&gt;</t>
    </r>
  </si>
  <si>
    <r>
      <rPr>
        <sz val="10"/>
        <color theme="1"/>
        <rFont val="Arial"/>
      </rPr>
      <t xml:space="preserve">В рамках клинических исследований у детей в возрасте от 6 недель до 23 месяцев включительно была подтверждена возможность одновременного введения вакцины МенКвадфи и следующих вакцин: вакцины для профилактики кори, паротита и краснухи (КПК); вакцины для профилактики ветряной оспы (ВО); вакцины для профилактики дифтерии, столбняка, коклюша (с бесклеточным коклюшным компонентом) (АбКДС), включая комбинированные с вакциной для профилактики гепатита B (ГВ), инактивированной вакциной для профилактики полиомиелита (ИПВ) или вакциной для профилактики </t>
    </r>
    <r>
      <rPr>
        <i/>
        <sz val="10"/>
        <color theme="1"/>
        <rFont val="Arial"/>
      </rPr>
      <t>Haemophilus influenzae</t>
    </r>
    <r>
      <rPr>
        <sz val="10"/>
        <color theme="1"/>
        <rFont val="Arial"/>
      </rPr>
      <t xml:space="preserve"> тип </t>
    </r>
    <r>
      <rPr>
        <i/>
        <sz val="10"/>
        <color theme="1"/>
        <rFont val="Arial"/>
      </rPr>
      <t>b</t>
    </r>
    <r>
      <rPr>
        <sz val="10"/>
        <color theme="1"/>
        <rFont val="Arial"/>
      </rPr>
      <t xml:space="preserve"> (Хиб) (т.е., например, с такой вакциной как АбКДС-ИПВ-ГВ-Хиб или АбКДС-ИПВ/Хиб); совместно с пневмококковой 13-валентной полисахаридной конъюгированной вакциной (ПКВ-13) и вакциной для профилактики ротавирусной инфекции.
Не наблюдалось влияния на иммунный ответ при одновременном введении вакцины МенКвадфи с вакциной для профилактики менингококковой инфекции, вызываемой серогруппой В (MenB).
В рамках клинических исследований у детей и подростков в возрасте от 10 до 17 лет включительно была подтверждена возможность одновременного введения вакцины МенКвадфи и вакцины для профилактики дифтерии (с уменьшенным содержанием антигена), коклюша (с уменьшенным содержанием антигена, бесклеточной) и столбняка, комбинированной, адсорбированной (АбкдС) или АбкдС-ИПВ, а также четырехвалентной вакцины для профилактики вируса папилломы человека рекомбинантной, адсорбированной (ВПЧ) или девятивалентной вакцины для профилактики вируса папилломы человека (9ВПЧ). Однако одновременное введение этих вакцин может повлиять на иммунный ответ на некоторые из антигенов.
В рамках клинических исследований у детей и подростков в возрасте от 10 до 17 лет включительно, ранее не вакцинированных против менингококковой инфекции, в результате совместного введения вакцины АбкдС с вакциной МенКвадфи и вакциной для профилактики ВПЧ наблюдался иммунный ответ не меньшей эффективности к коклюшному анатоксину (КА) и более низкие титры антител к филаментозному гемагглютинину (ФГА), пертактину (ПРН) и агглютиногенам фимбрий (ФИМ) по сравнению с совместным применением только вакцины АбкдС и вакцины для профилактики ВПЧ (иммунный ответ оценивался после полного завершения вакцинации против ВПЧ). Клинические последствия формирования иммунного ответа на введение коклюшного анатоксина, которые также наблюдаются в результате совместного применения с прочими четырехвалентными менингококковыми конъюгированными вакцинами, неизвестны.
В рамках клинического исследования оценивали гуморальный ответ на ревакцинирующую дозу препарата МенКвадфи при введении отдельно или одновременно с вакцинами для профилактики менингококковой инфекции, вызываемой </t>
    </r>
    <r>
      <rPr>
        <i/>
        <sz val="10"/>
        <color theme="1"/>
        <rFont val="Arial"/>
      </rPr>
      <t>Neisseria meningitidis</t>
    </r>
    <r>
      <rPr>
        <sz val="10"/>
        <color theme="1"/>
        <rFont val="Arial"/>
      </rPr>
      <t xml:space="preserve"> серогруппы B (МenВ рекомбинантной (рДНК) субъединичной адсорбированной), у детей в возрасте 12-13 месяцев, ранее получивших дозу вакцины МенКвадфи в 3 месяца или дозу вакцины МенВ в 2 и 4 месяца. При совместном применении вакцины МенКвадфи и вакцины MenB не наблюдалось влияния на иммунный ответ в отношении серогрупп A, C, W и Y.
В рамках клинического исследования оценивали гуморальный ответ на ревакцинирующую дозу препарата МенКвадфи при введении отдельно или одновременно с вакциной для профилактики менингококковой инфекции, вызываемой </t>
    </r>
    <r>
      <rPr>
        <i/>
        <sz val="10"/>
        <color theme="1"/>
        <rFont val="Arial"/>
      </rPr>
      <t>Neisseria meningitidis</t>
    </r>
    <r>
      <rPr>
        <sz val="10"/>
        <color theme="1"/>
        <rFont val="Arial"/>
      </rPr>
      <t xml:space="preserve"> серогруппы B (МenВ рекомбинантной адсорбированной или рекомбинантной (рДНК) субъединичной адсорбированной), у подростков и взрослых в возрасте от 13 до 26 лет, получивших первичную иммунизацию вакциной МенКвадфи за 3-6 лет до этого. При совместном применении вакцины МенКвадфи и вакцин MenB не наблюдалось влияние на иммунный ответ в отношении серогрупп A, C, W и Y.
Одновременное введение вакцины МенКвадфи и других вакцин, не указанных выше, не изучалось. В соответствии с национальными рекомендациями допускается одновременное введение неограниченного количества вакцин (кроме БЦЖ) с использованием разных шприцев и в разные анатомические области тела. Одновременным считается введение вакцин в пределах одного календарного дня.
При необходимости раздельного (не в один календарный день) введения вакцины МенКвадфи и других вакцин (кроме БЦЖ), допустим любой интервал между введениями, так как вакцина МенКвадфи является инактивированной.</t>
    </r>
  </si>
  <si>
    <r>
      <rPr>
        <sz val="10"/>
        <color theme="1"/>
        <rFont val="Arial"/>
      </rPr>
      <t>&lt;p&gt;В рамках клинических исследований у детей в возрасте от 6&amp;nbsp;недель до 23&amp;nbsp;месяцев включительно была подтверждена возможность одновременного введения вакцины МенКвадфи и следующих вакцин: вакцины для профилактики кори, паротита и краснухи (КПК); вакцины для профилактики ветряной оспы (ВО); вакцины для профилактики дифтерии, столбняка, коклюша (с бесклеточным коклюшным компонентом) (АбКДС), включая комбинированные с вакциной для профилактики гепатита B (ГВ), инактивированной вакциной для профилактики полиомиелита (ИПВ) или вакциной для профилактики &lt;i&gt;</t>
    </r>
    <r>
      <rPr>
        <i/>
        <sz val="10"/>
        <color theme="1"/>
        <rFont val="Arial"/>
      </rPr>
      <t>Haemophilus influenzae&lt;/i&gt;</t>
    </r>
    <r>
      <rPr>
        <sz val="10"/>
        <color theme="1"/>
        <rFont val="Arial"/>
      </rPr>
      <t xml:space="preserve"> тип &lt;i&gt;</t>
    </r>
    <r>
      <rPr>
        <i/>
        <sz val="10"/>
        <color theme="1"/>
        <rFont val="Arial"/>
      </rPr>
      <t>b&lt;/i&gt;</t>
    </r>
    <r>
      <rPr>
        <sz val="10"/>
        <color theme="1"/>
        <rFont val="Arial"/>
      </rPr>
      <t xml:space="preserve"> (Хиб) (т.е., например, с такой вакциной как АбКДС-ИПВ-ГВ-Хиб или АбКДС-ИПВ/Хиб); совместно с пневмококковой 13-валентной полисахаридной конъюгированной вакциной (ПКВ-13) и вакциной для профилактики ротавирусной инфекции.&lt;br&gt;
Не наблюдалось влияния на иммунный ответ при одновременном введении вакцины МенКвадфи с вакциной для профилактики менингококковой инфекции, вызываемой серогруппой В (MenB).&lt;br&gt;
В рамках клинических исследований у детей и подростков в возрасте от 10 до 17&amp;nbsp;лет включительно была подтверждена возможность одновременного введения вакцины МенКвадфи и вакцины для профилактики дифтерии (с уменьшенным содержанием антигена), коклюша (с уменьшенным содержанием антигена, бесклеточной) и столбняка, комбинированной, адсорбированной (АбкдС) или АбкдС-ИПВ, а также четырехвалентной вакцины для профилактики вируса папилломы человека рекомбинантной, адсорбированной (ВПЧ) или девятивалентной вакцины для профилактики вируса папилломы человека (9ВПЧ). Однако одновременное введение этих вакцин может повлиять на иммунный ответ на некоторые из антигенов.&lt;br&gt;
В рамках клинических исследований у детей и подростков в возрасте от 10 до 17&amp;nbsp;лет включительно, ранее не вакцинированных против менингококковой инфекции, в результате совместного введения вакцины АбкдС с вакциной МенКвадфи и вакциной для профилактики ВПЧ наблюдался иммунный ответ не меньшей эффективности к коклюшному анатоксину (КА) и более низкие титры антител к филаментозному гемагглютинину (ФГА), пертактину (ПРН) и агглютиногенам фимбрий (ФИМ) по сравнению с совместным применением только вакцины АбкдС и вакцины для профилактики ВПЧ (иммунный ответ оценивался после полного завершения вакцинации против ВПЧ). Клинические последствия формирования иммунного ответа на введение коклюшного анатоксина, которые также наблюдаются в результате совместного применения с прочими четырехвалентными менингококковыми конъюгированными вакцинами, неизвестны.&lt;br&gt;
В рамках клинического исследования оценивали гуморальный ответ на ревакцинирующую дозу препарата МенКвадфи при введении отдельно или одновременно с вакцинами для профилактики менингококковой инфекции, вызываемой &lt;i&gt;</t>
    </r>
    <r>
      <rPr>
        <i/>
        <sz val="10"/>
        <color theme="1"/>
        <rFont val="Arial"/>
      </rPr>
      <t>Neisseria meningitidis&lt;/i&gt;</t>
    </r>
    <r>
      <rPr>
        <sz val="10"/>
        <color theme="1"/>
        <rFont val="Arial"/>
      </rPr>
      <t xml:space="preserve"> серогруппы B (МenВ рекомбинантной (рДНК) субъединичной адсорбированной), у детей в возрасте 12-13&amp;nbsp;месяцев, ранее получивших дозу вакцины МенКвадфи в 3&amp;nbsp;месяца или дозу вакцины МенВ в 2 и 4&amp;nbsp;месяца. При совместном применении вакцины МенКвадфи и вакцины MenB не наблюдалось влияния на иммунный ответ в отношении серогрупп A, C, W и Y.&lt;br&gt;
В рамках клинического исследования оценивали гуморальный ответ на ревакцинирующую дозу препарата МенКвадфи при введении отдельно или одновременно с вакциной для профилактики менингококковой инфекции, вызываемой </t>
    </r>
    <r>
      <rPr>
        <i/>
        <sz val="10"/>
        <color theme="1"/>
        <rFont val="Arial"/>
      </rPr>
      <t>&lt;i&gt;Neisseria meningitidis&lt;/i&gt;</t>
    </r>
    <r>
      <rPr>
        <sz val="10"/>
        <color theme="1"/>
        <rFont val="Arial"/>
      </rPr>
      <t xml:space="preserve"> серогруппы B (МenВ рекомбинантной адсорбированной или рекомбинантной (рДНК) субъединичной адсорбированной), у подростков и взрослых в возрасте от 13 до 26&amp;nbsp;лет, получивших первичную иммунизацию вакциной МенКвадфи за 3-6&amp;nbsp;лет до этого. При совместном применении вакцины МенКвадфи и вакцин MenB не наблюдалось влияние на иммунный ответ в отношении серогрупп A, C, W и Y.&lt;br&gt;
Одновременное введение вакцины МенКвадфи и других вакцин, не указанных выше, не изучалось. В соответствии с национальными рекомендациями допускается одновременное введение неограниченного количества вакцин (кроме БЦЖ) с использованием разных шприцев и в разные анатомические области тела. Одновременным считается введение вакцин в пределах одного календарного дня.&lt;br&gt;
При необходимости раздельного (не в один календарный день) введения вакцины МенКвадфи и других вакцин (кроме БЦЖ), допустим любой интервал между введениями, так как вакцина МенКвадфи является инактивированной.&lt;/p&gt;</t>
    </r>
  </si>
  <si>
    <t>Вакцину Бексеро можно вводить одновременно с любыми из указанных вакцинных антигенов в составе моновалентных или комбинированных вакцин: вакцина для профилактики дифтерии, столбняка, коклюша (бесклеточная), вакцина для профилактики инфекций, вызываемых Haemophilus influenzae типа b, вакцина для профилактики полиомиелита (инактивированная), вакцина для профилактики гепатита В, семивалентная пневмококковая конъюгированная вакцина, вакцины для профилактики кори, эпидемического паротита, краснухи, ветряной оспы, вакцина для профилактики менингококковых инфекций серогрупп A, C, W, Y, конъюгированная.
В клинических исследованиях продемонстрировано, что введение вакцины Бексеро не влияло на иммунный ответ на одновременно введенные вакцины для плановой иммунопрофилактики.
В различных исследованиях были получены противоречивые результаты в отношении ответа на вакцину, содержащую инактивированный вирус полиомиелита типа 2 и конъюгат пневмококка серотипа 6B, но эти данные не свидетельствуют о клинически значимом влиянии.
Совместное введение с вакциной Бексеро не повлияло на профили безопасности одновременно вводимых вакцин, исключение составило увеличение частоты повышения температуры тела, болезненности в месте инъекции, изменения пищевых привычек и раздражительности.
Исследования одновременного применения вакцины Бексеро с другими вакцинами, не перечисленными выше, не проводились.
Введение вакцин, содержащих цельноклеточный компонент коклюша, одновременно с вакциной Бексеро не изучалось и поэтому не рекомендуется.
При одновременном назначении других вакцин и вакцины Бексеро различные иммунобиологические препараты следует вводить в различные участки тела.</t>
  </si>
  <si>
    <t>&lt;p&gt;Вакцину Бексеро можно вводить одновременно с любыми из указанных вакцинных антигенов в составе моновалентных или комбинированных вакцин: вакцина для профилактики дифтерии, столбняка, коклюша (бесклеточная), вакцина для профилактики инфекций, вызываемых &lt;i&gt;Haemophilus influenzae&lt;/i&gt; типа &lt;i&gt;b&lt;/i&gt;, вакцина для профилактики полиомиелита (инактивированная), вакцина для профилактики гепатита В, семивалентная пневмококковая конъюгированная вакцина, вакцины для профилактики кори, эпидемического паротита, краснухи, ветряной оспы, вакцина для профилактики менингококковых инфекций серогрупп A, C, W, Y, конъюгированная.&lt;br&gt;&lt;br&gt;
В клинических исследованиях продемонстрировано, что введение вакцины Бексеро не влияло на иммунный ответ на одновременно введенные вакцины для плановой иммунопрофилактики.&lt;br&gt;&lt;br&gt;
В различных исследованиях были получены противоречивые результаты в отношении ответа на вакцину, содержащую инактивированный вирус полиомиелита типа 2 и конъюгат пневмококка серотипа 6B, но эти данные не свидетельствуют о клинически значимом влиянии.&lt;br&gt;&lt;br&gt;
Совместное введение с вакциной Бексеро не повлияло на профили безопасности одновременно вводимых вакцин, исключение составило увеличение частоты повышения температуры тела, болезненности в месте инъекции, изменения пищевых привычек и раздражительности.&lt;br&gt;&lt;br&gt;
Исследования одновременного применения вакцины Бексеро с другими вакцинами, не перечисленными выше, не проводились.&lt;br&gt;&lt;br&gt;
Введение вакцин, содержащих цельноклеточный компонент коклюша, одновременно с вакциной Бексеро не изучалось и поэтому не рекомендуется.&lt;br&gt;&lt;br&gt;
При одновременном назначении других вакцин и вакцины Бексеро различные иммунобиологические препараты следует вводить в различные участки тела.&lt;/p&gt;</t>
  </si>
  <si>
    <t>Не изучалось. Ввиду отсутствия данных исследований совместимости, лекарственный препарат Гам-КОВИД-Вак-Д (Комбинированная векторная вакцина для профилактики коронавирусной инфекции, вызываемой вирусом SARS-CoV-2) нельзя смешивать с другими иммунобиологическими лекарственными препаратами в одном шприце.</t>
  </si>
  <si>
    <t>&lt;p&gt;Не изучалось. Ввиду отсутствия данных исследований совместимости, лекарственный препарат Гам-КОВИД-Вак-Д (Комбинированная векторная вакцина для профилактики коронавирусной инфекции, вызываемой вирусом SARS-CoV-2) нельзя смешивать с другими иммунобиологическими лекарственными препаратами в одном шприце.&lt;/p&gt;</t>
  </si>
  <si>
    <t>Допускается одновременное проведение вакцинации Энцепур® детский и введение других вакцин отдельными шприцами в разные участки тела.</t>
  </si>
  <si>
    <t>&lt;p&gt;Допускается одновременное проведение вакцинации Энцепур®&amp;nbsp;детский и введение других вакцин отдельными шприцами в разные участки тела.&lt;/p&gt;</t>
  </si>
  <si>
    <t>Допускается одновременное проведение вакцинации Энцепур взрослый и введение других вакцин отдельными шприцами в разные участки тела.</t>
  </si>
  <si>
    <t>&lt;p&gt;Допускается одновременное проведение вакцинации Энцепур&amp;nbsp;взрослый и введение других вакцин отдельными шприцами в разные участки тела.&lt;/p&gt;</t>
  </si>
  <si>
    <t>Допускается введение вакцины ПолиовакСин одновременно с другими вакцинами Национального календаря профилактических прививок разными шприцами в разные участки тела, за исключением вакцин БЦЖ и БЦЖ–М.
He допускается смешивание вакцины ПолиовакСин с другими вакцинами в одном шприце или ампуле/флаконе.</t>
  </si>
  <si>
    <t>&lt;p&gt;Допускается введение вакцины ПолиовакСин одновременно с другими вакцинами Национального календаря профилактических прививок разными шприцами в разные участки тела, за исключением вакцин БЦЖ и БЦЖ–М.&lt;/p&gt;
&lt;p&gt;He допускается смешивание вакцины ПолиовакСин с другими вакцинами в одном шприце или ампуле/флаконе.&lt;/p&gt;</t>
  </si>
  <si>
    <t>Вакцина Акт-Хиб может применяться одновременно с другими вакцинами Национального календаря профилактических прививок и Календаря профилактических прививок по эпидемическим показаниям при условии использования разных шприцев и введения в разные части тела.
Нет достоверных данных о возможном взаимном влиянии при использовании с другими вакцинами.
Восстановленную вакцину нельзя смешивать с другими вакцинами.</t>
  </si>
  <si>
    <t>&lt;p&gt;Вакцина Акт-Хиб может применяться одновременно с другими вакцинами Национального календаря профилактических прививок и Календаря профилактических прививок по эпидемическим показаниям при условии использования разных шприцев и введения в разные части тела.&lt;/p&gt;
&lt;p&gt;Нет достоверных данных о возможном взаимном влиянии при использовании с другими вакцинами.&lt;/p&gt;
&lt;p&gt;Восстановленную вакцину нельзя смешивать с другими вакцинами.&lt;/p&gt;</t>
  </si>
  <si>
    <t>Вакцина Хиберикс® может вводиться одновременно (в один день) с другими живыми или инактивированными вакцинами Национального календаря профилактических прививок (за исключением антирабической вакцины), при этом вакцины должны быть введены разными шприцами в разные участки тела.
Хиберикс® можно вводить в одном шприце с вакциной Инфанрикс® (Вакцина для профилактики дифтерии, столбняка, коклюша (бесклеточная) трехкомпонентная адсорбированная жидкая).</t>
  </si>
  <si>
    <t>&lt;p&gt;Вакцина Хиберикс® может вводиться одновременно (в один день) с другими живыми или инактивированными вакцинами Национального календаря профилактических прививок (за исключением антирабической вакцины), при этом вакцины должны быть введены разными шприцами в разные участки тела.&lt;/p&gt;
&lt;p&gt;Хиберикс® можно вводить в одном шприце с вакциной Инфанрикс® (Вакцина для профилактики дифтерии, столбняка, коклюша (бесклеточная) трехкомпонентная адсорбированная жидкая).&lt;/p&gt;</t>
  </si>
  <si>
    <t>Допускается одновременное введение вакцинации ФСМЕ-ИММУН® Джуниор (Вакцина клещевого энцефалита культуральная инактивированная очищенная сорбированная) и введение других инактивированных или живых вакцин (кроме антирабической и БЦЖ) отдельными шприцами в разные участки тела в соответствии с календарем прививок.</t>
  </si>
  <si>
    <t>&lt;p&gt;Допускается одновременное введение вакцинации ФСМЕ-ИММУН®&amp;nbsp;Джуниор (Вакцина клещевого энцефалита культуральная инактивированная очищенная сорбированная) и введение других инактивированных или живых вакцин (кроме антирабической и БЦЖ) отдельными шприцами в разные участки тела в соответствии с календарем прививок.&lt;/p&gt;</t>
  </si>
  <si>
    <t>Специальных исследований взаимодействия с другими вакцинами не проводилось. Применение других вакцин одновременно с ФСМЕ-ИММУН® должно осуществляться только в соответствии с официальными рекомендациями. При необходимости одновременного введения других вакцин их следует вводить в другие места и предпочтительно в разные конечности.</t>
  </si>
  <si>
    <t>&lt;p&gt;Специальных исследований взаимодействия с другими вакцинами не проводилось. Применение других вакцин одновременно с ФСМЕ-ИММУН® должно осуществляться только в соответствии с официальными рекомендациями. При необходимости одновременного введения других вакцин их следует вводить в другие места и предпочтительно в разные конечности.&lt;/p&gt;</t>
  </si>
  <si>
    <t>Не изучалось. Ввиду отсутствия данных исследований совместимости, вакцину Сай-Би-Вак нельзя смешивать с другими вакцинами в одном шприце.</t>
  </si>
  <si>
    <t>&lt;p&gt;Не изучалось. Ввиду отсутствия данных исследований совместимости, вакцину Сай-Би-Вак нельзя смешивать с другими вакцинами в одном шприце.&lt;/p&gt;</t>
  </si>
  <si>
    <t>Допускается одновременное введение с другими вакцинами Национального календаря профилактических прививок и прививок по эпидемическим показаниям (кроме БЦЖ) при условии их введения разными шприцами в разные участки тела. При необходимости раздельного (не в один календарный день) введения вакцины аАКДС-Геп В+Hib и других вакцин, допустим любой интервал между введениями, т.к. вакцина аАКДС-Геп В+Hib является инактивированной.</t>
  </si>
  <si>
    <t>&lt;p&gt;Допускается одновременное введение с другими вакцинами Национального календаря профилактических прививок и прививок по эпидемическим показаниям (кроме БЦЖ) при условии их введения разными шприцами в разные участки тела. При необходимости раздельного (не в один календарный день) введения вакцины аАКДС-Геп В+Hib и других вакцин, допустим любой интервал между введениями, т.к. вакцина аАКДС-Геп В+Hib является инактивированной.&lt;/p&gt;</t>
  </si>
  <si>
    <t xml:space="preserve">&lt;p&gt;&lt;i&gt;Инструкция не содержит указаний по взаимодействию с другими вакцинами.&lt;/i&gt;&lt;/p&gt; </t>
  </si>
  <si>
    <r>
      <rPr>
        <sz val="10"/>
        <color theme="1"/>
        <rFont val="Arial"/>
      </rPr>
      <t>Вакцину Шингрикс можно вводить одновременно с инактивированной вакциной для профилактики сезонного гриппа, не содержащей адъювант, 23-валентной пневмококковой полисахаридной вакциной (PPV23) или с вакциной для профилактики дифтерии, столбняка и коклюша (бесклеточная) с уменьшенным содержанием антигенов (А</t>
    </r>
    <r>
      <rPr>
        <sz val="7"/>
        <color theme="1"/>
        <rFont val="Arial"/>
      </rPr>
      <t>б</t>
    </r>
    <r>
      <rPr>
        <sz val="10"/>
        <color theme="1"/>
        <rFont val="Arial"/>
      </rPr>
      <t>КДС).
При одновременном введении с другой вакциной в виде инъекции вакцины должны вводиться в разные участки.
Не рекомендуется одновременное введение с другими вакцинами, кроме перечисленных выше, так как исследования взаимодействия не проводились.</t>
    </r>
  </si>
  <si>
    <t>&lt;p&gt;Вакцину Шингрикс можно вводить одновременно с инактивированной вакциной для профилактики сезонного гриппа, не содержащей адъювант, 23-валентной пневмококковой полисахаридной вакциной (PPV23) или с вакциной для профилактики дифтерии, столбняка и коклюша (бесклеточная) с уменьшенным содержанием антигенов (А&lt;sub&gt;б&lt;/sub&gt;КДС).&lt;/p&gt;
&lt;p&gt;При одновременном введении с другой вакциной в виде инъекции вакцины должны вводиться в разные участки.&lt;/p&gt;
&lt;p&gt;Не рекомендуется одновременное введение с другими вакцинами, кроме перечисленных выше, так как исследования взаимодействия не проводились.&lt;/p&gt;</t>
  </si>
  <si>
    <t>Вакцина ТРИВЭЙД может быть назначена одновременно (в один день) с другими вакцинами национального календаря профилактических прививок (за исключением вакцин против туберкулеза) и календаря профилактических прививок по эпидемическим показаниям. В этом случае вакцины вводят разными шприцами в разные участки тела. Интервал между прививками против разных инфекций при раздельном их применении (не в один день) при введении живых вакцин должен составлять не менее 1 мес., между живой и неживой вакцинами допустим любой интервал.</t>
  </si>
  <si>
    <t>&lt;p&gt;Вакцина ТРИВЭЙД может быть назначена одновременно (в один день) с другими вакцинами национального календаря профилактических прививок (за исключением вакцин против туберкулеза) и календаря профилактических прививок по эпидемическим показаниям. В этом случае вакцины вводят разными шприцами в разные участки тела. Интервал между прививками против разных инфекций при раздельном их применении (не в один день) при введении живых вакцин должен составлять не менее 1&amp;nbsp;мес., между живой и неживой вакцинами допустим любой интервал.&lt;/p&gt;</t>
  </si>
  <si>
    <t>Допускается одновременное введение вакцины Бэби-Хиб с другими вакцинами Национального календаря профилактических прививок и прививок по эпидемическим показаниям (кроме БЦЖ)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между введениями, т.к. вакцина Бэби-Хиб является неживой.</t>
  </si>
  <si>
    <t>&lt;p&gt;Допускается одновременное введение вакцины Бэби-Хиб с другими вакцинами Национального календаря профилактических прививок и прививок по эпидемическим показаниям (кроме БЦЖ)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между введениями, т.к. вакцина Бэби-Хиб является неживой.&lt;/p&gt;</t>
  </si>
  <si>
    <t>АД-М анатоксин можно вводить одновременно с полиомиелитной вакциной и другими препаратами национального календаря прививок.</t>
  </si>
  <si>
    <t>&lt;p&gt;АД-М анатоксин можно вводить одновременно с полиомиелитной вакциной и другими препаратами национального календаря прививок.&lt;p&gt;</t>
  </si>
  <si>
    <t>Взаимодействие с другими лекарственными препаратами и другие виды взаимодействия не изучались.</t>
  </si>
  <si>
    <t>&lt;p&gt;Взаимодействие с другими лекарственными препаратами и другие виды взаимодействия не изучались.&lt;/p&gt;</t>
  </si>
  <si>
    <t>Прививки против других заболеваний можно проводить не ранее чем через 30 дней после вакцинации/ревакцинации против оспы.</t>
  </si>
  <si>
    <t>&lt;p&gt;Прививки против других заболеваний можно проводить не ранее чем через 30&amp;nbsp;дней после вакцинации/ревакцинации против оспы.&lt;/p&gt;</t>
  </si>
  <si>
    <t>Прививки вакциной АКДС–Геп В можно проводить одновременно с другими вакцинами национального календаря профилактических прививок (за исключением вакцины БЦЖ).
При раздельном введении интервал между введениями вакцин должен составлять 1 месяц.</t>
  </si>
  <si>
    <t>&lt;p&gt;Прививки вакциной АКДС–Геп В можно проводить одновременно с другими вакцинами национального календаря профилактических прививок (за исключением вакцины БЦЖ).&lt;/p&gt;
&lt;p&gt;При раздельном введении интервал между введениями вакцин должен составлять 1&amp;nbsp;месяц.&lt;/p&gt;</t>
  </si>
  <si>
    <t>Вакцинацию проводят не ранее чем через 1 месяц после предыдущей иммунизации другими вакцинами.</t>
  </si>
  <si>
    <t>&lt;p&gt;Вакцинацию проводят не ранее чем через 1&amp;nbsp;месяц после предыдущей иммунизации другими вакцинами.&lt;/p&gt;</t>
  </si>
  <si>
    <t>Специальные исследования лекарственных взаимодействий с препаратом ОспаВир не проводились.</t>
  </si>
  <si>
    <t>&lt;p&gt;Специальные исследования лекарственных взаимодействий с препаратом ОспаВир не проводились.&lt;/p&gt;</t>
  </si>
  <si>
    <t>Прививки против других заболеваний можно проводить не ранее чем через 30 дней после вакцинации против оспы.
Вакцину нельзя смешивать в одном шприце с другими вакцинами.</t>
  </si>
  <si>
    <t>&lt;p&gt;Прививки против других заболеваний можно проводить не ранее чем через 30&amp;nbsp;дней после вакцинации против оспы.&lt;br&gt;
Вакцину нельзя смешивать в одном шприце с другими вакцинами.&lt;/p&gt;</t>
  </si>
  <si>
    <t>В соответствии с национальными рекомендациями допускается одновременное введение вакцины ФЛЕКСВАК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ФЛЕКСВАК является неживой.</t>
  </si>
  <si>
    <t>&lt;p&gt;В соответствии с национальными рекомендациями допускается одновременное введение вакцины ФЛЕКСВАК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ФЛЕКСВАК является неживой.&lt;/p&gt;</t>
  </si>
  <si>
    <t>Допускается проводить вакцинацию против желтой лихорадки одновременно (в один день) с другими прививками национального календаря профилактических прививок и календаря профилактических прививок по эпидемическим показаниям за исключением вакцин для профилактики туберкулеза.
Однако, чтобы обеспечить максимальный защитный эффект для детей до 15 лет, рекомендуется, по возможности, соблюдать интервал не менее 2 месяцев между предшествовавшей вакцинацией против желтой лихорадки и вакцинациями против других заболеваний.
В случае необходимости применения вакцины одновременно с другими прививками, препараты следует вводить в разные анатомические области тела.
Не рекомендовано использование вакцины желтой лихорадки одновременно с живой вакциной для профилактики холеры. При проведении вакцинаций в разные дни, интервал между вакцинациями должен быть не менее одного месяца.
При неодновременном (не в один день) введении живых вакцин рекомендуется интервал 1 месяц между их введением; между введением живой и неживой вакцин допустим любой интервал.</t>
  </si>
  <si>
    <t>&lt;p&gt;Допускается проводить вакцинацию против желтой лихорадки одновременно (в один день) с другими прививками национального календаря профилактических прививок и календаря профилактических прививок по эпидемическим показаниям за исключением вакцин для профилактики туберкулеза.&lt;br&gt;
Однако, чтобы обеспечить максимальный защитный эффект для детей до 15&amp;nbsp;лет, рекомендуется, по возможности, соблюдать интервал не менее 2&amp;nbsp;месяцев между предшествовавшей вакцинацией против желтой лихорадки и вакцинациями против других заболеваний.&lt;br&gt;
В случае необходимости применения вакцины одновременно с другими прививками, препараты следует вводить в разные анатомические области тела.&lt;br&gt;
Не рекомендовано использование вакцины желтой лихорадки одновременно с живой вакциной для профилактики холеры. При проведении вакцинаций в разные дни, интервал между вакцинациями должен быть не менее одного месяца.&lt;br&gt;
При неодновременном (не в один день) введении живых вакцин рекомендуется интервал 1&amp;nbsp;месяц между их введением; между введением живой и неживой вакцин допустим любой интервал.&lt;/p&gt;</t>
  </si>
  <si>
    <t>Интервал после последней прививки другими вакцинами должен быть не менее 1 месяца.</t>
  </si>
  <si>
    <t>&lt;p&gt;Интервал после последней прививки другими вакцинами должен быть не менее 1&amp;nbsp;месяца.&lt;/p&gt;</t>
  </si>
  <si>
    <t>В соответствии с национальными рекомендациями допускается одновременное введение Вакцины гепатита В рекомбинантной (рДНК) с другими вакцинами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гепатита В рекомбинантная (рДНК) является неживой.</t>
  </si>
  <si>
    <t>&lt;p&gt;В соответствии с национальными рекомендациями допускается одновременное введение Вакцины гепатита В рекомбинантной (рДНК) с другими вакцинами в рамках Национального календаря профилактических прививок и прививок по эпидемическим показаниям (за исключением вакцин для профилактики туберкулеза) при условии их введения разными шприцами в разные участки тела. При необходимости раздельного (не в один календарный день) введения с другими вакцинами, допустим любой интервал, так как Вакцина гепатита В рекомбинантная (рДНК) является неживой.&lt;/p&gt;</t>
  </si>
  <si>
    <t>Прививки против полиомиелита разрешается проводить в один день с вакцинацией АКДС-вакциной (АДС- или АДС-М анатоксином), допускается одновременное введение полиомиелитной вакцины с другими препаратами Национального календаря профилактических прививок, кроме БЦЖ.</t>
  </si>
  <si>
    <t>&lt;p&gt;Прививки против полиомиелита разрешается проводить в один день с вакцинацией АКДС-вакциной (АДС- или АДС-М анатоксином), допускается одновременное введение полиомиелитной вакцины с другими препаратами Национального календаря профилактических прививок, кроме БЦЖ.&lt;/p&gt;</t>
  </si>
  <si>
    <t>Иммунизацию вакциной ТЭОВак проводят не ранее чем через месяц после прививки против других инфекций [...].</t>
  </si>
  <si>
    <t>&lt;p&gt;Иммунизацию вакциной ТЭОВак проводят не ранее чем через месяц после прививки против других инфекций [...].&lt;/p&gt;</t>
  </si>
  <si>
    <t>Вакцина гриппозная может применяться одновременно с другими вакцинами Национального календаря профилактических прививок инактивированными вакцинами календаря профилактических прививок по эпидемическим показаниям, вводимых взрослым. При этом должны учитываться противопоказания к каждой из применяемых вакцин, препараты должны вводиться в разные участки тела разными шприцами.</t>
  </si>
  <si>
    <t>&lt;p&gt;Вакцина гриппозная может применяться одновременно с другими вакцинами Национального календаря профилактических прививок инактивированными вакцинами календаря профилактических прививок по эпидемическим показаниям, вводимых взрослым. При этом должны учитываться противопоказания к каждой из применяемых вакцин, препараты должны вводиться в разные участки тела разными шприцами.&lt;/p&gt;</t>
  </si>
  <si>
    <t>Вакцина МоноГриппол плюс может применяться одновременно с другими инактивированными вакцинами (за исключением антирабических). При этом должны учитываться противопоказания к каждой из применяемых вакцин; препараты следует вводить в разные участки тела разными шприцами.</t>
  </si>
  <si>
    <t>&lt;p&gt;Вакцина МоноГриппол плюс может применяться одновременно с другими инактивированными вакцинами (за исключением антирабических). При этом должны учитываться противопоказания к каждой из применяемых вакцин; препараты следует вводить в разные участки тела разными шприцами.&lt;/p&gt;</t>
  </si>
  <si>
    <t>Вакцина МоноГриппол Heo может применяться одновременно с другими инактивированными вакцинами (за исключением антирабических). При этом должны учитываться противопоказания к каждой из применяемых вакцин; препараты следует вводить в разные участки тела разными шприцами.</t>
  </si>
  <si>
    <t>&lt;p&gt;Вакцина МоноГриппол Heo может применяться одновременно с другими инактивированными вакцинами (за исключением антирабических). При этом должны учитываться противопоказания к каждой из применяемых вакцин; препараты следует вводить в разные участки тела разными шприцами.&lt;/p&gt;</t>
  </si>
  <si>
    <t>Вакцина МоноГриппол может применяться одновременно с другими инактивированными вакцинами (за исключением антирабических). При этом должны учитываться противопоказания к каждой из применяемых вакцин; препараты следует вводить в разные участки тела разными шприцами.</t>
  </si>
  <si>
    <t>&lt;p&gt;Вакцина МоноГриппол может применяться одновременно с другими инактивированными вакцинами (за исключением антирабических). При этом должны учитываться противопоказания к каждой из применяемых вакцин; препараты следует вводить в разные участки тела разными шприцами.&lt;/p&gt;</t>
  </si>
  <si>
    <t>Допускается одновременное (в пределах одного календарного дня) введение вакцины с любыми другими вакцинами, кроме интраназальных. При неодновременном введении с другими живыми вакцинами рекомендуется интервал 1 месяц, между введением живой и неживой вакцин допустим любой интервал.</t>
  </si>
  <si>
    <t>&lt;p&gt;Допускается одновременное (в пределах одного календарного дня) введение вакцины с любыми другими вакцинами, кроме интраназальных. При неодновременном введении с другими живыми вакцинами рекомендуется интервал 1&amp;nbsp;месяц, между введением живой и неживой вакцин допустим любой интервал.&lt;/p&gt;</t>
  </si>
  <si>
    <t>Вакцина может применяться одновременно с инактивированными и живыми вакцинами национального календаря профилактических прививок и инактивированными вакцинами календаря профилактических прививок по эпидемическим показаниям (за исключением антирабических). Препараты следует вводить в разные участки тела разными шприцами.</t>
  </si>
  <si>
    <t>&lt;p&gt;Вакцина может применяться одновременно с инактивированными и живыми вакцинами национального календаря профилактических прививок и инактивированными вакцинами календаря профилактических прививок по эпидемическим показаниям (за исключением антирабических). Препараты следует вводить в разные участки тела разными шприцами.&lt;/p&gt;</t>
  </si>
  <si>
    <t>Вакцина Гриппол Нео может применяться одновременно с другими вакцинами (за исключением антирабических). При этом должны учитываться противопоказания к каждой из применяемых вакцин; препараты следует вводить в разные участки тела разными шприцами.</t>
  </si>
  <si>
    <t>&lt;p&gt;Вакцина Гриппол Нео может применяться одновременно с другими вакцинами (за исключением антирабических). При этом должны учитываться противопоказания к каждой из применяемых вакцин; препараты следует вводить в разные участки тела разными шприцами.&lt;/p&gt;</t>
  </si>
  <si>
    <t>Допускается одновременное введение вакцины в пределах одного календарного дня с любыми другими вакцинами, кроме интраназальных.</t>
  </si>
  <si>
    <t xml:space="preserve">&lt;p&gt;Допускается одновременное введение вакцины в пределах одного календарного дня с любыми другими вакцинами, кроме интраназальных.&lt;/p&gt; </t>
  </si>
  <si>
    <t>Вакцина против краснухи может вводиться одновременно (в один день) с другими живыми и инактивированными вакцинами Национального календаря профилактических прививок России. В других случаях вакцинация проводится через 1 месяц после предыдущей прививки. При одновременной иммунизации препараты вводят в разные места, смешивание вакцин в одном шприце запрещается.</t>
  </si>
  <si>
    <t>&lt;p&gt;Вакцина против краснухи может вводиться одновременно (в один день) с другими живыми и инактивированными вакцинами Национального календаря профилактических прививок России. В других случаях вакцинация проводится через 1&amp;nbsp;месяц после предыдущей прививки. При одновременной иммунизации препараты вводят в разные места, смешивание вакцин в одном шприце запрещается.&lt;/p&gt;</t>
  </si>
  <si>
    <t>Препарат можно вводить одновременно (разными шприцами в разные участки тела) с вакциной клещевого энцефалита и вакциной туляремийной. Лицам, полноценно привитым от столбняка, рекомендуется вводить анатоксин ботулинический.
При необходимости раздельного (не в один календарный день) введения вакцины Тетраанатоксин очищенный адсорбированный и других вакцин, допустим любой интервал между введениями.</t>
  </si>
  <si>
    <t>&lt;p&gt;Препарат можно вводить одновременно (разными шприцами в разные участки тела) с вакциной клещевого энцефалита и вакциной туляремийной. Лицам, полноценно привитым от столбняка, рекомендуется вводить анатоксин ботулинический.&lt;br&gt;
При необходимости раздельного (не в один календарный день) введения вакцины Тетраанатоксин очищенный адсорбированный и других вакцин, допустим любой интервал между введениями.&lt;/p&gt;</t>
  </si>
  <si>
    <t>Данные, полученные при одновременном введении вакцины Гексаксим и пневмококковой полисахаридной конъюгированной вакцины, продемонстрировали отсутствие клинически значимого влияния на иммунный ответ на каждый отдельный антиген.
Данные, полученные при одновременном введении ревакцинирующей дозы вакцины Гексаксим с вакцинами для профилактики кори, эпидемического паротита, краснухи и ветряной оспы, продемонстрировали отсутствие клинически значимого влияния на иммунный ответ на каждый отдельный антиген.
Данные, полученные при одновременном введении с ротавирусными вакцинами, продемонстрировали отсутствие клинически значимого влияния на иммунный ответ на каждый отдельный антиген вакцины Гексаксим при первичной вакцинации.
Данные, полученные при совместном применении вакцины Гексаксим с менингококковой конъюгированной вакциной против серогруппы С или менингококковой конъюгированной вакциной против серогрупп A, C, W и Y, продемонстрировали отсутствие клинически значимого влияния на иммунный ответ на каждый антиген.
При одновременном введении с другими вакцинами препараты следует вводить в разные участки тела.
Вакцину Гексаксим нельзя смешивать в одном шприце с любыми другими вакцинами, вводимыми парентерально.</t>
  </si>
  <si>
    <t>&lt;p&gt;Данные, полученные при одновременном введении вакцины Гексаксим и пневмококковой полисахаридной конъюгированной вакцины, продемонстрировали отсутствие клинически значимого влияния на иммунный ответ на каждый отдельный антиген.&lt;br&gt;
Данные, полученные при одновременном введении ревакцинирующей дозы вакцины Гексаксим с вакцинами для профилактики кори, эпидемического паротита, краснухи и ветряной оспы, продемонстрировали отсутствие клинически значимого влияния на иммунный ответ на каждый отдельный антиген.&lt;br&gt;
Данные, полученные при одновременном введении с ротавирусными вакцинами, продемонстрировали отсутствие клинически значимого влияния на иммунный ответ на каждый отдельный антиген вакцины Гексаксим при первичной вакцинации.&lt;br&gt;
Данные, полученные при совместном применении вакцины Гексаксим с менингококковой конъюгированной вакциной против серогруппы С или менингококковой конъюгированной вакциной против серогрупп A, C, W и Y, продемонстрировали отсутствие клинически значимого влияния на иммунный ответ на каждый антиген.&lt;br&gt;&lt;br&gt;
При одновременном введении с другими вакцинами препараты следует вводить в разные участки тела.&lt;br&gt;
Вакцину Гексаксим нельзя смешивать в одном шприце с любыми другими вакцинами, вводимыми парентерально.&lt;/p&gt;</t>
  </si>
  <si>
    <t>Допускается введение неживых вакцин с любым интервалом между собой, между живой и неживой вакцинами, а также допустим любой интервал в соответствии с методическими рекомендациями по проведению профилактических прививок (в соответствии с приказом Министерства здравоохранения РФ от 6 декабря 2021 г. № 1122н «Об утверждении национального календаря профилактических прививок, календаря профилактических прививок по эпидемическим показаниям и порядка проведения профилактических прививок»).</t>
  </si>
  <si>
    <t>&lt;p&gt;Допускается введение неживых вакцин с любым интервалом между собой, между живой и неживой вакцинами, а также допустим любой интервал в соответствии с методическими рекомендациями по проведению профилактических прививок (в соответствии с приказом Министерства здравоохранения РФ от 6&amp;nbsp;декабря 2021&amp;nbsp;г. №&amp;nbsp;1122н «Об утверждении национального календаря профилактических прививок, календаря профилактических прививок по эпидемическим показаниям и порядка проведения профилактических прививок»).&lt;/p&gt;</t>
  </si>
  <si>
    <t>Одновременное применение вакцины Цегардекс с другими вакцинами не изучалось.
Допускается одновременное введение вакцины Цегардекс с другими вакцинами при условии их введения разными шприцами в разные участки тела. При необходимости допускается введение более одной вакцины в одну мышцу, при этом следует сделать, отступ между местами инъекции в 2,5—3 см, чтобы в случае возникновения местной реакции была возможность дифференцировать, какая вакцина ее вызвала. При необходимости раздельного (не в один календарный день) введения вакцины Цегардекс и других вакцин, допустим любой интервал между введениями, т.к. вакцина Цегардекс является инактивированной.</t>
  </si>
  <si>
    <t>&lt;p&gt;Одновременное применение вакцины Цегардекс с другими вакцинами не изучалось.&lt;br&gt;
Допускается одновременное введение вакцины Цегардекс с другими вакцинами при условии их введения разными шприцами в разные участки тела. При необходимости допускается введение более одной вакцины в одну мышцу, при этом следует сделать, отступ между местами инъекции в 2,5—3&amp;nbsp;см, чтобы в случае возникновения местной реакции была возможность дифференцировать, какая вакцина ее вызвала. При необходимости раздельного (не в один календарный день) введения вакцины Цегардекс и других вакцин, допустим любой интервал между введениями, т.к. вакцина Цегардекс является инактивированной.&lt;/p&gt;</t>
  </si>
  <si>
    <t>Вакцину МЕНВЭЙД можно вводить одновременно (в один день) с другими вакцинами (за исключением вакцин для профилактики туберкулеза) в разные участки тела с использованием разных шприцев. При раздельном введении вакцины МЕНВЭЙД с другими инактивированными или живыми вакцинами, кроме вакцин для профилактики туберкулеза, допускается их введение с любым интервалом между собой. Интервал до и после введения вакцины против туберкулеза составляет 1 месяц.
Подтверждена безопасность одновременного применения вакцины МЕНВЭЙД со следующими вакцинами: вакцинами против кори и краснухи, вакциной против желтой лихорадки в соответствии с инструкциями по их применению и Национальным календарем профилактических прививок и прививок по эпидемическим показаниям Российской Федерации.</t>
  </si>
  <si>
    <t>&lt;p&gt;Вакцину МЕНВЭЙД можно вводить одновременно (в один день) с другими вакцинами (за исключением вакцин для профилактики туберкулеза) в разные участки тела с использованием разных шприцев. При раздельном введении вакцины МЕНВЭЙД с другими инактивированными или живыми вакцинами, кроме вакцин для профилактики туберкулеза, допускается их введение с любым интервалом между собой. Интервал до и после введения вакцины против туберкулеза составляет 1&amp;nbsp;месяц.&lt;br&gt;
Подтверждена безопасность одновременного применения вакцины МЕНВЭЙД со следующими вакцинами: вакцинами против кори и краснухи, вакциной против желтой лихорадки в соответствии с инструкциями по их применению и Национальным календарем профилактических прививок и прививок по эпидемическим показаниям Российской Федерации.&lt;/p&gt;</t>
  </si>
  <si>
    <r>
      <rPr>
        <sz val="10"/>
        <color theme="1"/>
        <rFont val="Arial"/>
      </rPr>
      <t xml:space="preserve">Разные инъекционные вакцины всегда следует вводить в разные части тела.
Запрещено смешивать препарат Превенар 20 с другими вакцинами в одном шприце.
В соответствии с национальными рекомендациями допускается одновременное введение вакцины Превенар 20 с другими вакцинами в рамках Национального календаря профилактических прививок (если применимо) и прививок по эпидемическим показаниям (кроме БЦЖ) при условии их введения разными шприцами в разные участки тела. При необходимости допускается введение более одной вакцины в одну мышцу, при этом следует сделать отступ между местами инъекции в 2,5—3 см, чтобы в случае возникновения местной реакции была возможность дифференцировать, какая вакцина ее вызвала. При необходимости раздельного (не в один календарный день) введения вакцины Превенар 20 и других вакцин, допустим любой интервал между введениями, т.к. вакцина Превенар 20 является инактивированной.
</t>
    </r>
    <r>
      <rPr>
        <i/>
        <sz val="10"/>
        <color theme="1"/>
        <rFont val="Arial"/>
      </rPr>
      <t>Дети</t>
    </r>
    <r>
      <rPr>
        <sz val="10"/>
        <color theme="1"/>
        <rFont val="Arial"/>
      </rPr>
      <t xml:space="preserve">
В результате клинических исследований было установлено, что у младенцев и детей в возрасте от 6 недель до 5 лет препарат Превенар 20 можно вводить одновременно с любыми из следующих вакцинных антигенов, как в виде моновалентных, так и в составе комбинированных вакцин: дифтерия, столбняк, бесклеточный коклюшный компонент, гепатит B, </t>
    </r>
    <r>
      <rPr>
        <i/>
        <sz val="10"/>
        <color theme="1"/>
        <rFont val="Arial"/>
      </rPr>
      <t>Haemophilus influenzae</t>
    </r>
    <r>
      <rPr>
        <sz val="10"/>
        <color theme="1"/>
        <rFont val="Arial"/>
      </rPr>
      <t xml:space="preserve"> типа </t>
    </r>
    <r>
      <rPr>
        <i/>
        <sz val="10"/>
        <color theme="1"/>
        <rFont val="Arial"/>
      </rPr>
      <t>b</t>
    </r>
    <r>
      <rPr>
        <sz val="10"/>
        <color theme="1"/>
        <rFont val="Arial"/>
      </rPr>
      <t xml:space="preserve">, инактивированные вакцины против полиомиелита, вакцины против кори, эпидемического паротита, краснухи и ветряной оспы.
Вакцина продемонстрировала благоприятный профиль безопасности при введении с вакцинами против гриппа и ротавируса.
</t>
    </r>
    <r>
      <rPr>
        <i/>
        <sz val="10"/>
        <color theme="1"/>
        <rFont val="Arial"/>
      </rPr>
      <t>Взрослые в возрасте 18 лет и старше</t>
    </r>
    <r>
      <rPr>
        <sz val="10"/>
        <color theme="1"/>
        <rFont val="Arial"/>
      </rPr>
      <t xml:space="preserve">
В результате клинических исследований было установлено, что препарат Превенар 20 можно вводить одновременно с вакциной против сезонного гриппа (4-валентной вакциной, на основе поверхностных антигенов, инактивированной, адъювантной). У пациентов с сопутствующими заболеваниями, связанными с высоким риском развития угрожающей жизни пневмококковой инфекции, может быть рассмотрен вопрос об отдельном введении 4-валентной противогриппозной вакцины и препарата Превенар 20 (например, с интервалом около 4 недель). В двойном слепом рандомизированном исследовании (B7471004) у взрослых в возрасте 65 лет и старше иммунный ответ формально был не ниже, однако при одновременном введении с вакциной против сезонного гриппа (4-валентной вакциной, на основе поверхностных антигенов, инактивированной, адъювантной) наблюдались численно более низкие значения титров для всех серотипов пневмококка, входящих в состав препарата Превенар 20, по сравнению с введением только Превенар 20. Клиническая значимость этих данных неизвестна.
Данные об одновременном применении препарата Превенар 20 с другими вакцинами отсутствуют.</t>
    </r>
  </si>
  <si>
    <r>
      <rPr>
        <sz val="10"/>
        <color theme="1"/>
        <rFont val="Arial"/>
      </rPr>
      <t xml:space="preserve">&lt;p&gt;Разные инъекционные вакцины всегда следует вводить в разные части тела.&lt;br&gt;
Запрещено смешивать препарат Превенар&amp;nbsp;20 с другими вакцинами в одном шприце.&lt;br&gt;
В соответствии с национальными рекомендациями допускается одновременное введение вакцины Превенар&amp;nbsp;20 с другими вакцинами в рамках Национального календаря профилактических прививок (если применимо) и прививок по эпидемическим показаниям (кроме БЦЖ) при условии их введения разными шприцами в разные участки тела. При необходимости допускается введение более одной вакцины в одну мышцу, при этом следует сделать отступ между местами инъекции в 2,5—3&amp;nbsp;см, чтобы в случае возникновения местной реакции была возможность дифференцировать, какая вакцина ее вызвала. При необходимости раздельного (не в один календарный день) введения вакцины Превенар&amp;nbsp;20 и других вакцин, допустим любой интервал между введениями, т.к. вакцина Превенар&amp;nbsp;20 является инактивированной.&lt;br&gt;&lt;br&gt;
</t>
    </r>
    <r>
      <rPr>
        <i/>
        <sz val="10"/>
        <color theme="1"/>
        <rFont val="Arial"/>
      </rPr>
      <t>&lt;i&gt;Дети&lt;/i&gt;&lt;br&gt;</t>
    </r>
    <r>
      <rPr>
        <sz val="10"/>
        <color theme="1"/>
        <rFont val="Arial"/>
      </rPr>
      <t xml:space="preserve">
В результате клинических исследований было установлено, что у младенцев и детей в возрасте от 6&amp;nbsp;недель до 5&amp;nbsp;лет препарат Превенар&amp;nbsp;20 можно вводить одновременно с любыми из следующих вакцинных антигенов, как в виде моновалентных, так и в составе комбинированных вакцин: дифтерия, столбняк, бесклеточный коклюшный компонент, гепатит&amp;nbsp;B, </t>
    </r>
    <r>
      <rPr>
        <i/>
        <sz val="10"/>
        <color theme="1"/>
        <rFont val="Arial"/>
      </rPr>
      <t>&lt;i&gt;Haemophilus influenzae&lt;/i&gt;</t>
    </r>
    <r>
      <rPr>
        <sz val="10"/>
        <color theme="1"/>
        <rFont val="Arial"/>
      </rPr>
      <t xml:space="preserve"> типа &lt;i&gt;</t>
    </r>
    <r>
      <rPr>
        <i/>
        <sz val="10"/>
        <color theme="1"/>
        <rFont val="Arial"/>
      </rPr>
      <t>b&lt;/i&gt;</t>
    </r>
    <r>
      <rPr>
        <sz val="10"/>
        <color theme="1"/>
        <rFont val="Arial"/>
      </rPr>
      <t xml:space="preserve">, инактивированные вакцины против полиомиелита, вакцины против кори, эпидемического паротита, краснухи и ветряной оспы.&lt;br&gt;
Вакцина продемонстрировала благоприятный профиль безопасности при введении с вакцинами против гриппа и ротавируса.&lt;br&gt;&lt;br&gt;
</t>
    </r>
    <r>
      <rPr>
        <i/>
        <sz val="10"/>
        <color theme="1"/>
        <rFont val="Arial"/>
      </rPr>
      <t>&lt;i&gt;Взрослые в возрасте 18&amp;nbsp;лет и старше&lt;/i&gt;&lt;br&gt;</t>
    </r>
    <r>
      <rPr>
        <sz val="10"/>
        <color theme="1"/>
        <rFont val="Arial"/>
      </rPr>
      <t xml:space="preserve">
В результате клинических исследований было установлено, что препарат Превенар&amp;nbsp;20 можно вводить одновременно с вакциной против сезонного гриппа (4-валентной вакциной, на основе поверхностных антигенов, инактивированной, адъювантной). У пациентов с сопутствующими заболеваниями, связанными с высоким риском развития угрожающей жизни пневмококковой инфекции, может быть рассмотрен вопрос об отдельном введении 4-валентной противогриппозной вакцины и препарата Превенар&amp;nbsp;20 (например, с интервалом около 4 недель). В двойном слепом рандомизированном исследовании (B7471004) у взрослых в возрасте 65&amp;nbsp;лет и старше иммунный ответ формально был не ниже, однако при одновременном введении с вакциной против сезонного гриппа (4-валентной вакциной, на основе поверхностных антигенов, инактивированной, адъювантной) наблюдались численно более низкие значения титров для всех серотипов пневмококка, входящих в состав препарата Превенар 20, по сравнению с введением только Превенар&amp;nbsp;20. Клиническая значимость этих данных неизвестна.&lt;br&gt;
Данные об одновременном применении препарата Превенар&amp;nbsp;20 с другими вакцинами отсутствуют.&lt;/p&gt;</t>
    </r>
  </si>
  <si>
    <t>В соответствии с национальными рекомендациями, иные живые или неживые вакцины (кроме антирабических вакцин) могут быть введены одновременно (в один день) с вакциной аАКДС-М. При одновременном введении с другими вакцинами, каждую вакцину следует вводить разными шприцами, в разные участки тела, предпочтительно, в разные конечности.
В случае раздельного (не в один календарный день) введения вакцины аАКДС-М и других вакцин, допустим любой интервал между введениями, т.к. вакцина аАКДС является неживой.</t>
  </si>
  <si>
    <t>&lt;p&gt;В соответствии с национальными рекомендациями, иные живые или неживые вакцины (кроме антирабических вакцин) могут быть введены одновременно (в один день) с вакциной аАКДС-М. При одновременном введении с другими вакцинами, каждую вакцину следует вводить разными шприцами, в разные участки тела, предпочтительно, в разные конечности.&lt;br&gt;
В случае раздельного (не в один календарный день) введения вакцины аАКДС-М и других вакцин, допустим любой интервал между введениями, т.к. вакцина аАКДС является неживой.&lt;/p&gt;</t>
  </si>
  <si>
    <r>
      <rPr>
        <sz val="10"/>
        <color theme="1"/>
        <rFont val="Arial"/>
      </rPr>
      <t xml:space="preserve">У младенцев препарат Нименрикс можно вводить одновременно с комбинированной вакциной бАКДС-ВГВ-ИПВ/Хиб, а также с 10-валентной пневмококковой конъюгированной вакциной.
В возрасте 1 года и старше препарат Нименрикс можно применять одновременно с любыми вакцинами из числа следующих: вакцины против вируса гепатита А (ГепА) и вируса гепатита В (ГепВ), вакцина против кори, паротита и краснухи (КПК), вакцина против кори, паротита, краснухи и ветряной оспы (КПКВ), 10-валентная пневмококковая конъюгированная вакцина и безадъювантная вакцина против сезонного гриппа.
На втором году жизни препарат Нименрикс также можно применять одновременно с комбинированными вакцинами против дифтерии, столбняка и коклюша с бесклеточным компонентом (бАКДС), в том числе с комбинациями вакцин бАКДС с вакцинами против гепатита В, инактивированной вакциной против полиомиелита или вакциной против </t>
    </r>
    <r>
      <rPr>
        <i/>
        <sz val="10"/>
        <color theme="1"/>
        <rFont val="Arial"/>
      </rPr>
      <t>Haemophilus influenzae</t>
    </r>
    <r>
      <rPr>
        <sz val="10"/>
        <color theme="1"/>
        <rFont val="Arial"/>
      </rPr>
      <t xml:space="preserve"> типа </t>
    </r>
    <r>
      <rPr>
        <i/>
        <sz val="10"/>
        <color theme="1"/>
        <rFont val="Arial"/>
      </rPr>
      <t xml:space="preserve">b </t>
    </r>
    <r>
      <rPr>
        <sz val="10"/>
        <color theme="1"/>
        <rFont val="Arial"/>
      </rPr>
      <t>(ВГВ, ИПВ или Хиб), такими как вакцина бАКДС-ВГВ-ИПВ/Хиб, а также 13-валентной пневмококковой конъюгированной вакциной.
Лицам в возрасте 9–25 лет препарат Нименрикс можно вводить одновременно с бивалентной рекомбинантной вакциной против папилломавируса человека (типов 16 и 18) (ВПЧ2).
По мере возможности препарат Нименрикс и вакцину, содержащую столбнячный анатоксин (АС), такую как бАКДС-ВГВ-ИПВ/Хиб, следует применять одновременно, либо необходимо вводить препарат Нименрикс по крайней мере за один месяц до введения вакцины, содержащей АС.
Через один месяц после одновременного применения с 10-валентной конъюгированной пневмококковой вакциной для одного пневмококкового серотипа (серотип 18С, конъюгированный с белком-носителем столбнячного анатоксина) наблюдались меньшие средние геометрические концентрации (СГК) антител и СГТ антител по результатам анализа опсонофагоцитарной активности (ОФА). Клиническая значимость этого наблюдения неизвестна. Влияние одновременного введения на иммунный ответ на другие девять пневмококковых серотипов отсутствует.
Через месяц после одновременного введения вакцины с комбинированной адсорбированной вакциной, содержащей столбнячный анатоксин, дифтерийный анатоксин с уменьшенным содержанием антигена и бесклеточный коклюшный компонент, (Tdap) пациентам в возрасте 9–25 лет наблюдались более низкие значения СГК на каждый коклюшный антиген (коклюшный анатоксин [КА], филаментный гемагглютинин [ФГА] и пертактин [ПРН]). У более чем 98% пациентов показатели концентрации антител к КА, ФГА или ПРН были выше пороговых значений результатов анализа. Клиническая значимость этих наблюдений неизвестна. Влияние одновременного введения вакцин на иммунный ответ на препарат Нименрикс либо столбнячный или дифтерийный антигены, содержащиеся в вакцине Tdap, не наблюдалось.
При необходимости одновременной вакцинации препарат Нименрикс и другими вакцинами их следует всегда вводить в разные части тела.</t>
    </r>
  </si>
  <si>
    <r>
      <rPr>
        <sz val="10"/>
        <color theme="1"/>
        <rFont val="Arial"/>
      </rPr>
      <t xml:space="preserve">&lt;p&gt;У младенцев препарат Нименрикс можно вводить одновременно с комбинированной вакциной бАКДС-ВГВ-ИПВ/Хиб, а также с 10-валентной пневмококковой конъюгированной вакциной.&lt;br&gt;
В возрасте 1&amp;nbsp;года и старше препарат Нименрикс можно применять одновременно с любыми вакцинами из числа следующих: вакцины против вируса гепатита А (ГепА) и вируса гепатита В (ГепВ), вакцина против кори, паротита и краснухи (КПК), вакцина против кори, паротита, краснухи и ветряной оспы (КПКВ), 10-валентная пневмококковая конъюгированная вакцина и безадъювантная вакцина против сезонного гриппа.&lt;br&gt;
На втором году жизни препарат Нименрикс также можно применять одновременно с комбинированными вакцинами против дифтерии, столбняка и коклюша с бесклеточным компонентом (бАКДС), в том числе с комбинациями вакцин бАКДС с вакцинами против гепатита В, инактивированной вакциной против полиомиелита или вакциной против </t>
    </r>
    <r>
      <rPr>
        <i/>
        <sz val="10"/>
        <color theme="1"/>
        <rFont val="Arial"/>
      </rPr>
      <t>&lt;i&gt;Haemophilus influenzae&lt;/i&gt;</t>
    </r>
    <r>
      <rPr>
        <sz val="10"/>
        <color theme="1"/>
        <rFont val="Arial"/>
      </rPr>
      <t xml:space="preserve"> типа&amp;nbsp;&lt;i&gt;</t>
    </r>
    <r>
      <rPr>
        <i/>
        <sz val="10"/>
        <color theme="1"/>
        <rFont val="Arial"/>
      </rPr>
      <t xml:space="preserve">b&lt;/i&gt; </t>
    </r>
    <r>
      <rPr>
        <sz val="10"/>
        <color theme="1"/>
        <rFont val="Arial"/>
      </rPr>
      <t>(ВГВ, ИПВ или Хиб), такими как вакцина бАКДС-ВГВ-ИПВ/Хиб, а также 13-валентной пневмококковой конъюгированной вакциной.&lt;br&gt;
Лицам в возрасте 9–25&amp;nbsp;лет препарат Нименрикс можно вводить одновременно с бивалентной рекомбинантной вакциной против папилломавируса человека (типов 16 и 18) (ВПЧ2).&lt;br&gt;
По мере возможности препарат Нименрикс и вакцину, содержащую столбнячный анатоксин (АС), такую как бАКДС-ВГВ-ИПВ/Хиб, следует применять одновременно, либо необходимо вводить препарат Нименрикс по крайней мере за один месяц до введения вакцины, содержащей АС.&lt;br&gt;
Через один месяц после одновременного применения с 10-валентной конъюгированной пневмококковой вакциной для одного пневмококкового серотипа (серотип 18С, конъюгированный с белком-носителем столбнячного анатоксина) наблюдались меньшие средние геометрические концентрации (СГК) антител и СГТ антител по результатам анализа опсонофагоцитарной активности (ОФА). Клиническая значимость этого наблюдения неизвестна. Влияние одновременного введения на иммунный ответ на другие девять пневмококковых серотипов отсутствует.&lt;br&gt;
Через месяц после одновременного введения вакцины с комбинированной адсорбированной вакциной, содержащей столбнячный анатоксин, дифтерийный анатоксин с уменьшенным содержанием антигена и бесклеточный коклюшный компонент, (Tdap) пациентам в возрасте 9–25&amp;nbsp;лет наблюдались более низкие значения СГК на каждый коклюшный антиген (коклюшный анатоксин [КА], филаментный гемагглютинин [ФГА] и пертактин [ПРН]). У более чем 98% пациентов показатели концентрации антител к КА, ФГА или ПРН были выше пороговых значений результатов анализа. Клиническая значимость этих наблюдений неизвестна. Влияние одновременного введения вакцин на иммунный ответ на препарат Нименрикс либо столбнячный или дифтерийный антигены, содержащиеся в вакцине Tdap, не наблюдалось.&lt;br&gt;
При необходимости одновременной вакцинации препарат Нименрикс и другими вакцинами их следует всегда вводить в разные части тела.&lt;/p&gt;</t>
    </r>
  </si>
  <si>
    <t>storage_text_w/o_html</t>
  </si>
  <si>
    <t>storage_text_html</t>
  </si>
  <si>
    <t>storage_date</t>
  </si>
  <si>
    <t>storage_view_number</t>
  </si>
  <si>
    <t>storage_version</t>
  </si>
  <si>
    <t>storage_version_link</t>
  </si>
  <si>
    <r>
      <rPr>
        <sz val="10"/>
        <color theme="1"/>
        <rFont val="Arial"/>
      </rPr>
      <t xml:space="preserve">Хранить при температуре от 2 до 8 °С.
Восстановленная вакцина — не более 1 часа при температуре от 2 до 8 °С при хранении в асептических условиях, предохраняя от действия солнечного и дневного света.
</t>
    </r>
    <r>
      <rPr>
        <i/>
        <sz val="10"/>
        <color theme="1"/>
        <rFont val="Arial"/>
      </rPr>
      <t>Условия транспортирования:</t>
    </r>
    <r>
      <rPr>
        <sz val="10"/>
        <color theme="1"/>
        <rFont val="Arial"/>
      </rPr>
      <t xml:space="preserve">
При температуре от 2 до 8 °С.</t>
    </r>
  </si>
  <si>
    <t>&lt;p&gt;Хранить при температуре от 2 до 8&amp;nbsp;°С.&lt;br&gt;
Восстановленная вакцина — не более 1&amp;nbsp;часа при температуре от 2 до 8&amp;nbsp;°С при хранении в асептических условиях, предохраняя от действия солнечного и дневного света.&lt;br&gt;&lt;br&gt;
&lt;i&gt;Условия транспортирования:&lt;/i&gt;&lt;br&gt;
При температуре от 2 до 8 °С.&lt;/p&gt;</t>
  </si>
  <si>
    <t>https://grls.rosminzdrav.ru/InstrImg/2024/07/22/1506963/e3ee888d-af33-4b32-88c3-937587aac4f5.pdf</t>
  </si>
  <si>
    <t>&lt;p&gt;Хранить при температуре от 2 до 8&amp;nbsp;°С.&lt;br&gt;
Восстановленная вакцина — не более 1&amp;nbsp;часа при температуре от 2 до 8&amp;nbsp;°С при хранении в асептических условиях, предохраняя от действия солнечного и дневного света.&lt;br&gt;&lt;br&gt;
&lt;i&gt;Условия транспортирования:&lt;/i&gt;&lt;br&gt;
При температуре от 2 до 8&amp;nbsp;°С.&lt;/p&gt;</t>
  </si>
  <si>
    <t>https://grls.rosminzdrav.ru/InstrImg/2024/07/22/1506933/80d8215a-ed41-4eea-aa3e-718b4060dc85.pdf</t>
  </si>
  <si>
    <t>Хранить в оригинальной упаковке при температуре от 2 до 8 °С.
Хранить в недоступном для детей месте.
Разведенный лекарственный препарат необходимо предохранять от действия солнечного и дневного света (например, цилиндром из черной бумаги).
Разведенный лекарственный препарат пригоден к применению не более 1 часа после разведения при хранении в асептических условиях, при температуре от 2 до 8 °С.
Транспортировать при температуре от 2 до 8 °С.</t>
  </si>
  <si>
    <t>&lt;p&gt;Хранить в оригинальной упаковке при температуре от 2 до 8&amp;nbsp;°С.&lt;br&gt;
Хранить в недоступном для детей месте.&lt;br&gt;
Разведенный лекарственный препарат необходимо предохранять от действия солнечного и дневного света (например, цилиндром из черной бумаги).&lt;br&gt;
Разведенный лекарственный препарат пригоден к применению не более 1&amp;nbsp;часа после разведения при хранении в асептических условиях, при температуре от 2 до 8&amp;nbsp;°С.&lt;br&gt;&lt;br&gt;
Транспортировать при температуре от 2 до 8&amp;nbsp;°С.&lt;/p&gt;</t>
  </si>
  <si>
    <t>Хранить при температуре от 2 до 8 °C.
Не замораживать. Препарат, подвергшийся замораживанию, подлежит уничтожению.
Хранить в недоступном для детей месте.
Транспортировать при температуре от 2 до 8 °С.</t>
  </si>
  <si>
    <t>&lt;p&gt;Хранить при температуре от 2 до 8&amp;nbsp;°C.&lt;br&gt;
Не замораживать. Препарат, подвергшийся замораживанию, подлежит уничтожению.&lt;br&gt;
Хранить в недоступном для детей месте.&lt;br&gt;&lt;br&gt;
Транспортировать при температуре от 2 до 8&amp;nbsp;°С.&lt;/p&gt;</t>
  </si>
  <si>
    <t>https://grls.rosminzdrav.ru/InstrImg/2024/04/26/1504040/c8eb3c33-845e-4af2-aeb5-f70dcdb3f339.pdf</t>
  </si>
  <si>
    <t>При температуре от 2 до 8 °С. Не замораживать.
Препарат во вскрытой ампуле хранению не подлежит.
Условия транспортирования:
При температуре от 2 до 8 °С. Не замораживать.</t>
  </si>
  <si>
    <t>&lt;p&gt;При температуре от 2 до 8&amp;nbsp;°С. Не замораживать.&lt;br&gt;
Препарат во вскрытой ампуле хранению не подлежит.&lt;br&gt;&lt;br&gt;
&lt;i&gt;Условия транспортирования:&lt;/i&gt;&lt;br&gt;
При температуре от 2 до 8&amp;nbsp;°С. Не замораживать.&lt;/p&gt;</t>
  </si>
  <si>
    <t>https://grls.rosminzdrav.ru/InstrImg/2024/06/11/1505783/fc76a782-eb1a-468c-a748-3f0e4fe0cd09.pdf</t>
  </si>
  <si>
    <r>
      <rPr>
        <sz val="10"/>
        <color theme="1"/>
        <rFont val="Arial"/>
      </rPr>
      <t xml:space="preserve">Следует хранить в сухом, защищенном от света месте при температуре от 4 до 8 °С. Не замораживать.
</t>
    </r>
    <r>
      <rPr>
        <i/>
        <sz val="10"/>
        <color theme="1"/>
        <rFont val="Arial"/>
      </rPr>
      <t>Условия транспортирования:</t>
    </r>
    <r>
      <rPr>
        <sz val="10"/>
        <color theme="1"/>
        <rFont val="Arial"/>
      </rPr>
      <t xml:space="preserve">
Следует транспортировать в сухом, защищенном от света месте при температуре от 4 до 8 °C. Не замораживать.</t>
    </r>
  </si>
  <si>
    <t>&lt;p&gt;Следует хранить в сухом, защищенном от света месте при температуре от 4 до 8&amp;nbsp;°С. Не замораживать.&lt;br&gt;&lt;br&gt;
&lt;i&gt;Условия транспортирования:&lt;/i&gt;&lt;br&gt;
Следует транспортировать в сухом, защищенном от света месте при температуре от 4 до 8 °C. Не замораживать.&lt;/p&gt;</t>
  </si>
  <si>
    <t>Препарат хранят и транспортируют в соответствии с СП 3.3.2.1248-03 при температуре от 2 до 8 °С. Замораживание не допускается. Хранить в недоступном для детей месте.</t>
  </si>
  <si>
    <t>&lt;p&gt;Препарат хранят и транспортируют в соответствии с СП&amp;nbsp;3.3.2.1248-03 при температуре от 2 до 8&amp;nbsp;°С. Замораживание не допускается. Хранить в недоступном для детей месте.&lt;/p&gt;</t>
  </si>
  <si>
    <t>Хранить при температуре от 2 до 8 ºС (в холодильнике) в защищенном от света месте. Не замораживать.
Готовую вакцину следует ввести немедленно.</t>
  </si>
  <si>
    <t>&lt;p&gt;Хранить при температуре от 2 до 8&amp;nbsp;ºС (в холодильнике) в защищенном от света месте. Не замораживать.&lt;br&gt;
Готовую вакцину следует ввести немедленно.&lt;/p&gt;</t>
  </si>
  <si>
    <t>Хранить и транспортировать в холодильнике (2-8 °С). Хранить в темном месте, чтобы защитить от света. Не замораживать. Препарат, подвергшийся замораживанию, подлежит уничтожению.
[...] Восстановленная вакцина может находиться при комнатной температуре (21 °С) в течение 8 часов [...].
Получены данные, свидетельствующие о возможности хранения составляющих комплекта в течение 72 часов при температуре не выше 25 °С. Препарат Инфанрикс Гекса следует использовать в течение этого периода; по его истечении неиспользованный препарат должен быть уничтожен.</t>
  </si>
  <si>
    <t>&lt;p&gt;Хранить и транспортировать в холодильнике (2-8&amp;nbsp;°С). Хранить в темном месте, чтобы защитить от света. Не замораживать. Препарат, подвергшийся замораживанию, подлежит уничтожению.&lt;br&gt;
[...] Восстановленная вакцина может находиться при комнатной температуре (21&amp;nbsp;°С) в течение 8&amp;nbsp;часов [...].&lt;br&gt;
Получены данные, свидетельствующие о возможности хранения составляющих комплекта в течение 72&amp;nbsp;часов при температуре не выше 25&amp;nbsp;°С. Препарат Инфанрикс Гекса следует использовать в течение этого периода; по его истечении неиспользованный препарат должен быть уничтожен.&lt;/p&gt;</t>
  </si>
  <si>
    <t>Хранить при температуре от 2 °C до 8 °C. Замораживание не допускается.
Препарат во вскрытой ампуле хранению не подлежит.</t>
  </si>
  <si>
    <t>&lt;p&gt;Хранить при температуре от 2&amp;nbsp;°C до 8&amp;nbsp;°C. Замораживание не допускается.&lt;br&gt;
Препарат во вскрытой ампуле хранению не подлежит.&lt;/p&gt;</t>
  </si>
  <si>
    <t>Хранить при температуре (2-8 °С). Не замораживать.
Препарат во вскрытой ампуле хранению не подлежит.</t>
  </si>
  <si>
    <t>&lt;p&gt;Хранить при температуре (2-8&amp;nbsp;°С). Не замораживать.&lt;br&gt;
Препарат во вскрытой ампуле хранению не подлежит.&lt;/p&gt;</t>
  </si>
  <si>
    <t>https://grls.rosminzdrav.ru/InstrImg/2024/07/31/1507315/766d25c1-1588-432d-8847-d7879b5f35ca.pdf</t>
  </si>
  <si>
    <t>https://grls.rosminzdrav.ru/InstrImg/2024/08/12/1507772/3256d497-6448-48ab-a45d-8d9537a5cf72.pdf</t>
  </si>
  <si>
    <t>Следует хранить в сухом, защищенном от света месте при температуре от 4 до 8 °С. Не замораживать. Препарат, подвергшийся замораживанию, применению не подлежит.
Хранить в местах, недоступных для детей.</t>
  </si>
  <si>
    <t>&lt;p&gt;Следует хранить в сухом, защищенном от света месте при температуре от 4 до 8&amp;nbsp;°С. Не замораживать. Препарат, подвергшийся замораживанию, применению не подлежит.&lt;br&gt;
Хранить в местах, недоступных для детей.&lt;/p&gt;</t>
  </si>
  <si>
    <t>Хранить при температуре от 2 до 8 ºС в оригинальной упаковке для защиты от света. Не замораживать. Вакцина, подвергшаяся замораживанию, применению не подлежит.</t>
  </si>
  <si>
    <t>&lt;p&gt;Хранить при температуре от 2 до 8&amp;nbsp;ºС в оригинальной упаковке для защиты от света. Не замораживать. Вакцина, подвергшаяся замораживанию, применению не подлежит.&lt;/p&gt;</t>
  </si>
  <si>
    <t>https://grls.rosminzdrav.ru/InstrImg/2024/06/26/1506257/5ced0007-6f34-412c-9709-b1f6af04e5f6.pdf</t>
  </si>
  <si>
    <r>
      <rPr>
        <sz val="10"/>
        <color theme="1"/>
        <rFont val="Arial"/>
      </rPr>
      <t xml:space="preserve">При температуре от 2 до 8 °С. Не замораживать. Допускается кратковременное (не более 24 часов) хранение при температуре выше 25 °С.
Хранить в недоступном для детей месте.
</t>
    </r>
    <r>
      <rPr>
        <i/>
        <sz val="10"/>
        <color theme="1"/>
        <rFont val="Arial"/>
      </rPr>
      <t>Условия транспортирования:</t>
    </r>
    <r>
      <rPr>
        <sz val="10"/>
        <color theme="1"/>
        <rFont val="Arial"/>
      </rPr>
      <t xml:space="preserve">
При температуре от 2 до 8 °С. Не замораживать.
Допускается кратковременное (не более 48 часов) транспортирование при температуре не выше 25 °С.</t>
    </r>
  </si>
  <si>
    <t>&lt;p&gt;При температуре от 2 до 8&amp;nbsp;°С. Не замораживать. Допускается кратковременное (не более 24&amp;nbsp;часов) хранение при температуре выше 25&amp;nbsp;°С.&lt;br&gt;
Хранить в недоступном для детей месте.&lt;br&gt;&lt;br&gt;
&lt;i&gt;Условия транспортирования:&lt;/i&gt;&lt;br&gt;
При температуре от 2 до 8&amp;nbsp;°С. Не замораживать.&lt;br&gt;
Допускается кратковременное (не более 48&amp;nbsp;часов) транспортирование при температуре не выше 25&amp;nbsp;°С.&lt;/p&gt;</t>
  </si>
  <si>
    <t>Хранить и транспортировать при температуре от 2 до 8 °С.
Не замораживать!
Препарат вводят сразу после вскрытия первичной упаковки.</t>
  </si>
  <si>
    <t>&lt;p&gt;Хранить и транспортировать при температуре от 2 до 8&amp;nbsp;°С.&lt;br&gt;
Не замораживать!&lt;br&gt;
Препарат вводят сразу после вскрытия первичной упаковки.&lt;/p&gt;</t>
  </si>
  <si>
    <t>Хранить и перевозить при температуре от 2 до 8 °C.
Не замораживать.
Хранить в защищенном от света месте.</t>
  </si>
  <si>
    <t>&lt;p&gt;Хранить и перевозить при температуре от 2 до 8&amp;nbsp;°C.&lt;br&gt;
Не замораживать.&lt;br&gt;
Хранить в защищенном от света месте.&lt;/p&gt;</t>
  </si>
  <si>
    <t>https://grls.rosminzdrav.ru/InstrImg/2024/08/15/1507980/8d222b22-41b7-4c91-91d7-df538cb9c42c.pdf</t>
  </si>
  <si>
    <r>
      <rPr>
        <sz val="10"/>
        <color theme="1"/>
        <rFont val="Arial"/>
      </rPr>
      <t xml:space="preserve">Хранить при температуре от 2 до 8 °С в защищенном от света месте. Не замораживать.
Хранить в недоступном для детей месте.
</t>
    </r>
    <r>
      <rPr>
        <i/>
        <sz val="10"/>
        <color theme="1"/>
        <rFont val="Arial"/>
      </rPr>
      <t>Условия транспортирования:</t>
    </r>
    <r>
      <rPr>
        <sz val="10"/>
        <color theme="1"/>
        <rFont val="Arial"/>
      </rPr>
      <t xml:space="preserve">
При температуре от 2 до 8 °С. Не замораживать.</t>
    </r>
  </si>
  <si>
    <t>&lt;p&gt;Хранить при температуре от 2 до 8&amp;nbsp;°С в защищенном от света месте. Не замораживать.&lt;br&gt;
Хранить в недоступном для детей месте.&lt;br&gt;&lt;br&gt;
&lt;i&gt;Условия транспортирования:&lt;/i&gt;&lt;br&gt;
При температуре от 2 до 8&amp;nbsp;°С. Не замораживать.&lt;/p&gt;</t>
  </si>
  <si>
    <r>
      <rPr>
        <sz val="10"/>
        <color theme="1"/>
        <rFont val="Arial"/>
      </rPr>
      <t xml:space="preserve">Хранить при температуре от 2 до 8 °С.
Не допускается замораживание.
Вакцина в ампулах, содержащих 1,0 мл препарата (взрослая доза) может быть использована для вакцинации 2-х детей (по 0,5 мл) при условии их одновременной вакцинации.
</t>
    </r>
    <r>
      <rPr>
        <i/>
        <sz val="10"/>
        <color theme="1"/>
        <rFont val="Arial"/>
      </rPr>
      <t>Условия транспортирования:</t>
    </r>
    <r>
      <rPr>
        <sz val="10"/>
        <color theme="1"/>
        <rFont val="Arial"/>
      </rPr>
      <t xml:space="preserve">
Транспортирование при температуре от 2 до 8 °С. Допускается кратковременное (не более 72 часов) транспортирование при температуре от 9 до 30 °С.
Не допускается замораживание.</t>
    </r>
  </si>
  <si>
    <t>&lt;p&gt;Хранить при температуре от 2 до 8&amp;nbsp;°С.&lt;br&gt;
Не допускается замораживание.&lt;br&gt;
Вакцина в ампулах, содержащих 1,0&amp;nbsp;мл препарата (взрослая доза) может быть использована для вакцинации 2-х&amp;nbsp;детей (по 0,5&amp;nbsp;мл) при условии их одновременной вакцинации.&lt;br&gt;&lt;br&gt;
&lt;i&gt;Условия транспортирования:&lt;/i&gt;&lt;br&gt;
Транспортирование при температуре от 2 до 8&amp;nbsp;°С. Допускается кратковременное (не более 72&amp;nbsp;часов) транспортирование при температуре от 9 до 30&amp;nbsp;°С.&lt;br&gt;
Не допускается замораживание.&lt;/p&gt;</t>
  </si>
  <si>
    <t>Хранить и транспортировать в холодильнике (2 °C — 8 °C).
Замораживание не допускается.
Допускается кратковременное (не более 72 часов) хранение и/или транспортирование при температуре не выше 30 °С.
Препарат во вскрытой ампуле хранению не подлежит.</t>
  </si>
  <si>
    <t>&lt;p&gt;Хранить и транспортировать в холодильнике (2&amp;nbsp;°C&amp;nbsp;—&amp;nbsp;8&amp;nbsp;°C).&lt;br&gt;
Замораживание не допускается.&lt;br&gt;
Допускается кратковременное (не более 72&amp;nbsp;часов) хранение и/или транспортирование при температуре не выше 30&amp;nbsp;°С.&lt;br&gt;&lt;br&gt;
Препарат во вскрытой ампуле хранению не подлежит.&lt;/p&gt;</t>
  </si>
  <si>
    <t>При температуре от 2 до 8 °С. Не замораживать.
Хранить в недоступном для детей месте.</t>
  </si>
  <si>
    <t>&lt;p&gt;При температуре от 2 до 8&amp;nbsp;°С. Не замораживать.&lt;br&gt;
Хранить в недоступном для детей месте.&lt;/p&gt;</t>
  </si>
  <si>
    <t>Хранить и перевозить при температуре от 2 до 8 °С. Не замораживать.
Хранить в защищенном от света месте.
Вакцину следует использовать сразу после извлечения из холодильника.</t>
  </si>
  <si>
    <t>&lt;p&gt;Хранить и перевозить при температуре от 2 до 8&amp;nbsp;°С. Не замораживать.&lt;br&gt;
Хранить в защищенном от света месте.&lt;br&gt;
Вакцину следует использовать сразу после извлечения из холодильника.&lt;/p&gt;</t>
  </si>
  <si>
    <t>https://grls.rosminzdrav.ru/InstrImg/2024/12/17/1512020/2a864a9a-4d20-4872-b696-45be6795479c.pdf</t>
  </si>
  <si>
    <t>При температуре от 2 до 8 °С, в защищенном от света месте.
Не замораживать.
Гардасил следует вводить как можно быстрее после извлечения из холодильника.
Гардасил может находиться вне холодильника (при температуре 25 °C или ниже) не более 72 часов.</t>
  </si>
  <si>
    <t>&lt;p&gt;При температуре от 2 до 8&amp;nbsp;°С, в защищенном от света месте.&lt;br&gt;
Не замораживать.&lt;br&gt;
Гардасил следует вводить как можно быстрее после извлечения из холодильника.&lt;br&gt;
Гардасил может находиться вне холодильника (при температуре 25&amp;nbsp;°C или ниже) не более 72&amp;nbsp;часов.&lt;/p&gt;</t>
  </si>
  <si>
    <t>https://grls.rosminzdrav.ru/InstrImg/2024/05/06/1504148/f9e7d2a4-783f-443b-a62e-29078cfb7066.pdf</t>
  </si>
  <si>
    <r>
      <rPr>
        <i/>
        <sz val="10"/>
        <color theme="1"/>
        <rFont val="Arial"/>
      </rPr>
      <t>Замороженный лекарственный препарат</t>
    </r>
    <r>
      <rPr>
        <sz val="10"/>
        <color theme="1"/>
        <rFont val="Arial"/>
      </rPr>
      <t xml:space="preserve">
Хранить в защищенном от света месте, при температуре не выше минус 18 °C. Повторное замораживание не допускается.
Для флаконов по 0,5 мл производства ФГБУ «НИЦЭМ им. Н.Ф. Гамалеи» Минздрава России (филиал «Медгамал» ФГБУ «НИЦЭМ им. Н.Ф. Гамалеи» Минздрава России) и ампул по 0,5 мл производства ОАО «Фармстандарт-УфаВИТА» допускается повышение температуры не выше минус 10 °C не более 3 суток.
</t>
    </r>
    <r>
      <rPr>
        <i/>
        <sz val="10"/>
        <color theme="1"/>
        <rFont val="Arial"/>
      </rPr>
      <t>Жидкий лекарственный препарат</t>
    </r>
    <r>
      <rPr>
        <sz val="10"/>
        <color theme="1"/>
        <rFont val="Arial"/>
      </rPr>
      <t xml:space="preserve">
Хранить и перевозить в холодильнике (2-8 °С). Не замораживать.
</t>
    </r>
    <r>
      <rPr>
        <i/>
        <sz val="10"/>
        <color theme="1"/>
        <rFont val="Arial"/>
      </rPr>
      <t>После размораживания</t>
    </r>
    <r>
      <rPr>
        <sz val="10"/>
        <color theme="1"/>
        <rFont val="Arial"/>
      </rPr>
      <t xml:space="preserve">
Суммарное время хранения размороженного раствора при комнатной температуре не должно превышать 2 часов.
Повторное замораживание флакона или ампулы с раствором не допускается. Не допускается хранение размороженного лекарственного препарата более 30 минут.
</t>
    </r>
    <r>
      <rPr>
        <i/>
        <sz val="10"/>
        <color theme="1"/>
        <rFont val="Arial"/>
      </rPr>
      <t>Вскрытый флакон или ампула</t>
    </r>
    <r>
      <rPr>
        <sz val="10"/>
        <color theme="1"/>
        <rFont val="Arial"/>
      </rPr>
      <t xml:space="preserve">
Допускается хранение лекарственного препарата при комнатной температуре: вскрытой ампулы, закрытой стерильной салфеткой, не более 1 часа. Допускается хранение вскрытого флакона не более 2 часов при комнатной температуре.</t>
    </r>
  </si>
  <si>
    <r>
      <rPr>
        <i/>
        <sz val="10"/>
        <color theme="1"/>
        <rFont val="Arial"/>
      </rPr>
      <t>&lt;p&gt;&lt;i&gt;Замороженный лекарственный препарат&lt;/i&gt;&lt;br&gt;</t>
    </r>
    <r>
      <rPr>
        <sz val="10"/>
        <color theme="1"/>
        <rFont val="Arial"/>
      </rPr>
      <t xml:space="preserve">
Хранить в защищенном от света месте, при температуре не выше минус 18&amp;nbsp;°C. Повторное замораживание не допускается.&lt;br&gt;
Для флаконов по 0,5&amp;nbsp;мл производства ФГБУ «НИЦЭМ им. Н.Ф. Гамалеи» Минздрава России (филиал «Медгамал» ФГБУ «НИЦЭМ им. Н.Ф. Гамалеи» Минздрава России) и ампул по 0,5&amp;nbsp;мл производства ОАО «Фармстандарт-УфаВИТА» допускается повышение температуры не выше минус 10&amp;nbsp;°C не более 3&amp;nbsp;суток.&lt;br&gt;
</t>
    </r>
    <r>
      <rPr>
        <i/>
        <sz val="10"/>
        <color theme="1"/>
        <rFont val="Arial"/>
      </rPr>
      <t>&lt;i&gt;Жидкий лекарственный препарат&lt;/i&gt;&lt;br&gt;</t>
    </r>
    <r>
      <rPr>
        <sz val="10"/>
        <color theme="1"/>
        <rFont val="Arial"/>
      </rPr>
      <t xml:space="preserve">
Хранить и перевозить в холодильнике (2-8&amp;nbsp;°С). Не замораживать.&lt;br&gt;&lt;br&gt;
</t>
    </r>
    <r>
      <rPr>
        <i/>
        <sz val="10"/>
        <color theme="1"/>
        <rFont val="Arial"/>
      </rPr>
      <t>&lt;i&gt;После размораживания&lt;/i&gt;&lt;br&gt;</t>
    </r>
    <r>
      <rPr>
        <sz val="10"/>
        <color theme="1"/>
        <rFont val="Arial"/>
      </rPr>
      <t xml:space="preserve">
Суммарное время хранения размороженного раствора при комнатной температуре не должно превышать 2&amp;nbsp;часов.&lt;br&gt;
Повторное замораживание флакона или ампулы с раствором не допускается. Не допускается хранение размороженного лекарственного препарата более 30&amp;nbsp;минут.&lt;br&gt;
</t>
    </r>
    <r>
      <rPr>
        <i/>
        <sz val="10"/>
        <color theme="1"/>
        <rFont val="Arial"/>
      </rPr>
      <t>&lt;i&gt;Вскрытый флакон или ампула&lt;/i&gt;&lt;br&gt;</t>
    </r>
    <r>
      <rPr>
        <sz val="10"/>
        <color theme="1"/>
        <rFont val="Arial"/>
      </rPr>
      <t xml:space="preserve">
Допускается хранение лекарственного препарата при комнатной температуре: вскрытой ампулы, закрытой стерильной салфеткой, не более 1&amp;nbsp;часа. Допускается хранение вскрытого флакона не более 2&amp;nbsp;часов при комнатной температуре.&lt;/p&gt;</t>
    </r>
  </si>
  <si>
    <r>
      <rPr>
        <sz val="10"/>
        <color theme="1"/>
        <rFont val="Arial"/>
      </rPr>
      <t xml:space="preserve">Хранить при температуре от 2 до 8 °С в защищенном от света месте.
Не допускается хранение восстановленного препарата!
Хранить в недоступном для детей месте.
</t>
    </r>
    <r>
      <rPr>
        <i/>
        <sz val="10"/>
        <color theme="1"/>
        <rFont val="Arial"/>
      </rPr>
      <t>Условия транспортирования:</t>
    </r>
    <r>
      <rPr>
        <sz val="10"/>
        <color theme="1"/>
        <rFont val="Arial"/>
      </rPr>
      <t xml:space="preserve">
При температуре от 2 до 8 °С в защищенном от света месте.</t>
    </r>
  </si>
  <si>
    <t>&lt;p&gt;Хранить при температуре от 2 до 8&amp;nbsp;°С в защищенном от света месте.&lt;br&gt;
Не допускается хранение восстановленного препарата!&lt;br&gt;
Хранить в недоступном для детей месте.&lt;br&gt;&lt;br&gt;
&lt;i&gt;Условия транспортирования:&lt;/i&gt;&lt;br&gt;
При температуре от 2 до 8&amp;nbsp;°С в защищенном от света месте.&lt;/p&gt;</t>
  </si>
  <si>
    <r>
      <rPr>
        <sz val="10"/>
        <color theme="1"/>
        <rFont val="Arial"/>
      </rPr>
      <t xml:space="preserve">При температуре от 2 до 8 °С. Не замораживать!
Хранить в недоступном для детей месте.
</t>
    </r>
    <r>
      <rPr>
        <i/>
        <sz val="10"/>
        <color theme="1"/>
        <rFont val="Arial"/>
      </rPr>
      <t>Условия транспортирования:</t>
    </r>
    <r>
      <rPr>
        <sz val="10"/>
        <color theme="1"/>
        <rFont val="Arial"/>
      </rPr>
      <t xml:space="preserve">
При температуре от 2 до 8 °С. Не замораживать!
Производственная площадка ФБУН ГНЦ ВБ "Вектор" Роспотребнадзора, Россия:
Допускается кратковременное (не более 48 часов) транспортирование при температуре не выше 25 °С.</t>
    </r>
  </si>
  <si>
    <t>&lt;p&gt;При температуре от 2 до 8&amp;nbsp;°С. Не замораживать!&lt;br&gt;
Хранить в недоступном для детей месте.&lt;br&gt;&lt;br&gt;
&lt;i&gt;Условия транспортирования:&lt;/i&gt;&lt;br&gt;
При температуре от 2 до 8&amp;nbsp;°С. Не замораживать!&lt;br&gt;
Производственная площадка ФБУН ГНЦ ВБ "Вектор" Роспотребнадзора, Россия:&lt;br&gt;
Допускается кратковременное (не более 48&amp;nbsp;часов) транспортирование при температуре не выше 25&amp;nbsp;°С.&lt;/p&gt;</t>
  </si>
  <si>
    <t>Хранить в соответствии с СП 3.3.2.1248-03 при температуре от 2 до 8 °С в недоступном для детей месте. Замораживание не допускается.
Транспортировать в соответствии с СП 3.3.2.1248-03 при температуре от 2 до 8 °С. Допускается транспортирование при температуре до 25 °С в течение 6 часов. Замораживание не допускается.</t>
  </si>
  <si>
    <t>&lt;p&gt;Хранить в соответствии с СП&amp;nbsp;3.3.2.1248-03 при температуре от 2 до 8&amp;nbsp;°С в недоступном для детей месте. Замораживание не допускается.&lt;br&gt;&lt;br&gt;
Транспортировать в соответствии с СП&amp;nbsp;3.3.2.1248-03 при температуре от 2 до 8&amp;nbsp;°С. Допускается транспортирование при температуре до 25&amp;nbsp;°С в течение 6&amp;nbsp;часов. Замораживание не допускается.&lt;/p&gt;</t>
  </si>
  <si>
    <t>Хранить в защищенном от света месте при температуре от 2 до 8 °С.
Хранить в недоступном для детей месте.
Транспортирование при температуре от 2 до 8 °С. Замораживание не допускается. Допускается транспортирование при температуре до 25 °С в течение 6 часов.</t>
  </si>
  <si>
    <t>&lt;p&gt;Хранить в защищенном от света месте при температуре от 2 до 8&amp;nbsp;°С.&lt;br&gt;
Хранить в недоступном для детей месте.&lt;br&gt;&lt;br&gt;
Транспортирование при температуре от 2 до 8&amp;nbsp;°С. Замораживание не допускается. Допускается транспортирование при температуре до 25&amp;nbsp;°С в течение 6&amp;nbsp;часов.&lt;/p&gt;</t>
  </si>
  <si>
    <t>https://grls.rosminzdrav.ru/InstrImg/2020/11/23/1413288/1b595bd5-6fb2-48d5-83c0-6dd6281b5f0f.pdf</t>
  </si>
  <si>
    <r>
      <rPr>
        <sz val="10"/>
        <color theme="1"/>
        <rFont val="Arial"/>
      </rPr>
      <t xml:space="preserve">Хранить в защищенном от света месте при температуре от 2 до 8 °С.
Не замораживать!
Препарат, подвергшийся замораживанию, применению не подлежит.
Препарат во вскрытой ампуле или флаконе хранению не подлежит.
</t>
    </r>
    <r>
      <rPr>
        <i/>
        <sz val="10"/>
        <color theme="1"/>
        <rFont val="Arial"/>
      </rPr>
      <t>Условия транспортирования:</t>
    </r>
    <r>
      <rPr>
        <sz val="10"/>
        <color theme="1"/>
        <rFont val="Arial"/>
      </rPr>
      <t xml:space="preserve">
В защищенном от света месте при температуре от 2 до 8 °С в условиях, исключающих замораживание.
Допускается транспортирование при температуре не выше 25 °С не более 24 часов.</t>
    </r>
  </si>
  <si>
    <t>&lt;p&gt;Хранить в защищенном от света месте при температуре от 2 до 8&amp;nbsp;°С.&lt;br&gt;
Не замораживать!&lt;br&gt;
Препарат, подвергшийся замораживанию, применению не подлежит.&lt;br&gt;
Препарат во вскрытой ампуле или флаконе хранению не подлежит.&lt;br&gt;&lt;br&gt;
&lt;i&gt;Условия транспортирования:&lt;/i&gt;&lt;br&gt;
В защищенном от света месте при температуре от 2 до 8&amp;nbsp;°С в условиях, исключающих замораживание.&lt;br&gt;
Допускается транспортирование при температуре не выше 25&amp;nbsp;°С не более 24&amp;nbsp;часов.&lt;/p&gt;</t>
  </si>
  <si>
    <t>https://grls.rosminzdrav.ru/InstrImg/2025/05/06/1510260/3226bda3-b919-4e7c-8c50-869db628161b.pdf</t>
  </si>
  <si>
    <t>Хранить при температуре от 2 до 8 °С. Не замораживать.
Препарат во вскрытых ампулах/шприцах хранению не подлежит.
Транспортировать при температуре от 2 до 8 °С. Не замораживать.</t>
  </si>
  <si>
    <t>&lt;p&gt;Хранить при температуре от 2 до 8&amp;nbsp;°С. Не замораживать.&lt;br&gt;
Препарат во вскрытых ампулах/шприцах хранению не подлежит.&lt;br&gt;&lt;br&gt;
Транспортировать при температуре от 2 до 8&amp;nbsp;°С. Не замораживать.&lt;/p&gt;</t>
  </si>
  <si>
    <t>https://grls.rosminzdrav.ru/InstrImg/2024/11/08/1510402/a0b91d84-8dc8-4b0b-9293-7245326bb57d.pdf</t>
  </si>
  <si>
    <t>Хранить при температуре от 2ºС до 8 ºС.
Не замораживать.
Препарат, подвергшийся замораживанию, применению не подлежит.
Препарат во вскрытой ампуле хранению не подлежит.
После вскрытия вакцина во флаконе, содержащем 5 доз, должна быть использована в течение не более 2 часов. Вскрытый флакон с вакциной хранят при комнатной температуре под стерильной салфеткой. По истечении двух часов флакон с остатками вакцины утилизируют.</t>
  </si>
  <si>
    <t>&lt;p&gt;Хранить при температуре от 2ºС до 8&amp;nbsp;ºС.&lt;br&gt;
Не замораживать.&lt;br&gt;
Препарат, подвергшийся замораживанию, применению не подлежит.&lt;br&gt;
Препарат во вскрытой ампуле хранению не подлежит.&lt;br&gt;&lt;br&gt;
После вскрытия вакцина во флаконе, содержащем 5&amp;nbsp;доз, должна быть использована в течение не более 2&amp;nbsp;часов. Вскрытый флакон с вакциной хранят при комнатной температуре под стерильной салфеткой. По истечении двух часов флакон с остатками вакцины утилизируют.&lt;/p&gt;</t>
  </si>
  <si>
    <t>https://grls.rosminzdrav.ru/InstrImg/2023/11/03/1498860/e40e979e-c456-4cd1-abd9-439878d7e6e0.pdf</t>
  </si>
  <si>
    <t>Хранить и перевозить в холодильнике (2–8 °С). Не замораживать.
Препарат во вскрытой ампуле и вскрытом однодозовом флаконе хранению не подлежит. Вскрытый многодозовый флакон помещается в холодильник для хранения при температуре от 2 до 8 °С не более одного рабочего дня.</t>
  </si>
  <si>
    <t>&lt;p&gt;Хранить и перевозить в холодильнике (2–8&amp;nbsp;°С). Не замораживать.&lt;br&gt;&lt;br&gt;
Препарат во вскрытой ампуле и вскрытом однодозовом флаконе хранению не подлежит. Вскрытый многодозовый флакон помещается в холодильник для хранения при температуре от 2 до 8&amp;nbsp;°С не более одного рабочего дня.&lt;/p&gt;</t>
  </si>
  <si>
    <t xml:space="preserve">Хранить при температуре от 2 до 8 °C в защищенном от света месте.
Не замораживать.
Хранить в недоступном для детей месте.
Транспортировать при температуре от 2 до 8 °С. Не замораживать.
</t>
  </si>
  <si>
    <t>&lt;p&gt;Хранить при температуре от 2 до 8&amp;nbsp;°C в защищенном от света месте.&lt;br&gt;
Не замораживать.&lt;br&gt;
Хранить в недоступном для детей месте.&lt;br&gt;&lt;br&gt;
Транспортировать при температуре от 2 до 8&amp;nbsp;°С. Не замораживать.&lt;/p&gt;</t>
  </si>
  <si>
    <t>Хранить в защищенном от света месте при температуре от 2 до 8 °C, не замораживать.</t>
  </si>
  <si>
    <t>&lt;p&gt;Хранить в защищенном от света месте при температуре от 2 до 8&amp;nbsp;°C, не замораживать.&lt;/p&gt;</t>
  </si>
  <si>
    <t>Хранить при температуре от 2 до 8 ºС.
Не замораживать.
Препарат, подвергшийся замораживанию, применению не подлежит.
Препарат во вскрытых шприцах/ампулах хранению не подлежит.</t>
  </si>
  <si>
    <t>&lt;p&gt;Хранить при температуре от 2 до 8&amp;nbsp;ºС.&lt;br&gt;
Не замораживать.&lt;br&gt;
Препарат, подвергшийся замораживанию, применению не подлежит.&lt;br&gt;
Препарат во вскрытых шприцах/ампулах хранению не подлежит.&lt;/p&gt;</t>
  </si>
  <si>
    <t>https://grls.rosminzdrav.ru/InstrImg/2024/10/18/1509959/c662564d-f927-489b-910f-61c762d2cbd7.pdf</t>
  </si>
  <si>
    <r>
      <rPr>
        <sz val="10"/>
        <color theme="1"/>
        <rFont val="Arial"/>
      </rPr>
      <t xml:space="preserve">Хранить в защищенном от света месте при температуре от 2 до 8 °С.
Не замораживать.
Препарат, подвергшийся замораживанию, применению не подлежит.
</t>
    </r>
    <r>
      <rPr>
        <i/>
        <sz val="10"/>
        <color theme="1"/>
        <rFont val="Arial"/>
      </rPr>
      <t>Условия транспортирования:</t>
    </r>
    <r>
      <rPr>
        <sz val="10"/>
        <color theme="1"/>
        <rFont val="Arial"/>
      </rPr>
      <t xml:space="preserve">
В защищенном от света месте при температуре от 2 до 8 °С. Не замораживать.
Допускается транспортирование при температуре не выше 25 °С не более 24 часов.</t>
    </r>
  </si>
  <si>
    <t>&lt;p&gt;Хранить в защищенном от света месте при температуре от 2 до 8&amp;nbsp;°С.&lt;br&gt;
Не замораживать.&lt;br&gt;
Препарат, подвергшийся замораживанию, применению не подлежит.&lt;br&gt;&lt;br&gt;
&lt;i&gt;Условия транспортирования:&lt;/i&gt;&lt;br&gt;
В защищенном от света месте при температуре от 2 до 8&amp;nbsp;°С. Не замораживать.&lt;br&gt;
Допускается транспортирование при температуре не выше 25&amp;nbsp;°С не более 24&amp;nbsp;часов.&lt;/p&gt;</t>
  </si>
  <si>
    <r>
      <rPr>
        <i/>
        <sz val="10"/>
        <color theme="1"/>
        <rFont val="Arial"/>
      </rPr>
      <t>Лиофилизат:</t>
    </r>
    <r>
      <rPr>
        <sz val="10"/>
        <color theme="1"/>
        <rFont val="Arial"/>
      </rPr>
      <t xml:space="preserve"> при температуре от 2 до 8 °С.
</t>
    </r>
    <r>
      <rPr>
        <i/>
        <sz val="10"/>
        <color theme="1"/>
        <rFont val="Arial"/>
      </rPr>
      <t>Растворитель:</t>
    </r>
    <r>
      <rPr>
        <sz val="10"/>
        <color theme="1"/>
        <rFont val="Arial"/>
      </rPr>
      <t xml:space="preserve"> при температуре от 2 до 25 °С. Не замораживать.
</t>
    </r>
    <r>
      <rPr>
        <i/>
        <sz val="10"/>
        <color theme="1"/>
        <rFont val="Arial"/>
      </rPr>
      <t>Комплект (лиофилизат, растворитель):</t>
    </r>
    <r>
      <rPr>
        <sz val="10"/>
        <color theme="1"/>
        <rFont val="Arial"/>
      </rPr>
      <t xml:space="preserve"> при температуре от 2 до 8 °С. Не замораживать.
Растворенная вакцина используется немедленно и хранению не подлежит.
Условия транспортирования совпадают с условиями хранения.</t>
    </r>
  </si>
  <si>
    <r>
      <rPr>
        <i/>
        <sz val="10"/>
        <color theme="1"/>
        <rFont val="Arial"/>
      </rPr>
      <t>&lt;p&gt;&lt;i&gt;Лиофилизат:&lt;/i&gt;</t>
    </r>
    <r>
      <rPr>
        <sz val="10"/>
        <color theme="1"/>
        <rFont val="Arial"/>
      </rPr>
      <t xml:space="preserve"> при температуре от 2 до 8&amp;nbsp;°С.&lt;br&gt;
</t>
    </r>
    <r>
      <rPr>
        <i/>
        <sz val="10"/>
        <color theme="1"/>
        <rFont val="Arial"/>
      </rPr>
      <t>&lt;i&gt;Растворитель:&lt;/i&gt;</t>
    </r>
    <r>
      <rPr>
        <sz val="10"/>
        <color theme="1"/>
        <rFont val="Arial"/>
      </rPr>
      <t xml:space="preserve"> при температуре от 2 до 25&amp;nbsp;°С. Не замораживать.&lt;br&gt;
</t>
    </r>
    <r>
      <rPr>
        <i/>
        <sz val="10"/>
        <color theme="1"/>
        <rFont val="Arial"/>
      </rPr>
      <t>&lt;i&gt;Комплект (лиофилизат, растворитель):&lt;/i&gt;</t>
    </r>
    <r>
      <rPr>
        <sz val="10"/>
        <color theme="1"/>
        <rFont val="Arial"/>
      </rPr>
      <t xml:space="preserve"> при температуре от 2 до 8&amp;nbsp;°С. Не замораживать.&lt;br&gt;
Растворенная вакцина используется немедленно и хранению не подлежит.&lt;br&gt;&lt;br&gt;
Условия транспортирования совпадают с условиями хранения.&lt;/p&gt;</t>
    </r>
  </si>
  <si>
    <t>https://grls.rosminzdrav.ru/InstrImg/2024/05/16/1504527/855b9f93-a273-4ca6-a45b-4f8dd66bd17d.pdf</t>
  </si>
  <si>
    <r>
      <rPr>
        <i/>
        <sz val="10"/>
        <color theme="1"/>
        <rFont val="Arial"/>
      </rPr>
      <t>Лиофилизат</t>
    </r>
    <r>
      <rPr>
        <sz val="10"/>
        <color theme="1"/>
        <rFont val="Arial"/>
      </rPr>
      <t xml:space="preserve">: хранить при температуре от 2 до 8 °С в защищенном от света месте.
</t>
    </r>
    <r>
      <rPr>
        <i/>
        <sz val="10"/>
        <color theme="1"/>
        <rFont val="Arial"/>
      </rPr>
      <t>Растворитель</t>
    </r>
    <r>
      <rPr>
        <sz val="10"/>
        <color theme="1"/>
        <rFont val="Arial"/>
      </rPr>
      <t xml:space="preserve">: хранить при температуре от 5 до 30 °С. Не замораживать.
</t>
    </r>
    <r>
      <rPr>
        <i/>
        <sz val="10"/>
        <color theme="1"/>
        <rFont val="Arial"/>
      </rPr>
      <t>Комплект (лиофилизат, растворитель)</t>
    </r>
    <r>
      <rPr>
        <sz val="10"/>
        <color theme="1"/>
        <rFont val="Arial"/>
      </rPr>
      <t>: хранить при температуре от 2 до 8 °С. Не замораживать.
Растворенная вакцина используется немедленно и хранению не подлежит.</t>
    </r>
  </si>
  <si>
    <t>&lt;p&gt;&lt;i&gt;Лиофилизат:&lt;/i&gt; хранить при температуре от 2 до 8&amp;nbsp;°С в защищенном от света месте.&lt;br&gt;
&lt;i&gt;Растворитель:&lt;/i&gt; хранить при температуре от 5 до 30&amp;nbsp;°С. Не замораживать.&lt;br&gt;
&lt;i&gt;Комплект (лиофилизат, растворитель):&lt;/i&gt; хранить при температуре от 2 до 8&amp;nbsp;°С. Не замораживать.&lt;br&gt;
Растворенная вакцина используется немедленно и хранению не подлежит.&lt;/p&gt;</t>
  </si>
  <si>
    <t>Хранение и транспортирование в соответствии с СП 3.3.2.1248-03 при температуре от от 0 до 8 °С. Хранить в недоступном для детей месте.</t>
  </si>
  <si>
    <t>&lt;p&gt;Хранение и транспортирование в соответствии с СП&amp;nbsp;3.3.2.1248-03 при температуре от от 0 до 8&amp;nbsp;°С. Хранить в недоступном для детей месте.&lt;/p&gt;</t>
  </si>
  <si>
    <r>
      <rPr>
        <i/>
        <sz val="10"/>
        <color theme="1"/>
        <rFont val="Arial"/>
      </rPr>
      <t>Лиофилизат:</t>
    </r>
    <r>
      <rPr>
        <sz val="10"/>
        <color theme="1"/>
        <rFont val="Arial"/>
      </rPr>
      <t xml:space="preserve"> при температуре от 2 до 8 °С.
</t>
    </r>
    <r>
      <rPr>
        <i/>
        <sz val="10"/>
        <color theme="1"/>
        <rFont val="Arial"/>
      </rPr>
      <t>Растворитель:</t>
    </r>
    <r>
      <rPr>
        <sz val="10"/>
        <color theme="1"/>
        <rFont val="Arial"/>
      </rPr>
      <t xml:space="preserve"> при температуре от 2 до 25 °С. Не замораживать.
</t>
    </r>
    <r>
      <rPr>
        <i/>
        <sz val="10"/>
        <color theme="1"/>
        <rFont val="Arial"/>
      </rPr>
      <t>Комплект (лиофилизат, растворитель):</t>
    </r>
    <r>
      <rPr>
        <sz val="10"/>
        <color theme="1"/>
        <rFont val="Arial"/>
      </rPr>
      <t xml:space="preserve"> при температуре от 2 до 8 °С. Не замораживать.
Растворенная вакцина используется немедленно и хранению не подлежит.</t>
    </r>
  </si>
  <si>
    <r>
      <rPr>
        <i/>
        <sz val="10"/>
        <color theme="1"/>
        <rFont val="Arial"/>
      </rPr>
      <t>&lt;p&gt;&lt;i&gt;Лиофилизат:&lt;/i&gt;</t>
    </r>
    <r>
      <rPr>
        <sz val="10"/>
        <color theme="1"/>
        <rFont val="Arial"/>
      </rPr>
      <t xml:space="preserve"> при температуре от 2 до 8&amp;nbsp;°С.&lt;br&gt;
</t>
    </r>
    <r>
      <rPr>
        <i/>
        <sz val="10"/>
        <color theme="1"/>
        <rFont val="Arial"/>
      </rPr>
      <t>&lt;i&gt;Растворитель:&lt;/i&gt;</t>
    </r>
    <r>
      <rPr>
        <sz val="10"/>
        <color theme="1"/>
        <rFont val="Arial"/>
      </rPr>
      <t xml:space="preserve"> при температуре от 2 до 25&amp;nbsp;°С. Не замораживать.&lt;br&gt;
</t>
    </r>
    <r>
      <rPr>
        <i/>
        <sz val="10"/>
        <color theme="1"/>
        <rFont val="Arial"/>
      </rPr>
      <t>&lt;i&gt;Комплект (лиофилизат, растворитель):</t>
    </r>
    <r>
      <rPr>
        <sz val="10"/>
        <color theme="1"/>
        <rFont val="Arial"/>
      </rPr>
      <t>&lt;/i&gt; при температуре от 2 до 8&amp;nbsp;°С. Не замораживать.&lt;br&gt;
Растворенная вакцина используется немедленно и хранению не подлежит.&lt;/p&gt;</t>
    </r>
  </si>
  <si>
    <t>https://grls.rosminzdrav.ru/InstrImg/2024/07/19/1506924/5cc0ebcd-92ff-417f-bdfe-dd8bd9bc1c0b.pdf</t>
  </si>
  <si>
    <r>
      <rPr>
        <i/>
        <sz val="10"/>
        <color theme="1"/>
        <rFont val="Arial"/>
      </rPr>
      <t>Лиофилизат</t>
    </r>
    <r>
      <rPr>
        <sz val="10"/>
        <color theme="1"/>
        <rFont val="Arial"/>
      </rPr>
      <t xml:space="preserve">: при температуре от 2 до 8 °С.
</t>
    </r>
    <r>
      <rPr>
        <i/>
        <sz val="10"/>
        <color theme="1"/>
        <rFont val="Arial"/>
      </rPr>
      <t>Комплект (лиофилизат, растворитель)</t>
    </r>
    <r>
      <rPr>
        <sz val="10"/>
        <color theme="1"/>
        <rFont val="Arial"/>
      </rPr>
      <t>: при температуре от 2 до 8 °С. Не замораживать.
Растворенная вакцина используется немедленно и хранению не подлежит.</t>
    </r>
  </si>
  <si>
    <r>
      <rPr>
        <i/>
        <sz val="10"/>
        <color theme="1"/>
        <rFont val="Arial"/>
      </rPr>
      <t>&lt;p&gt;&lt;i&gt;Лиофилизат</t>
    </r>
    <r>
      <rPr>
        <sz val="10"/>
        <color theme="1"/>
        <rFont val="Arial"/>
      </rPr>
      <t xml:space="preserve">:&lt;/i&gt; при температуре от 2 до 8&amp;nbsp;°С.&lt;br&gt;
</t>
    </r>
    <r>
      <rPr>
        <i/>
        <sz val="10"/>
        <color theme="1"/>
        <rFont val="Arial"/>
      </rPr>
      <t>&lt;i&gt;Комплект (лиофилизат, растворитель)</t>
    </r>
    <r>
      <rPr>
        <sz val="10"/>
        <color theme="1"/>
        <rFont val="Arial"/>
      </rPr>
      <t>:&lt;/i&gt; при температуре от 2 до 8&amp;nbsp;°С. Не замораживать.&lt;br&gt;
Растворенная вакцина используется немедленно и хранению не подлежит.&lt;/p&gt;</t>
    </r>
  </si>
  <si>
    <t>Хранить при температуре от 2 до 8 °С, в защищенном от света месте.
Растворитель может храниться вместе с вакциной при температуре от 2 до 8 °С или отдельно при температуре не выше 25 °С. Рекомендуется использовать вакцину как можно раньше после растворения.
Хранить в недоступном для детей месте.
Примечание: хранение растворителя отдельно от вакцины при температуре не выше 25 °С возможно только при условии, что растворитель упакован в картонную пачку Б.</t>
  </si>
  <si>
    <t>&lt;p&gt;Хранить при температуре от 2 до 8&amp;nbsp;°С, в защищенном от света месте.&lt;br&gt;
Растворитель может храниться вместе с вакциной при температуре от 2 до 8&amp;nbsp;°С или отдельно при температуре не выше 25&amp;nbsp;°С. Рекомендуется использовать вакцину как можно раньше после растворения.&lt;br&gt;
Хранить в недоступном для детей месте.&lt;br&gt;&lt;br&gt;
Примечание: хранение растворителя отдельно от вакцины при температуре не выше 25&amp;nbsp;°С возможно только при условии, что растворитель упакован в картонную пачку Б.&lt;/p&gt;</t>
  </si>
  <si>
    <t>Хранить при температуре от 2 до 8 °С. Не замораживать.
Допускается кратковременное (не более 7 суток) транспортирование вакцины при
температуре не выше 25 °С, в условиях, исключающих замораживание.
Растворенная вакцина хранению не подлежит.</t>
  </si>
  <si>
    <t>&lt;p&gt;Хранить при температуре от 2 до 8&amp;nbsp;°С. Не замораживать.&lt;br&gt;
Допускается кратковременное (не более 7&amp;nbsp;суток) транспортирование вакцины при температуре не выше 25&amp;nbsp;°С, в условиях, исключающих замораживание.&lt;br&gt;
Растворенная вакцина хранению не подлежит.&lt;/p&gt;</t>
  </si>
  <si>
    <t>https://grls.rosminzdrav.ru/InstrImg/2024/05/23/1504773/609a8a1f-c770-47fc-a98c-75cf5640e7e7.pdf</t>
  </si>
  <si>
    <t>Хранить при температуре от 2 до 8 °С. Не замораживать.
Растворенная вакцина хранению не подлежит.</t>
  </si>
  <si>
    <t>&lt;p&gt;Хранить при температуре от 2 до 8&amp;nbsp;°С. Не замораживать.&lt;br&gt;
Растворенная вакцина хранению не подлежит.&lt;/p&gt;</t>
  </si>
  <si>
    <t>https://grls.rosminzdrav.ru/InstrImg/2025/10/17/1504574/7154e58a-7f87-42a0-a46d-7bf589291e39.pdf</t>
  </si>
  <si>
    <t>Хранить в холодильнике (2-8 °С), в оригинальной упаковке (в пачке картонной) для того, чтобы защитить от света.
Не замораживать.
Препарат, подвергшийся замораживанию, использованию не подлежит.</t>
  </si>
  <si>
    <t>&lt;p&gt;Хранить в холодильнике (2-8&amp;nbsp;°С), в оригинальной упаковке (в пачке картонной) для того, чтобы защитить от света.&lt;br&gt;
Не замораживать.&lt;br&gt;
Препарат, подвергшийся замораживанию, использованию не подлежит.&lt;/p&gt;</t>
  </si>
  <si>
    <t>https://grls.rosminzdrav.ru/InstrImg/2025/04/10/1504025/4213c7bf-831f-4e93-865a-64154eae8592.pdf</t>
  </si>
  <si>
    <r>
      <rPr>
        <i/>
        <sz val="10"/>
        <color theme="1"/>
        <rFont val="Arial"/>
      </rPr>
      <t>&lt;p&gt;&lt;i&gt;Лиофилизат:&lt;/i&gt;</t>
    </r>
    <r>
      <rPr>
        <sz val="10"/>
        <color theme="1"/>
        <rFont val="Arial"/>
      </rPr>
      <t xml:space="preserve"> при температуре от 2 до 8&amp;nbsp;°С.&lt;br&gt;
</t>
    </r>
    <r>
      <rPr>
        <i/>
        <sz val="10"/>
        <color theme="1"/>
        <rFont val="Arial"/>
      </rPr>
      <t>&lt;i&gt;Растворитель:&lt;/i&gt;</t>
    </r>
    <r>
      <rPr>
        <sz val="10"/>
        <color theme="1"/>
        <rFont val="Arial"/>
      </rPr>
      <t xml:space="preserve"> при температуре от 2 до 25&amp;nbsp;°С. Не замораживать.&lt;br&gt;
</t>
    </r>
    <r>
      <rPr>
        <i/>
        <sz val="10"/>
        <color theme="1"/>
        <rFont val="Arial"/>
      </rPr>
      <t>&lt;i&gt;Комплект (лиофилизат, растворитель):</t>
    </r>
    <r>
      <rPr>
        <sz val="10"/>
        <color theme="1"/>
        <rFont val="Arial"/>
      </rPr>
      <t>&lt;/i&gt; при температуре от 2 до 8&amp;nbsp;°С. Не замораживать.&lt;br&gt;
Растворенная вакцина используется немедленно и хранению не подлежит.&lt;br&gt;&lt;br&gt;
Условия транспортирования совпадают с условиями хранения.&lt;/p&gt;</t>
    </r>
  </si>
  <si>
    <t>https://grls.rosminzdrav.ru/InstrImg/2024/07/03/1506398/bc519198-0065-401b-bdb6-2870fdd2b38b.pdf</t>
  </si>
  <si>
    <t>Хранить в холодильнике (2–8 °C). Не замораживать.
Превенар 13 стабилен при хранении при температуре ниже 25 °С в течение 4 дней. По окончании указанного периода Превенар 13 необходимо использовать или утилизировать.</t>
  </si>
  <si>
    <t>&lt;p&gt;Хранить в холодильнике (2–8&amp;nbsp;°C). Не замораживать.&lt;br&gt;
Превенар&amp;nbsp;13 стабилен при хранении при температуре ниже 25&amp;nbsp;°С в течение 4&amp;nbsp;дней. По окончании указанного периода Превенар&amp;nbsp;13 необходимо использовать или утилизировать.&lt;/p&gt;</t>
  </si>
  <si>
    <t>https://grls.rosminzdrav.ru/InstrImg/2024/01/18/1500987/32f92d37-c82c-4804-8028-d7628056f1f5.pdf</t>
  </si>
  <si>
    <r>
      <rPr>
        <sz val="10"/>
        <color theme="1"/>
        <rFont val="Arial"/>
      </rPr>
      <t xml:space="preserve">Хранить при температуре от 2 до 8 °C в защищенном от света месте. Не замораживать.
Хранить в недоступном Для детей месте.
</t>
    </r>
    <r>
      <rPr>
        <i/>
        <sz val="10"/>
        <color theme="1"/>
        <rFont val="Arial"/>
      </rPr>
      <t>Условия транспортирования:</t>
    </r>
    <r>
      <rPr>
        <sz val="10"/>
        <color theme="1"/>
        <rFont val="Arial"/>
      </rPr>
      <t xml:space="preserve">
При температуре от 2 до 8 °С в защищенном от света месте. Не замораживать.</t>
    </r>
  </si>
  <si>
    <t>&lt;p&gt;Хранить при температуре от 2 до 8&amp;nbsp;°C в защищенном от света месте. Не замораживать.&lt;br&gt;
Хранить в недоступном Для детей месте.&lt;br&gt;&lt;br&gt;
&lt;i&gt;Условия транспортирования:&lt;/i&gt;&lt;br&gt;
При температуре от 2 до 8&amp;nbsp;°С в защищенном от света месте. Не замораживать.&lt;/p&gt;</t>
  </si>
  <si>
    <t>Хранить при температуре от 2 до 8 °С в защищенном от света месте.
Хранить в недоступном для детей месте.</t>
  </si>
  <si>
    <t>&lt;p&gt;Хранить при температуре от 2 до 8&amp;nbsp;°С в защищенном от света месте.&lt;br&gt;
Хранить в недоступном для детей месте.&lt;/p&gt;</t>
  </si>
  <si>
    <t>https://grls.rosminzdrav.ru/InstrImg/2023/09/12/1497054/2bbe6e62-f63e-4bf6-a4cf-9559c0e35dfb.pdf</t>
  </si>
  <si>
    <r>
      <rPr>
        <sz val="10"/>
        <color theme="1"/>
        <rFont val="Arial"/>
      </rPr>
      <t xml:space="preserve">В соответствии с СанПин 3.3686-21 вакцина хранится: на 1 и 2 уровнях «холодовой цепи» — при температуре минус 20 °С или при температуре от 2 до 8 °C включительно. На 3-м и 4-м уровнях «холодовой цепи» вакцину хранят при температуре от 2 до 8 °C включительно.
Хранить в недоступном для детей месте.
</t>
    </r>
    <r>
      <rPr>
        <i/>
        <sz val="10"/>
        <color theme="1"/>
        <rFont val="Arial"/>
      </rPr>
      <t>Условия транспортирования:</t>
    </r>
    <r>
      <rPr>
        <sz val="10"/>
        <color theme="1"/>
        <rFont val="Arial"/>
      </rPr>
      <t xml:space="preserve">
В соответствии с СанПин 3.3686-21 при температуре от 2 до 8 °C включительно. Возможно транспортирование на 1 и 2 уровнях «холодовой цепи» в пределах от минус 20 до 8 °C включительно. Допускается повторное ее замораживание до минус 20 °C и ниже (на 2 уровне «холодовой цепи»).</t>
    </r>
  </si>
  <si>
    <t>&lt;p&gt;В соответствии с СанПин 3.3686-21 вакцина хранится: на 1 и 2&amp;nbsp;уровнях «холодовой цепи» — при температуре минус 20&amp;nbsp;°С или при температуре от 2 до 8&amp;nbsp;°C включительно. На 3-м и 4-м уровнях «холодовой цепи» вакцину хранят при температуре от 2 до 8&amp;nbsp;°C включительно.&lt;br&gt;
Хранить в недоступном для детей месте.&lt;br&gt;&lt;br&gt;
&lt;i&gt;Условия транспортирования:&lt;/i&gt;&lt;br&gt;
В соответствии с СанПин 3.3686-21 при температуре от 2 до 8&amp;nbsp;°C включительно. Возможно транспортирование на 1 и 2&amp;nbsp;уровнях «холодовой цепи» в пределах от минус 20 до 8&amp;nbsp;°C включительно. Допускается повторное ее замораживание до минус 20&amp;nbsp;°C и ниже (на 2&amp;nbsp;уровне «холодовой цепи»).&lt;/p&gt;</t>
  </si>
  <si>
    <t>https://grls.rosminzdrav.ru/InstrImg/2022/07/11/1482961/bd6fe224-8595-4d96-862b-ce5eb5a6fbf4.pdf</t>
  </si>
  <si>
    <r>
      <rPr>
        <sz val="10"/>
        <color theme="1"/>
        <rFont val="Arial"/>
      </rPr>
      <t xml:space="preserve">Вакцина хранится: на 1 и 2 уровнях «холодовой цепи» — при температуре минус 20 °С и ниже или при температуре от 2 до 8 °С включительно. На 3-м и 4-м уровнях «холодовой цепи» вакцину хранят при температуре от 2 до 8 °С включительно.
Хранить в недоступном для детей месте.
Неиспользованная вакцина из вскрытого флакона может храниться не более 2-х суток при температуре от 2 до 8 °С во флаконе, плотно закрытом капельницей или резиновой пробкой. Препарат во флаконе с нарушенной целостностью, маркировкой, а также при изменении его физических свойств (цвета, прозрачности и др.), при истекшем сроке годности, при нарушении условий транспортирования и хранения не пригоден к применению.
</t>
    </r>
    <r>
      <rPr>
        <i/>
        <sz val="10"/>
        <color theme="1"/>
        <rFont val="Arial"/>
      </rPr>
      <t>Условия транспортирования:</t>
    </r>
    <r>
      <rPr>
        <sz val="10"/>
        <color theme="1"/>
        <rFont val="Arial"/>
      </rPr>
      <t xml:space="preserve">
При температуре от 2 до 8 °С включительно. Возможно транспортирование на 1 и 2 уровнях «холодовой цепи» в пределах от минус 20 °С до 8 °С включительно. При транспортировании вакцины в пределах от минус 20 °С до 8 °С включительно допускается повторное ее замораживание до минус 20 °С и ниже (на 2 уровне «холодовой цепи»).</t>
    </r>
  </si>
  <si>
    <r>
      <rPr>
        <sz val="10"/>
        <color theme="1"/>
        <rFont val="Arial"/>
      </rPr>
      <t xml:space="preserve">&lt;p&gt;Вакцина хранится: на 1 и 2&amp;nbsp;уровнях «холодовой цепи» — при температуре минус 20&amp;nbsp;°С и ниже или при температуре от 2 до 8&amp;nbsp;°С включительно. На 3-м и 4-м&amp;nbsp;уровнях «холодовой цепи» вакцину хранят при температуре от 2 до 8&amp;nbsp;°С включительно.&lt;br&gt;
Хранить в недоступном для детей месте.&lt;br&gt;
Неиспользованная вакцина из вскрытого флакона может храниться не более 2-х&amp;nbsp;суток при температуре от 2 до 8&amp;nbsp;°С во флаконе, плотно закрытом капельницей или резиновой пробкой. Препарат во флаконе с нарушенной целостностью, маркировкой, а также при изменении его физических свойств (цвета, прозрачности и др.), при истекшем сроке годности, при нарушении условий транспортирования и хранения не пригоден к применению.&lt;br&gt;&lt;br&gt;
</t>
    </r>
    <r>
      <rPr>
        <i/>
        <sz val="10"/>
        <color theme="1"/>
        <rFont val="Arial"/>
      </rPr>
      <t>&lt;i&gt;Условия транспортирования:</t>
    </r>
    <r>
      <rPr>
        <sz val="10"/>
        <color theme="1"/>
        <rFont val="Arial"/>
      </rPr>
      <t>&lt;/i&gt;&lt;br&gt;
При температуре от 2 до 8&amp;nbsp;°С включительно. Возможно транспортирование на 1 и 2&amp;nbsp;уровнях «холодовой цепи» в пределах от минус 20&amp;nbsp;°С до 8&amp;nbsp;°С включительно. При транспортировании вакцины в пределах от минус 20&amp;nbsp;°С до 8&amp;nbsp;°С включительно допускается повторное ее замораживание до минус 20&amp;nbsp;°С и ниже (на 2&amp;nbsp;уровне «холодовой цепи»).&lt;/p&gt;</t>
    </r>
  </si>
  <si>
    <r>
      <rPr>
        <sz val="10"/>
        <color theme="1"/>
        <rFont val="Arial"/>
      </rPr>
      <t xml:space="preserve">В защищенном от света месте при температуре от 2 до 8 °С.
Не замораживать.
Хранить в недоступном для детей месте.
Препарат, подвергшийся замораживанию, подлежит уничтожению.
Вакцина ПОЛИМИЛЕКС® из многодозового флакона может использоваться в течение рабочего дня в соответствии с инструкцией по ее применению при соблюдении следующих условий:
• забор каждой дозы вакцины из флакона осуществляется с соблюдением правил асептики;
• вскрытый флакон хранится при температуре от 2 до 8 °С.
</t>
    </r>
    <r>
      <rPr>
        <i/>
        <sz val="10"/>
        <color theme="1"/>
        <rFont val="Arial"/>
      </rPr>
      <t>Условия транспортирования:</t>
    </r>
    <r>
      <rPr>
        <sz val="10"/>
        <color theme="1"/>
        <rFont val="Arial"/>
      </rPr>
      <t xml:space="preserve">
При температуре от 2 до 8 °С в защищенном от света месте. Не замораживать.
Препарат, подвергшийся замораживанию, подлежит уничтожить.</t>
    </r>
  </si>
  <si>
    <t>&lt;p&gt;В защищенном от света месте при температуре от 2 до 8&amp;nbsp;°С.&lt;br&gt;
Не замораживать.&lt;br&gt;
Хранить в недоступном для детей месте.&lt;br&gt;
Препарат, подвергшийся замораживанию, подлежит уничтожению.&lt;br&gt;
Вакцина ПОЛИМИЛЕКС® из многодозового флакона может использоваться в течение рабочего дня в соответствии с инструкцией по ее применению при соблюдении следующих условий:
&lt;ul&gt;&lt;li&gt;забор каждой дозы вакцины из флакона осуществляется с соблюдением правил асептики;&lt;/li&gt;
&lt;li&gt;вскрытый флакон хранится при температуре от 2 до 8&amp;nbsp;°С.&lt;/li&gt;&lt;/ul&gt;&lt;br&gt;&lt;br&gt;
&lt;i&gt;Условия транспортирования:&lt;/i&gt;&lt;br&gt;
При температуре от 2 до 8&amp;nbsp;°С в защищенном от света месте. Не замораживать.&lt;br&gt;
Препарат, подвергшийся замораживанию, подлежит уничтожить.&lt;/p&gt;</t>
  </si>
  <si>
    <r>
      <rPr>
        <sz val="10"/>
        <color theme="1"/>
        <rFont val="Arial"/>
      </rPr>
      <t xml:space="preserve">Хранить при температуре от 2 до 8 °С.
Хранение растворенной вакцины более 5 мин не допускается.
</t>
    </r>
    <r>
      <rPr>
        <i/>
        <sz val="10"/>
        <color theme="1"/>
        <rFont val="Arial"/>
      </rPr>
      <t>Условия транспортирования:</t>
    </r>
    <r>
      <rPr>
        <sz val="10"/>
        <color theme="1"/>
        <rFont val="Arial"/>
      </rPr>
      <t xml:space="preserve">
При температуре от 2 до 8 °С. Допускается транспортирование при температуре до 25 °С не более 2-х суток.</t>
    </r>
  </si>
  <si>
    <t>&lt;p&gt;Хранить при температуре от 2 до 8&amp;nbsp;°С.&lt;br&gt;
Хранение растворенной вакцины более 5&amp;nbsp;мин не допускается.&lt;br&gt;&lt;br&gt;
&lt;i&gt;Условия транспортирования:&lt;/i&gt;&lt;br&gt;
При температуре от 2 до 8&amp;nbsp;°С. Допускается транспортирование при температуре до 25&amp;nbsp;°С не более 2-х&amp;nbsp;суток.&lt;/p&gt;</t>
  </si>
  <si>
    <t>https://grls.rosminzdrav.ru/InstrImg/2024/12/19/1512111/eb092f80-f74e-4698-a788-b219b85710ef.pdf</t>
  </si>
  <si>
    <r>
      <rPr>
        <sz val="10"/>
        <color theme="1"/>
        <rFont val="Arial"/>
      </rPr>
      <t xml:space="preserve">Хранить при температуре от 2 до 8 °С включительно.
Хранить в недоступном для детей месте.
</t>
    </r>
    <r>
      <rPr>
        <i/>
        <sz val="10"/>
        <color theme="1"/>
        <rFont val="Arial"/>
      </rPr>
      <t>Условия транспортирования:</t>
    </r>
    <r>
      <rPr>
        <sz val="10"/>
        <color theme="1"/>
        <rFont val="Arial"/>
      </rPr>
      <t xml:space="preserve">
В соответствии с СанПин 3.3686-21 при температуре от 2 до 8 °С включительно.</t>
    </r>
  </si>
  <si>
    <t>&lt;p&gt;Хранить при температуре от 2 до 8&amp;nbsp;°С включительно.&lt;br&gt;
Хранить в недоступном для детей месте.&lt;br&gt;&lt;br&gt;
&lt;i&gt;Условия транспортирования:&lt;/i&gt;&lt;br&gt;
В соответствии с СанПин 3.3686-21 при температуре от 2 до 8&amp;nbsp;°С включительно.&lt;/p&gt;</t>
  </si>
  <si>
    <r>
      <rPr>
        <sz val="10"/>
        <color theme="1"/>
        <rFont val="Arial"/>
      </rPr>
      <t xml:space="preserve">Вакцину хранят в соответствии с СП 3.3.2.1248-03 при температуре от 2 до 8 °C в недоступном для детей месте.
</t>
    </r>
    <r>
      <rPr>
        <i/>
        <sz val="10"/>
        <color theme="1"/>
        <rFont val="Arial"/>
      </rPr>
      <t>Условия транспортирования:</t>
    </r>
    <r>
      <rPr>
        <sz val="10"/>
        <color theme="1"/>
        <rFont val="Arial"/>
      </rPr>
      <t xml:space="preserve">
Вакцину транспортируют в соответствии с СП 3.3.2.1248-03 при температуре от 2 до 8 °С. Допускается транспортирование при температуре до 25 °С не более 2-х суток.</t>
    </r>
  </si>
  <si>
    <t>&lt;p&gt;Вакцину хранят в соответствии с СП&amp;nbsp;3.3.2.1248-03 при температуре от 2 до 8&amp;nbsp;°C в недоступном для детей месте.&lt;br&gt;&lt;br&gt;
&lt;i&gt;Условия транспортирования:&lt;/i&gt;&lt;br&gt;
Вакцину транспортируют в соответствии с СП 3.3.2.1248-03 при температуре от 2 до 8&amp;nbsp;°С. Допускается транспортирование при температуре до 25&amp;nbsp;°С не более 2-х&amp;nbsp;суток.&lt;/p&gt;</t>
  </si>
  <si>
    <t>https://grls.rosminzdrav.ru/InstrImg/2024/09/30/1509162/166a6ebe-876b-446c-851f-ece0d4da1ad9.pdf</t>
  </si>
  <si>
    <t>Вакцину транспортируют и хранят при температуре от 2 до 8 °С.
Растворитель транспортируют и хранят при температуре от 5 до 30 °С. Замораживание не допускается.</t>
  </si>
  <si>
    <t>&lt;p&gt;Вакцину транспортируют и хранят при температуре от 2 до 8&amp;nbsp;°С.&lt;/br&gt;
Растворитель транспортируют и хранят при температуре от 5 до 30&amp;nbsp;°С. Замораживание не допускается.&lt;/p&gt;</t>
  </si>
  <si>
    <t>Следует хранить в сухом, защищенном от света месте при температуре от 4 до 8 °C. Не замораживать. Препарат, подвергшийся замораживанию, применению не подлежит.
Хранить в недоступном для детей месте.</t>
  </si>
  <si>
    <t>&lt;p&gt;Следует хранить в сухом, защищенном от света месте при температуре от 4 до 8&amp;nbsp;°C. Не замораживать. Препарат, подвергшийся замораживанию, применению не подлежит.&lt;br&gt;
Хранить в недоступном для детей месте.&lt;/p&gt;</t>
  </si>
  <si>
    <t>При температуре от 2 до 8 °С.
Не замораживать, так как замораживание приводит к потере эффективности вакцины.
Хранить в недоступном для детей месте.</t>
  </si>
  <si>
    <t>&lt;p&gt;При температуре от 2 до 8&amp;nbsp;°С.&lt;br&gt;
Не замораживать, так как замораживание приводит к потере эффективности вакцины.&lt;br&gt;
Хранить в недоступном для детей месте.&lt;/p&gt;</t>
  </si>
  <si>
    <r>
      <rPr>
        <sz val="10"/>
        <color theme="1"/>
        <rFont val="Arial"/>
      </rPr>
      <t xml:space="preserve">Хранить при температуре от 2 до 8 °C включительно. Замораживание не допускается.
</t>
    </r>
    <r>
      <rPr>
        <i/>
        <sz val="10"/>
        <color theme="1"/>
        <rFont val="Arial"/>
      </rPr>
      <t>Условия транспортирования:</t>
    </r>
    <r>
      <rPr>
        <sz val="10"/>
        <color theme="1"/>
        <rFont val="Arial"/>
      </rPr>
      <t xml:space="preserve">
При температуре от 2 до 8 °С включительно. Допускается кратковременное (не более 24 ч) транспортирование при температуре от 9 до 20 °С включительно. Замораживание не допускается.</t>
    </r>
  </si>
  <si>
    <r>
      <rPr>
        <sz val="10"/>
        <color theme="1"/>
        <rFont val="Arial"/>
      </rPr>
      <t xml:space="preserve">&lt;p&gt;Хранить при температуре от 2 до 8&amp;nbsp;°C включительно. Замораживание не допускается.&lt;br&gt;&lt;br&gt;
</t>
    </r>
    <r>
      <rPr>
        <i/>
        <sz val="10"/>
        <color theme="1"/>
        <rFont val="Arial"/>
      </rPr>
      <t>&lt;i&gt;Условия транспортирования:&lt;/i&gt;&lt;br&gt;</t>
    </r>
    <r>
      <rPr>
        <sz val="10"/>
        <color theme="1"/>
        <rFont val="Arial"/>
      </rPr>
      <t xml:space="preserve">
При температуре от 2 до 8&amp;nbsp;°С включительно. Допускается кратковременное (не более 24&amp;nbsp;ч) транспортирование при температуре от 9 до 20&amp;nbsp;°С включительно. Замораживание не допускается.&lt;/p&gt;</t>
    </r>
  </si>
  <si>
    <t>Хранить при температуре (2-8 °С). Не замораживать.
Препарат вводят сразу после вскрытия ампулы.</t>
  </si>
  <si>
    <t>&lt;p&gt;Хранить при температуре (2-8&amp;nbsp;°С). Не замораживать.&lt;br&gt;
Препарат вводят сразу после вскрытия ампулы.&lt;/p&gt;</t>
  </si>
  <si>
    <t>https://grls.rosminzdrav.ru/InstrImg/2024/08/16/1508014/5da724a9-973e-4af7-ad8f-b948fdbe4484.pdf</t>
  </si>
  <si>
    <t>Хранить в холодильнике (2-8 °С). Не замораживать.
Препарат вводят сразу после вскрытия ампулы.</t>
  </si>
  <si>
    <t>&lt;p&gt;Хранить в холодильнике (2-8&amp;nbsp;°С). Не замораживать.&lt;br&gt;
Препарат вводят сразу после вскрытия ампулы.&lt;/p&gt;</t>
  </si>
  <si>
    <t>https://grls.rosminzdrav.ru/InstrImg/2024/08/26/1508239/28d94c1f-946f-48d3-9708-cc6d7df231fc.pdf</t>
  </si>
  <si>
    <r>
      <rPr>
        <sz val="10"/>
        <color theme="1"/>
        <rFont val="Arial"/>
      </rPr>
      <t xml:space="preserve">Хранить при температуре от 2 до 8 °С включительно. Замораживание не допускается.
Растворенная в ампуле вакцина хранению не подлежит.
</t>
    </r>
    <r>
      <rPr>
        <i/>
        <sz val="10"/>
        <color theme="1"/>
        <rFont val="Arial"/>
      </rPr>
      <t>Условия транспортирования:</t>
    </r>
    <r>
      <rPr>
        <sz val="10"/>
        <color theme="1"/>
        <rFont val="Arial"/>
      </rPr>
      <t xml:space="preserve">
Транспортировать при температуре от 2 до 8 °С включительно.
На дальние расстояния — только авиатранспортом. Допускается транспортирование при температуре от 9 до 25 °С включительно в течение 2-х суток. Замораживание не допускается.</t>
    </r>
  </si>
  <si>
    <t>&lt;p&gt;Хранить при температуре от 2 до 8&amp;nbsp;°С включительно. Замораживание не допускается.&lt;br&gt;
Растворенная в ампуле вакцина хранению не подлежит.&lt;br&gt;&lt;br&gt;
&lt;i&gt;Условия транспортирования:&lt;/i&gt;&lt;br&gt;
Транспортировать при температуре от 2 до 8&amp;nbsp;°С включительно.&lt;br&gt;
На дальние расстояния — только авиатранспортом. Допускается транспортирование при температуре от 9 до 25&amp;nbsp;°С включительно в течение 2-х суток. Замораживание не допускается.&lt;/p&gt;</t>
  </si>
  <si>
    <t>Хранить и перевозить при температуре от 2 до 8 °C.
Не замораживать.
Хранить в защищенном от света месте.
Вакцину Варилрикс следует вводить сразу после восстановления.</t>
  </si>
  <si>
    <t>&lt;p&gt;Хранить и перевозить при температуре от 2 до 8&amp;nbsp;°C.&lt;br&gt;
Не замораживать.&lt;br&gt;
Хранить в защищенном от света месте.&lt;br&gt;
Вакцину Варилрикс следует вводить сразу после восстановления.&lt;/p&gt;</t>
  </si>
  <si>
    <r>
      <rPr>
        <sz val="10"/>
        <color theme="1"/>
        <rFont val="Arial"/>
      </rPr>
      <t xml:space="preserve">Вариант №1 (раздельный):
Вакцина: Хранить при температуре от 2 до 8 °C включительно.
Растворитель: Хранить при температуре от 2 до 25 °С включительно.
Вариант №2 (совместный):
Хранить при температуре от 2 до 8 °C включительно.
Хранить в недоступном для детей месте.
</t>
    </r>
    <r>
      <rPr>
        <i/>
        <sz val="10"/>
        <color theme="1"/>
        <rFont val="Arial"/>
      </rPr>
      <t>Условия транспортирования:</t>
    </r>
    <r>
      <rPr>
        <sz val="10"/>
        <color theme="1"/>
        <rFont val="Arial"/>
      </rPr>
      <t xml:space="preserve">
Вариант №1 (раздельный):
В соответствии с СанПин 3.3686-21 вакцину транспортируют при температуре от 2 до 8 °С включительно.
Растворитель транспортируют при температуре от 2 до 25 °С включительно.
Вариант №2 (совместный):
В соответствии с СанПин 3.3686-21 транспортировать при температуре от 2 до 8 °С включительно.</t>
    </r>
  </si>
  <si>
    <t>&lt;p&gt;Вариант №1 (раздельный):&lt;br&gt;
Вакцина: Хранить при температуре от 2 до 8&amp;nbsp;°C включительно.&lt;br&gt;
Растворитель: Хранить при температуре от 2 до 25&amp;nbsp;°С включительно.&lt;br&gt;&lt;br&gt;
Вариант №2 (совместный):&lt;br&gt;
Хранить при температуре от 2 до 8&amp;nbsp;°C включительно.&lt;br&gt;
Хранить в недоступном для детей месте.&lt;br&gt;&lt;br&gt;
&lt;i&gt;Условия транспортирования:&lt;/i&gt;&lt;br&gt;
Вариант&amp;nbsp;№1 (раздельный):&lt;br&gt;
В соответствии с СанПин 3.3686-21 вакцину транспортируют при температуре от 2 до 8&amp;nbsp;°С включительно.&lt;br&gt;
Растворитель транспортируют при температуре от 2 до 25&amp;nbsp;°С включительно.&lt;br&gt;
Вариант&amp;nbsp;№2 (совместный):&lt;br&gt;
В соответствии с СанПин 3.3686-21 транспортировать при температуре от 2 до 8&amp;nbsp;°С включительно.&lt;/p&gt;</t>
  </si>
  <si>
    <r>
      <rPr>
        <sz val="10"/>
        <color theme="1"/>
        <rFont val="Arial"/>
      </rPr>
      <t xml:space="preserve">Хранить при температуре от 2 до 8 °С.
Разведенная вакцина может быть использована в течение 2 ч.
</t>
    </r>
    <r>
      <rPr>
        <i/>
        <sz val="10"/>
        <color theme="1"/>
        <rFont val="Arial"/>
      </rPr>
      <t>Условия транспортирования:</t>
    </r>
    <r>
      <rPr>
        <sz val="10"/>
        <color theme="1"/>
        <rFont val="Arial"/>
      </rPr>
      <t xml:space="preserve">
При температуре от 2 до 8 °С.</t>
    </r>
  </si>
  <si>
    <t>&lt;p&gt;Хранить при температуре от 2 до 8&amp;nbsp;°С.&lt;br&gt;
Разведенная вакцина может быть использована в течение 2&amp;nbsp;ч.&lt;br&gt;&lt;br&gt;
&lt;i&gt;Условия транспортирования:&lt;/i&gt;&lt;br&gt;
При температуре от 2 до 8&amp;nbsp;°С.&lt;/p&gt;</t>
  </si>
  <si>
    <t>https://grls.rosminzdrav.ru/InstrImg/2024/10/15/1509551/1a898738-6a53-4ed9-91c3-69012260bf5e.pdf</t>
  </si>
  <si>
    <t>При температуре от 2 до 8 °C в соответствии с СП 3.3.2.3332-16.
Хранить в недоступном для детей месте.</t>
  </si>
  <si>
    <t>&lt;p&gt;При температуре от 2 до 8&amp;nbsp;°C в соответствии с СП&amp;nbsp;3.3.2.3332-16.&lt;br&gt;
Хранить в недоступном для детей месте.&lt;/p&gt;</t>
  </si>
  <si>
    <t>Хранят в соответствии с СП 3.3.2.1248-03 при температуре от 0 до 8 °C в недоступном для детей месте.
Транспортируют в соответствии с СП 3.3.2.1248-03 при температуре от 0 до 8 °C.</t>
  </si>
  <si>
    <t>&lt;p&gt;Хранят в соответствии с СП&amp;nbsp;3.3.2.1248-03 при температуре от 0 до 8&amp;nbsp;°C в недоступном для детей месте.&lt;br&gt;&lt;br&gt;
Транспортируют в соответствии с СП 3.3.2.1248-03 при температуре от 0 до 8&amp;nbsp;°C.&lt;/p&gt;</t>
  </si>
  <si>
    <t>Хранят в соответствии с СП 3.3.2.1248-03 при температуре от 0 до 8 °C, в недоступном для детей месте.
Транспортируют в соответствии с СП 3.3.2.1248-03 при температуре от 0 до 8 °C.</t>
  </si>
  <si>
    <t>&lt;p&gt;Хранят в соответствии с СП&amp;nbsp;3.3.2.1248-03 при температуре от 0 до 8&amp;nbsp;°C, в недоступном для детей месте.&lt;br&gt;&lt;br&gt;
Транспортируют в соответствии с СП 3.3.2.1248-03 при температуре от 0 до 8&amp;nbsp;°C.&lt;/p&gt;</t>
  </si>
  <si>
    <r>
      <rPr>
        <sz val="10"/>
        <color theme="1"/>
        <rFont val="Arial"/>
      </rPr>
      <t xml:space="preserve">В соответствии с СП 3.3.2.3332-16 при температуре от 2 до 8 °C в недоступном для детей месте.
</t>
    </r>
    <r>
      <rPr>
        <i/>
        <sz val="10"/>
        <color theme="1"/>
        <rFont val="Arial"/>
      </rPr>
      <t xml:space="preserve">Условия транспортирования:
</t>
    </r>
    <r>
      <rPr>
        <sz val="10"/>
        <color theme="1"/>
        <rFont val="Arial"/>
      </rPr>
      <t>В соответствии с СП 3.3.2.3332-16 при температуре от 2 до 8 °C.</t>
    </r>
  </si>
  <si>
    <t>&lt;p&gt;В соответствии с СП&amp;nbsp;3.3.2.3332-16 при температуре от 2 до 8&amp;nbsp;°C в недоступном для детей месте.&lt;br&gt;&lt;br&gt;
&lt;i&gt;Условия транспортирования:&lt;/i&gt;&lt;br&gt;
В соответствии с СП 3.3.2.3332-16 при температуре от 2 до 8&amp;nbsp;°C.&lt;/p&gt;</t>
  </si>
  <si>
    <t>Хранят в соответствии СП 3.3.2.1248-03 при температуре от 2 до 8 °C в недоступном для детей месте.</t>
  </si>
  <si>
    <t>&lt;p&gt;Хранят в соответствии СП&amp;nbsp;3.3.2.1248-03 при температуре от 2 до 8&amp;nbsp;°C в недоступном для детей месте.&lt;/p&gt;</t>
  </si>
  <si>
    <r>
      <rPr>
        <sz val="10"/>
        <color theme="1"/>
        <rFont val="Arial"/>
      </rPr>
      <t xml:space="preserve">Хранить при температуре от 2 до 8 °С.
Разведенная вакцина, сохраняемая с соблюдением правил асептики, может быть использована в течение 2 ч.
</t>
    </r>
    <r>
      <rPr>
        <i/>
        <sz val="10"/>
        <color theme="1"/>
        <rFont val="Arial"/>
      </rPr>
      <t>Условия транспортирования:</t>
    </r>
    <r>
      <rPr>
        <sz val="10"/>
        <color theme="1"/>
        <rFont val="Arial"/>
      </rPr>
      <t xml:space="preserve">
В соответствии с СанПин 3.3686-21 при температуре от 2 до 8 °С.</t>
    </r>
  </si>
  <si>
    <t>&lt;p&gt;Хранить при температуре от 2 до 8&amp;nbsp;°С.&lt;br&gt;
Разведенная вакцина, сохраняемая с соблюдением правил асептики, может быть использована в течение 2&amp;nbsp;ч.&lt;br&gt;&lt;br&gt;
&lt;i&gt;Условия транспортирования:&lt;/i&gt;
В соответствии с СанПин 3.3686-21 при температуре от 2 до 8&amp;nbsp;°С.&lt;/p&gt;</t>
  </si>
  <si>
    <t>Хранят в соответствии с СП 3.3.2.3332-16 при температуре от 2 до 8 °C в недоступном для детей месте.
Транспортируют в соответствии с СП 3.3.2.3332-16 при температуре от 2 до 8 °C. Допускается транспортирование в течение 20 сут при температуре не выше 25 °C.</t>
  </si>
  <si>
    <t>&lt;p&gt;Хранят в соответствии с СП 3.3.2.3332-16 при температуре от 2 до 8&amp;nbsp;°C в недоступном для детей месте.&lt;br&gt;&lt;br&gt;
Транспортируют в соответствии с СП 3.3.2.3332-16 при температуре от 2 до 8&amp;nbsp;°C. Допускается транспортирование в течение 20&amp;nbsp;сут при температуре не выше 25&amp;nbsp;°C.&lt;/p&gt;</t>
  </si>
  <si>
    <t>Хранят в соответствии с СП 3.3.2.1248-03 при температуре от 0 до 8 °С в недоступном для детей месте.</t>
  </si>
  <si>
    <t>&lt;p&gt;Хранят в соответствии с СП&amp;nbsp;3.3.2.1248-03 при температуре от 0 до 8&amp;nbsp;°С в недоступном для детей месте.&lt;/p&gt;</t>
  </si>
  <si>
    <r>
      <rPr>
        <sz val="10"/>
        <color theme="1"/>
        <rFont val="Arial"/>
      </rPr>
      <t xml:space="preserve">При температуре от 2 до 8 °С, в защищенном от света месте. Не замораживать.
Хранить в недоступном для детей месте!
</t>
    </r>
    <r>
      <rPr>
        <i/>
        <sz val="10"/>
        <color theme="1"/>
        <rFont val="Arial"/>
      </rPr>
      <t>Условия транспортирования:</t>
    </r>
    <r>
      <rPr>
        <sz val="10"/>
        <color theme="1"/>
        <rFont val="Arial"/>
      </rPr>
      <t xml:space="preserve">
При температуре от 2 до 8 °С, в защищенном от света месте. Не замораживать.</t>
    </r>
  </si>
  <si>
    <t>&lt;p&gt;При температуре от 2 до 8&amp;nbsp;°С, в защищенном от света месте. Не замораживать.&lt;br&gt;
Хранить в недоступном для детей месте!&lt;br&gt;&lt;br&gt;
&lt;i&gt;Условия транспортирования:&lt;/i&gt;&lt;br&gt;
При температуре от 2 до 8&amp;nbsp;°С, в защищенном от света месте. Не замораживать.&lt;/p&gt;</t>
  </si>
  <si>
    <t>Вакцину транспортируют и хранят в соответствии с СП 3.3.2.3332-16 «Условия транспортирования и хранения иммунобиологических лекарственных препаратов» при температуре от 2 до 8 °C. Не замораживать. Хранить в недоступном для детей месте.</t>
  </si>
  <si>
    <t>&lt;p&gt;Вакцину транспортируют и хранят в соответствии с СП&amp;nbsp;3.3.2.3332-16 «Условия транспортирования и хранения иммунобиологических лекарственных препаратов» при температуре от 2 до 8&amp;nbsp;°C. Не замораживать. Хранить в недоступном для детей месте.&lt;/p&gt;</t>
  </si>
  <si>
    <r>
      <rPr>
        <sz val="10"/>
        <color theme="1"/>
        <rFont val="Arial"/>
      </rPr>
      <t xml:space="preserve">При температуре от 2 до 8 °С. Не замораживать. Хранить в недоступном для детей месте.
Восстановленная вакцина годна к употреблению в течение 30 мин при хранении под стерильной салфеткой при комнатной температуре и на протяжении 60 мин при хранении при температуре от 2 до 8 °С.
</t>
    </r>
    <r>
      <rPr>
        <i/>
        <sz val="10"/>
        <color theme="1"/>
        <rFont val="Arial"/>
      </rPr>
      <t>Условия транспортирования:</t>
    </r>
    <r>
      <rPr>
        <sz val="10"/>
        <color theme="1"/>
        <rFont val="Arial"/>
      </rPr>
      <t xml:space="preserve">
При температуре от 2 до 8 °С. Не замораживать.</t>
    </r>
  </si>
  <si>
    <t>&lt;p&gt;При температуре от 2 до 8&amp;nbsp;°С. Не замораживать. Хранить в недоступном для детей месте.&lt;br&gt;
Восстановленная вакцина годна к употреблению в течение 30&amp;nbsp;мин при хранении под стерильной салфеткой при комнатной температуре и на протяжении 60&amp;nbsp;мин при хранении при температуре от 2 до 8&amp;nbsp;°С.&lt;br&gt;&lt;br&gt;
&lt;i&gt;Условия транспортирования:&lt;/i&gt;&lt;br&gt;
При температуре от 2 до 8&amp;nbsp;°С. Не замораживать.&lt;/p&gt;</t>
  </si>
  <si>
    <r>
      <rPr>
        <sz val="10"/>
        <color theme="1"/>
        <rFont val="Arial"/>
      </rPr>
      <t xml:space="preserve">В соответствии с СанПин 3.3686-21, при температуре от 2 до 8 °С. Хранить в местах, недоступных для детей.
</t>
    </r>
    <r>
      <rPr>
        <i/>
        <sz val="10"/>
        <color theme="1"/>
        <rFont val="Arial"/>
      </rPr>
      <t>Условия транспортирования:</t>
    </r>
    <r>
      <rPr>
        <sz val="10"/>
        <color theme="1"/>
        <rFont val="Arial"/>
      </rPr>
      <t xml:space="preserve">
В соответствии с СанПин 3.3686-21 при температуре от 2 до 8 °С.</t>
    </r>
  </si>
  <si>
    <t>&lt;p&gt;В соответствии с СанПин 3.3686-21, при температуре от 2 до 8&amp;nbsp;°С. Хранить в местах, недоступных для детей.&lt;br&gt;&lt;br&gt;
&lt;i&gt;Условия транспортирования:&lt;/i&gt;&lt;br&gt;
В соответствии с СанПин 3.3686-21 при температуре от 2 до 8&amp;nbsp;°С.&lt;/p&gt;</t>
  </si>
  <si>
    <t>Хранить при температуре от 2 до 8 °C.
Не замораживать.
Препарат из вскрытой ампулы должен быть использован немедленно.</t>
  </si>
  <si>
    <t>&lt;p&gt;Хранить при температуре от 2 до 8&amp;nbsp;°C.&lt;br&gt;
Не замораживать.&lt;br&gt;&lt;br&gt;
Препарат из вскрытой ампулы должен быть использован немедленно.&lt;/p&gt;</t>
  </si>
  <si>
    <r>
      <rPr>
        <sz val="10"/>
        <color theme="1"/>
        <rFont val="Arial"/>
      </rPr>
      <t xml:space="preserve">При температуре от 2 до 8 °C в соответствии с СП 3.3.2.3332-16. Хранить в недоступном для детей месте.
</t>
    </r>
    <r>
      <rPr>
        <i/>
        <sz val="10"/>
        <color theme="1"/>
        <rFont val="Arial"/>
      </rPr>
      <t>Условия транспортирования:</t>
    </r>
    <r>
      <rPr>
        <sz val="10"/>
        <color theme="1"/>
        <rFont val="Arial"/>
      </rPr>
      <t xml:space="preserve">
При температуре от 2 до 8 °С в соответствии с СП 3.3.2.3332-16.</t>
    </r>
  </si>
  <si>
    <t>&lt;p&gt;При температуре от 2 до 8&amp;nbsp;°C в соответствии с СП&amp;nbsp;3.3.2.3332-16. Хранить в недоступном для детей месте.&lt;br&gt;&lt;br&gt;
&lt;i&gt;Условия транспортирования:&lt;/i&gt;&lt;br&gt;
При температуре от 2 до 8&amp;nbsp;°С в соответствии с СП&amp;nbsp;3.3.2.3332-16.&lt;/p.</t>
  </si>
  <si>
    <t>Хранить при температуре от 2 до 8 °C.
Не замораживать.
Препарат из вскрытой ампулы должен быть использован немедленно.</t>
  </si>
  <si>
    <t>&lt;p&gt;Хранить при температуре от 2 до 8&amp;nbsp;°C.&lt;br&gt;
Не замораживать.&lt;br&gt;
Препарат из вскрытой ампулы должен быть использован немедленно.&lt;/p&gt;</t>
  </si>
  <si>
    <r>
      <rPr>
        <sz val="10"/>
        <color theme="1"/>
        <rFont val="Arial"/>
      </rPr>
      <t xml:space="preserve">Хранить при температуре от 2 до 8 °С включительно. Замораживание не допускается.
Хранить в недоступном для детей месте.
</t>
    </r>
    <r>
      <rPr>
        <i/>
        <sz val="10"/>
        <color theme="1"/>
        <rFont val="Arial"/>
      </rPr>
      <t>Условия транспортирования:</t>
    </r>
    <r>
      <rPr>
        <sz val="10"/>
        <color theme="1"/>
        <rFont val="Arial"/>
      </rPr>
      <t xml:space="preserve">
В соответствии с СП 3.3.2.3332-16 При температуре от 2 до 8 °С включительно. Замораживание не допускается.</t>
    </r>
  </si>
  <si>
    <t>&lt;p&gt;Хранить при температуре от 2 до 8&amp;nbsp;°С включительно. Замораживание не допускается.&lt;br&gt;
Хранить в недоступном для детей месте.&lt;br&gt;&lt;br&gt;
&lt;i&gt;Условия транспортирования:&lt;/i&gt;&lt;br&gt;
В соответствии с СП&amp;nbsp;3.3.2.3332-16 При температуре от 2 до 8&amp;nbsp;°С включительно. Замораживание не допускается.&lt;/p&gt;</t>
  </si>
  <si>
    <r>
      <rPr>
        <i/>
        <sz val="10"/>
        <color theme="1"/>
        <rFont val="Arial"/>
      </rPr>
      <t>Замороженный лекарственный препарат</t>
    </r>
    <r>
      <rPr>
        <sz val="10"/>
        <color theme="1"/>
        <rFont val="Arial"/>
      </rPr>
      <t xml:space="preserve">
Хранить в защищенном от света месте, при температуре не выше минус 18 °С. Повторное замораживание не допускается.
Хранить в недоступном для детей месте.
</t>
    </r>
    <r>
      <rPr>
        <i/>
        <sz val="10"/>
        <color theme="1"/>
        <rFont val="Arial"/>
      </rPr>
      <t>Жидкий лекарственный препарат</t>
    </r>
    <r>
      <rPr>
        <sz val="10"/>
        <color theme="1"/>
        <rFont val="Arial"/>
      </rPr>
      <t xml:space="preserve">
Хранить в защищенном от света месте, при температуре от 2 до 8 °С. Не замораживать.
Хранить в недоступном для детей месте.
</t>
    </r>
    <r>
      <rPr>
        <i/>
        <sz val="10"/>
        <color theme="1"/>
        <rFont val="Arial"/>
      </rPr>
      <t>Условия транспортирования:</t>
    </r>
    <r>
      <rPr>
        <sz val="10"/>
        <color theme="1"/>
        <rFont val="Arial"/>
      </rPr>
      <t xml:space="preserve">
</t>
    </r>
    <r>
      <rPr>
        <i/>
        <sz val="10"/>
        <color theme="1"/>
        <rFont val="Arial"/>
      </rPr>
      <t>Замороженный лекарственный препарат</t>
    </r>
    <r>
      <rPr>
        <sz val="10"/>
        <color theme="1"/>
        <rFont val="Arial"/>
      </rPr>
      <t xml:space="preserve">
Транспортирование лекарственного препарата при температуре не выше минус 18 °С.
</t>
    </r>
    <r>
      <rPr>
        <i/>
        <sz val="10"/>
        <color theme="1"/>
        <rFont val="Arial"/>
      </rPr>
      <t>Жидкий лекарственный препарат</t>
    </r>
    <r>
      <rPr>
        <sz val="10"/>
        <color theme="1"/>
        <rFont val="Arial"/>
      </rPr>
      <t xml:space="preserve">
Транспортирование лекарственного препарата при температуре от 2 до 8 °С. Не замораживать.
Условия хранения после размораживания и первого вскрытия лекарственного препарата см. в разделе 6.3.
</t>
    </r>
    <r>
      <rPr>
        <b/>
        <sz val="10"/>
        <color theme="1"/>
        <rFont val="Arial"/>
      </rPr>
      <t>6.3. Срок годности (срок хранения)</t>
    </r>
    <r>
      <rPr>
        <sz val="10"/>
        <color theme="1"/>
        <rFont val="Arial"/>
      </rPr>
      <t xml:space="preserve">
Невскрытый флакон или ампула
[...]
</t>
    </r>
    <r>
      <rPr>
        <i/>
        <sz val="10"/>
        <color theme="1"/>
        <rFont val="Arial"/>
      </rPr>
      <t>После размораживания</t>
    </r>
    <r>
      <rPr>
        <sz val="10"/>
        <color theme="1"/>
        <rFont val="Arial"/>
      </rPr>
      <t xml:space="preserve">
Производственная площадка ОАО «Фармстандарт-УфаВИТА», Россия (из ФС АО «БИОКАД», Россия)
Суммарное время хранения размороженного раствора при комнатной температуре не должно превышать 2 часов.
Повторное замораживание флакона или ампулы с раствором не допускается!
Производственная площадка ФГБУ «НИЦЭМ им. Н.Ф. Гамалеи» Минздрава России (филиал «Медгамал» ФГБУ «НИЦЭМ им. Н.Ф. Гамалеи» Минздрава России), Россия
Не допускается хранение размороженного лекарственного препарата более 30 минут!
Повторное замораживание не допускается!
Производственные площадки: АО «БИОКАД», Россия; АО «Фармасинтез-Норд», Россия; ООО «ПК-137», Россия
Не допускается хранение размороженного лекарственного препарата во флаконах по 0,5 мл более 30 минут!
Повторное замораживание не допускается!
Производственная площадка ООО «НТФФ «ПОЛИСАН», Россия
Не допускается хранение размороженного лекарственного препарата!
Повторное замораживание не допускается!
</t>
    </r>
    <r>
      <rPr>
        <i/>
        <sz val="10"/>
        <color theme="1"/>
        <rFont val="Arial"/>
      </rPr>
      <t>Жидкий лекарственный препарат</t>
    </r>
    <r>
      <rPr>
        <sz val="10"/>
        <color theme="1"/>
        <rFont val="Arial"/>
      </rPr>
      <t xml:space="preserve">
Производственная площадка ООО «НТФФ «ПОЛИСАН», Россия [...]
Не допускается хранение вскрытой ампулы.
Вскрытый флакон или ампула
Производственная площадка ОАО «Фармстандарт-УфаВИТА», Россия. Допускается хранение лекарственного препарата при комнатной температуре: вскрытой ампулы, закрытой стерильной салфеткой, не более 1 часа.
Производственные площадки: АО «БИОКАД», Россия (флаконы), АО «Фармасинтез-Норд», Россия (флаконы), ООО «ПК-137», Россия (флаконы), АО «Р-Фарм», Россия (флаконы).
Допускается хранение вскрытого флакона по 3 мл не более 2 часов при комнатной температуре.</t>
    </r>
  </si>
  <si>
    <r>
      <rPr>
        <sz val="10"/>
        <color theme="1"/>
        <rFont val="Arial"/>
      </rPr>
      <t xml:space="preserve">&lt;i&gt;Замороженный лекарственный препарат&lt;/i&gt;&lt;br&gt;
Хранить в защищенном от света месте, при температуре не выше минус 18&amp;nbsp;°С. Повторное замораживание не допускается.&lt;br&gt;
Хранить в недоступном для детей месте.&lt;br&gt;
&lt;i&gt;Жидкий лекарственный препарат&lt;/i&gt;&lt;br&gt;
Хранить в защищенном от света месте, при температуре от 2 до 8&amp;nbsp;°С. Не замораживать.&lt;br&gt;
Хранить в недоступном для детей месте.&lt;br&gt;&lt;br&gt;
&lt;i&gt;Условия транспортирования:&lt;/i&gt;&lt;br&gt;
&lt;i&gt;Замороженный лекарственный препарат&lt;/i&gt;&lt;br&gt;
Транспортирование лекарственного препарата при температуре не выше минус 18&amp;nbsp;°С.&lt;br&gt;
&lt;i&gt;Жидкий лекарственный препарат&lt;/i&gt;&lt;br&gt;
Транспортирование лекарственного препарата при температуре от 2 до 8&amp;nbsp;°С. Не замораживать.&lt;br&gt;&lt;br&gt;
Условия хранения после размораживания и первого вскрытия лекарственного препарата см. в разделе&amp;nbsp;6.3.&lt;br&gt;&lt;br&gt;
</t>
    </r>
    <r>
      <rPr>
        <b/>
        <sz val="10"/>
        <color theme="1"/>
        <rFont val="Arial"/>
      </rPr>
      <t>&lt;b&gt;6.3. Срок годности (срок хранения)&lt;/b&gt;</t>
    </r>
    <r>
      <rPr>
        <sz val="10"/>
        <color theme="1"/>
        <rFont val="Arial"/>
      </rPr>
      <t xml:space="preserve">&lt;br&gt;
Невскрытый флакон или ампула&lt;br&gt;
[...]&lt;br&gt;
</t>
    </r>
    <r>
      <rPr>
        <i/>
        <sz val="10"/>
        <color theme="1"/>
        <rFont val="Arial"/>
      </rPr>
      <t>&lt;i&gt;После размораживания&lt;/i&gt;&lt;br&gt;</t>
    </r>
    <r>
      <rPr>
        <sz val="10"/>
        <color theme="1"/>
        <rFont val="Arial"/>
      </rPr>
      <t xml:space="preserve">
Производственная площадка ОАО «Фармстандарт-УфаВИТА», Россия (из ФС АО «БИОКАД», Россия)&lt;br&gt;
Суммарное время хранения размороженного раствора при комнатной температуре не должно превышать 2&amp;nbsp;часов.&lt;br&gt;
Повторное замораживание флакона или ампулы с раствором не допускается!&lt;br&gt;
Производственная площадка ФГБУ «НИЦЭМ им. Н.Ф. Гамалеи» Минздрава России (филиал «Медгамал» ФГБУ «НИЦЭМ им. Н.Ф. Гамалеи» Минздрава России), Россия&lt;br&gt;
Не допускается хранение размороженного лекарственного препарата более 30&amp;nbsp;минут!&lt;br&gt;
Повторное замораживание не допускается!&lt;br&gt;
Производственные площадки: АО «БИОКАД», Россия; АО «Фармасинтез-Норд», Россия; ООО «ПК-137», Россия&lt;br&gt;
Не допускается хранение размороженного лекарственного препарата во флаконах по 0,5&amp;nbsp;мл более 30&amp;nbsp;минут!&lt;br&gt;
Повторное замораживание не допускается!&lt;br&gt;
Производственная площадка ООО «НТФФ «ПОЛИСАН», Россия&lt;br&gt;
Не допускается хранение размороженного лекарственного препарата!&lt;br&gt;
Повторное замораживание не допускается!&lt;br&gt;
</t>
    </r>
    <r>
      <rPr>
        <i/>
        <sz val="10"/>
        <color theme="1"/>
        <rFont val="Arial"/>
      </rPr>
      <t>&lt;i&gt;Жидкий лекарственный препарат&lt;/i&gt;&lt;br&gt;</t>
    </r>
    <r>
      <rPr>
        <sz val="10"/>
        <color theme="1"/>
        <rFont val="Arial"/>
      </rPr>
      <t xml:space="preserve">
Производственная площадка ООО «НТФФ «ПОЛИСАН», Россия [...]&lt;br&gt;
Не допускается хранение вскрытой ампулы.&lt;br&gt;&lt;br&gt;
Вскрытый флакон или ампула&lt;br&gt;
Производственная площадка ОАО «Фармстандарт-УфаВИТА», Россия. Допускается хранение лекарственного препарата при комнатной температуре: вскрытой ампулы, закрытой стерильной салфеткой, не более 1&amp;nbsp;часа.&lt;br&gt;
Производственные площадки: АО «БИОКАД», Россия (флаконы), АО «Фармасинтез-Норд», Россия (флаконы), ООО «ПК-137», Россия (флаконы), АО «Р-Фарм», Россия (флаконы).&lt;br&gt;
Допускается хранение вскрытого флакона по 3&amp;nbsp;мл не более 2&amp;nbsp;часов при комнатной температуре.&lt;/p&gt;</t>
    </r>
  </si>
  <si>
    <r>
      <rPr>
        <i/>
        <sz val="10"/>
        <color theme="1"/>
        <rFont val="Arial"/>
      </rPr>
      <t>Замороженный препарат</t>
    </r>
    <r>
      <rPr>
        <sz val="10"/>
        <color theme="1"/>
        <rFont val="Arial"/>
      </rPr>
      <t xml:space="preserve">
Хранить в защищенном от света месте, при температуре не выше минус 18 °С. Повторное замораживание не допускается.
Хранить в недоступном для детей месте.
</t>
    </r>
    <r>
      <rPr>
        <i/>
        <sz val="10"/>
        <color theme="1"/>
        <rFont val="Arial"/>
      </rPr>
      <t>Жидкий препарат</t>
    </r>
    <r>
      <rPr>
        <sz val="10"/>
        <color theme="1"/>
        <rFont val="Arial"/>
      </rPr>
      <t xml:space="preserve">
Хранить в защищенном от света месте, при температуре от 2 до 8 °С. Не замораживать.
Хранить в недоступном для детей месте.
</t>
    </r>
    <r>
      <rPr>
        <i/>
        <sz val="10"/>
        <color theme="1"/>
        <rFont val="Arial"/>
      </rPr>
      <t>Условия транспортирования:
Замороженный препарат</t>
    </r>
    <r>
      <rPr>
        <sz val="10"/>
        <color theme="1"/>
        <rFont val="Arial"/>
      </rPr>
      <t xml:space="preserve">
При температуре не выше минус 18 °С.
</t>
    </r>
    <r>
      <rPr>
        <i/>
        <sz val="10"/>
        <color theme="1"/>
        <rFont val="Arial"/>
      </rPr>
      <t>Жидкий препарат</t>
    </r>
    <r>
      <rPr>
        <sz val="10"/>
        <color theme="1"/>
        <rFont val="Arial"/>
      </rPr>
      <t xml:space="preserve">
При температуре от 2 до 8 °С. Не замораживать.</t>
    </r>
  </si>
  <si>
    <r>
      <rPr>
        <i/>
        <sz val="10"/>
        <color theme="1"/>
        <rFont val="Arial"/>
      </rPr>
      <t>&lt;p&gt;&lt;i&gt;Замороженный препарат</t>
    </r>
    <r>
      <rPr>
        <sz val="10"/>
        <color theme="1"/>
        <rFont val="Arial"/>
      </rPr>
      <t xml:space="preserve">&lt;/i&gt;&lt;br&gt;
Хранить в защищенном от света месте, при температуре не выше минус 18&amp;nbsp;°С. Повторное замораживание не допускается.&lt;br&gt;
Хранить в недоступном для детей месте.&lt;br&gt;&lt;br&gt;
</t>
    </r>
    <r>
      <rPr>
        <i/>
        <sz val="10"/>
        <color theme="1"/>
        <rFont val="Arial"/>
      </rPr>
      <t>&lt;i&gt;Жидкий препарат</t>
    </r>
    <r>
      <rPr>
        <sz val="10"/>
        <color theme="1"/>
        <rFont val="Arial"/>
      </rPr>
      <t>&lt;/i&gt;&lt;br&gt;
Хранить в защищенном от света месте, при температуре от 2 до 8&amp;nbsp;°С. Не замораживать.&lt;br&gt;
Хранить в недоступном для детей месте.&lt;br&gt;&lt;br&gt;
&lt;i&gt;Условия транспортирования:&lt;/i&gt;&lt;br&gt;
&lt;i&gt;Замороженный препарат&lt;/i&gt;&lt;br&gt;
При температуре не выше минус 18&amp;nbsp;°С.&lt;br&gt;
&lt;i&gt;Жидкий препарат&lt;/i&gt;&lt;br&gt;
При температуре от 2 до 8&amp;nbsp;°С. Не замораживать.&lt;/p&gt;</t>
    </r>
  </si>
  <si>
    <t>Хранить и перевозить в холодильнике (2-8 °С). Не замораживать.
Препарат во вскрытой ампуле и вскрытом однодозовом флаконе хранению не подлежит. Вскрытый многодозовый флакон помещается в холодильник для хранения при температуре от 2 до 8 °С. Вакцина, содержащаяся в открытых многодозовых флаконах, может быть использована в течение одного рабочего дня (8 часов).</t>
  </si>
  <si>
    <t>&lt;p&gt;Хранить и перевозить в холодильнике (2-8&amp;nbsp;°С). Не замораживать.
Препарат во вскрытой ампуле и вскрытом однодозовом флаконе хранению не подлежит. Вскрытый многодозовый флакон помещается в холодильник для хранения при температуре от 2 до 8&amp;nbsp;°С. Вакцина, содержащаяся в открытых многодозовых флаконах, может быть использована в течение одного рабочего дня (8&amp;nbsp;часов).&lt;/p&gt;</t>
  </si>
  <si>
    <t>Хранить и транспортировать при температуре от 2 до 8 °C. Не замораживать!
Хранить в недоступном для детей месте.</t>
  </si>
  <si>
    <t>&lt;p&gt;Хранить и транспортировать при температуре от 2 до 8&amp;nbsp;°C. Не замораживать!&lt;br&gt;
Хранить в недоступном для детей месте.&lt;/p&gt;</t>
  </si>
  <si>
    <t>Хранить при температуре от 2 до 25 °С в оригинальной упаковке (пачка картонная).
Не замораживать!
Если вакцинация по какой-либо причине откладывается, восстановленную вакцину следует хранить в холодильнике (2-8 °C) не более 6 часов без замораживания. Неиспользованная за это время вакцина не должна применяться, она подлежит утилизации.</t>
  </si>
  <si>
    <t>&lt;p&gt;Хранить при температуре от 2 до 25&amp;nbsp;°С в оригинальной упаковке (пачка картонная).&lt;br&gt;
Не замораживать!&lt;br&gt;
Если вакцинация по какой-либо причине откладывается, восстановленную вакцину следует хранить в холодильнике (2-8&amp;nbsp;°C) не более 6&amp;nbsp;часов без замораживания. Неиспользованная за это время вакцина не должна применяться, она подлежит утилизации.&lt;/p&gt;</t>
  </si>
  <si>
    <t>https://grls.rosminzdrav.ru/InstrImg/2024/11/29/1511440/a7df9117-6412-4ad4-81a2-998d2ad320c3.pdf</t>
  </si>
  <si>
    <r>
      <rPr>
        <sz val="10"/>
        <color theme="1"/>
        <rFont val="Arial"/>
      </rPr>
      <t xml:space="preserve">Хранить при температуре от 2 до 8 °С.
Не допускается замораживание.
</t>
    </r>
    <r>
      <rPr>
        <i/>
        <sz val="10"/>
        <color theme="1"/>
        <rFont val="Arial"/>
      </rPr>
      <t>Условия транспортирования:</t>
    </r>
    <r>
      <rPr>
        <sz val="10"/>
        <color theme="1"/>
        <rFont val="Arial"/>
      </rPr>
      <t xml:space="preserve">
Транспортирование при температуре от 2 до 8 °С. Допускается кратковременное (не более 72 часов) транспортирование при температуре от 9 до 30 °С.
Не допускается замораживание.</t>
    </r>
  </si>
  <si>
    <t>&lt;p&gt;Хранить при температуре от 2 до 8&amp;nbsp;°С.&lt;br&gt;
Не допускается замораживание.&lt;br&gt;
&lt;i&gt;Условия транспортирования:&lt;/i&gt;&lt;br&gt;
Транспортирование при температуре от 2 до 8&amp;nbsp;°С. Допускается кратковременное (не более 72&amp;nbsp;часов) транспортирование при температуре от 9 до 30&amp;nbsp;°С.&lt;br&gt;
Не допускается замораживание.&lt;/p&gt;</t>
  </si>
  <si>
    <t>Хранить и перевозить в холодильнике (2–8 °C).
Не замораживать.
Хранить в оригинальной упаковке для защиты от света.
Вакцину следует вводить сразу после восстановления. В то же время вакцина остается стабильной при температуре от 2 до 8 °С в течение 8 часов после восстановления.</t>
  </si>
  <si>
    <t>&lt;p&gt;Хранить и перевозить в холодильнике (2–8&amp;nbsp;°C).&lt;br&gt;
Не замораживать.&lt;br&gt;
Хранить в оригинальной упаковке для защиты от света.&lt;br&gt;
Вакцину следует вводить сразу после восстановления. В то же время вакцина остается стабильной при температуре от 2 до 8&amp;nbsp;°С в течение 8&amp;nbsp;часов после восстановления.&lt;/p&gt;</t>
  </si>
  <si>
    <t>https://grls.rosminzdrav.ru/InstrImg/2024/07/16/1506734/9116be71-6c07-426a-8ff9-48e79a74f109.pdf</t>
  </si>
  <si>
    <r>
      <rPr>
        <sz val="10"/>
        <color theme="1"/>
        <rFont val="Arial"/>
      </rPr>
      <t xml:space="preserve">Хранить при температуре от 2 до 8 °C, в защищенном от света месте. Не замораживать.
Хранить в недоступном для детей месте.
</t>
    </r>
    <r>
      <rPr>
        <i/>
        <sz val="10"/>
        <color theme="1"/>
        <rFont val="Arial"/>
      </rPr>
      <t>Условия транспортирования:</t>
    </r>
    <r>
      <rPr>
        <sz val="10"/>
        <color theme="1"/>
        <rFont val="Arial"/>
      </rPr>
      <t xml:space="preserve">
При температуре от 2 до 8 °С, в защищенном от света месте. Не замораживать.</t>
    </r>
  </si>
  <si>
    <t>&lt;p&gt;Хранить при температуре от 2 до 8&amp;nbsp;°C, в защищенном от света месте. Не замораживать.&lt;br&gt;
Хранить в недоступном для детей месте.&lt;br&gt;&lt;br&gt;
&lt;i&gt;Условия транспортирования:&lt;/i&gt;&lt;br&gt;
При температуре от 2 до 8&amp;nbsp;°С, в защищенном от света месте. Не замораживать.&lt;/p&gt;</t>
  </si>
  <si>
    <r>
      <rPr>
        <sz val="10"/>
        <color theme="1"/>
        <rFont val="Arial"/>
      </rPr>
      <t xml:space="preserve">Хранить в защищенном от света месте, при температуре не выше минус 18 °C. Повторное замораживание не допускается.
Хранить в недоступном для детей месте.
</t>
    </r>
    <r>
      <rPr>
        <i/>
        <sz val="10"/>
        <color theme="1"/>
        <rFont val="Arial"/>
      </rPr>
      <t>Условия транспортирования:</t>
    </r>
    <r>
      <rPr>
        <sz val="10"/>
        <color theme="1"/>
        <rFont val="Arial"/>
      </rPr>
      <t xml:space="preserve">
При температуре не выше минус 18 °С, допускается повышение температуры не выше минус 10 °С не более 3 суток.</t>
    </r>
  </si>
  <si>
    <t>&lt;p&gt;Хранить в защищенном от света месте, при температуре не выше минус 18&amp;nbsp;°C. Повторное замораживание не допускается.&lt;br&gt;
Хранить в недоступном для детей месте.&lt;br&gt;&lt;br&gt;
&lt;i&gt;Условия транспортирования:&lt;/i&gt;&lt;br&gt;
При температуре не выше минус 18&amp;nbsp;°С, допускается повышение температуры не выше минус 10&amp;nbsp;°С не более 3&amp;nbsp;суток.&lt;/p&gt;</t>
  </si>
  <si>
    <t>Хранить и перевозить в холодильнике (2-8 °С). Не замораживать.
Препарат во вскрытой ампуле и вскрытом однодозном флаконе хранению не подлежит.
Вскрытый многодозный флакон помещается в холодильник для хранения при температуре от 2 до 8 °С. Вакцина, содержащаяся в открытых многодозных флаконах, может быть использована в течение одного рабочего дня.</t>
  </si>
  <si>
    <t>&lt;p&gt;Хранить и перевозить в холодильнике (2-8&amp;nbsp;°С). Не замораживать.&lt;br&gt;
Препарат во вскрытой ампуле и вскрытом однодозном флаконе хранению не подлежит.&lt;br&gt;
Вскрытый многодозный флакон помещается в холодильник для хранения при температуре от 2 до 8&amp;nbsp;°С. Вакцина, содержащаяся в открытых многодозных флаконах, может быть использована в течение одного рабочего дня.&lt;/p&gt;</t>
  </si>
  <si>
    <t>Хранить в холодильнике (2-8 °С), в оригинальной упаковке (в пачке картонной) для того, чтобы защитить от света.
Не замораживать.</t>
  </si>
  <si>
    <t>&lt;p&gt;Хранить в холодильнике (2-8&amp;nbsp;°С), в оригинальной упаковке (в пачке картонной) для того, чтобы защитить от света.&lt;br&gt;
Не замораживать.&lt;/p&gt;</t>
  </si>
  <si>
    <t>https://grls.rosminzdrav.ru/InstrImg/2024/01/19/1501170/14f78b66-569c-4bfe-8b30-ff63439a2434.pdf</t>
  </si>
  <si>
    <t>Хранить и транспортировать при температуре от 2 до 8°С, в защищенном от света месте.
Хранить в недоступном для детей месте.</t>
  </si>
  <si>
    <t>&lt;p&gt;Хранить и транспортировать при температуре от 2 до 8&amp;nbsp;°С, в защищенном от света месте.&lt;br&gt;
Хранить в недоступном для детей месте.&lt;/p&gt;</t>
  </si>
  <si>
    <t>Хранить при температуре от 2 до 8 °С в защищенном от света месте.
Не замораживать.
Хранить в недоступном для детей месте.</t>
  </si>
  <si>
    <t>&lt;p&gt;Хранить при температуре от 2 до 8&amp;nbsp;°С в защищенном от света месте.&lt;br&gt;
Не замораживать.&lt;br&gt;
Хранить в недоступном для детей месте.&lt;/p&gt;</t>
  </si>
  <si>
    <t>Хранить в холодильнике (2—8 °C). Хранить флакон во внешней упаковке для того, чтобы защитить от света.
Не замораживать.
Растворитель может храниться вместе с вакциной в холодильнике (2—8 °С) или отдельно при температуре не выше 25 °С.
Примечание: 1) Хранение растворителя отдельно от вакцины при температуре не выше 25 °С возможно только при условии, что растворитель упакован в картонную пачку Б. 2) С целью предотвращения снижения активности, вакцину необходимо транспортировать при температуре 2—8 °С или ниже, однако температура не должна опускаться ниже -50 °С. Использование сухого льда может привести к снижению температуры вакцины ВАРИВАКС ниже -50 °С.
После восстановления вакцина должна быть немедленно использована. Однако в исследованиях стабильности было продемонстрировано, что срок годности после восстановления составляет 30 минут при температуре от +20 °C до +25 °C.
Утилизируйте вакцину, если она не использована в течение 30 минут после ее восстановления.</t>
  </si>
  <si>
    <t>&lt;p&gt;Хранить в холодильнике (2—8&amp;nbsp;°C). Хранить флакон во внешней упаковке для того, чтобы защитить от света.&lt;br&gt;
Не замораживать.&lt;br&gt;
Растворитель может храниться вместе с вакциной в холодильнике (2—8&amp;nbsp;°С) или отдельно при температуре не выше 25&amp;nbsp;°С.&lt;br&gt;
Примечание: 1)&amp;nbsp;Хранение растворителя отдельно от вакцины при температуре не выше 25&amp;nbsp;°С возможно только при условии, что растворитель упакован в картонную пачку Б. 2)&amp;nbsp;С&amp;nbsp;целью предотвращения снижения активности, вакцину необходимо транспортировать при температуре 2—8&amp;nbsp;°С или ниже, однако температура не должна опускаться ниже -50&amp;nbsp;°С. Использование сухого льда может привести к снижению температуры вакцины ВАРИВАКС ниже -50&amp;nbsp;°С.&lt;br&gt;&lt;br&gt;
После восстановления вакцина должна быть немедленно использована. Однако в исследованиях стабильности было продемонстрировано, что срок годности после восстановления составляет 30&amp;nbsp;минут при температуре от +20&amp;nbsp;°C до +25&amp;nbsp;°C.&lt;br&gt;
Утилизируйте вакцину, если она не использована в течение 30&amp;nbsp;минут после ее восстановления.&lt;/p&gt;</t>
  </si>
  <si>
    <t>https://grls.rosminzdrav.ru/InstrImg/2023/11/14/1499137/0d066a1a-0b64-4c36-8b80-ed504d3f7fe0.pdf</t>
  </si>
  <si>
    <t>При температуре от 2 до 8 °С. Не замораживать.</t>
  </si>
  <si>
    <t>&lt;p&gt;При температуре от 2 до 8&amp;nbsp;°С. Не замораживать.&lt;/p&gt;</t>
  </si>
  <si>
    <r>
      <rPr>
        <i/>
        <sz val="10"/>
        <color theme="1"/>
        <rFont val="Arial"/>
      </rPr>
      <t>Лиофилизат</t>
    </r>
    <r>
      <rPr>
        <sz val="10"/>
        <color theme="1"/>
        <rFont val="Arial"/>
      </rPr>
      <t xml:space="preserve">
Хранить при температуре от 2 до 8 °С. Не замораживать.
Хранить в защищенном от света месте.
</t>
    </r>
    <r>
      <rPr>
        <i/>
        <sz val="10"/>
        <color theme="1"/>
        <rFont val="Arial"/>
      </rPr>
      <t>Растворитель</t>
    </r>
    <r>
      <rPr>
        <sz val="10"/>
        <color theme="1"/>
        <rFont val="Arial"/>
      </rPr>
      <t xml:space="preserve">
Хранить при температуре от 2 до 25 °С. Не замораживать.
</t>
    </r>
    <r>
      <rPr>
        <i/>
        <sz val="10"/>
        <color theme="1"/>
        <rFont val="Arial"/>
      </rPr>
      <t>Комплект (лиофилизат, растворитель, с иглами или без игл)</t>
    </r>
    <r>
      <rPr>
        <sz val="10"/>
        <color theme="1"/>
        <rFont val="Arial"/>
      </rPr>
      <t xml:space="preserve">
Хранить при температуре от 2 до 8 °С. Не замораживать.
Хранить в защищенном от света месте.
Хранить в недоступном для детей месте.
</t>
    </r>
    <r>
      <rPr>
        <i/>
        <sz val="10"/>
        <color theme="1"/>
        <rFont val="Arial"/>
      </rPr>
      <t>Условия транспортирования:</t>
    </r>
    <r>
      <rPr>
        <sz val="10"/>
        <color theme="1"/>
        <rFont val="Arial"/>
      </rPr>
      <t xml:space="preserve">
Лиофилизат
Транспортировать при температуре от 2 до 8 °С. Не замораживать.
Растворитель
Транспортировать при температуре от 2 до 25 °С. Не замораживать.
Комплект (лиофилизат, растворитель, с иглами или без игл)
Транспортировать при температуре от 2 до 8 °С. Не замораживать.</t>
    </r>
  </si>
  <si>
    <r>
      <rPr>
        <i/>
        <sz val="10"/>
        <color theme="1"/>
        <rFont val="Arial"/>
      </rPr>
      <t>&lt;p&gt;&lt;i&gt;Лиофилизат</t>
    </r>
    <r>
      <rPr>
        <sz val="10"/>
        <color theme="1"/>
        <rFont val="Arial"/>
      </rPr>
      <t xml:space="preserve">&lt;/i&gt;&lt;br&gt;
Хранить при температуре от 2 до 8&amp;nbsp;°С. Не замораживать.&lt;br&gt;
Хранить в защищенном от света месте.&lt;br&gt;
</t>
    </r>
    <r>
      <rPr>
        <i/>
        <sz val="10"/>
        <color theme="1"/>
        <rFont val="Arial"/>
      </rPr>
      <t>&lt;i&gt;Растворитель</t>
    </r>
    <r>
      <rPr>
        <sz val="10"/>
        <color theme="1"/>
        <rFont val="Arial"/>
      </rPr>
      <t xml:space="preserve">&lt;/i&gt;&lt;br&gt;
Хранить при температуре от 2 до 25&amp;nbsp;°С. Не замораживать.&lt;br&gt;
</t>
    </r>
    <r>
      <rPr>
        <i/>
        <sz val="10"/>
        <color theme="1"/>
        <rFont val="Arial"/>
      </rPr>
      <t>&lt;i&gt;Комплект (лиофилизат, растворитель, с иглами или без игл)</t>
    </r>
    <r>
      <rPr>
        <sz val="10"/>
        <color theme="1"/>
        <rFont val="Arial"/>
      </rPr>
      <t>&lt;/i&gt;&lt;br&gt;
Хранить при температуре от 2 до 8&amp;nbsp;°С. Не замораживать.&lt;br&gt;
Хранить в защищенном от света месте.&lt;br&gt;
Хранить в недоступном для детей месте.&lt;br&gt;&lt;br&gt;
&lt;i&gt;Условия транспортирования:&lt;/i&gt;&lt;br&gt;
&lt;i&gt;Лиофилизат&lt;/i&gt;&lt;br&gt;
Транспортировать при температуре от 2 до 8&amp;nbsp;°С. Не замораживать.&lt;br&gt;
&lt;i&gt;Растворитель&lt;/i&gt;&lt;br&gt;
Транспортировать при температуре от 2 до 25&amp;nbsp;°С. Не замораживать.&lt;br&gt;
&lt;i&gt;Комплект (лиофилизат, растворитель, с иглами или без игл)&lt;/i&gt;&lt;br&gt;
Транспортировать при температуре от 2 до 8&amp;nbsp;°С. Не замораживать.&lt;/p&gt;</t>
    </r>
  </si>
  <si>
    <t>https://grls.rosminzdrav.ru/InstrImg/2021/04/08/1467900/d0178e58-88a3-4898-ae92-f04c7d69cf57.pdf</t>
  </si>
  <si>
    <t>24.007.2023</t>
  </si>
  <si>
    <t>Хранить в холодильнике (2-8 °С).
Не замораживать.
Химическая и физическая стабильность лекарственного препарата подтверждена при однократном изменении температуры до 25 °С в течение 72 часов.</t>
  </si>
  <si>
    <t>&lt;p&gt;Хранить в холодильнике (2-8&amp;nbsp;°С).&lt;br&gt;
Не замораживать.&lt;br&gt;
Химическая и физическая стабильность лекарственного препарата подтверждена при однократном изменении температуры до 25&amp;nbsp;°С в течение 72&amp;nbsp;часов.&lt;/p&gt;</t>
  </si>
  <si>
    <t>Хранить при температуре от 2 до 8 °C в защищенном от света месте.
Не замораживать.
Хранить в недоступном для детей месте.</t>
  </si>
  <si>
    <t>&lt;p&gt;Хранить при температуре от 2 до 8&amp;nbsp;°C в защищенном от света месте.&lt;br&gt;
Не замораживать.&lt;br&gt;
Хранить в недоступном для детей месте.&lt;/p&gt;</t>
  </si>
  <si>
    <t>https://grls.rosminzdrav.ru/InstrImg/2024/04/26/1504005/d1870595-28f7-44b7-bb39-ad5bc2268f78.pdf</t>
  </si>
  <si>
    <r>
      <rPr>
        <sz val="10"/>
        <color theme="1"/>
        <rFont val="Arial"/>
      </rPr>
      <t xml:space="preserve">Хранить в защищенном от света месте, при температуре не выше минус 18 °C.
Хранить в недоступном для детей месте.
</t>
    </r>
    <r>
      <rPr>
        <i/>
        <sz val="10"/>
        <color theme="1"/>
        <rFont val="Arial"/>
      </rPr>
      <t>Условия транспортирования:</t>
    </r>
    <r>
      <rPr>
        <sz val="10"/>
        <color theme="1"/>
        <rFont val="Arial"/>
      </rPr>
      <t xml:space="preserve">
При температуре не выше 18 °С.</t>
    </r>
  </si>
  <si>
    <t>&lt;p&gt;Хранить в защищенном от света месте, при температуре не выше минус 18&amp;nbsp;°C.&lt;br&gt;
Хранить в недоступном для детей месте.&lt;br&gt;&lt;br&gt;
&lt;i&gt;Условия транспортирования:&lt;/i&gt;
При температуре не выше 18&amp;nbsp;°С.&lt;/p&gt;</t>
  </si>
  <si>
    <r>
      <rPr>
        <sz val="10"/>
        <color theme="1"/>
        <rFont val="Arial"/>
      </rPr>
      <t xml:space="preserve">При температуре от 2 до 8 °С. Не замораживать.
Хранить в недоступном для детей месте!
</t>
    </r>
    <r>
      <rPr>
        <i/>
        <sz val="10"/>
        <color theme="1"/>
        <rFont val="Arial"/>
      </rPr>
      <t>Условия транспортирования:</t>
    </r>
    <r>
      <rPr>
        <sz val="10"/>
        <color theme="1"/>
        <rFont val="Arial"/>
      </rPr>
      <t xml:space="preserve">
При температуре от 2 до 8 °С. Не замораживать.</t>
    </r>
  </si>
  <si>
    <t>&lt;p&gt;При температуре от 2 до 8&amp;nbsp;°С. Не замораживать.&lt;br&gt;
Хранить в недоступном для детей месте!&lt;br&gt;&lt;br&gt;
&lt;i&gt;Условия транспортирования:&lt;/i&gt;&lt;br&gt;
При температуре от 2 до 8&amp;nbsp;°С. Не замораживать.&lt;/p&gt;</t>
  </si>
  <si>
    <r>
      <rPr>
        <sz val="10"/>
        <color theme="1"/>
        <rFont val="Arial"/>
      </rPr>
      <t xml:space="preserve">Хранить при температуре от 2 до 8 °C. Не замораживать! Хранить в недоступном для детей месте!
</t>
    </r>
    <r>
      <rPr>
        <i/>
        <sz val="10"/>
        <color theme="1"/>
        <rFont val="Arial"/>
      </rPr>
      <t>Условия транспортирования:</t>
    </r>
    <r>
      <rPr>
        <sz val="10"/>
        <color theme="1"/>
        <rFont val="Arial"/>
      </rPr>
      <t xml:space="preserve">
При температуре от 2 до 8 °С. Не замораживать.</t>
    </r>
  </si>
  <si>
    <t>&lt;p&gt;Хранить при температуре от 2 до 8&amp;nbsp;°C. Не замораживать! Хранить в недоступном для детей месте!&lt;br&gt;&lt;br&gt;
&lt;i&gt;Условия транспортирования:&lt;/i&gt;&lt;br&gt;
При температуре от 2 до 8&amp;nbsp;°С. Не замораживать.&lt;/p&gt;</t>
  </si>
  <si>
    <r>
      <rPr>
        <sz val="10"/>
        <color theme="1"/>
        <rFont val="Arial"/>
      </rPr>
      <t xml:space="preserve">При температуре от 2 до 8 °С включительно в соответствии с СанПин 3.3686-21. Замораживание не допускается.
Хранить в недоступном для детей месте!
</t>
    </r>
    <r>
      <rPr>
        <i/>
        <sz val="10"/>
        <color theme="1"/>
        <rFont val="Arial"/>
      </rPr>
      <t>Условия транспортирования:</t>
    </r>
    <r>
      <rPr>
        <sz val="10"/>
        <color theme="1"/>
        <rFont val="Arial"/>
      </rPr>
      <t xml:space="preserve">
При температуре от 2 до 8 °С включительно в соответствии с СанПин 3.3686-21. Замораживание не допускается.</t>
    </r>
  </si>
  <si>
    <t>&lt;p&gt;При температуре от 2 до 8&amp;nbsp;°С включительно в соответствии с СанПин 3.3686-21. Замораживание не допускается.&lt;br&gt;
Хранить в недоступном для детей месте!&lt;br&gt;&lt;br&gt;
&lt;i&gt;Условия транспортирования:&lt;/i&gt;&lt;br&gt;
При температуре от 2 до 8&amp;nbsp;°С включительно в соответствии с СанПин 3.3686-21. Замораживание не допускается.&lt;/p&gt;</t>
  </si>
  <si>
    <t>https://grls.rosminzdrav.ru/InstrImg/2023/07/19/1495141/6279c1ae-20cf-4801-9f4a-bb9a68168b63.pdf</t>
  </si>
  <si>
    <t>Хранить в холодильнике (при температуре от 2 до 8 °С). Не замораживать.
Хранить в недоступном для детей месте.</t>
  </si>
  <si>
    <t>&lt;p&gt;Хранить в холодильнике (при температуре от 2 до 8&amp;nbsp;°С). Не замораживать.&lt;br&gt;
Хранить в недоступном для детей месте.&lt;/p&gt;</t>
  </si>
  <si>
    <r>
      <rPr>
        <i/>
        <sz val="10"/>
        <color theme="1"/>
        <rFont val="Arial"/>
      </rPr>
      <t>Лиофилизат</t>
    </r>
    <r>
      <rPr>
        <sz val="10"/>
        <color theme="1"/>
        <rFont val="Arial"/>
      </rPr>
      <t xml:space="preserve">
Хранить и транспортировать при температуре от 2 до 8 °С в защищенном от света месте.
</t>
    </r>
    <r>
      <rPr>
        <i/>
        <sz val="10"/>
        <color theme="1"/>
        <rFont val="Arial"/>
      </rPr>
      <t>Растворитель</t>
    </r>
    <r>
      <rPr>
        <sz val="10"/>
        <color theme="1"/>
        <rFont val="Arial"/>
      </rPr>
      <t xml:space="preserve">
Хранить и транспортировать при температуре от 2 до 25 °С. Не замораживать.
</t>
    </r>
    <r>
      <rPr>
        <i/>
        <sz val="10"/>
        <color theme="1"/>
        <rFont val="Arial"/>
      </rPr>
      <t>Комплект (лиофилизат с растворителем)</t>
    </r>
    <r>
      <rPr>
        <sz val="10"/>
        <color theme="1"/>
        <rFont val="Arial"/>
      </rPr>
      <t xml:space="preserve">
Хранить и транспортировать при температуре от 2 до 8 °С в защищенном от света месте. Не замораживать.
Хранить в недоступном для детей месте.</t>
    </r>
  </si>
  <si>
    <r>
      <rPr>
        <i/>
        <sz val="10"/>
        <color theme="1"/>
        <rFont val="Arial"/>
      </rPr>
      <t>&lt;p&gt;&lt;i&gt;Лиофилизат</t>
    </r>
    <r>
      <rPr>
        <sz val="10"/>
        <color theme="1"/>
        <rFont val="Arial"/>
      </rPr>
      <t xml:space="preserve">&lt;/i&gt;&lt;br&gt;
Хранить и транспортировать при температуре от 2 до 8&amp;nbsp;°С в защищенном от света месте.&lt;br&gt;&lt;br&gt;
</t>
    </r>
    <r>
      <rPr>
        <i/>
        <sz val="10"/>
        <color theme="1"/>
        <rFont val="Arial"/>
      </rPr>
      <t>&lt;i&gt;Растворитель</t>
    </r>
    <r>
      <rPr>
        <sz val="10"/>
        <color theme="1"/>
        <rFont val="Arial"/>
      </rPr>
      <t xml:space="preserve">&lt;/i&gt;&lt;br&gt;
Хранить и транспортировать при температуре от 2 до 25&amp;nbsp;°С. Не замораживать.&lt;br&gt;&lt;br&gt;
</t>
    </r>
    <r>
      <rPr>
        <i/>
        <sz val="10"/>
        <color theme="1"/>
        <rFont val="Arial"/>
      </rPr>
      <t>&lt;i&gt;Комплект (лиофилизат с растворителем)</t>
    </r>
    <r>
      <rPr>
        <sz val="10"/>
        <color theme="1"/>
        <rFont val="Arial"/>
      </rPr>
      <t>&lt;/i&gt;&lt;br&gt;
Хранить и транспортировать при температуре от 2 до 8&amp;nbsp;°С в защищенном от света месте. Не замораживать.&lt;br&gt;&lt;br&gt;
Хранить в недоступном для детей месте.&lt;/p&gt;</t>
    </r>
  </si>
  <si>
    <t>https://grls.rosminzdrav.ru/InstrImg/2020/12/15/1464278/%D0%9F_N015829_01[2017]_6.pdf</t>
  </si>
  <si>
    <r>
      <rPr>
        <sz val="10"/>
        <color theme="1"/>
        <rFont val="Arial"/>
      </rPr>
      <t xml:space="preserve">Хранить при температуре от 2 до 8 °С. Не замораживать!
Хранить в недоступном для детей месте.
</t>
    </r>
    <r>
      <rPr>
        <i/>
        <sz val="10"/>
        <color theme="1"/>
        <rFont val="Arial"/>
      </rPr>
      <t>Условия транспортирования:</t>
    </r>
    <r>
      <rPr>
        <sz val="10"/>
        <color theme="1"/>
        <rFont val="Arial"/>
      </rPr>
      <t xml:space="preserve">
Транспортировать при температуре от 2 до 8 °С. Не замораживать!</t>
    </r>
  </si>
  <si>
    <t>&lt;p&gt;Хранить при температуре от 2 до 8&amp;nbsp;°С. Не замораживать!&lt;br&gt;
Хранить в недоступном для детей месте.&lt;br&gt;&lt;br&gt;
&lt;i&gt;Условия транспортирования:&lt;/i&gt;&lt;br&gt;
Транспортировать при температуре от 2 до 8&amp;nbsp;°С. Не замораживать!&lt;/p&gt;</t>
  </si>
  <si>
    <t>Хранить при температуре от 2 до 8 °C. Не замораживать!
Хранить в недоступном для детей месте.</t>
  </si>
  <si>
    <t>&lt;p&gt;Хранить при температуре от 2 до 8&amp;nbsp;°C. Не замораживать!&lt;br&gt;
Хранить в недоступном для детей месте.&lt;/p&gt;</t>
  </si>
  <si>
    <r>
      <rPr>
        <sz val="10"/>
        <color theme="1"/>
        <rFont val="Arial"/>
      </rPr>
      <t xml:space="preserve">В защищенном от света месте при температуре от 2 до 8 °C.
Замораживание не допускается.
Хранить в недоступном для детей месте.
</t>
    </r>
    <r>
      <rPr>
        <i/>
        <sz val="10"/>
        <color theme="1"/>
        <rFont val="Arial"/>
      </rPr>
      <t>Условия транспортирования:</t>
    </r>
    <r>
      <rPr>
        <sz val="10"/>
        <color theme="1"/>
        <rFont val="Arial"/>
      </rPr>
      <t xml:space="preserve">
В защищенном от света месте при температуре от 2 до 8 °C. Допускается кратковременное (не более 24 часов) транспортирование при температуре от 8 до 25 °C.</t>
    </r>
  </si>
  <si>
    <t>&lt;p&gt;В защищенном от света месте при температуре от 2 до 8&amp;nbsp;°C.&lt;br&gt;
Замораживание не допускается.&lt;br&gt;
Хранить в недоступном для детей месте.&lt;br&gt;&lt;br&gt;
&lt;i&gt;Условия транспортирования:&lt;/i&gt;&lt;br&gt;
В защищенном от света месте при температуре от 2 до 8&amp;nbsp;°C. Допускается кратковременное (не более 24&amp;nbsp;часов) транспортирование при температуре от 8 до 25&amp;nbsp;°C.&lt;/p&gt;</t>
  </si>
  <si>
    <r>
      <rPr>
        <sz val="10"/>
        <color theme="1"/>
        <rFont val="Arial"/>
      </rPr>
      <t xml:space="preserve">Хранить при температуре от 2 до 8 °С. Не замораживать.
Препарат во вскрытой ампуле хранению не подлежит.
</t>
    </r>
    <r>
      <rPr>
        <i/>
        <sz val="10"/>
        <color theme="1"/>
        <rFont val="Arial"/>
      </rPr>
      <t>Условия транспортирования:</t>
    </r>
    <r>
      <rPr>
        <sz val="10"/>
        <color theme="1"/>
        <rFont val="Arial"/>
      </rPr>
      <t xml:space="preserve">
Транспортировать в соответствии с СП 3.3.2.3332-16 при температуре от 2 до 8 °С. Замораживание не допускается.</t>
    </r>
  </si>
  <si>
    <t>&lt;p&gt;Хранить при температуре от 2 до 8&amp;nbsp;°С. Не замораживать.&lt;br&gt;
Препарат во вскрытой ампуле хранению не подлежит.&lt;br&gt;&lt;br&gt;
&lt;i&gt;Условия транспортирования:&lt;/i&gt;&lt;br&gt;
Транспортировать в соответствии с СП&amp;nbsp;3.3.2.3332-16 при температуре от 2 до 8&amp;nbsp;°С. Замораживание не допускается.&lt;/p&gt;</t>
  </si>
  <si>
    <t>https://grls.rosminzdrav.ru/InstrImg/2024/03/05/1502513/2f9ab427-55f1-498e-aafd-eabedbaee219.pdf</t>
  </si>
  <si>
    <r>
      <rPr>
        <sz val="10"/>
        <color theme="1"/>
        <rFont val="Arial"/>
      </rPr>
      <t xml:space="preserve">Препарат хранят в соответствии с СП 3.3.2.3332-16 при температуре от 2 до 8 °С в недоступном для детей месте.
</t>
    </r>
    <r>
      <rPr>
        <i/>
        <sz val="10"/>
        <color theme="1"/>
        <rFont val="Arial"/>
      </rPr>
      <t>Условия транспортирования:</t>
    </r>
    <r>
      <rPr>
        <sz val="10"/>
        <color theme="1"/>
        <rFont val="Arial"/>
      </rPr>
      <t xml:space="preserve">
Препарат транспортируют в соответствии с СП 3.3.2.3332-16 при температуре от 2 до 8 °С. Допускается кратковременное, не более трех суток, транспортирование при температуре от 9 до 18 °С. Не замораживать.</t>
    </r>
  </si>
  <si>
    <t>&lt;p&gt;Препарат хранят в соответствии с СП&amp;nbsp;3.3.2.3332-16 при температуре от 2 до 8&amp;nbsp;°С в недоступном для детей месте.&lt;br&gt;&lt;br&gt;
&lt;i&gt;Условия транспортирования:&lt;/i&gt;&lt;br&gt;
Препарат транспортируют в соответствии с СП&amp;nbsp;3.3.2.3332-16 при температуре от 2 до 8&amp;nbsp;°С. Допускается кратковременное, не более трех суток, транспортирование при температуре от 9 до 18&amp;nbsp;°С. Не замораживать.&lt;/p&gt;</t>
  </si>
  <si>
    <t>https://grls.rosminzdrav.ru/InstrImg/2023/03/14/1491812/185a1106-6649-4596-af55-b6b4c88e9969.pdf</t>
  </si>
  <si>
    <t>Хранить в холодильнике (2–8 °C).
Не замораживать.
Хранить в картонной пачке для того, чтобы защитить от света.
После восстановления вакцину следует ввести незамедлительно; если это невозможно, вакцину следует хранить в холодильнике (2–8 °C). Если вакцина не использована в течение 6 часов, ее следует утилизировать.</t>
  </si>
  <si>
    <t>&lt;p&gt;Хранить в холодильнике (2–8&amp;nbsp;°C).&lt;br&gt;
Не замораживать.&lt;br&gt;
Хранить в картонной пачке для того, чтобы защитить от света.&lt;br&gt;
После восстановления вакцину следует ввести незамедлительно; если это невозможно, вакцину следует хранить в холодильнике (2–8&amp;nbsp;°C). Если вакцина не использована в течение 6&amp;nbsp;часов, ее следует утилизировать.&lt;/p&gt;</t>
  </si>
  <si>
    <t>https://grls.rosminzdrav.ru/InstrImg/2024/06/17/1505907/c78a0ec4-01f8-4da4-b2a0-954814a9748c.pdf</t>
  </si>
  <si>
    <r>
      <rPr>
        <i/>
        <sz val="10"/>
        <color theme="1"/>
        <rFont val="Arial"/>
      </rPr>
      <t xml:space="preserve">Комплект (вакцина, растворитель) </t>
    </r>
    <r>
      <rPr>
        <sz val="10"/>
        <color theme="1"/>
        <rFont val="Arial"/>
      </rPr>
      <t xml:space="preserve">
Хранить в защищенном от света месте в оригинальной упаковке (пачке картонной) при температуре от 2 до 8 °С. Не замораживать.
Растворенную 1-дозовую вакцину используют немедленно, хранению она не подлежит. Растворенную 10-дозовую вакцину допускается хранить в темном месте при температуре от 2 до 8 °С и использовать в течение 6 часов.
С микробиологической точки зрения, если метод восстановления не препятствует микробной контаминации, лекарственный препарат подлежит немедленному применению.</t>
    </r>
  </si>
  <si>
    <r>
      <rPr>
        <i/>
        <sz val="10"/>
        <color theme="1"/>
        <rFont val="Arial"/>
      </rPr>
      <t xml:space="preserve">&lt;p&gt;&lt;i&gt;Комплект (вакцина, растворитель)&lt;/i&gt;&lt;br&gt; </t>
    </r>
    <r>
      <rPr>
        <sz val="10"/>
        <color theme="1"/>
        <rFont val="Arial"/>
      </rPr>
      <t xml:space="preserve">
Хранить в защищенном от света месте в оригинальной упаковке (пачке картонной) при температуре от 2 до 8&amp;nbsp;°С. Не замораживать.&lt;br&gt;
Растворенную 1-дозовую вакцину используют немедленно, хранению она не подлежит. Растворенную 10-дозовую вакцину допускается хранить в темном месте при температуре от 2 до 8&amp;nbsp;°С и использовать в течение 6&amp;nbsp;часов.&lt;br&gt;
С микробиологической точки зрения, если метод восстановления не препятствует микробной контаминации, лекарственный препарат подлежит немедленному применению.&lt;/p&gt;</t>
    </r>
  </si>
  <si>
    <t>Хранить и перевозить в холодильнике (2–8 °С). Не замораживать.
Допускается транспортирование при температуре до 25 °С в течение 6 часов.
Препарат во вскрытом флаконе хранению не подлежит.
С микробиологической точки зрения, если метод вскрытия (восстановления, разведения) не препятствует микробной контаминации, лекарственный препарат подлежит немедленному применению.</t>
  </si>
  <si>
    <t>&lt;p&gt;Хранить и перевозить в холодильнике (2–8&amp;nbsp;°С). Не замораживать.&lt;br&gt;
Допускается транспортирование при температуре до 25&amp;nbsp;°С в течение 6&amp;nbsp;часов.&lt;br&gt;
Препарат во вскрытом флаконе хранению не подлежит.&lt;br&gt;
С микробиологической точки зрения, если метод вскрытия (восстановления, разведения) не препятствует микробной контаминации, лекарственный препарат подлежит немедленному применению.&lt;/p&gt;</t>
  </si>
  <si>
    <t>Хранить в сухом, защищенном от света месте при температуре от 4 до 8 °С. Не замораживать. Препарат, подвергшийся замораживанию, применению не подлежит.
Хранить недоступном для детей месте.
Препарат во вскрытой ампуле хранению не подлежит.</t>
  </si>
  <si>
    <t>&lt;p&gt;Хранить в сухом, защищенном от света месте при температуре от 4 до 8&amp;nbsp;°С. Не замораживать. Препарат, подвергшийся замораживанию, применению не подлежит.&lt;br&gt;
Хранить недоступном для детей месте.&lt;br&gt;
Препарат во вскрытой ампуле хранению не подлежит.&lt;/p&gt;</t>
  </si>
  <si>
    <r>
      <rPr>
        <sz val="10"/>
        <color theme="1"/>
        <rFont val="Arial"/>
      </rPr>
      <t xml:space="preserve">Хранить при температуре от 2 до 8 °С. Не замораживать.
</t>
    </r>
    <r>
      <rPr>
        <i/>
        <sz val="10"/>
        <color theme="1"/>
        <rFont val="Arial"/>
      </rPr>
      <t>Условия транспортирования:</t>
    </r>
    <r>
      <rPr>
        <sz val="10"/>
        <color theme="1"/>
        <rFont val="Arial"/>
      </rPr>
      <t xml:space="preserve">
При температуре от 2 до 8 °С. Не замораживать.</t>
    </r>
  </si>
  <si>
    <t>&lt;p&gt;Хранить при температуре от 2 до 8&amp;nbsp;°С. Не замораживать.&lt;br&gt;&lt;br&gt;
&lt;i&gt;Условия транспортирования:&lt;/i&gt;&lt;br&gt;
При температуре от 2 до 8&amp;nbsp;°С. Не замораживать.&lt;/p&gt;</t>
  </si>
  <si>
    <t>https://grls.rosminzdrav.ru/InstrImg/2024/01/16/1500861/e47bff21-9b8c-4a34-9916-735867695d02.pdf</t>
  </si>
  <si>
    <r>
      <rPr>
        <sz val="10"/>
        <color theme="1"/>
        <rFont val="Arial"/>
      </rPr>
      <t xml:space="preserve">Хранить при температуре от 2 до 8 °С. Не замораживать.
Хранение после восстановления лекарственного препарата разрешено в течение одного рабочего дня, но не более 6 ч. после его разведения.
</t>
    </r>
    <r>
      <rPr>
        <i/>
        <sz val="10"/>
        <color theme="1"/>
        <rFont val="Arial"/>
      </rPr>
      <t>Условия транспортирования:</t>
    </r>
    <r>
      <rPr>
        <sz val="10"/>
        <color theme="1"/>
        <rFont val="Arial"/>
      </rPr>
      <t xml:space="preserve">
При температуре от 2 до 8 °С. Допускается однократное кратковременное (не более 24 ч) транспортирование при температуре от 9 до 20 °С. Не замораживать.</t>
    </r>
  </si>
  <si>
    <t>&lt;p&gt;Хранить при температуре от 2 до 8&amp;nbsp;°С. Не замораживать.&lt;br&gt;
Хранение после восстановления лекарственного препарата разрешено в течение одного рабочего дня, но не более 6&amp;nbsp;ч. после его разведения.&lt;br&gt;&lt;br&gt;
&lt;i&gt;Условия транспортирования:&lt;/i&gt;&lt;br&gt;
При температуре от 2 до 8&amp;nbsp;°С. Допускается однократное кратковременное (не более 24&amp;nbsp;ч) транспортирование при температуре от 9 до 20&amp;nbsp;°С. Не замораживать.&lt;/p&gt;</t>
  </si>
  <si>
    <t>https://grls.rosminzdrav.ru/InstrImg/2024/01/16/1500845/f3aed6e9-b67f-4ab3-8b75-a59249c9cf67.pdf</t>
  </si>
  <si>
    <r>
      <rPr>
        <sz val="10"/>
        <color theme="1"/>
        <rFont val="Arial"/>
      </rPr>
      <t xml:space="preserve">При температуре от 2 до 8 °С в соответствии с СанПин 3.3686-21. Не замораживать.
Препарат во вскрытой ампуле хранению не подлежит.
</t>
    </r>
    <r>
      <rPr>
        <i/>
        <sz val="10"/>
        <color theme="1"/>
        <rFont val="Arial"/>
      </rPr>
      <t>Условия транспортирования:</t>
    </r>
    <r>
      <rPr>
        <sz val="10"/>
        <color theme="1"/>
        <rFont val="Arial"/>
      </rPr>
      <t xml:space="preserve">
При температуре от 2 до 8 °С в соответствии с СанПин 3.3686-21. Не замораживать.</t>
    </r>
  </si>
  <si>
    <t>&lt;p&gt;При температуре от 2 до 8&amp;nbsp;°С в соответствии с СанПин&amp;nbsp;3.3686-21. Не замораживать.&lt;br&gt;
Препарат во вскрытой ампуле хранению не подлежит.&lt;br&gt;&lt;br&gt;
&lt;i&gt;Условия транспортирования:&lt;/i&gt;&lt;br&gt;
При температуре от 2 до 8&amp;nbsp;°С в соответствии с СанПин&amp;nbsp;3.3686-21. Не замораживать.&lt;/p&gt;</t>
  </si>
  <si>
    <t>https://grls.rosminzdrav.ru/InstrImg/2024/10/10/1495965/c34940c7-6489-4f00-aa71-1d8d65873e99.pdf</t>
  </si>
  <si>
    <r>
      <rPr>
        <sz val="10"/>
        <color theme="1"/>
        <rFont val="Arial"/>
      </rPr>
      <t xml:space="preserve">Хранить при температуре от 2 до 8 °С. Не замораживать.
Восстановленная вакцина: 30 мин при комнатной температуре и 60 мин при температуре от 2 до 8 °С.
</t>
    </r>
    <r>
      <rPr>
        <i/>
        <sz val="10"/>
        <color theme="1"/>
        <rFont val="Arial"/>
      </rPr>
      <t>Условия транспортирования:</t>
    </r>
    <r>
      <rPr>
        <sz val="10"/>
        <color theme="1"/>
        <rFont val="Arial"/>
      </rPr>
      <t xml:space="preserve">
При температуре от 2 до 8 °С. Не замораживать.</t>
    </r>
  </si>
  <si>
    <t>&lt;p&gt;Хранить при температуре от 2 до 8&amp;nbsp;°С. Не замораживать.&lt;br&gt;
Восстановленная вакцина: 30&amp;nbsp;мин при комнатной температуре и 60&amp;nbsp;мин при температуре от 2 до 8&amp;nbsp;°С.&lt;br&gt;&lt;br&gt;
&lt;i&gt;Условия транспортирования:&lt;/i&gt;&lt;br&gt;
При температуре от 2 до 8&amp;nbsp;°С. Не замораживать.&lt;/p&gt;</t>
  </si>
  <si>
    <t>https://grls.rosminzdrav.ru/InstrImg/2023/07/19/1495264/b9145336-501d-4fcb-b640-d0208471de88.pdf</t>
  </si>
  <si>
    <t>https://grls.rosminzdrav.ru/InstrImg/2023/06/13/1494264/eeb87308-b11b-431c-949e-8c4c675f0057.pdf</t>
  </si>
  <si>
    <r>
      <rPr>
        <sz val="10"/>
        <color theme="1"/>
        <rFont val="Arial"/>
      </rPr>
      <t xml:space="preserve">В соответствии с СП 3.3.2.3332-16 при температуре от 2 до 8 °С.
Не замораживать.
Препарат во вскрытой ампуле хранению не подлежит.
</t>
    </r>
    <r>
      <rPr>
        <i/>
        <sz val="10"/>
        <color theme="1"/>
        <rFont val="Arial"/>
      </rPr>
      <t>Условия транспортирования:</t>
    </r>
    <r>
      <rPr>
        <sz val="10"/>
        <color theme="1"/>
        <rFont val="Arial"/>
      </rPr>
      <t xml:space="preserve">
В соответствии с СП 3.3.2.3332-16 при температуре от 2 до 8 °С. Допускается кратковременное (не более 24 часов) транспортирование при температуре от 9 до 20 °С. Не замораживать.</t>
    </r>
  </si>
  <si>
    <t>&lt;p&gt;В соответствии с СП 3.3.2.3332-16 при температуре от 2 до 8&amp;nbsp;°С.&lt;br&gt;
Не замораживать.&lt;br&gt;
Препарат во вскрытой ампуле хранению не подлежит.&lt;br&gt;&lt;br&gt;
&lt;i&gt;Условия транспортирования:&lt;/i&gt;&lt;br&gt;
В соответствии с СП&amp;nbsp;3.3.2.3332-16 при температуре от 2 до 8&amp;nbsp;°С. Допускается кратковременное (не более 24&amp;nbsp;часов) транспортирование при температуре от 9 до 20&amp;nbsp;°С. Не замораживать.&lt;/p&gt;</t>
  </si>
  <si>
    <t>https://grls.rosminzdrav.ru/InstrImg/2023/02/06/1490994/ce58d78b-8090-4070-9a74-71165b1e2e38.pdf</t>
  </si>
  <si>
    <r>
      <rPr>
        <sz val="10"/>
        <color theme="1"/>
        <rFont val="Arial"/>
      </rPr>
      <t xml:space="preserve">Хранить при температуре от 2 до 8 °C.
Растворенная вакцина хранению не подлежит.
</t>
    </r>
    <r>
      <rPr>
        <i/>
        <sz val="10"/>
        <color theme="1"/>
        <rFont val="Arial"/>
      </rPr>
      <t>Условия транспортирования:</t>
    </r>
    <r>
      <rPr>
        <sz val="10"/>
        <color theme="1"/>
        <rFont val="Arial"/>
      </rPr>
      <t xml:space="preserve">
При температуре от 2 до 8 °С.</t>
    </r>
  </si>
  <si>
    <t>&lt;p&gt;Хранить при температуре от 2 до 8&amp;nbsp;°C.&lt;br&gt;
Растворенная вакцина хранению не подлежит.&lt;br&gt;&lt;br&gt;
&lt;i&gt;Условия транспортирования:&lt;/i&gt;&lt;br&gt;
При температуре от 2 до 8&amp;nbsp;°С.&lt;/p&gt;</t>
  </si>
  <si>
    <t>https://grls.rosminzdrav.ru/InstrImg/2023/08/17/1496293/a8893a4d-70e3-43dc-bc8a-446baf05ffc0.pdf</t>
  </si>
  <si>
    <t>Хранить при температуре от 2 до 8 °С.
Не замораживать.
Препарат из вскрытой ампулы должен быть использован немедленно.</t>
  </si>
  <si>
    <t>&lt;p&gt;Хранить при температуре от 2 до 8&amp;nbsp;°С.&lt;br&gt;
Не замораживать.&lt;br&gt;
Препарат из вскрытой ампулы должен быть использован немедленно.&lt;/p&gt;</t>
  </si>
  <si>
    <t>Вакцина: хранить и транспортировать при температуре от 2 до 8 °С включительно в соответствии с СанПин 3.3686-21.
Растворитель: хранить и транспортировать при температуре от 2 до 25 °С включительно.
Хранить в недоступном для детей месте!
Допускается хранение растворенной вакцины в течении 12 часов при температуре от 2 до 8 °С.</t>
  </si>
  <si>
    <t>&lt;p&gt;&lt;i&gt;Вакцина&lt;/i&gt;: хранить и транспортировать при температуре от 2 до 8&amp;nbsp;°С включительно в соответствии с СанПин 3.3686-21.&lt;br&gt;
&lt;i&gt;Растворитель&lt;/i&gt;: хранить и транспортировать при температуре от 2 до 25&amp;nbsp;°С включительно.&lt;br&gt;
Хранить в недоступном для детей месте!&lt;br&gt;
Допускается хранение растворенной вакцины в течении 12&amp;nbsp;часов при температуре от 2 до 8&amp;nbsp;°С.&lt;/p&gt;</t>
  </si>
  <si>
    <r>
      <rPr>
        <sz val="10"/>
        <color theme="1"/>
        <rFont val="Arial"/>
      </rPr>
      <t xml:space="preserve">Хранить при температуре от 2 до 8 °С. Хранить в недоступном для детей месте.
Не замораживать!
Препарат во вскрытой ампуле хранению не подлежит.
</t>
    </r>
    <r>
      <rPr>
        <i/>
        <sz val="10"/>
        <color theme="1"/>
        <rFont val="Arial"/>
      </rPr>
      <t>Условия транспортирования:</t>
    </r>
    <r>
      <rPr>
        <sz val="10"/>
        <color theme="1"/>
        <rFont val="Arial"/>
      </rPr>
      <t xml:space="preserve">
Транспортировать при температуре от 2 до 8 °С. Не замораживать!</t>
    </r>
  </si>
  <si>
    <t>&lt;p&gt;Хранить при температуре от 2 до 8&amp;nbsp;°С. Хранить в недоступном для детей месте.&lt;br&gt;
Не замораживать!&lt;br&gt;
Препарат во вскрытой ампуле хранению не подлежит.&lt;br&gt;&lt;br&gt;
&lt;i&gt;Условия транспортирования:&lt;/i&gt;&lt;br&gt;
Транспортировать при температуре от 2 до 8&amp;nbsp;°С. Не замораживать!&lt;/p&gt;</t>
  </si>
  <si>
    <t>Хранить в оригинальной упаковке вдали от действия прямых солнечных лучей, придерживаясь температурного режима от -16 до -20 °С.
Хранение вскрытого флакона не допускается. Не допускается оттаивание и повторное замораживание лекарственного препарата!</t>
  </si>
  <si>
    <t>&lt;p&gt;Хранить в оригинальной упаковке вдали от действия прямых солнечных лучей, придерживаясь температурного режима от -16 до -20&amp;nbsp;°С.&lt;br&gt;&lt;br&gt;
Хранение вскрытого флакона не допускается. Не допускается оттаивание и повторное замораживание лекарственного препарата!&lt;/p&gt;</t>
  </si>
  <si>
    <r>
      <rPr>
        <sz val="10"/>
        <color theme="1"/>
        <rFont val="Arial"/>
      </rPr>
      <t xml:space="preserve">В соответствии с СП 3.3.2.3332-16. В защищенном от света месте при температуре от 2 до 8 °С.
Хранить в недоступном для детей месте.
Вакцина во вскрытой ампуле должна использоваться немедленно.
</t>
    </r>
    <r>
      <rPr>
        <i/>
        <sz val="10"/>
        <color theme="1"/>
        <rFont val="Arial"/>
      </rPr>
      <t>Условия транспортирования:</t>
    </r>
    <r>
      <rPr>
        <sz val="10"/>
        <color theme="1"/>
        <rFont val="Arial"/>
      </rPr>
      <t xml:space="preserve">
В соответствии с СП 3.3.2.3332-16. При температуре от 2 до 8 °С.</t>
    </r>
  </si>
  <si>
    <t>&lt;p&gt;В соответствии с СП 3.3.2.3332-16. В защищенном от света месте при температуре от 2 до 8&amp;nbsp;°С.&lt;br&gt;
Хранить в недоступном для детей месте.&lt;br&gt;
Вакцина во вскрытой ампуле должна использоваться немедленно.&lt;br&gt;&lt;br&gt;
&lt;i&gt;Условия транспортирования:&lt;/i&gt;&lt;br&gt;
В соответствии с СП&amp;nbsp;3.3.2.3332-16. При температуре от 2 до 8&amp;nbsp;°С.&lt;/p&gt;</t>
  </si>
  <si>
    <r>
      <rPr>
        <sz val="10"/>
        <color theme="1"/>
        <rFont val="Arial"/>
      </rPr>
      <t xml:space="preserve">В защищенном от света месте при температуре от 2 до 8 °С.
Не замораживать.
Хранить в недоступных для детей местах.
</t>
    </r>
    <r>
      <rPr>
        <i/>
        <sz val="10"/>
        <color theme="1"/>
        <rFont val="Arial"/>
      </rPr>
      <t>Условия транспортирования:</t>
    </r>
    <r>
      <rPr>
        <sz val="10"/>
        <color theme="1"/>
        <rFont val="Arial"/>
      </rPr>
      <t xml:space="preserve">
В защищенном от света месте при температуре от 2 до 8 °С. Не замораживать.</t>
    </r>
  </si>
  <si>
    <t>&lt;p&gt;В защищенном от света месте при температуре от 2 до 8&amp;nbsp;°С.&lt;br&gt;
Не замораживать.&lt;br&gt;
Хранить в недоступных для детей местах.&lt;br&gt;&lt;br&gt;
&lt;i&gt;Условия транспортирования:&lt;/i&gt;&lt;br&gt;
В защищенном от света месте при температуре от 2 до 8&amp;nbsp;°С. Не замораживать.&lt;/p&gt;</t>
  </si>
  <si>
    <r>
      <rPr>
        <sz val="10"/>
        <color theme="1"/>
        <rFont val="Arial"/>
      </rPr>
      <t xml:space="preserve">Хранить в соответствии с СП 3.3.2.1248-03 при температуре от 2 до 8 °С в недоступном для детей месте. Замораживание не допускается.
</t>
    </r>
    <r>
      <rPr>
        <i/>
        <sz val="10"/>
        <color theme="1"/>
        <rFont val="Arial"/>
      </rPr>
      <t>Условия транспортирования:</t>
    </r>
    <r>
      <rPr>
        <sz val="10"/>
        <color theme="1"/>
        <rFont val="Arial"/>
      </rPr>
      <t xml:space="preserve">
Транспортировать в соответствии с СП 3.3.2.1248-03 при температуре от 2 до 8 °С в недоступном для детей месте. Замораживание не допускается.</t>
    </r>
  </si>
  <si>
    <t>&lt;p&gt;Хранить в соответствии с СП 3.3.2.1248-03 при температуре от 2 до 8&amp;nbsp;°С в недоступном для детей месте. Замораживание не допускается.&lt;br&gt;&lt;br&gt;
&lt;i&gt;Условия транспортирования:&lt;/i&gt;&lt;br&gt;
Транспортировать в соответствии с СП 3.3.2.1248-03 при температуре от 2 до 8&amp;nbsp;°С в недоступном для детей месте. Замораживание не допускается.&lt;/p&gt;</t>
  </si>
  <si>
    <r>
      <rPr>
        <sz val="10"/>
        <color theme="1"/>
        <rFont val="Arial"/>
      </rPr>
      <t xml:space="preserve">Хранить при температуре от 2 до 8 °С. Не замораживать.
Препарат из вскрытого флакона с 10 дозами вакцины необходимо хранить при температуре от 2 до 8 °С и использовать в течение одного дня.
</t>
    </r>
    <r>
      <rPr>
        <i/>
        <sz val="10"/>
        <color theme="1"/>
        <rFont val="Arial"/>
      </rPr>
      <t>Условия транспортирования:</t>
    </r>
    <r>
      <rPr>
        <sz val="10"/>
        <color theme="1"/>
        <rFont val="Arial"/>
      </rPr>
      <t xml:space="preserve">
Транспортирование при температуре от 2 до 8 °С. Допускается кратковременное (не более 72 часов) транспортирование при температуре от 9 до 20 °С. Не замораживать.
</t>
    </r>
  </si>
  <si>
    <r>
      <rPr>
        <sz val="10"/>
        <color theme="1"/>
        <rFont val="Arial"/>
      </rPr>
      <t xml:space="preserve">&lt;p&gt;Хранить при температуре от 2 до 8&amp;nbsp;°С. Не замораживать.&lt;br&gt;
Препарат из вскрытого флакона с 10&amp;nbsp;дозами вакцины необходимо хранить при температуре от 2 до 8&amp;nbsp;°С и использовать в течение одного дня.&lt;br&gt;&lt;br&gt;
</t>
    </r>
    <r>
      <rPr>
        <i/>
        <sz val="10"/>
        <color theme="1"/>
        <rFont val="Arial"/>
      </rPr>
      <t>&lt;i&gt;Условия транспортирования:&lt;/i&gt;&lt;br&gt;</t>
    </r>
    <r>
      <rPr>
        <sz val="10"/>
        <color theme="1"/>
        <rFont val="Arial"/>
      </rPr>
      <t xml:space="preserve">
Транспортирование при температуре от 2 до 8&amp;nbsp;°С. Допускается кратковременное (не более 72&amp;nbsp;часов) транспортирование при температуре от 9 до 20&amp;nbsp;°С. Не замораживать.&lt;/p&gt;</t>
    </r>
  </si>
  <si>
    <r>
      <rPr>
        <sz val="10"/>
        <color theme="1"/>
        <rFont val="Arial"/>
      </rPr>
      <t xml:space="preserve">Вакцина хранится: на 1 и 2 уровнях «холодовой цепи» при температуре минус 20 °С и ниже или при температуре от 2 до 8 °С включительно. На 3-м и 4-м уровнях «холодовой цепи» вакцину хранят при температуре от 2 до 8 °С включительно.
Хранить в недоступном для детей месте.
Неиспользованная вакцина из вскрытого флакона может храниться не более 2-х суток при температуре от 2 до 8 °С включительно во флаконе, плотно закрытом капельницей или резиновой пробкой.
</t>
    </r>
    <r>
      <rPr>
        <i/>
        <sz val="10"/>
        <color theme="1"/>
        <rFont val="Arial"/>
      </rPr>
      <t>Условия транспортирования:</t>
    </r>
    <r>
      <rPr>
        <sz val="10"/>
        <color theme="1"/>
        <rFont val="Arial"/>
      </rPr>
      <t xml:space="preserve">
В соответствии с СанПиН 3.3686-21 при температуре от 2 до 8 °С включительно. Возможно транспортирование на 1 и 2 уровнях «холодовой цепи» в пределах от минус 20 °С до 8 °С включительно. При транспортировании вакцины в пределах от минус 20 °С до 8 °С включительно допускается повторное ее замораживание до минус 20 °С и ниже (на 2 уровне «холодовой цепи»).</t>
    </r>
  </si>
  <si>
    <t>&lt;p&gt;Вакцина хранится: на 1 и 2 уровнях «холодовой цепи» при температуре минус 20&amp;nbsp;°С и ниже или при температуре от 2 до 8&amp;nbsp;°С включительно. На 3-м и 4-м уровнях «холодовой цепи» вакцину хранят при температуре от 2 до 8&amp;nbsp;°С включительно.&lt;br&gt;
Хранить в недоступном для детей месте.&lt;br&gt;
Неиспользованная вакцина из вскрытого флакона может храниться не более 2-х суток при температуре от 2 до 8&amp;nbsp;°С включительно во флаконе, плотно закрытом капельницей или резиновой пробкой.&lt;br&gt;&lt;br&gt;
&lt;i&gt;Условия транспортирования:&lt;/i&gt;&lt;br&gt;
В соответствии с СанПиН&amp;nbsp;3.3686-21 при температуре от 2 до 8&amp;nbsp;°С включительно. Возможно транспортирование на 1 и 2&amp;nbsp;уровнях «холодовой цепи» в пределах от минус 20&amp;nbsp;°С до 8&amp;nbsp;°С включительно. При транспортировании вакцины в пределах от минус 20&amp;nbsp;°С до 8&amp;nbsp;°С включительно допускается повторное ее замораживание до минус 20&amp;nbsp;°С и ниже (на 2&amp;nbsp;уровне «холодовой цепи»).&lt;/p&gt;</t>
  </si>
  <si>
    <t>Транспортировать и хранить при температуре от 2 до 8 °С в соответствии с СП 3.3.2-1248-03 в недоступном для детей месте.</t>
  </si>
  <si>
    <t>&lt;p&gt;Транспортировать и хранить при температуре от 2 до 8&amp;nbsp;°С в соответствии с СП 3.3.2-1248-03 в недоступном для детей месте.&lt;/p&gt;</t>
  </si>
  <si>
    <r>
      <rPr>
        <sz val="10"/>
        <color theme="1"/>
        <rFont val="Arial"/>
      </rPr>
      <t xml:space="preserve">В защищенном от света месте при температуре 2-8 °C.
Не замораживать.
Хранить в недоступном для детей месте!
Восстановленную суспензию препарата необходимо предохранять от действия дневного солнечного света и использовать сразу после приготовления.
</t>
    </r>
    <r>
      <rPr>
        <i/>
        <sz val="10"/>
        <color theme="1"/>
        <rFont val="Arial"/>
      </rPr>
      <t>Условия транспортирования:</t>
    </r>
    <r>
      <rPr>
        <sz val="10"/>
        <color theme="1"/>
        <rFont val="Arial"/>
      </rPr>
      <t xml:space="preserve">
При температуре от 2 до 8 °С. Не замораживать.</t>
    </r>
  </si>
  <si>
    <t>&lt;p&gt;В защищенном от света месте при температуре 2-8&amp;nbsp;°C.&lt;br&gt;
Не замораживать.&lt;br&gt;
Хранить в недоступном для детей месте!&lt;br&gt;
Восстановленную суспензию препарата необходимо предохранять от действия дневного солнечного света и использовать сразу после приготовления.&lt;br&gt;&lt;br&gt;
&lt;i&gt;Условия транспортирования:&lt;/i&gt;&lt;br&gt;
При температуре от 2 до 8&amp;nbsp;°С. Не замораживать.&lt;/p&gt;</t>
  </si>
  <si>
    <t>Хранить и транспортировать в соответствии с СП 3.3.2.1248-03 при температуре от 2 до 8 °С в недоступном для детей месте.
Замораживание не допускается.
Препарат во вскрытой ампуле хранению не подлежит.</t>
  </si>
  <si>
    <t>&lt;p&gt;Хранить и транспортировать в соответствии с СП 3.3.2.1248-03 при температуре от 2 до 8&amp;nbsp;°С в недоступном для детей месте.&lt;br&gt;
Замораживание не допускается.&lt;br&gt;
Препарат во вскрытой ампуле хранению не подлежит.&lt;/p&gt;</t>
  </si>
  <si>
    <r>
      <rPr>
        <sz val="10"/>
        <color theme="1"/>
        <rFont val="Arial"/>
      </rPr>
      <t xml:space="preserve">Хранить в защищенном от света месте при температуре от 2 до 8 °С.
Беречь от детей!
Не замораживать! Препарат, подвергшийся замораживанию, применению не подлежит.
</t>
    </r>
    <r>
      <rPr>
        <i/>
        <sz val="10"/>
        <color theme="1"/>
        <rFont val="Arial"/>
      </rPr>
      <t>Условия транспортирования:</t>
    </r>
    <r>
      <rPr>
        <sz val="10"/>
        <color theme="1"/>
        <rFont val="Arial"/>
      </rPr>
      <t xml:space="preserve">
Транспортирование всеми видами крытого транспорта в светонепроницаемых контейнерах при температуре от 2 до 8 °С в условиях, исключающих замораживание. Допускается транспортирование при температуре до 25 °С в течение 6 часов.</t>
    </r>
  </si>
  <si>
    <t>&lt;p&gt;Хранить в защищенном от света месте при температуре от 2 до 8&amp;nbsp;°С.&lt;br&gt;
Беречь от детей!&lt;br&gt;
Не замораживать! Препарат, подвергшийся замораживанию, применению не подлежит.&lt;br&gt;&lt;br&gt;
&lt;i&gt;Условия транспортирования:&lt;/i&gt;&lt;br&gt;
Транспортирование всеми видами крытого транспорта в светонепроницаемых контейнерах при температуре от 2 до 8&amp;nbsp;°С в условиях, исключающих замораживание. Допускается транспортирование при температуре до 25&amp;nbsp;°С в течение 6&amp;nbsp;часов.&lt;/p&gt;</t>
  </si>
  <si>
    <r>
      <rPr>
        <sz val="10"/>
        <color theme="1"/>
        <rFont val="Arial"/>
      </rPr>
      <t xml:space="preserve">Хранить в защищенном от света месте при температуре от 2 до 8 °С, в соответствии с СП 3.3.2.1248-03.
Беречь от детей!
Не замораживать! Препарат, подвергшийся замораживанию, применению не подлежит.
</t>
    </r>
    <r>
      <rPr>
        <i/>
        <sz val="10"/>
        <color theme="1"/>
        <rFont val="Arial"/>
      </rPr>
      <t>Условия транспортирования:</t>
    </r>
    <r>
      <rPr>
        <sz val="10"/>
        <color theme="1"/>
        <rFont val="Arial"/>
      </rPr>
      <t xml:space="preserve">
Транспортирование всеми видами крытого транспорта в светонепроницаемых контейнерах при температуре от 2 до 8 °С в условиях, исключающих замораживание. Допускается транспортирование при температуре до 25 °С в течение 6 часов.</t>
    </r>
  </si>
  <si>
    <t>&lt;p&gt;Хранить в защищенном от света месте при температуре от 2 до 8&amp;nbsp;°С, в соответствии с СП 3.3.2.1248-03.&lt;br&gt;
Беречь от детей!&lt;br&gt;
Не замораживать! Препарат, подвергшийся замораживанию, применению не подлежит.&lt;br&gt;&lt;br&gt;
&lt;i&gt;Условия транспортирования:&lt;/i&gt;&lt;br&gt;
Транспортирование всеми видами крытого транспорта в светонепроницаемых контейнерах при температуре от 2 до 8&amp;nbsp;°С в условиях, исключающих замораживание. Допускается транспортирование при температуре до 25&amp;nbsp;°С в течение 6&amp;nbsp;часов.&lt;/p&gt;</t>
  </si>
  <si>
    <r>
      <rPr>
        <sz val="10"/>
        <color theme="1"/>
        <rFont val="Arial"/>
      </rPr>
      <t xml:space="preserve">Хранить в защищенном от света месте при температуре от 2 до 8 °С.
Беречь от детей!
Не замораживать! Препарат, подвергшийся замораживанию, применению не подлежит.
</t>
    </r>
    <r>
      <rPr>
        <i/>
        <sz val="10"/>
        <color theme="1"/>
        <rFont val="Arial"/>
      </rPr>
      <t>Условия транспортирования:</t>
    </r>
    <r>
      <rPr>
        <sz val="10"/>
        <color theme="1"/>
        <rFont val="Arial"/>
      </rPr>
      <t xml:space="preserve">
Транспортирование всеми видами крытого транспорта в светонепроницаемых контейнерах при температуре от 2 до 8 °С в условиях, исключающих замораживание.</t>
    </r>
  </si>
  <si>
    <t>&lt;p&gt;Хранить в защищенном от света месте при температуре от 2 до 8&amp;nbsp;°С.&lt;br&gt;
Беречь от детей!&lt;br&gt;
Не замораживать! Препарат, подвергшийся замораживанию, применению не подлежит.&lt;br&gt;&lt;br&gt;
&lt;i&gt;Условия транспортирования:&lt;/i&gt;&lt;br&gt;
Транспортирование всеми видами крытого транспорта в светонепроницаемых контейнерах при температуре от 2 до 8&amp;nbsp;°С в условиях, исключающих замораживание.&lt;/p&gt;</t>
  </si>
  <si>
    <t>https://grls.rosminzdrav.ru/InstrImg/2020/11/23/146563/15b7229f-0643-4cc6-991c-49f83901eb37.pdf</t>
  </si>
  <si>
    <r>
      <rPr>
        <sz val="10"/>
        <color theme="1"/>
        <rFont val="Arial"/>
      </rPr>
      <t xml:space="preserve">При температуре от 2 до 8 °С. Замораживание не допускается.
Хранить в недоступном для детей месте.
Растворенная вакцина должна быть использована в течение 30 минут.
</t>
    </r>
    <r>
      <rPr>
        <i/>
        <sz val="10"/>
        <color theme="1"/>
        <rFont val="Arial"/>
      </rPr>
      <t>Условия транспортирования:</t>
    </r>
    <r>
      <rPr>
        <sz val="10"/>
        <color theme="1"/>
        <rFont val="Arial"/>
      </rPr>
      <t xml:space="preserve">
В соответствии с СП 3.3.2.3332-16 при температуре от 2 до 8 °С </t>
    </r>
  </si>
  <si>
    <t>&lt;p&gt;При температуре от 2 до 8&amp;nbsp;°С. Замораживание не допускается.&lt;br&gt;
Хранить в недоступном для детей месте.&lt;br&gt;
Растворенная вакцина должна быть использована в течение 30&amp;nbsp;минут.&lt;br&gt;&lt;br&gt;
&lt;i&gt;Условия транспортирования:&lt;/i&gt;&lt;br&gt;
В соответствии с СП&amp;nbsp;3.3.2.3332-16 при температуре от 2 до 8&amp;nbsp;°С &lt;/p&gt;</t>
  </si>
  <si>
    <r>
      <rPr>
        <sz val="10"/>
        <color theme="1"/>
        <rFont val="Arial"/>
      </rPr>
      <t xml:space="preserve">Хранить при температуре от 2 до 8 °С. Не замораживать.
Препарат во вскрытой ампуле хранению не подлежит.
</t>
    </r>
    <r>
      <rPr>
        <i/>
        <sz val="10"/>
        <color theme="1"/>
        <rFont val="Arial"/>
      </rPr>
      <t>Условия транспортирования:</t>
    </r>
    <r>
      <rPr>
        <sz val="10"/>
        <color theme="1"/>
        <rFont val="Arial"/>
      </rPr>
      <t xml:space="preserve">
При температуре от 2 до 8 °С. Замораживание не допускается.</t>
    </r>
  </si>
  <si>
    <t>&lt;p&gt;Хранить при температуре от 2 до 8&amp;nbsp;°С. Не замораживать.&lt;br&gt;
Препарат во вскрытой ампуле хранению не подлежит.&lt;br&gt;&lt;br&gt;
&lt;i&gt;Условия транспортирования:&lt;/i&gt;&lt;br&gt;
При температуре от 2 до 8&amp;nbsp;°С. Замораживание не допускается.&lt;/p&gt;</t>
  </si>
  <si>
    <r>
      <rPr>
        <sz val="10"/>
        <color theme="1"/>
        <rFont val="Arial"/>
      </rPr>
      <t xml:space="preserve">Хранить в защищенном от света месте при температуре от 2 до 8 °С, в соответствии с СП 3.3.2.1248-03.
Беречь от детей!
Не замораживать! Препарат, подвергшийся замораживанию, применению не подлежит.
</t>
    </r>
    <r>
      <rPr>
        <i/>
        <sz val="10"/>
        <color theme="1"/>
        <rFont val="Arial"/>
      </rPr>
      <t>Условия транспортирования:</t>
    </r>
    <r>
      <rPr>
        <sz val="10"/>
        <color theme="1"/>
        <rFont val="Arial"/>
      </rPr>
      <t xml:space="preserve">
Транспортирование всеми видами крытого транспорта при температуре от 2 до 8 °С в условиях, исключающих замораживание. Допускается транспортирование при температуре до 25 °С в течение 6 часов.</t>
    </r>
  </si>
  <si>
    <t>&lt;p&gt;Хранить в защищенном от света месте при температуре от 2 до 8&amp;nbsp;°С, в соответствии с СП 3.3.2.1248-03.&lt;br&gt;
Беречь от детей!&lt;br&gt;
Не замораживать! Препарат, подвергшийся замораживанию, применению не подлежит.&lt;br&gt;&lt;br&gt;
&lt;i&gt;Условия транспортирования:&lt;/i&gt;&lt;br&gt;
Транспортирование всеми видами крытого транспорта при температуре от 2 до 8&amp;nbsp;°С в условиях, исключающих замораживание. Допускается транспортирование при температуре до 25&amp;nbsp;°С в течение 6&amp;nbsp;часов.&lt;/p&gt;</t>
  </si>
  <si>
    <r>
      <rPr>
        <sz val="10"/>
        <color theme="1"/>
        <rFont val="Arial"/>
      </rPr>
      <t xml:space="preserve">Хранить при температуре от 2 до 8 °С. Не замораживать.
Растворенная вакцина должна быть использована в течение 30 мин.
</t>
    </r>
    <r>
      <rPr>
        <i/>
        <sz val="10"/>
        <color theme="1"/>
        <rFont val="Arial"/>
      </rPr>
      <t>Условия транспортирования:</t>
    </r>
    <r>
      <rPr>
        <sz val="10"/>
        <color theme="1"/>
        <rFont val="Arial"/>
      </rPr>
      <t xml:space="preserve">
При температуре от 2 до 8 °С. Допускается транспортирование при температуре от 9 до 25 °С не более 10 суток.</t>
    </r>
  </si>
  <si>
    <t>&lt;p&gt;Хранить при температуре от 2 до 8&amp;nbsp;°С. Не замораживать.&lt;br&gt;
Растворенная вакцина должна быть использована в течение 30&amp;nbsp;мин.&lt;br&gt;&lt;br&gt;
&lt;i&gt;Условия транспортирования:&lt;/i&gt;&lt;br&gt;
При температуре от 2 до 8&amp;nbsp;°С. Допускается транспортирование при температуре от 9 до 25&amp;nbsp;°С не более 10&amp;nbsp;суток.&lt;/p&gt;</t>
  </si>
  <si>
    <t>https://grls.rosminzdrav.ru/InstrImg/2024/11/12/1510570/30498232-70f4-43ae-bc27-e391c89b19fc.pdf</t>
  </si>
  <si>
    <t>Вакцину хранят и транспортируют при температуре от 2 до 8 °С в недоступном для детей месте.
Восстановленный препарат хранению не подлежит.</t>
  </si>
  <si>
    <t>&lt;p&gt;Вакцину хранят и транспортируют при температуре от 2 до 8&amp;nbsp;°С в недоступном для детей месте.&lt;br&gt;
Восстановленный препарат хранению не подлежит.&lt;/p&gt;</t>
  </si>
  <si>
    <t>Вакцину хранят и транспортируют при температуре от 2 до 8 °С в сухом и недоступном для детей месте. Замораживание не допускается. Допускается транспортирование при температуре от 9 до 25 °С продолжительностью не более 10 сут.
Растворенная вакцина должна быть использована в течение 30 мин.</t>
  </si>
  <si>
    <t>&lt;p&gt;Вакцину хранят и транспортируют при температуре от 2 до 8&amp;nbsp;°С в сухом и недоступном для детей месте. Замораживание не допускается. Допускается транспортирование при температуре от 9 до 25&amp;nbsp;°С продолжительностью не более 10&amp;nbsp;сут.&lt;br&gt;
Растворенная вакцина должна быть использована в течение 30&amp;nbsp;мин.&lt;/p&gt;</t>
  </si>
  <si>
    <t>Хранить и транспортировать при температуре от 2 до 8 °С. Не замораживать.
Препарат во вскрытой ампуле хранению не подлежит.</t>
  </si>
  <si>
    <t>&lt;p&gt;Хранить и транспортировать при температуре от 2 до 8&amp;nbsp;°С. Не замораживать.&lt;br&gt;
Препарат во вскрытой ампуле хранению не подлежит.&lt;/p&gt;</t>
  </si>
  <si>
    <t>Вакцину транспортируют и хранят в защищенном от света месте при температуре от 2 до 8 °C.</t>
  </si>
  <si>
    <t>&lt;p&gt;Вакцину транспортируют и хранят в защищенном от света месте при температуре от 2 до 8&amp;nbsp;°C.&lt;/p&gt;</t>
  </si>
  <si>
    <t>https://grls.rosminzdrav.ru/InstrImg/2024/09/30/1509113/77c4bff0-a3f7-4713-8f46-c0fd6519847f.pdf</t>
  </si>
  <si>
    <t>Хранить и транспортировать по СП 3.3.2.3332-16 при температуре от 2 до 8 °С в защищенном от света месте. Хранить в недоступном для детей месте. Замораживание не допускается.
Лекарственный препарат во вскрытой ампуле хранению не подлежит.</t>
  </si>
  <si>
    <t>&lt;p&gt;Хранить и транспортировать по СП&amp;nbsp;3.3.2.3332-16 при температуре от 2 до 8&amp;nbsp;°С в защищенном от света месте. Хранить в недоступном для детей месте. Замораживание не допускается.&lt;br&gt;
Лекарственный препарат во вскрытой ампуле хранению не подлежит.&lt;/p&gt;</t>
  </si>
  <si>
    <t>Хранить в оригинальной упаковке в защищённом от света месте при температуре от 2 до 8 °С.
Хранить в недоступном для детей месте.
Восстановленный препарат использовать немедленно.</t>
  </si>
  <si>
    <t>&lt;p&gt;Хранить в оригинальной упаковке в защищённом от света месте при температуре от 2 до 8&amp;nbsp;°С.&lt;br&gt;
Хранить в недоступном для детей месте.&lt;br&gt;
Восстановленный препарат использовать немедленно.&lt;/p&gt;</t>
  </si>
  <si>
    <t>Хранить в холодильнике (2–8 °С), в оригинальной упаковке (в пачке картонной) для того, чтобы защитить от света. Не замораживать.
Данные о стабильности свидетельствуют о том, что компоненты вакцины стабильны при температуре до 25 °C в течение 72 часов. Вакцину Гексаксим следует использовать в течение этого периода.</t>
  </si>
  <si>
    <t>&lt;p&gt;Хранить в холодильнике (2–8&amp;nbsp;°С), в оригинальной упаковке (в пачке картонной) для того, чтобы защитить от света. Не замораживать.&lt;br&gt;
Данные о стабильности свидетельствуют о том, что компоненты вакцины стабильны при температуре до 25&amp;nbsp;°C в течение 72&amp;nbsp;часов. Вакцину Гексаксим следует использовать в течение этого периода.&lt;/p&gt;</t>
  </si>
  <si>
    <t>https://grls.rosminzdrav.ru/InstrImg/2024/08/14/1507898/db0136d1-e26f-4e9e-9e19-b5bbe79e1c9c.pdf</t>
  </si>
  <si>
    <r>
      <rPr>
        <sz val="10"/>
        <color theme="1"/>
        <rFont val="Arial"/>
      </rPr>
      <t xml:space="preserve">Хранить в защищенном от света месте при температуре от 2 до 8 °С. Не замораживать.
Хранить в недоступном для детей месте.
Хранение вскрытого флакона не допускается.
</t>
    </r>
    <r>
      <rPr>
        <i/>
        <sz val="10"/>
        <color theme="1"/>
        <rFont val="Arial"/>
      </rPr>
      <t>Условия транспортирования:</t>
    </r>
    <r>
      <rPr>
        <sz val="10"/>
        <color theme="1"/>
        <rFont val="Arial"/>
      </rPr>
      <t xml:space="preserve">
При температуре от 2 до 8 °С. Не замораживать.</t>
    </r>
  </si>
  <si>
    <t>&lt;p&gt;Хранить в защищенном от света месте при температуре от 2 до 8&amp;nbsp;°С. Не замораживать.&lt;br&gt;
Хранить в недоступном для детей месте.&lt;br&gt;
Хранение вскрытого флакона не допускается.&lt;br&gt;&lt;br&gt;
&lt;i&gt;Условия транспортирования:&lt;/i&gt;&lt;br&gt;
При температуре от 2 до 8&amp;nbsp;°С. Не замораживать.&lt;/p&gt;</t>
  </si>
  <si>
    <r>
      <rPr>
        <sz val="10"/>
        <color theme="1"/>
        <rFont val="Arial"/>
      </rPr>
      <t xml:space="preserve">Хранить в защищенном от света месте при температуре не выше минус 18 °С. Повторное замораживание не допускается. Хранить в недоступном для детей месте.
Не допускается хранение размороженноrо лекарственноrо препарата! 
</t>
    </r>
    <r>
      <rPr>
        <i/>
        <sz val="10"/>
        <color theme="1"/>
        <rFont val="Arial"/>
      </rPr>
      <t>Условия транспортирования:</t>
    </r>
    <r>
      <rPr>
        <sz val="10"/>
        <color theme="1"/>
        <rFont val="Arial"/>
      </rPr>
      <t xml:space="preserve">
При температуре от 2 до 8 °С. Не замораживать.</t>
    </r>
  </si>
  <si>
    <t>&lt;p&gt;Хранить в защищенном от света месте при температуре не выше минус 18&amp;nbsp;°С. Повторное замораживание не допускается. Хранить в недоступном для детей месте.&lt;br&gt;
Не допускается хранение размороженноrо лекарственноrо препарата! &lt;br&gt;&lt;br&gt;
&lt;i&gt;Условия транспортирования:&lt;/i&gt;&lt;br&gt;
При температуре от 2 до 8&amp;nbsp;°С. Не замораживать.&lt;/p&gt;</t>
  </si>
  <si>
    <t>Хранить и перевозить в холодильнике (2-8 °C), в оригинальной упаковке (флакон в пачке). Замораживание не допускается.
Неиспользованная вакцина хранению не подлежит.</t>
  </si>
  <si>
    <t>&lt;p&gt;Хранить и перевозить в холодильнике (2-8&amp;nbsp;°C), в оригинальной упаковке (флакон в пачке). Замораживание не допускается.&lt;br&gt;
Неиспользованная вакцина хранению не подлежит.&lt;/p&gt;</t>
  </si>
  <si>
    <t>Хранить при температуре от 2 до 8 °С, в оригинальной упаковке (картонная пачка).
Не замораживать.
Неиспользованная вакцина хранению не подлежит.</t>
  </si>
  <si>
    <t>&lt;p&gt;Хранить при температуре от 2 до 8&amp;nbsp;°С, в оригинальной упаковке (картонная пачка).&lt;br&gt;
Не замораживать.&lt;br&gt;
Неиспользованная вакцина хранению не подлежит.&lt;/p&gt;</t>
  </si>
  <si>
    <t>Хранить в холодильнике (2–8 °C). Не замораживать.
Предварительно наполненные шприцы следует хранить в холодильнике в горизонтальном положении, чтобы свести к минимуму время ресуспендирования.
Если препарат был заморожен, его следует утилизировать.
Препарат Превенар 20 следует использовать как можно скорее после извлечения из холодильника.
Данные по стабильности показывают, что препарат стабилен в течение 96 часов при хранении при температуре от 8 до 25 °C или в течение 72 часов при хранении при температуре от 0 до 2 °C. К концу этих сроков препарат Превенар 20 должен быть уже использован или его следует утилизировать.</t>
  </si>
  <si>
    <t>&lt;p&gt;Хранить в холодильнике (2–8&amp;nbsp;°C). Не замораживать.&lt;br&gt;
Предварительно наполненные шприцы следует хранить в холодильнике в горизонтальном положении, чтобы свести к минимуму время ресуспендирования.&lt;br&gt;
Если препарат был заморожен, его следует утилизировать.&lt;br&gt;
Препарат Превенар&amp;nbsp;20 следует использовать как можно скорее после извлечения из холодильника.&lt;br&gt;
Данные по стабильности показывают, что препарат стабилен в течение 96&amp;nbsp;часов при хранении при температуре от 8 до 25&amp;nbsp;°C или в течение 72&amp;nbsp;часов при хранении при температуре от 0 до 2&amp;nbsp;°C. К концу этих сроков препарат Превенар 20 должен быть уже использован или его следует утилизировать.&lt;/p&gt;</t>
  </si>
  <si>
    <t>Хранить и транспортировать при температуре от 2 до 8 °C. Не замораживать.
Препарат во вскрытой ампуле хранению не подлежит.</t>
  </si>
  <si>
    <t>&lt;p&gt;Хранить и транспортировать при температуре от 2 до 8&amp;nbsp;°C. Не замораживать.&lt;br&gt;&lt;br&gt;
Препарат во вскрытой ампуле хранению не подлежит.&lt;/p&gt;</t>
  </si>
  <si>
    <r>
      <rPr>
        <sz val="10"/>
        <color theme="1"/>
        <rFont val="Arial"/>
      </rPr>
      <t xml:space="preserve">Хранить в холодильнике (2–8 °С). Не замораживать.
</t>
    </r>
    <r>
      <rPr>
        <i/>
        <sz val="10"/>
        <color theme="1"/>
        <rFont val="Arial"/>
      </rPr>
      <t>Хранение растворителя:</t>
    </r>
    <r>
      <rPr>
        <sz val="10"/>
        <color theme="1"/>
        <rFont val="Arial"/>
      </rPr>
      <t xml:space="preserve"> допускается хранить при температуре не выше 25 °С. Не замораживать.
Хранить в оригинальной вторичной упаковке с целью защиты от света.
</t>
    </r>
    <r>
      <rPr>
        <i/>
        <sz val="10"/>
        <color theme="1"/>
        <rFont val="Arial"/>
      </rPr>
      <t>Восстановленная вакцина</t>
    </r>
    <r>
      <rPr>
        <sz val="10"/>
        <color theme="1"/>
        <rFont val="Arial"/>
      </rPr>
      <t xml:space="preserve">
После восстановления растворителем вакцину необходимо использовать немедленно. Хотя задержка не рекомендуется, продемонстрирована стабильность после восстановления в течение 8 часов при 30 °С. Если восстановленная вакцина не использована в течение 8 часов — вакцину не вводить.</t>
    </r>
  </si>
  <si>
    <r>
      <rPr>
        <sz val="10"/>
        <color theme="1"/>
        <rFont val="Arial"/>
      </rPr>
      <t xml:space="preserve">&lt;p&gt;Хранить в холодильнике (2–8&amp;nbsp;°С). Не замораживать.&lt;br&gt;
</t>
    </r>
    <r>
      <rPr>
        <i/>
        <sz val="10"/>
        <color theme="1"/>
        <rFont val="Arial"/>
      </rPr>
      <t>&lt;i&gt;Хранение растворителя:&lt;/i&gt;</t>
    </r>
    <r>
      <rPr>
        <sz val="10"/>
        <color theme="1"/>
        <rFont val="Arial"/>
      </rPr>
      <t xml:space="preserve"> допускается хранить при температуре не выше 25&amp;nbsp;°С. Не замораживать.&lt;br&gt;
Хранить в оригинальной вторичной упаковке с целью защиты от света.&lt;br&gt;
</t>
    </r>
    <r>
      <rPr>
        <i/>
        <sz val="10"/>
        <color theme="1"/>
        <rFont val="Arial"/>
      </rPr>
      <t>&lt;i&gt;Восстановленная вакцина&lt;/i&gt;&lt;br&gt;</t>
    </r>
    <r>
      <rPr>
        <sz val="10"/>
        <color theme="1"/>
        <rFont val="Arial"/>
      </rPr>
      <t xml:space="preserve">
После восстановления растворителем вакцину необходимо использовать немедленно. Хотя задержка не рекомендуется, продемонстрирована стабильность после восстановления в течение 8&amp;nbsp;часов при 30&amp;nbsp;°С. Если восстановленная вакцина не использована в течение 8&amp;nbsp;часов — вакцину не вводить.&lt;/p&gt;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</si>
</sst>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dd&quot;.&quot;mm&quot;.&quot;yyyy"/>
    <numFmt numFmtId="166" formatCode="d\.m\.yyyy"/>
  </numFmts>
  <fonts count="45">
    <font>
      <sz val="10"/>
      <color rgb="FF000000"/>
      <name val="Arial"/>
      <scheme val="minor"/>
    </font>
    <font>
      <b/>
      <sz val="10"/>
      <color theme="1"/>
      <name val="Arial"/>
    </font>
    <font>
      <b/>
      <sz val="10"/>
      <color theme="1"/>
      <name val="Arial"/>
      <scheme val="minor"/>
    </font>
    <font>
      <sz val="10"/>
      <color theme="1"/>
      <name val="Arial"/>
      <scheme val="minor"/>
    </font>
    <font>
      <sz val="10"/>
      <color theme="1"/>
      <name val="Arial"/>
    </font>
    <font>
      <u/>
      <sz val="10"/>
      <color rgb="FF0000FF"/>
      <name val="Arial"/>
    </font>
    <font>
      <sz val="10"/>
      <color rgb="FF000000"/>
      <name val="Arial"/>
      <scheme val="minor"/>
    </font>
    <font>
      <u/>
      <sz val="10"/>
      <color rgb="FF1155CC"/>
      <name val="Arial"/>
    </font>
    <font>
      <u/>
      <sz val="10"/>
      <color rgb="FF1155CC"/>
      <name val="Arial"/>
    </font>
    <font>
      <u/>
      <sz val="10"/>
      <color rgb="FF0000FF"/>
      <name val="Arial"/>
    </font>
    <font>
      <u/>
      <sz val="10"/>
      <color rgb="FF1155CC"/>
      <name val="Arial"/>
    </font>
    <font>
      <u/>
      <sz val="10"/>
      <color rgb="FF0000FF"/>
      <name val="Arial"/>
    </font>
    <font>
      <sz val="10"/>
      <color rgb="FF1F1F1F"/>
      <name val="Arial"/>
      <scheme val="minor"/>
    </font>
    <font>
      <u/>
      <sz val="10"/>
      <color rgb="FF1155CC"/>
      <name val="Arial"/>
    </font>
    <font>
      <u/>
      <sz val="10"/>
      <color rgb="FF0000FF"/>
      <name val="Arial"/>
    </font>
    <font>
      <u/>
      <sz val="10"/>
      <color rgb="FF0000FF"/>
      <name val="Arial"/>
    </font>
    <font>
      <u/>
      <sz val="10"/>
      <color rgb="FF0000FF"/>
      <name val="Liberation Sans"/>
    </font>
    <font>
      <u/>
      <sz val="10"/>
      <color rgb="FF0000FF"/>
      <name val="Arial"/>
    </font>
    <font>
      <u/>
      <sz val="10"/>
      <color rgb="FF1155CC"/>
      <name val="Arial"/>
    </font>
    <font>
      <u/>
      <sz val="10"/>
      <color rgb="FF0000FF"/>
      <name val="Arial"/>
    </font>
    <font>
      <u/>
      <sz val="10"/>
      <color rgb="FF0000FF"/>
      <name val="Arial"/>
    </font>
    <font>
      <u/>
      <sz val="10"/>
      <color rgb="FF0000FF"/>
      <name val="Arial"/>
    </font>
    <font>
      <u/>
      <sz val="10"/>
      <color rgb="FF1155CC"/>
      <name val="&quot;Arial&quot;"/>
    </font>
    <font>
      <sz val="10"/>
      <color rgb="FF000000"/>
      <name val="Arial"/>
    </font>
    <font>
      <u/>
      <sz val="10"/>
      <color rgb="FF0000FF"/>
      <name val="Arial"/>
    </font>
    <font>
      <u/>
      <sz val="10"/>
      <color rgb="FF1155CC"/>
      <name val="Arial"/>
    </font>
    <font>
      <u/>
      <sz val="10"/>
      <color rgb="FF1155CC"/>
      <name val="Arial"/>
    </font>
    <font>
      <sz val="10"/>
      <color rgb="FF000000"/>
      <name val="&quot;Arial&quot;"/>
    </font>
    <font>
      <sz val="10"/>
      <color theme="1"/>
      <name val="Roboto"/>
    </font>
    <font>
      <u/>
      <sz val="10"/>
      <color rgb="FF0000FF"/>
      <name val="Arial"/>
    </font>
    <font>
      <sz val="10"/>
      <color theme="1"/>
      <name val="Arial"/>
      <scheme val="minor"/>
    </font>
    <font>
      <i/>
      <sz val="10"/>
      <color theme="1"/>
      <name val="Arial"/>
      <scheme val="minor"/>
    </font>
    <font>
      <b/>
      <sz val="10"/>
      <color theme="1"/>
      <name val="Roboto"/>
    </font>
    <font>
      <i/>
      <sz val="10"/>
      <color theme="1"/>
      <name val="Arial"/>
    </font>
    <font>
      <u/>
      <sz val="10"/>
      <color rgb="FF0000FF"/>
      <name val="Arial"/>
    </font>
    <font>
      <u/>
      <sz val="10"/>
      <color rgb="FF1155CC"/>
      <name val="Arial"/>
    </font>
    <font>
      <u/>
      <sz val="10"/>
      <color rgb="FF0563C1"/>
      <name val="Liberation Sans"/>
    </font>
    <font>
      <sz val="10"/>
      <name val="Arial"/>
    </font>
    <font>
      <sz val="6"/>
      <color theme="1"/>
      <name val="Arial"/>
    </font>
    <font>
      <sz val="10"/>
      <color theme="1"/>
      <name val="Roboto, Arial"/>
    </font>
    <font>
      <b/>
      <i/>
      <sz val="10"/>
      <color theme="1"/>
      <name val="Roboto, Arial"/>
    </font>
    <font>
      <i/>
      <sz val="10"/>
      <color theme="1"/>
      <name val="Roboto, Arial"/>
    </font>
    <font>
      <b/>
      <i/>
      <sz val="10"/>
      <color theme="1"/>
      <name val="Arial"/>
    </font>
    <font>
      <u/>
      <sz val="10"/>
      <color theme="1"/>
      <name val="Arial"/>
      <scheme val="minor"/>
    </font>
    <font>
      <sz val="7"/>
      <color theme="1"/>
      <name val="Arial"/>
    </font>
  </fonts>
  <fills count="4">
    <fill>
      <patternFill patternType="none"/>
    </fill>
    <fill>
      <patternFill patternType="gray125"/>
    </fill>
    <fill>
      <patternFill patternType="solid">
        <fgColor rgb="FFEFEFEF"/>
        <bgColor rgb="FFEFEFEF"/>
      </patternFill>
    </fill>
    <fill>
      <patternFill patternType="solid">
        <fgColor rgb="FFFFFFFF"/>
        <bgColor rgb="FFFFFFFF"/>
      </patternFill>
    </fill>
  </fills>
  <borders count="1">
    <border>
      <left/>
      <right/>
      <top/>
      <bottom/>
      <diagonal/>
    </border>
  </borders>
  <cellStyleXfs count="1">
    <xf numFmtId="0" fontId="0" fillId="0" borderId="0"/>
  </cellStyleXfs>
  <cellXfs count="95">
    <xf numFmtId="0" fontId="0" fillId="0" borderId="0" xfId="0" applyFont="1" applyAlignment="1"/>
    <xf numFmtId="0" fontId="1" fillId="0" borderId="0" xfId="0" applyFont="1" applyAlignment="1">
      <alignment wrapText="1"/>
    </xf>
    <xf numFmtId="0" fontId="1" fillId="0" borderId="0" xfId="0" applyFont="1" applyAlignment="1">
      <alignment wrapText="1"/>
    </xf>
    <xf numFmtId="164" fontId="1" fillId="0" borderId="0" xfId="0" applyNumberFormat="1" applyFont="1" applyAlignment="1">
      <alignment wrapText="1"/>
    </xf>
    <xf numFmtId="0" fontId="2" fillId="0" borderId="0" xfId="0" applyFont="1" applyAlignment="1">
      <alignment wrapText="1"/>
    </xf>
    <xf numFmtId="0" fontId="1" fillId="2" borderId="0" xfId="0" applyFont="1" applyFill="1" applyAlignment="1"/>
    <xf numFmtId="0" fontId="3" fillId="0" borderId="0" xfId="0" applyFont="1" applyAlignment="1">
      <alignment wrapText="1"/>
    </xf>
    <xf numFmtId="0" fontId="4" fillId="0" borderId="0" xfId="0" applyFont="1" applyAlignment="1">
      <alignment horizontal="right"/>
    </xf>
    <xf numFmtId="0" fontId="4" fillId="0" borderId="0" xfId="0" applyFont="1" applyAlignment="1"/>
    <xf numFmtId="0" fontId="5" fillId="0" borderId="0" xfId="0" applyFont="1" applyAlignment="1"/>
    <xf numFmtId="0" fontId="4" fillId="0" borderId="0" xfId="0" applyFont="1" applyAlignment="1">
      <alignment wrapText="1"/>
    </xf>
    <xf numFmtId="164" fontId="4" fillId="0" borderId="0" xfId="0" applyNumberFormat="1" applyFont="1" applyAlignment="1">
      <alignment horizontal="right"/>
    </xf>
    <xf numFmtId="164" fontId="4" fillId="0" borderId="0" xfId="0" applyNumberFormat="1" applyFont="1" applyAlignment="1">
      <alignment horizontal="right"/>
    </xf>
    <xf numFmtId="0" fontId="6" fillId="0" borderId="0" xfId="0" applyFont="1" applyAlignment="1"/>
    <xf numFmtId="0" fontId="7" fillId="2" borderId="0" xfId="0" applyFont="1" applyFill="1" applyAlignment="1"/>
    <xf numFmtId="0" fontId="8" fillId="0" borderId="0" xfId="0" applyFont="1" applyAlignment="1"/>
    <xf numFmtId="0" fontId="4" fillId="0" borderId="0" xfId="0" applyFont="1" applyAlignment="1"/>
    <xf numFmtId="0" fontId="3" fillId="0" borderId="0" xfId="0" applyFont="1" applyAlignment="1"/>
    <xf numFmtId="0" fontId="9" fillId="2" borderId="0" xfId="0" applyFont="1" applyFill="1" applyAlignment="1"/>
    <xf numFmtId="0" fontId="10" fillId="0" borderId="0" xfId="0" applyFont="1" applyAlignment="1"/>
    <xf numFmtId="0" fontId="4" fillId="2" borderId="0" xfId="0" applyFont="1" applyFill="1" applyAlignment="1"/>
    <xf numFmtId="0" fontId="11" fillId="0" borderId="0" xfId="0" applyFont="1" applyAlignment="1"/>
    <xf numFmtId="0" fontId="12" fillId="0" borderId="0" xfId="0" applyFont="1" applyAlignment="1"/>
    <xf numFmtId="0" fontId="13" fillId="0" borderId="0" xfId="0" applyFont="1" applyAlignment="1"/>
    <xf numFmtId="0" fontId="14" fillId="2" borderId="0" xfId="0" applyFont="1" applyFill="1" applyAlignment="1"/>
    <xf numFmtId="0" fontId="15" fillId="0" borderId="0" xfId="0" applyFont="1" applyAlignment="1"/>
    <xf numFmtId="0" fontId="16" fillId="0" borderId="0" xfId="0" applyFont="1" applyAlignment="1"/>
    <xf numFmtId="0" fontId="17" fillId="0" borderId="0" xfId="0" applyFont="1" applyAlignment="1"/>
    <xf numFmtId="0" fontId="4" fillId="0" borderId="0" xfId="0" applyFont="1" applyAlignment="1">
      <alignment wrapText="1"/>
    </xf>
    <xf numFmtId="0" fontId="3" fillId="0" borderId="0" xfId="0" applyFont="1" applyAlignment="1"/>
    <xf numFmtId="0" fontId="4" fillId="0" borderId="0" xfId="0" applyFont="1" applyAlignment="1"/>
    <xf numFmtId="0" fontId="18" fillId="2" borderId="0" xfId="0" applyFont="1" applyFill="1" applyAlignment="1"/>
    <xf numFmtId="0" fontId="4" fillId="0" borderId="0" xfId="0" applyFont="1" applyAlignment="1"/>
    <xf numFmtId="0" fontId="19" fillId="0" borderId="0" xfId="0" applyFont="1" applyAlignment="1"/>
    <xf numFmtId="0" fontId="20" fillId="0" borderId="0" xfId="0" applyFont="1" applyAlignment="1"/>
    <xf numFmtId="0" fontId="21" fillId="2" borderId="0" xfId="0" applyFont="1" applyFill="1" applyAlignment="1"/>
    <xf numFmtId="0" fontId="22" fillId="2" borderId="0" xfId="0" applyFont="1" applyFill="1" applyAlignment="1"/>
    <xf numFmtId="0" fontId="6" fillId="0" borderId="0" xfId="0" applyFont="1" applyAlignment="1"/>
    <xf numFmtId="0" fontId="23" fillId="0" borderId="0" xfId="0" applyFont="1" applyAlignment="1"/>
    <xf numFmtId="164" fontId="4" fillId="0" borderId="0" xfId="0" applyNumberFormat="1" applyFont="1" applyAlignment="1"/>
    <xf numFmtId="164" fontId="3" fillId="0" borderId="0" xfId="0" applyNumberFormat="1" applyFont="1" applyAlignment="1"/>
    <xf numFmtId="0" fontId="3" fillId="2" borderId="0" xfId="0" applyFont="1" applyFill="1" applyAlignment="1"/>
    <xf numFmtId="0" fontId="24" fillId="2" borderId="0" xfId="0" applyFont="1" applyFill="1" applyAlignment="1"/>
    <xf numFmtId="164" fontId="3" fillId="0" borderId="0" xfId="0" applyNumberFormat="1" applyFont="1"/>
    <xf numFmtId="0" fontId="25" fillId="0" borderId="0" xfId="0" applyFont="1" applyAlignment="1"/>
    <xf numFmtId="0" fontId="26" fillId="2" borderId="0" xfId="0" applyFont="1" applyFill="1" applyAlignment="1"/>
    <xf numFmtId="0" fontId="27" fillId="0" borderId="0" xfId="0" applyFont="1" applyAlignment="1"/>
    <xf numFmtId="0" fontId="3" fillId="0" borderId="0" xfId="0" applyFont="1" applyAlignment="1">
      <alignment wrapText="1"/>
    </xf>
    <xf numFmtId="0" fontId="3" fillId="0" borderId="0" xfId="0" applyFont="1"/>
    <xf numFmtId="0" fontId="3" fillId="0" borderId="0" xfId="0" applyFont="1" applyAlignment="1"/>
    <xf numFmtId="165" fontId="1" fillId="0" borderId="0" xfId="0" applyNumberFormat="1" applyFont="1" applyAlignment="1">
      <alignment wrapText="1"/>
    </xf>
    <xf numFmtId="0" fontId="28" fillId="0" borderId="0" xfId="0" applyFont="1" applyAlignment="1">
      <alignment wrapText="1"/>
    </xf>
    <xf numFmtId="165" fontId="4" fillId="0" borderId="0" xfId="0" applyNumberFormat="1" applyFont="1" applyAlignment="1">
      <alignment horizontal="right"/>
    </xf>
    <xf numFmtId="165" fontId="4" fillId="0" borderId="0" xfId="0" applyNumberFormat="1" applyFont="1" applyAlignment="1">
      <alignment horizontal="right"/>
    </xf>
    <xf numFmtId="0" fontId="4" fillId="0" borderId="0" xfId="0" applyFont="1" applyAlignment="1">
      <alignment horizontal="right"/>
    </xf>
    <xf numFmtId="0" fontId="29" fillId="0" borderId="0" xfId="0" applyFont="1" applyAlignment="1"/>
    <xf numFmtId="0" fontId="4" fillId="0" borderId="0" xfId="0" applyFont="1" applyAlignment="1"/>
    <xf numFmtId="165" fontId="4" fillId="0" borderId="0" xfId="0" applyNumberFormat="1" applyFont="1" applyAlignment="1"/>
    <xf numFmtId="165" fontId="4" fillId="0" borderId="0" xfId="0" applyNumberFormat="1" applyFont="1" applyAlignment="1"/>
    <xf numFmtId="164" fontId="4" fillId="0" borderId="0" xfId="0" applyNumberFormat="1" applyFont="1" applyAlignment="1">
      <alignment horizontal="right"/>
    </xf>
    <xf numFmtId="164" fontId="3" fillId="0" borderId="0" xfId="0" applyNumberFormat="1" applyFont="1" applyAlignment="1"/>
    <xf numFmtId="0" fontId="30" fillId="0" borderId="0" xfId="0" applyFont="1" applyAlignment="1">
      <alignment wrapText="1"/>
    </xf>
    <xf numFmtId="0" fontId="31" fillId="0" borderId="0" xfId="0" applyFont="1" applyAlignment="1">
      <alignment wrapText="1"/>
    </xf>
    <xf numFmtId="0" fontId="32" fillId="0" borderId="0" xfId="0" applyFont="1" applyAlignment="1">
      <alignment wrapText="1"/>
    </xf>
    <xf numFmtId="0" fontId="28" fillId="0" borderId="0" xfId="0" applyFont="1" applyAlignment="1">
      <alignment wrapText="1"/>
    </xf>
    <xf numFmtId="0" fontId="4" fillId="0" borderId="0" xfId="0" applyFont="1" applyAlignment="1">
      <alignment wrapText="1"/>
    </xf>
    <xf numFmtId="165" fontId="4" fillId="0" borderId="0" xfId="0" applyNumberFormat="1" applyFont="1" applyAlignment="1">
      <alignment horizontal="right"/>
    </xf>
    <xf numFmtId="0" fontId="33" fillId="0" borderId="0" xfId="0" applyFont="1" applyAlignment="1">
      <alignment wrapText="1"/>
    </xf>
    <xf numFmtId="0" fontId="1" fillId="0" borderId="0" xfId="0" applyFont="1" applyAlignment="1"/>
    <xf numFmtId="0" fontId="1" fillId="0" borderId="0" xfId="0" applyFont="1" applyAlignment="1"/>
    <xf numFmtId="0" fontId="34" fillId="0" borderId="0" xfId="0" applyFont="1" applyAlignment="1"/>
    <xf numFmtId="0" fontId="1" fillId="0" borderId="0" xfId="0" applyFont="1" applyAlignment="1">
      <alignment wrapText="1"/>
    </xf>
    <xf numFmtId="0" fontId="3" fillId="0" borderId="0" xfId="0" applyFont="1" applyAlignment="1">
      <alignment wrapText="1"/>
    </xf>
    <xf numFmtId="0" fontId="4" fillId="0" borderId="0" xfId="0" applyFont="1" applyAlignment="1">
      <alignment horizontal="right"/>
    </xf>
    <xf numFmtId="0" fontId="3" fillId="0" borderId="0" xfId="0" applyFont="1"/>
    <xf numFmtId="0" fontId="4" fillId="0" borderId="0" xfId="0" applyFont="1" applyAlignment="1"/>
    <xf numFmtId="166" fontId="3" fillId="0" borderId="0" xfId="0" applyNumberFormat="1" applyFont="1" applyAlignment="1"/>
    <xf numFmtId="0" fontId="4" fillId="0" borderId="0" xfId="0" applyFont="1" applyAlignment="1">
      <alignment horizontal="right" wrapText="1"/>
    </xf>
    <xf numFmtId="165" fontId="4" fillId="0" borderId="0" xfId="0" applyNumberFormat="1" applyFont="1" applyAlignment="1">
      <alignment horizontal="right" wrapText="1"/>
    </xf>
    <xf numFmtId="165" fontId="4" fillId="0" borderId="0" xfId="0" applyNumberFormat="1" applyFont="1" applyAlignment="1">
      <alignment wrapText="1"/>
    </xf>
    <xf numFmtId="165" fontId="4" fillId="0" borderId="0" xfId="0" applyNumberFormat="1" applyFont="1" applyAlignment="1">
      <alignment wrapText="1"/>
    </xf>
    <xf numFmtId="0" fontId="1" fillId="0" borderId="0" xfId="0" applyFont="1" applyAlignment="1"/>
    <xf numFmtId="164" fontId="4" fillId="0" borderId="0" xfId="0" applyNumberFormat="1" applyFont="1" applyAlignment="1"/>
    <xf numFmtId="0" fontId="35" fillId="0" borderId="0" xfId="0" applyFont="1" applyAlignment="1"/>
    <xf numFmtId="0" fontId="4" fillId="3" borderId="0" xfId="0" applyFont="1" applyFill="1" applyAlignment="1"/>
    <xf numFmtId="0" fontId="4" fillId="0" borderId="0" xfId="0" applyFont="1"/>
    <xf numFmtId="0" fontId="7" fillId="0" borderId="0" xfId="0" applyFont="1"/>
    <xf numFmtId="0" fontId="43" fillId="0" borderId="0" xfId="0" applyFont="1"/>
    <xf numFmtId="0" fontId="0" fillId="0" borderId="0" xfId="0"/>
    <xf numFmtId="0" fontId="5" fillId="0" borderId="0" xfId="0" applyFont="1"/>
    <xf numFmtId="0" fontId="43" fillId="0" borderId="0" xfId="0" applyFont="1" applyAlignment="1">
      <alignment vertical="center" wrapText="1"/>
    </xf>
    <xf numFmtId="0" fontId="31" fillId="0" borderId="0" xfId="0" applyFont="1"/>
    <xf numFmtId="0" fontId="23" fillId="3" borderId="0" xfId="0" applyFont="1" applyFill="1" applyAlignment="1">
      <alignment horizontal="left" wrapText="1"/>
    </xf>
    <xf numFmtId="0" fontId="3" fillId="0" borderId="0" xfId="0" applyFont="1" applyAlignment="1">
      <alignment vertical="center" wrapText="1"/>
    </xf>
    <xf numFmtId="0" fontId="43" fillId="0" borderId="0" xfId="0" applyFont="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asuaska\Downloads\Datavac_new_parameters.xlsx" TargetMode="External"/><Relationship Id="rId1" Type="http://schemas.openxmlformats.org/officeDocument/2006/relationships/externalLinkPath" Target="/Users/gasuaska/Downloads/Datavac_new_paramete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ccines"/>
      <sheetName val="ingredients_text"/>
      <sheetName val="pregnancy_BF_text"/>
      <sheetName val="interaction_text"/>
      <sheetName val="simult_administration_text"/>
      <sheetName val="storage_text"/>
    </sheetNames>
    <sheetDataSet>
      <sheetData sheetId="0">
        <row r="1">
          <cell r="A1" t="str">
            <v>id</v>
          </cell>
          <cell r="B1" t="str">
            <v>code_name</v>
          </cell>
        </row>
        <row r="2">
          <cell r="A2">
            <v>1</v>
          </cell>
          <cell r="B2" t="str">
            <v>BCG_Microgen</v>
          </cell>
        </row>
        <row r="3">
          <cell r="A3">
            <v>2</v>
          </cell>
          <cell r="B3" t="str">
            <v>BCG_M_Microgen</v>
          </cell>
        </row>
        <row r="4">
          <cell r="A4">
            <v>3</v>
          </cell>
          <cell r="B4" t="str">
            <v>BCG_Gamaleya</v>
          </cell>
        </row>
        <row r="5">
          <cell r="A5">
            <v>4</v>
          </cell>
          <cell r="B5" t="str">
            <v>BCG_M_Gamaleya</v>
          </cell>
        </row>
        <row r="6">
          <cell r="A6">
            <v>5</v>
          </cell>
          <cell r="B6" t="str">
            <v>Infanrix</v>
          </cell>
        </row>
        <row r="7">
          <cell r="A7">
            <v>6</v>
          </cell>
          <cell r="B7" t="str">
            <v>AKDS_Microgen</v>
          </cell>
        </row>
        <row r="8">
          <cell r="A8">
            <v>7</v>
          </cell>
          <cell r="B8" t="str">
            <v>AKDS_Biomed</v>
          </cell>
        </row>
        <row r="9">
          <cell r="A9">
            <v>8</v>
          </cell>
          <cell r="B9" t="str">
            <v>Bubo_kok</v>
          </cell>
        </row>
        <row r="10">
          <cell r="A10">
            <v>9</v>
          </cell>
          <cell r="B10" t="str">
            <v>Pentaxim</v>
          </cell>
        </row>
        <row r="11">
          <cell r="A11">
            <v>10</v>
          </cell>
          <cell r="B11" t="str">
            <v>Infanrix_Hexa</v>
          </cell>
        </row>
        <row r="12">
          <cell r="A12">
            <v>11</v>
          </cell>
          <cell r="B12" t="str">
            <v>Bubo_M</v>
          </cell>
        </row>
        <row r="13">
          <cell r="A13">
            <v>12</v>
          </cell>
          <cell r="B13" t="str">
            <v>AD_M_Microgen</v>
          </cell>
        </row>
        <row r="14">
          <cell r="A14">
            <v>13</v>
          </cell>
          <cell r="B14" t="str">
            <v>ADS_Microgen</v>
          </cell>
        </row>
        <row r="15">
          <cell r="A15">
            <v>14</v>
          </cell>
          <cell r="B15" t="str">
            <v>ADS_M_Microgen</v>
          </cell>
        </row>
        <row r="16">
          <cell r="A16">
            <v>15</v>
          </cell>
          <cell r="B16" t="str">
            <v>ADS_M_Biomed</v>
          </cell>
        </row>
        <row r="17">
          <cell r="A17">
            <v>16</v>
          </cell>
          <cell r="B17" t="str">
            <v>Adacel</v>
          </cell>
        </row>
        <row r="18">
          <cell r="A18">
            <v>17</v>
          </cell>
          <cell r="B18" t="str">
            <v>Algavac_M</v>
          </cell>
        </row>
        <row r="19">
          <cell r="A19">
            <v>18</v>
          </cell>
          <cell r="B19" t="str">
            <v>Algavac</v>
          </cell>
        </row>
        <row r="20">
          <cell r="A20">
            <v>19</v>
          </cell>
          <cell r="B20" t="str">
            <v>Havrix_720</v>
          </cell>
        </row>
        <row r="21">
          <cell r="A21">
            <v>20</v>
          </cell>
          <cell r="B21" t="str">
            <v>Havrix_1440</v>
          </cell>
        </row>
        <row r="22">
          <cell r="A22">
            <v>21</v>
          </cell>
          <cell r="B22" t="str">
            <v>Avaxim_80</v>
          </cell>
        </row>
        <row r="23">
          <cell r="A23">
            <v>22</v>
          </cell>
          <cell r="B23" t="str">
            <v>Avaxim_160</v>
          </cell>
        </row>
        <row r="24">
          <cell r="A24">
            <v>23</v>
          </cell>
          <cell r="B24" t="str">
            <v>Regevac_0_5</v>
          </cell>
        </row>
        <row r="25">
          <cell r="A25">
            <v>24</v>
          </cell>
          <cell r="B25" t="str">
            <v>HepB_Combiotech_0_5</v>
          </cell>
        </row>
        <row r="26">
          <cell r="A26">
            <v>25</v>
          </cell>
          <cell r="B26" t="str">
            <v>Euvax_B_0_5</v>
          </cell>
        </row>
        <row r="27">
          <cell r="A27">
            <v>26</v>
          </cell>
          <cell r="B27" t="str">
            <v>Euvax_B_1_0</v>
          </cell>
        </row>
        <row r="28">
          <cell r="A28">
            <v>27</v>
          </cell>
          <cell r="B28" t="str">
            <v>Cervarix</v>
          </cell>
        </row>
        <row r="29">
          <cell r="A29">
            <v>28</v>
          </cell>
          <cell r="B29" t="str">
            <v>Gardasil_4</v>
          </cell>
        </row>
        <row r="30">
          <cell r="A30">
            <v>29</v>
          </cell>
          <cell r="B30" t="str">
            <v>Sputnik</v>
          </cell>
        </row>
        <row r="31">
          <cell r="A31">
            <v>30</v>
          </cell>
          <cell r="B31" t="str">
            <v>Sputnik_Lyo</v>
          </cell>
        </row>
        <row r="32">
          <cell r="A32">
            <v>31</v>
          </cell>
          <cell r="B32" t="str">
            <v>EpiVacCorona</v>
          </cell>
        </row>
        <row r="33">
          <cell r="A33">
            <v>32</v>
          </cell>
          <cell r="B33" t="str">
            <v>Grippol_Microgen</v>
          </cell>
        </row>
        <row r="34">
          <cell r="A34">
            <v>33</v>
          </cell>
          <cell r="B34" t="str">
            <v>Grippol_Petrovax</v>
          </cell>
        </row>
        <row r="35">
          <cell r="A35">
            <v>34</v>
          </cell>
          <cell r="B35" t="str">
            <v>Grippol_plus_0_5</v>
          </cell>
        </row>
        <row r="36">
          <cell r="A36">
            <v>35</v>
          </cell>
          <cell r="B36" t="str">
            <v>Sovigripp</v>
          </cell>
        </row>
        <row r="37">
          <cell r="A37">
            <v>36</v>
          </cell>
          <cell r="B37" t="str">
            <v>Ultrix</v>
          </cell>
        </row>
        <row r="38">
          <cell r="A38">
            <v>37</v>
          </cell>
          <cell r="B38" t="str">
            <v>Flu_M</v>
          </cell>
        </row>
        <row r="39">
          <cell r="A39">
            <v>38</v>
          </cell>
          <cell r="B39" t="str">
            <v>Vaxigrip</v>
          </cell>
        </row>
        <row r="40">
          <cell r="A40">
            <v>39</v>
          </cell>
          <cell r="B40" t="str">
            <v>Influvac</v>
          </cell>
        </row>
        <row r="41">
          <cell r="A41">
            <v>40</v>
          </cell>
          <cell r="B41" t="str">
            <v>Ultrix_quadri</v>
          </cell>
        </row>
        <row r="42">
          <cell r="A42">
            <v>41</v>
          </cell>
          <cell r="B42" t="str">
            <v>Grippol_quadrivalent</v>
          </cell>
        </row>
        <row r="43">
          <cell r="A43">
            <v>42</v>
          </cell>
          <cell r="B43" t="str">
            <v>measles_Microgen</v>
          </cell>
        </row>
        <row r="44">
          <cell r="A44">
            <v>43</v>
          </cell>
          <cell r="B44" t="str">
            <v>measles_Serum_India</v>
          </cell>
        </row>
        <row r="45">
          <cell r="A45">
            <v>44</v>
          </cell>
          <cell r="B45" t="str">
            <v>measles_Vector</v>
          </cell>
        </row>
        <row r="46">
          <cell r="A46">
            <v>45</v>
          </cell>
          <cell r="B46" t="str">
            <v>measles_mumps_Microgen</v>
          </cell>
        </row>
        <row r="47">
          <cell r="A47">
            <v>46</v>
          </cell>
          <cell r="B47" t="str">
            <v>Vactrivir</v>
          </cell>
        </row>
        <row r="48">
          <cell r="A48">
            <v>47</v>
          </cell>
          <cell r="B48" t="str">
            <v>MMR_II</v>
          </cell>
        </row>
        <row r="49">
          <cell r="A49">
            <v>48</v>
          </cell>
          <cell r="B49" t="str">
            <v>MenA_Microgen</v>
          </cell>
        </row>
        <row r="50">
          <cell r="A50">
            <v>49</v>
          </cell>
          <cell r="B50" t="str">
            <v>MeningoVac_A_C</v>
          </cell>
        </row>
        <row r="51">
          <cell r="A51">
            <v>50</v>
          </cell>
          <cell r="B51" t="str">
            <v>Menactra</v>
          </cell>
        </row>
        <row r="52">
          <cell r="A52">
            <v>51</v>
          </cell>
          <cell r="B52" t="str">
            <v>mumps_Microgen</v>
          </cell>
        </row>
        <row r="53">
          <cell r="A53">
            <v>52</v>
          </cell>
          <cell r="B53" t="str">
            <v>Prevenar_13</v>
          </cell>
        </row>
        <row r="54">
          <cell r="A54">
            <v>53</v>
          </cell>
          <cell r="B54" t="str">
            <v>Synflorix</v>
          </cell>
        </row>
        <row r="55">
          <cell r="A55">
            <v>54</v>
          </cell>
          <cell r="B55" t="str">
            <v>Pneumovax_23</v>
          </cell>
        </row>
        <row r="56">
          <cell r="A56">
            <v>55</v>
          </cell>
          <cell r="B56" t="str">
            <v>MonoVac_Polio</v>
          </cell>
        </row>
        <row r="57">
          <cell r="A57">
            <v>56</v>
          </cell>
          <cell r="B57" t="str">
            <v>BiVac_Polio</v>
          </cell>
        </row>
        <row r="58">
          <cell r="A58">
            <v>57</v>
          </cell>
          <cell r="B58" t="str">
            <v>Polymilex</v>
          </cell>
        </row>
        <row r="59">
          <cell r="A59">
            <v>58</v>
          </cell>
          <cell r="B59" t="str">
            <v>COCAV</v>
          </cell>
        </row>
        <row r="60">
          <cell r="A60">
            <v>59</v>
          </cell>
          <cell r="B60" t="str">
            <v>rabies_Chumakov</v>
          </cell>
        </row>
        <row r="61">
          <cell r="A61">
            <v>60</v>
          </cell>
          <cell r="B61" t="str">
            <v>Rabivac_Vnukovo_32</v>
          </cell>
        </row>
        <row r="62">
          <cell r="A62">
            <v>61</v>
          </cell>
          <cell r="B62" t="str">
            <v>RotaTeq</v>
          </cell>
        </row>
        <row r="63">
          <cell r="A63">
            <v>62</v>
          </cell>
          <cell r="B63" t="str">
            <v>rubella_Microgen</v>
          </cell>
        </row>
        <row r="64">
          <cell r="A64">
            <v>63</v>
          </cell>
          <cell r="B64" t="str">
            <v>rubella_Serum</v>
          </cell>
        </row>
        <row r="65">
          <cell r="A65">
            <v>64</v>
          </cell>
          <cell r="B65" t="str">
            <v>AS_Microgen</v>
          </cell>
        </row>
        <row r="66">
          <cell r="A66">
            <v>65</v>
          </cell>
          <cell r="B66" t="str">
            <v>AS_Biomed</v>
          </cell>
        </row>
        <row r="67">
          <cell r="A67">
            <v>66</v>
          </cell>
          <cell r="B67" t="str">
            <v>Vaqta_25</v>
          </cell>
        </row>
        <row r="68">
          <cell r="A68">
            <v>67</v>
          </cell>
          <cell r="B68" t="str">
            <v>Vaqta_50</v>
          </cell>
        </row>
        <row r="69">
          <cell r="A69">
            <v>68</v>
          </cell>
          <cell r="B69" t="str">
            <v>Klesh_E_Vac_0_5</v>
          </cell>
        </row>
        <row r="70">
          <cell r="A70">
            <v>69</v>
          </cell>
          <cell r="B70" t="str">
            <v>Klesh_E_Vac_0_25</v>
          </cell>
        </row>
        <row r="71">
          <cell r="A71">
            <v>70</v>
          </cell>
          <cell r="B71" t="str">
            <v>EnceVir_0_5</v>
          </cell>
        </row>
        <row r="72">
          <cell r="A72">
            <v>71</v>
          </cell>
          <cell r="B72" t="str">
            <v>EnceVir_Neo_kids</v>
          </cell>
        </row>
        <row r="73">
          <cell r="A73">
            <v>72</v>
          </cell>
          <cell r="B73" t="str">
            <v>TBE_Chumakov_lyo</v>
          </cell>
        </row>
        <row r="74">
          <cell r="A74">
            <v>73</v>
          </cell>
          <cell r="B74" t="str">
            <v>Varilrix</v>
          </cell>
        </row>
        <row r="75">
          <cell r="A75">
            <v>74</v>
          </cell>
          <cell r="B75" t="str">
            <v>YF_Chumakov_lyo</v>
          </cell>
        </row>
        <row r="76">
          <cell r="A76">
            <v>75</v>
          </cell>
          <cell r="B76" t="str">
            <v>tularemia_Microgen</v>
          </cell>
        </row>
        <row r="77">
          <cell r="A77">
            <v>76</v>
          </cell>
          <cell r="B77" t="str">
            <v>plague_molecular_lyo_RPN</v>
          </cell>
        </row>
        <row r="78">
          <cell r="A78">
            <v>77</v>
          </cell>
          <cell r="B78" t="str">
            <v>plague_live_lyo_48_NII_Minoborony</v>
          </cell>
        </row>
        <row r="79">
          <cell r="A79">
            <v>78</v>
          </cell>
          <cell r="B79" t="str">
            <v>plague_live_tablets_48_NII_Minoborony</v>
          </cell>
        </row>
        <row r="80">
          <cell r="A80">
            <v>79</v>
          </cell>
          <cell r="B80" t="str">
            <v>plague_live_lyo_RPN</v>
          </cell>
        </row>
        <row r="81">
          <cell r="A81">
            <v>80</v>
          </cell>
          <cell r="B81" t="str">
            <v>brucellosis_therapeutic_48_NII_Minoborony</v>
          </cell>
        </row>
        <row r="82">
          <cell r="A82">
            <v>81</v>
          </cell>
          <cell r="B82" t="str">
            <v>brucellosis_prophylactic_Microgen</v>
          </cell>
        </row>
        <row r="83">
          <cell r="A83">
            <v>82</v>
          </cell>
          <cell r="B83" t="str">
            <v>anthrax_live_48_NII_Minoborony</v>
          </cell>
        </row>
        <row r="84">
          <cell r="A84">
            <v>83</v>
          </cell>
          <cell r="B84" t="str">
            <v>anthrax_combined_48_NII_Minoborony</v>
          </cell>
        </row>
        <row r="85">
          <cell r="A85">
            <v>84</v>
          </cell>
          <cell r="B85" t="str">
            <v>Rabipur</v>
          </cell>
        </row>
        <row r="86">
          <cell r="A86">
            <v>85</v>
          </cell>
          <cell r="B86" t="str">
            <v>leptospirosis_Rostov_NII</v>
          </cell>
        </row>
        <row r="87">
          <cell r="A87">
            <v>86</v>
          </cell>
          <cell r="B87" t="str">
            <v>Q_fever_M_44_Microgen</v>
          </cell>
        </row>
        <row r="88">
          <cell r="A88">
            <v>87</v>
          </cell>
          <cell r="B88" t="str">
            <v>cholera_NII_Microb</v>
          </cell>
        </row>
        <row r="89">
          <cell r="A89">
            <v>88</v>
          </cell>
          <cell r="B89" t="str">
            <v>Vianvac</v>
          </cell>
        </row>
        <row r="90">
          <cell r="A90">
            <v>89</v>
          </cell>
          <cell r="B90" t="str">
            <v>Typhivac</v>
          </cell>
        </row>
        <row r="91">
          <cell r="A91">
            <v>90</v>
          </cell>
          <cell r="B91" t="str">
            <v>Shigellvac</v>
          </cell>
        </row>
        <row r="92">
          <cell r="A92">
            <v>91</v>
          </cell>
          <cell r="B92" t="str">
            <v>CoviVac</v>
          </cell>
        </row>
        <row r="93">
          <cell r="A93">
            <v>92</v>
          </cell>
          <cell r="B93" t="str">
            <v>Sputnik_light</v>
          </cell>
        </row>
        <row r="94">
          <cell r="A94">
            <v>93</v>
          </cell>
          <cell r="B94" t="str">
            <v>Sputnik_M</v>
          </cell>
        </row>
        <row r="95">
          <cell r="A95">
            <v>94</v>
          </cell>
          <cell r="B95" t="str">
            <v>Convacel</v>
          </cell>
        </row>
        <row r="96">
          <cell r="A96">
            <v>95</v>
          </cell>
          <cell r="B96" t="str">
            <v>Aurora</v>
          </cell>
        </row>
        <row r="97">
          <cell r="A97">
            <v>96</v>
          </cell>
          <cell r="B97" t="str">
            <v>Rota_V_Aid</v>
          </cell>
        </row>
        <row r="98">
          <cell r="A98">
            <v>97</v>
          </cell>
          <cell r="B98" t="str">
            <v>Hib_Rostov</v>
          </cell>
        </row>
        <row r="99">
          <cell r="A99">
            <v>98</v>
          </cell>
          <cell r="B99" t="str">
            <v>HepB_Combiotech_1_0</v>
          </cell>
        </row>
        <row r="100">
          <cell r="A100">
            <v>99</v>
          </cell>
          <cell r="B100" t="str">
            <v>Regevac_1_0</v>
          </cell>
        </row>
        <row r="101">
          <cell r="A101">
            <v>100</v>
          </cell>
          <cell r="B101" t="str">
            <v>Priorix_Tetra</v>
          </cell>
        </row>
        <row r="102">
          <cell r="A102">
            <v>101</v>
          </cell>
          <cell r="B102" t="str">
            <v>Menveo</v>
          </cell>
        </row>
        <row r="103">
          <cell r="A103">
            <v>102</v>
          </cell>
          <cell r="B103" t="str">
            <v>Sputnik_intranasal</v>
          </cell>
        </row>
        <row r="104">
          <cell r="A104">
            <v>103</v>
          </cell>
          <cell r="B104" t="str">
            <v>Grippol_plus_0_25</v>
          </cell>
        </row>
        <row r="105">
          <cell r="A105">
            <v>104</v>
          </cell>
          <cell r="B105" t="str">
            <v>Flu_M_Tetra</v>
          </cell>
        </row>
        <row r="106">
          <cell r="A106">
            <v>105</v>
          </cell>
          <cell r="B106" t="str">
            <v>Vaxigrip_Tetra</v>
          </cell>
        </row>
        <row r="107">
          <cell r="A107">
            <v>106</v>
          </cell>
          <cell r="B107" t="str">
            <v>Ocavax</v>
          </cell>
        </row>
        <row r="108">
          <cell r="A108">
            <v>107</v>
          </cell>
          <cell r="B108" t="str">
            <v>Pneumo_23</v>
          </cell>
        </row>
        <row r="109">
          <cell r="A109">
            <v>108</v>
          </cell>
          <cell r="B109" t="str">
            <v>Varivax</v>
          </cell>
        </row>
        <row r="110">
          <cell r="A110">
            <v>109</v>
          </cell>
          <cell r="B110" t="str">
            <v>Pneumotex</v>
          </cell>
        </row>
        <row r="111">
          <cell r="A111">
            <v>110</v>
          </cell>
          <cell r="B111" t="str">
            <v>Priorix</v>
          </cell>
        </row>
        <row r="112">
          <cell r="A112">
            <v>111</v>
          </cell>
          <cell r="B112" t="str">
            <v>MenQuadfi</v>
          </cell>
        </row>
        <row r="113">
          <cell r="A113">
            <v>112</v>
          </cell>
          <cell r="B113" t="str">
            <v>Bexsero</v>
          </cell>
        </row>
        <row r="114">
          <cell r="A114">
            <v>113</v>
          </cell>
          <cell r="B114" t="str">
            <v>Sputnik_D</v>
          </cell>
        </row>
        <row r="115">
          <cell r="A115">
            <v>114</v>
          </cell>
          <cell r="B115" t="str">
            <v>Encepur_0_25</v>
          </cell>
        </row>
        <row r="116">
          <cell r="A116">
            <v>115</v>
          </cell>
          <cell r="B116" t="str">
            <v>Encepur_0_5</v>
          </cell>
        </row>
        <row r="117">
          <cell r="A117">
            <v>116</v>
          </cell>
          <cell r="B117" t="str">
            <v>Poliovaccine</v>
          </cell>
        </row>
        <row r="118">
          <cell r="A118">
            <v>117</v>
          </cell>
          <cell r="B118" t="str">
            <v>Act_Hib</v>
          </cell>
        </row>
        <row r="119">
          <cell r="A119">
            <v>118</v>
          </cell>
          <cell r="B119" t="str">
            <v>Hiberix</v>
          </cell>
        </row>
        <row r="120">
          <cell r="A120">
            <v>119</v>
          </cell>
          <cell r="B120" t="str">
            <v>FSME_Immun_Junior</v>
          </cell>
        </row>
        <row r="121">
          <cell r="A121">
            <v>120</v>
          </cell>
          <cell r="B121" t="str">
            <v>FSME_Immun</v>
          </cell>
        </row>
        <row r="122">
          <cell r="A122">
            <v>121</v>
          </cell>
          <cell r="B122" t="str">
            <v>SciBiVac</v>
          </cell>
        </row>
        <row r="123">
          <cell r="A123">
            <v>122</v>
          </cell>
          <cell r="B123" t="str">
            <v>Pentavaccina</v>
          </cell>
        </row>
        <row r="124">
          <cell r="A124">
            <v>123</v>
          </cell>
          <cell r="B124" t="str">
            <v>Vitagerpavac</v>
          </cell>
        </row>
        <row r="125">
          <cell r="A125">
            <v>124</v>
          </cell>
          <cell r="B125" t="str">
            <v>Shingrix</v>
          </cell>
        </row>
        <row r="126">
          <cell r="A126">
            <v>125</v>
          </cell>
          <cell r="B126" t="str">
            <v>Trivaid</v>
          </cell>
        </row>
        <row r="127">
          <cell r="A127">
            <v>126</v>
          </cell>
          <cell r="B127" t="str">
            <v>BabyHib</v>
          </cell>
        </row>
        <row r="128">
          <cell r="A128">
            <v>127</v>
          </cell>
          <cell r="B128" t="str">
            <v>AD_M_Biomed</v>
          </cell>
        </row>
        <row r="129">
          <cell r="A129">
            <v>128</v>
          </cell>
          <cell r="B129" t="str">
            <v>AS_D_Microgen</v>
          </cell>
        </row>
        <row r="130">
          <cell r="A130">
            <v>129</v>
          </cell>
          <cell r="B130" t="str">
            <v>Variola</v>
          </cell>
        </row>
        <row r="131">
          <cell r="A131">
            <v>130</v>
          </cell>
          <cell r="B131" t="str">
            <v>AKDS_HepB_Microgen</v>
          </cell>
        </row>
        <row r="132">
          <cell r="A132">
            <v>131</v>
          </cell>
          <cell r="B132" t="str">
            <v>Rickettsia</v>
          </cell>
        </row>
        <row r="133">
          <cell r="A133">
            <v>132</v>
          </cell>
          <cell r="B133" t="str">
            <v>OspaVir</v>
          </cell>
        </row>
        <row r="134">
          <cell r="A134">
            <v>133</v>
          </cell>
          <cell r="B134" t="str">
            <v>Gonovaccina_therapeutic</v>
          </cell>
        </row>
        <row r="135">
          <cell r="A135">
            <v>134</v>
          </cell>
          <cell r="B135" t="str">
            <v>OrtopoxVac</v>
          </cell>
        </row>
        <row r="136">
          <cell r="A136">
            <v>135</v>
          </cell>
          <cell r="B136" t="str">
            <v>FlexVac</v>
          </cell>
        </row>
        <row r="137">
          <cell r="A137">
            <v>136</v>
          </cell>
          <cell r="B137" t="str">
            <v>SinSaVac</v>
          </cell>
        </row>
        <row r="138">
          <cell r="A138">
            <v>137</v>
          </cell>
          <cell r="B138" t="str">
            <v>GamEvac_Lyo</v>
          </cell>
        </row>
        <row r="139">
          <cell r="A139">
            <v>138</v>
          </cell>
          <cell r="B139" t="str">
            <v>EpiVacEbola</v>
          </cell>
        </row>
        <row r="140">
          <cell r="A140">
            <v>139</v>
          </cell>
          <cell r="B140" t="str">
            <v>GamEvac_Combi</v>
          </cell>
        </row>
        <row r="141">
          <cell r="A141">
            <v>140</v>
          </cell>
          <cell r="B141" t="str">
            <v>GamEvac</v>
          </cell>
        </row>
        <row r="142">
          <cell r="A142">
            <v>141</v>
          </cell>
          <cell r="B142" t="str">
            <v>Staphylococcus_therapeutic_Biomed</v>
          </cell>
        </row>
        <row r="143">
          <cell r="A143">
            <v>142</v>
          </cell>
          <cell r="B143" t="str">
            <v>Pseudovac</v>
          </cell>
        </row>
        <row r="144">
          <cell r="A144">
            <v>143</v>
          </cell>
          <cell r="B144" t="str">
            <v>SPSA_therapeutic</v>
          </cell>
        </row>
        <row r="145">
          <cell r="A145">
            <v>144</v>
          </cell>
          <cell r="B145" t="str">
            <v>HepB_Serum_India_0_5</v>
          </cell>
        </row>
        <row r="146">
          <cell r="A146">
            <v>145</v>
          </cell>
          <cell r="B146" t="str">
            <v>Polio_1_2_3</v>
          </cell>
        </row>
        <row r="147">
          <cell r="A147">
            <v>146</v>
          </cell>
          <cell r="B147" t="str">
            <v>TEOVac_chew_tablets</v>
          </cell>
        </row>
        <row r="148">
          <cell r="A148">
            <v>147</v>
          </cell>
          <cell r="B148" t="str">
            <v>TEOVac_tablets</v>
          </cell>
        </row>
        <row r="149">
          <cell r="A149">
            <v>148</v>
          </cell>
          <cell r="B149" t="str">
            <v>Uro_BCG_therapeutic</v>
          </cell>
        </row>
        <row r="150">
          <cell r="A150">
            <v>149</v>
          </cell>
          <cell r="B150" t="str">
            <v>Flu_Microgen</v>
          </cell>
        </row>
        <row r="151">
          <cell r="A151">
            <v>150</v>
          </cell>
          <cell r="B151" t="str">
            <v>MonoGrippol_plus</v>
          </cell>
        </row>
        <row r="152">
          <cell r="A152">
            <v>151</v>
          </cell>
          <cell r="B152" t="str">
            <v>MonoGrippol_Neo</v>
          </cell>
        </row>
        <row r="153">
          <cell r="A153">
            <v>152</v>
          </cell>
          <cell r="B153" t="str">
            <v>MonoGrippol</v>
          </cell>
        </row>
        <row r="154">
          <cell r="A154">
            <v>153</v>
          </cell>
          <cell r="B154" t="str">
            <v>Influvir</v>
          </cell>
        </row>
        <row r="155">
          <cell r="A155">
            <v>154</v>
          </cell>
          <cell r="B155" t="str">
            <v>Pandeflu</v>
          </cell>
        </row>
        <row r="156">
          <cell r="A156">
            <v>155</v>
          </cell>
          <cell r="B156" t="str">
            <v>Grippol_Neo</v>
          </cell>
        </row>
        <row r="157">
          <cell r="A157">
            <v>156</v>
          </cell>
          <cell r="B157" t="str">
            <v>Ultravac</v>
          </cell>
        </row>
        <row r="158">
          <cell r="A158">
            <v>157</v>
          </cell>
          <cell r="B158" t="str">
            <v>Fluvaccin</v>
          </cell>
        </row>
        <row r="159">
          <cell r="A159">
            <v>158</v>
          </cell>
          <cell r="B159" t="str">
            <v>Gerpovax_therapeutic</v>
          </cell>
        </row>
        <row r="160">
          <cell r="A160">
            <v>159</v>
          </cell>
          <cell r="B160" t="str">
            <v>Ultragrivac</v>
          </cell>
        </row>
        <row r="161">
          <cell r="A161">
            <v>160</v>
          </cell>
          <cell r="B161" t="str">
            <v>OrniFlu</v>
          </cell>
        </row>
        <row r="162">
          <cell r="A162">
            <v>161</v>
          </cell>
          <cell r="B162" t="str">
            <v>rubella_Croatia</v>
          </cell>
        </row>
        <row r="163">
          <cell r="A163">
            <v>162</v>
          </cell>
          <cell r="B163" t="str">
            <v>Tetraanatoxin</v>
          </cell>
        </row>
        <row r="164">
          <cell r="A164">
            <v>163</v>
          </cell>
          <cell r="B164" t="str">
            <v>Staphylococcus_Gamaleya</v>
          </cell>
        </row>
        <row r="165">
          <cell r="A165">
            <v>164</v>
          </cell>
          <cell r="B165" t="str">
            <v>Staphylococcus_therapeutic_Gamaleya</v>
          </cell>
        </row>
        <row r="166">
          <cell r="A166">
            <v>165</v>
          </cell>
          <cell r="B166" t="str">
            <v>Imuron_vac_therapeutic</v>
          </cell>
        </row>
        <row r="167">
          <cell r="A167">
            <v>166</v>
          </cell>
          <cell r="B167" t="str">
            <v>HepB_Serum_India_1_0</v>
          </cell>
        </row>
        <row r="168">
          <cell r="A168">
            <v>167</v>
          </cell>
          <cell r="B168" t="str">
            <v>Hexaxim</v>
          </cell>
        </row>
        <row r="169">
          <cell r="A169">
            <v>168</v>
          </cell>
          <cell r="B169" t="str">
            <v>Gam_VLP_multivac</v>
          </cell>
        </row>
        <row r="170">
          <cell r="A170">
            <v>169</v>
          </cell>
          <cell r="B170" t="str">
            <v>Gam_VLP_multivac_nasal</v>
          </cell>
        </row>
        <row r="171">
          <cell r="A171">
            <v>170</v>
          </cell>
          <cell r="B171" t="str">
            <v>Cegardex</v>
          </cell>
        </row>
        <row r="172">
          <cell r="A172">
            <v>171</v>
          </cell>
          <cell r="B172" t="str">
            <v>Menvaid</v>
          </cell>
        </row>
        <row r="173">
          <cell r="A173">
            <v>172</v>
          </cell>
          <cell r="B173" t="str">
            <v>ChiroRab</v>
          </cell>
        </row>
        <row r="174">
          <cell r="A174">
            <v>173</v>
          </cell>
          <cell r="B174" t="str">
            <v>Prevenar_20</v>
          </cell>
        </row>
        <row r="175">
          <cell r="A175">
            <v>174</v>
          </cell>
          <cell r="B175" t="str">
            <v>aAKDS_M</v>
          </cell>
        </row>
        <row r="176">
          <cell r="A176">
            <v>175</v>
          </cell>
          <cell r="B176" t="str">
            <v>Nimenrix</v>
          </cell>
        </row>
        <row r="177">
          <cell r="A177"/>
          <cell r="B177"/>
        </row>
        <row r="178">
          <cell r="A178"/>
          <cell r="B178"/>
        </row>
        <row r="179">
          <cell r="A179"/>
          <cell r="B179"/>
        </row>
        <row r="180">
          <cell r="A180"/>
          <cell r="B180"/>
        </row>
        <row r="181">
          <cell r="A181"/>
          <cell r="B181"/>
        </row>
        <row r="182">
          <cell r="A182"/>
          <cell r="B182"/>
        </row>
        <row r="183">
          <cell r="A183"/>
          <cell r="B183"/>
        </row>
        <row r="184">
          <cell r="A184"/>
          <cell r="B184"/>
        </row>
        <row r="185">
          <cell r="A185"/>
          <cell r="B185"/>
        </row>
        <row r="186">
          <cell r="A186"/>
          <cell r="B186"/>
        </row>
        <row r="187">
          <cell r="A187"/>
          <cell r="B187"/>
        </row>
        <row r="188">
          <cell r="A188"/>
          <cell r="B188"/>
        </row>
        <row r="189">
          <cell r="A189"/>
          <cell r="B189"/>
        </row>
        <row r="190">
          <cell r="A190"/>
          <cell r="B190"/>
        </row>
        <row r="191">
          <cell r="A191"/>
          <cell r="B191"/>
        </row>
        <row r="192">
          <cell r="A192"/>
          <cell r="B192"/>
        </row>
        <row r="193">
          <cell r="A193"/>
          <cell r="B193"/>
        </row>
        <row r="194">
          <cell r="A194"/>
          <cell r="B194"/>
        </row>
        <row r="195">
          <cell r="A195"/>
          <cell r="B195"/>
        </row>
        <row r="196">
          <cell r="A196"/>
          <cell r="B196"/>
        </row>
        <row r="197">
          <cell r="A197"/>
          <cell r="B197"/>
        </row>
        <row r="198">
          <cell r="A198"/>
          <cell r="B198"/>
        </row>
        <row r="199">
          <cell r="A199"/>
          <cell r="B199"/>
        </row>
        <row r="200">
          <cell r="A200"/>
          <cell r="B200"/>
        </row>
        <row r="201">
          <cell r="A201"/>
          <cell r="B201"/>
        </row>
        <row r="202">
          <cell r="A202"/>
          <cell r="B202"/>
        </row>
        <row r="203">
          <cell r="A203"/>
          <cell r="B203"/>
        </row>
        <row r="204">
          <cell r="A204"/>
          <cell r="B204"/>
        </row>
        <row r="205">
          <cell r="A205"/>
          <cell r="B205"/>
        </row>
        <row r="206">
          <cell r="A206"/>
          <cell r="B206"/>
        </row>
        <row r="207">
          <cell r="A207"/>
          <cell r="B207"/>
        </row>
        <row r="208">
          <cell r="A208"/>
          <cell r="B208"/>
        </row>
        <row r="209">
          <cell r="A209"/>
          <cell r="B209"/>
        </row>
        <row r="210">
          <cell r="A210"/>
          <cell r="B210"/>
        </row>
        <row r="211">
          <cell r="A211"/>
          <cell r="B211"/>
        </row>
        <row r="212">
          <cell r="A212"/>
          <cell r="B212"/>
        </row>
        <row r="213">
          <cell r="A213"/>
          <cell r="B213"/>
        </row>
        <row r="214">
          <cell r="A214"/>
          <cell r="B214"/>
        </row>
        <row r="215">
          <cell r="A215"/>
          <cell r="B215"/>
        </row>
        <row r="216">
          <cell r="A216"/>
          <cell r="B216"/>
        </row>
        <row r="217">
          <cell r="A217"/>
          <cell r="B217"/>
        </row>
        <row r="218">
          <cell r="A218"/>
          <cell r="B218"/>
        </row>
        <row r="219">
          <cell r="A219"/>
          <cell r="B219"/>
        </row>
        <row r="220">
          <cell r="A220"/>
          <cell r="B220"/>
        </row>
        <row r="221">
          <cell r="A221"/>
          <cell r="B221"/>
        </row>
        <row r="222">
          <cell r="A222"/>
          <cell r="B222"/>
        </row>
        <row r="223">
          <cell r="A223"/>
          <cell r="B223"/>
        </row>
        <row r="224">
          <cell r="A224"/>
          <cell r="B224"/>
        </row>
        <row r="225">
          <cell r="A225"/>
          <cell r="B225"/>
        </row>
        <row r="226">
          <cell r="A226"/>
          <cell r="B226"/>
        </row>
        <row r="227">
          <cell r="A227"/>
          <cell r="B227"/>
        </row>
        <row r="228">
          <cell r="A228"/>
          <cell r="B228"/>
        </row>
        <row r="229">
          <cell r="A229"/>
          <cell r="B229"/>
        </row>
        <row r="230">
          <cell r="A230"/>
          <cell r="B230"/>
        </row>
        <row r="231">
          <cell r="A231"/>
          <cell r="B231"/>
        </row>
        <row r="232">
          <cell r="A232"/>
          <cell r="B232"/>
        </row>
        <row r="233">
          <cell r="A233"/>
          <cell r="B233"/>
        </row>
        <row r="234">
          <cell r="A234"/>
          <cell r="B234"/>
        </row>
        <row r="235">
          <cell r="A235"/>
          <cell r="B235"/>
        </row>
        <row r="236">
          <cell r="A236"/>
          <cell r="B236"/>
        </row>
        <row r="237">
          <cell r="A237"/>
          <cell r="B237"/>
        </row>
        <row r="238">
          <cell r="A238"/>
          <cell r="B238"/>
        </row>
        <row r="239">
          <cell r="A239"/>
          <cell r="B239"/>
        </row>
        <row r="240">
          <cell r="A240"/>
          <cell r="B240"/>
        </row>
        <row r="241">
          <cell r="A241"/>
          <cell r="B241"/>
        </row>
        <row r="242">
          <cell r="A242"/>
          <cell r="B242"/>
        </row>
        <row r="243">
          <cell r="A243"/>
          <cell r="B243"/>
        </row>
        <row r="244">
          <cell r="A244"/>
          <cell r="B244"/>
        </row>
        <row r="245">
          <cell r="A245"/>
          <cell r="B245"/>
        </row>
        <row r="246">
          <cell r="A246"/>
          <cell r="B246"/>
        </row>
        <row r="247">
          <cell r="A247"/>
          <cell r="B247"/>
        </row>
        <row r="248">
          <cell r="A248"/>
          <cell r="B248"/>
        </row>
        <row r="249">
          <cell r="A249"/>
          <cell r="B249"/>
        </row>
        <row r="250">
          <cell r="A250"/>
          <cell r="B250"/>
        </row>
        <row r="251">
          <cell r="A251"/>
          <cell r="B251"/>
        </row>
        <row r="252">
          <cell r="A252"/>
          <cell r="B252"/>
        </row>
        <row r="253">
          <cell r="A253"/>
          <cell r="B253"/>
        </row>
        <row r="254">
          <cell r="A254"/>
          <cell r="B254"/>
        </row>
        <row r="255">
          <cell r="A255"/>
          <cell r="B255"/>
        </row>
        <row r="256">
          <cell r="A256"/>
          <cell r="B256"/>
        </row>
        <row r="257">
          <cell r="A257"/>
          <cell r="B257"/>
        </row>
        <row r="258">
          <cell r="A258"/>
          <cell r="B258"/>
        </row>
        <row r="259">
          <cell r="A259"/>
          <cell r="B259"/>
        </row>
        <row r="260">
          <cell r="A260"/>
          <cell r="B260"/>
        </row>
        <row r="261">
          <cell r="A261"/>
          <cell r="B261"/>
        </row>
        <row r="262">
          <cell r="A262"/>
          <cell r="B262"/>
        </row>
        <row r="263">
          <cell r="A263"/>
          <cell r="B263"/>
        </row>
        <row r="264">
          <cell r="A264"/>
          <cell r="B264"/>
        </row>
        <row r="265">
          <cell r="A265"/>
          <cell r="B265"/>
        </row>
        <row r="266">
          <cell r="A266"/>
          <cell r="B266"/>
        </row>
        <row r="267">
          <cell r="A267"/>
          <cell r="B267"/>
        </row>
        <row r="268">
          <cell r="A268"/>
          <cell r="B268"/>
        </row>
        <row r="269">
          <cell r="A269"/>
          <cell r="B269"/>
        </row>
        <row r="270">
          <cell r="A270"/>
          <cell r="B270"/>
        </row>
        <row r="271">
          <cell r="A271"/>
          <cell r="B271"/>
        </row>
        <row r="272">
          <cell r="A272"/>
          <cell r="B272"/>
        </row>
        <row r="273">
          <cell r="A273"/>
          <cell r="B273"/>
        </row>
        <row r="274">
          <cell r="A274"/>
          <cell r="B274"/>
        </row>
        <row r="275">
          <cell r="A275"/>
          <cell r="B275"/>
        </row>
        <row r="276">
          <cell r="A276"/>
          <cell r="B276"/>
        </row>
        <row r="277">
          <cell r="A277"/>
          <cell r="B277"/>
        </row>
        <row r="278">
          <cell r="A278"/>
          <cell r="B278"/>
        </row>
        <row r="279">
          <cell r="A279"/>
          <cell r="B279"/>
        </row>
        <row r="280">
          <cell r="A280"/>
          <cell r="B280"/>
        </row>
        <row r="281">
          <cell r="A281"/>
          <cell r="B281"/>
        </row>
        <row r="282">
          <cell r="A282"/>
          <cell r="B282"/>
        </row>
        <row r="283">
          <cell r="A283"/>
          <cell r="B283"/>
        </row>
        <row r="284">
          <cell r="A284"/>
          <cell r="B284"/>
        </row>
        <row r="285">
          <cell r="A285"/>
          <cell r="B285"/>
        </row>
        <row r="286">
          <cell r="A286"/>
          <cell r="B286"/>
        </row>
        <row r="287">
          <cell r="A287"/>
          <cell r="B287"/>
        </row>
        <row r="288">
          <cell r="A288"/>
          <cell r="B288"/>
        </row>
        <row r="289">
          <cell r="A289"/>
          <cell r="B289"/>
        </row>
        <row r="290">
          <cell r="A290"/>
          <cell r="B290"/>
        </row>
        <row r="291">
          <cell r="A291"/>
          <cell r="B291"/>
        </row>
        <row r="292">
          <cell r="A292"/>
          <cell r="B292"/>
        </row>
        <row r="293">
          <cell r="A293"/>
          <cell r="B293"/>
        </row>
        <row r="294">
          <cell r="A294"/>
          <cell r="B294"/>
        </row>
        <row r="295">
          <cell r="A295"/>
          <cell r="B295"/>
        </row>
        <row r="296">
          <cell r="A296"/>
          <cell r="B296"/>
        </row>
        <row r="297">
          <cell r="A297"/>
          <cell r="B297"/>
        </row>
        <row r="298">
          <cell r="A298"/>
          <cell r="B298"/>
        </row>
        <row r="299">
          <cell r="A299"/>
          <cell r="B299"/>
        </row>
        <row r="300">
          <cell r="A300"/>
          <cell r="B300"/>
        </row>
        <row r="301">
          <cell r="A301"/>
          <cell r="B301"/>
        </row>
        <row r="302">
          <cell r="A302"/>
          <cell r="B302"/>
        </row>
        <row r="303">
          <cell r="A303"/>
          <cell r="B303"/>
        </row>
        <row r="304">
          <cell r="A304"/>
          <cell r="B304"/>
        </row>
        <row r="305">
          <cell r="A305"/>
          <cell r="B305"/>
        </row>
        <row r="306">
          <cell r="A306"/>
          <cell r="B306"/>
        </row>
        <row r="307">
          <cell r="A307"/>
          <cell r="B307"/>
        </row>
        <row r="308">
          <cell r="A308"/>
          <cell r="B308"/>
        </row>
        <row r="309">
          <cell r="A309"/>
          <cell r="B309"/>
        </row>
        <row r="310">
          <cell r="A310"/>
          <cell r="B310"/>
        </row>
        <row r="311">
          <cell r="A311"/>
          <cell r="B311"/>
        </row>
        <row r="312">
          <cell r="A312"/>
          <cell r="B312"/>
        </row>
        <row r="313">
          <cell r="A313"/>
          <cell r="B313"/>
        </row>
        <row r="314">
          <cell r="A314"/>
          <cell r="B314"/>
        </row>
        <row r="315">
          <cell r="A315"/>
          <cell r="B315"/>
        </row>
        <row r="316">
          <cell r="A316"/>
          <cell r="B316"/>
        </row>
        <row r="317">
          <cell r="A317"/>
          <cell r="B317"/>
        </row>
        <row r="318">
          <cell r="A318"/>
          <cell r="B318"/>
        </row>
        <row r="319">
          <cell r="A319"/>
          <cell r="B319"/>
        </row>
        <row r="320">
          <cell r="A320"/>
          <cell r="B320"/>
        </row>
        <row r="321">
          <cell r="A321"/>
          <cell r="B321"/>
        </row>
        <row r="322">
          <cell r="A322"/>
          <cell r="B322"/>
        </row>
        <row r="323">
          <cell r="A323"/>
          <cell r="B323"/>
        </row>
        <row r="324">
          <cell r="A324"/>
          <cell r="B324"/>
        </row>
        <row r="325">
          <cell r="A325"/>
          <cell r="B325"/>
        </row>
        <row r="326">
          <cell r="A326"/>
          <cell r="B326"/>
        </row>
        <row r="327">
          <cell r="A327"/>
          <cell r="B327"/>
        </row>
        <row r="328">
          <cell r="A328"/>
          <cell r="B328"/>
        </row>
        <row r="329">
          <cell r="A329"/>
          <cell r="B329"/>
        </row>
        <row r="330">
          <cell r="A330"/>
          <cell r="B330"/>
        </row>
        <row r="331">
          <cell r="A331"/>
          <cell r="B331"/>
        </row>
        <row r="332">
          <cell r="A332"/>
          <cell r="B332"/>
        </row>
        <row r="333">
          <cell r="A333"/>
          <cell r="B333"/>
        </row>
        <row r="334">
          <cell r="A334"/>
          <cell r="B334"/>
        </row>
        <row r="335">
          <cell r="A335"/>
          <cell r="B335"/>
        </row>
        <row r="336">
          <cell r="A336"/>
          <cell r="B336"/>
        </row>
        <row r="337">
          <cell r="A337"/>
          <cell r="B337"/>
        </row>
        <row r="338">
          <cell r="A338"/>
          <cell r="B338"/>
        </row>
        <row r="339">
          <cell r="A339"/>
          <cell r="B339"/>
        </row>
        <row r="340">
          <cell r="A340"/>
          <cell r="B340"/>
        </row>
        <row r="341">
          <cell r="A341"/>
          <cell r="B341"/>
        </row>
        <row r="342">
          <cell r="A342"/>
          <cell r="B342"/>
        </row>
        <row r="343">
          <cell r="A343"/>
          <cell r="B343"/>
        </row>
        <row r="344">
          <cell r="A344"/>
          <cell r="B344"/>
        </row>
        <row r="345">
          <cell r="A345"/>
          <cell r="B345"/>
        </row>
        <row r="346">
          <cell r="A346"/>
          <cell r="B346"/>
        </row>
        <row r="347">
          <cell r="A347"/>
          <cell r="B347"/>
        </row>
        <row r="348">
          <cell r="A348"/>
          <cell r="B348"/>
        </row>
        <row r="349">
          <cell r="A349"/>
          <cell r="B349"/>
        </row>
        <row r="350">
          <cell r="A350"/>
          <cell r="B350"/>
        </row>
        <row r="351">
          <cell r="A351"/>
          <cell r="B351"/>
        </row>
        <row r="352">
          <cell r="A352"/>
          <cell r="B352"/>
        </row>
        <row r="353">
          <cell r="A353"/>
          <cell r="B353"/>
        </row>
        <row r="354">
          <cell r="A354"/>
          <cell r="B354"/>
        </row>
        <row r="355">
          <cell r="A355"/>
          <cell r="B355"/>
        </row>
        <row r="356">
          <cell r="A356"/>
          <cell r="B356"/>
        </row>
        <row r="357">
          <cell r="A357"/>
          <cell r="B357"/>
        </row>
        <row r="358">
          <cell r="A358"/>
          <cell r="B358"/>
        </row>
        <row r="359">
          <cell r="A359"/>
          <cell r="B359"/>
        </row>
        <row r="360">
          <cell r="A360"/>
          <cell r="B360"/>
        </row>
        <row r="361">
          <cell r="A361"/>
          <cell r="B361"/>
        </row>
        <row r="362">
          <cell r="A362"/>
          <cell r="B362"/>
        </row>
        <row r="363">
          <cell r="A363"/>
          <cell r="B363"/>
        </row>
        <row r="364">
          <cell r="A364"/>
          <cell r="B364"/>
        </row>
        <row r="365">
          <cell r="A365"/>
          <cell r="B365"/>
        </row>
        <row r="366">
          <cell r="A366"/>
          <cell r="B366"/>
        </row>
        <row r="367">
          <cell r="A367"/>
          <cell r="B367"/>
        </row>
        <row r="368">
          <cell r="A368"/>
          <cell r="B368"/>
        </row>
        <row r="369">
          <cell r="A369"/>
          <cell r="B369"/>
        </row>
        <row r="370">
          <cell r="A370"/>
          <cell r="B370"/>
        </row>
        <row r="371">
          <cell r="A371"/>
          <cell r="B371"/>
        </row>
        <row r="372">
          <cell r="A372"/>
          <cell r="B372"/>
        </row>
        <row r="373">
          <cell r="A373"/>
          <cell r="B373"/>
        </row>
        <row r="374">
          <cell r="A374"/>
          <cell r="B374"/>
        </row>
        <row r="375">
          <cell r="A375"/>
          <cell r="B375"/>
        </row>
        <row r="376">
          <cell r="A376"/>
          <cell r="B376"/>
        </row>
        <row r="377">
          <cell r="A377"/>
          <cell r="B377"/>
        </row>
        <row r="378">
          <cell r="A378"/>
          <cell r="B378"/>
        </row>
        <row r="379">
          <cell r="A379"/>
          <cell r="B379"/>
        </row>
        <row r="380">
          <cell r="A380"/>
          <cell r="B380"/>
        </row>
        <row r="381">
          <cell r="A381"/>
          <cell r="B381"/>
        </row>
        <row r="382">
          <cell r="A382"/>
          <cell r="B382"/>
        </row>
        <row r="383">
          <cell r="A383"/>
          <cell r="B383"/>
        </row>
        <row r="384">
          <cell r="A384"/>
          <cell r="B384"/>
        </row>
        <row r="385">
          <cell r="A385"/>
          <cell r="B385"/>
        </row>
        <row r="386">
          <cell r="A386"/>
          <cell r="B386"/>
        </row>
        <row r="387">
          <cell r="A387"/>
          <cell r="B387"/>
        </row>
        <row r="388">
          <cell r="A388"/>
          <cell r="B388"/>
        </row>
        <row r="389">
          <cell r="A389"/>
          <cell r="B389"/>
        </row>
        <row r="390">
          <cell r="A390"/>
          <cell r="B390"/>
        </row>
        <row r="391">
          <cell r="A391"/>
          <cell r="B391"/>
        </row>
        <row r="392">
          <cell r="A392"/>
          <cell r="B392"/>
        </row>
        <row r="393">
          <cell r="A393"/>
          <cell r="B393"/>
        </row>
        <row r="394">
          <cell r="A394"/>
          <cell r="B394"/>
        </row>
        <row r="395">
          <cell r="A395"/>
          <cell r="B395"/>
        </row>
        <row r="396">
          <cell r="A396"/>
          <cell r="B396"/>
        </row>
        <row r="397">
          <cell r="A397"/>
          <cell r="B397"/>
        </row>
        <row r="398">
          <cell r="A398"/>
          <cell r="B398"/>
        </row>
        <row r="399">
          <cell r="A399"/>
          <cell r="B399"/>
        </row>
        <row r="400">
          <cell r="A400"/>
          <cell r="B400"/>
        </row>
        <row r="401">
          <cell r="A401"/>
          <cell r="B401"/>
        </row>
        <row r="402">
          <cell r="A402"/>
          <cell r="B402"/>
        </row>
        <row r="403">
          <cell r="A403"/>
          <cell r="B403"/>
        </row>
        <row r="404">
          <cell r="A404"/>
          <cell r="B404"/>
        </row>
        <row r="405">
          <cell r="A405"/>
          <cell r="B405"/>
        </row>
        <row r="406">
          <cell r="A406"/>
          <cell r="B406"/>
        </row>
        <row r="407">
          <cell r="A407"/>
          <cell r="B407"/>
        </row>
        <row r="408">
          <cell r="A408"/>
          <cell r="B408"/>
        </row>
        <row r="409">
          <cell r="A409"/>
          <cell r="B409"/>
        </row>
        <row r="410">
          <cell r="A410"/>
          <cell r="B410"/>
        </row>
        <row r="411">
          <cell r="A411"/>
          <cell r="B411"/>
        </row>
        <row r="412">
          <cell r="A412"/>
          <cell r="B412"/>
        </row>
        <row r="413">
          <cell r="A413"/>
          <cell r="B413"/>
        </row>
        <row r="414">
          <cell r="A414"/>
          <cell r="B414"/>
        </row>
        <row r="415">
          <cell r="A415"/>
          <cell r="B415"/>
        </row>
        <row r="416">
          <cell r="A416"/>
          <cell r="B416"/>
        </row>
        <row r="417">
          <cell r="A417"/>
          <cell r="B417"/>
        </row>
        <row r="418">
          <cell r="A418"/>
          <cell r="B418"/>
        </row>
        <row r="419">
          <cell r="A419"/>
          <cell r="B419"/>
        </row>
        <row r="420">
          <cell r="A420"/>
          <cell r="B420"/>
        </row>
        <row r="421">
          <cell r="A421"/>
          <cell r="B421"/>
        </row>
        <row r="422">
          <cell r="A422"/>
          <cell r="B422"/>
        </row>
        <row r="423">
          <cell r="A423"/>
          <cell r="B423"/>
        </row>
        <row r="424">
          <cell r="A424"/>
          <cell r="B424"/>
        </row>
        <row r="425">
          <cell r="A425"/>
          <cell r="B425"/>
        </row>
        <row r="426">
          <cell r="A426"/>
          <cell r="B426"/>
        </row>
        <row r="427">
          <cell r="A427"/>
          <cell r="B427"/>
        </row>
        <row r="428">
          <cell r="A428"/>
          <cell r="B428"/>
        </row>
        <row r="429">
          <cell r="A429"/>
          <cell r="B429"/>
        </row>
        <row r="430">
          <cell r="A430"/>
          <cell r="B430"/>
        </row>
        <row r="431">
          <cell r="A431"/>
          <cell r="B431"/>
        </row>
        <row r="432">
          <cell r="A432"/>
          <cell r="B432"/>
        </row>
        <row r="433">
          <cell r="A433"/>
          <cell r="B433"/>
        </row>
        <row r="434">
          <cell r="A434"/>
          <cell r="B434"/>
        </row>
        <row r="435">
          <cell r="A435"/>
          <cell r="B435"/>
        </row>
        <row r="436">
          <cell r="A436"/>
          <cell r="B436"/>
        </row>
        <row r="437">
          <cell r="A437"/>
          <cell r="B437"/>
        </row>
        <row r="438">
          <cell r="A438"/>
          <cell r="B438"/>
        </row>
        <row r="439">
          <cell r="A439"/>
          <cell r="B439"/>
        </row>
        <row r="440">
          <cell r="A440"/>
          <cell r="B440"/>
        </row>
        <row r="441">
          <cell r="A441"/>
          <cell r="B441"/>
        </row>
        <row r="442">
          <cell r="A442"/>
          <cell r="B442"/>
        </row>
        <row r="443">
          <cell r="A443"/>
          <cell r="B443"/>
        </row>
        <row r="444">
          <cell r="A444"/>
          <cell r="B444"/>
        </row>
        <row r="445">
          <cell r="A445"/>
          <cell r="B445"/>
        </row>
        <row r="446">
          <cell r="A446"/>
          <cell r="B446"/>
        </row>
        <row r="447">
          <cell r="A447"/>
          <cell r="B447"/>
        </row>
        <row r="448">
          <cell r="A448"/>
          <cell r="B448"/>
        </row>
        <row r="449">
          <cell r="A449"/>
          <cell r="B449"/>
        </row>
        <row r="450">
          <cell r="A450"/>
          <cell r="B450"/>
        </row>
        <row r="451">
          <cell r="A451"/>
          <cell r="B451"/>
        </row>
        <row r="452">
          <cell r="A452"/>
          <cell r="B452"/>
        </row>
        <row r="453">
          <cell r="A453"/>
          <cell r="B453"/>
        </row>
        <row r="454">
          <cell r="A454"/>
          <cell r="B454"/>
        </row>
        <row r="455">
          <cell r="A455"/>
          <cell r="B455"/>
        </row>
        <row r="456">
          <cell r="A456"/>
          <cell r="B456"/>
        </row>
        <row r="457">
          <cell r="A457"/>
          <cell r="B457"/>
        </row>
        <row r="458">
          <cell r="A458"/>
          <cell r="B458"/>
        </row>
        <row r="459">
          <cell r="A459"/>
          <cell r="B459"/>
        </row>
        <row r="460">
          <cell r="A460"/>
          <cell r="B460"/>
        </row>
        <row r="461">
          <cell r="A461"/>
          <cell r="B461"/>
        </row>
        <row r="462">
          <cell r="A462"/>
          <cell r="B462"/>
        </row>
        <row r="463">
          <cell r="A463"/>
          <cell r="B463"/>
        </row>
        <row r="464">
          <cell r="A464"/>
          <cell r="B464"/>
        </row>
        <row r="465">
          <cell r="A465"/>
          <cell r="B465"/>
        </row>
        <row r="466">
          <cell r="A466"/>
          <cell r="B466"/>
        </row>
        <row r="467">
          <cell r="A467"/>
          <cell r="B467"/>
        </row>
        <row r="468">
          <cell r="A468"/>
          <cell r="B468"/>
        </row>
        <row r="469">
          <cell r="A469"/>
          <cell r="B469"/>
        </row>
        <row r="470">
          <cell r="A470"/>
          <cell r="B470"/>
        </row>
        <row r="471">
          <cell r="A471"/>
          <cell r="B471"/>
        </row>
        <row r="472">
          <cell r="A472"/>
          <cell r="B472"/>
        </row>
        <row r="473">
          <cell r="A473"/>
          <cell r="B473"/>
        </row>
        <row r="474">
          <cell r="A474"/>
          <cell r="B474"/>
        </row>
        <row r="475">
          <cell r="A475"/>
          <cell r="B475"/>
        </row>
        <row r="476">
          <cell r="A476"/>
          <cell r="B476"/>
        </row>
        <row r="477">
          <cell r="A477"/>
          <cell r="B477"/>
        </row>
        <row r="478">
          <cell r="A478"/>
          <cell r="B478"/>
        </row>
        <row r="479">
          <cell r="A479"/>
          <cell r="B479"/>
        </row>
        <row r="480">
          <cell r="A480"/>
          <cell r="B480"/>
        </row>
        <row r="481">
          <cell r="A481"/>
          <cell r="B481"/>
        </row>
        <row r="482">
          <cell r="A482"/>
          <cell r="B482"/>
        </row>
        <row r="483">
          <cell r="A483"/>
          <cell r="B483"/>
        </row>
        <row r="484">
          <cell r="A484"/>
          <cell r="B484"/>
        </row>
        <row r="485">
          <cell r="A485"/>
          <cell r="B485"/>
        </row>
        <row r="486">
          <cell r="A486"/>
          <cell r="B486"/>
        </row>
        <row r="487">
          <cell r="A487"/>
          <cell r="B487"/>
        </row>
        <row r="488">
          <cell r="A488"/>
          <cell r="B488"/>
        </row>
        <row r="489">
          <cell r="A489"/>
          <cell r="B489"/>
        </row>
        <row r="490">
          <cell r="A490"/>
          <cell r="B490"/>
        </row>
        <row r="491">
          <cell r="A491"/>
          <cell r="B491"/>
        </row>
        <row r="492">
          <cell r="A492"/>
          <cell r="B492"/>
        </row>
        <row r="493">
          <cell r="A493"/>
          <cell r="B493"/>
        </row>
        <row r="494">
          <cell r="A494"/>
          <cell r="B494"/>
        </row>
        <row r="495">
          <cell r="A495"/>
          <cell r="B495"/>
        </row>
        <row r="496">
          <cell r="A496"/>
          <cell r="B496"/>
        </row>
        <row r="497">
          <cell r="A497"/>
          <cell r="B497"/>
        </row>
        <row r="498">
          <cell r="A498"/>
          <cell r="B498"/>
        </row>
        <row r="499">
          <cell r="A499"/>
          <cell r="B499"/>
        </row>
        <row r="500">
          <cell r="A500"/>
          <cell r="B500"/>
        </row>
        <row r="501">
          <cell r="A501"/>
          <cell r="B501"/>
        </row>
        <row r="502">
          <cell r="A502"/>
          <cell r="B502"/>
        </row>
        <row r="503">
          <cell r="A503"/>
          <cell r="B503"/>
        </row>
        <row r="504">
          <cell r="A504"/>
          <cell r="B504"/>
        </row>
        <row r="505">
          <cell r="A505"/>
          <cell r="B505"/>
        </row>
        <row r="506">
          <cell r="A506"/>
          <cell r="B506"/>
        </row>
        <row r="507">
          <cell r="A507"/>
          <cell r="B507"/>
        </row>
        <row r="508">
          <cell r="A508"/>
          <cell r="B508"/>
        </row>
        <row r="509">
          <cell r="A509"/>
          <cell r="B509"/>
        </row>
        <row r="510">
          <cell r="A510"/>
          <cell r="B510"/>
        </row>
        <row r="511">
          <cell r="A511"/>
          <cell r="B511"/>
        </row>
        <row r="512">
          <cell r="A512"/>
          <cell r="B512"/>
        </row>
        <row r="513">
          <cell r="A513"/>
          <cell r="B513"/>
        </row>
        <row r="514">
          <cell r="A514"/>
          <cell r="B514"/>
        </row>
        <row r="515">
          <cell r="A515"/>
          <cell r="B515"/>
        </row>
        <row r="516">
          <cell r="A516"/>
          <cell r="B516"/>
        </row>
        <row r="517">
          <cell r="A517"/>
          <cell r="B517"/>
        </row>
        <row r="518">
          <cell r="A518"/>
          <cell r="B518"/>
        </row>
        <row r="519">
          <cell r="A519"/>
          <cell r="B519"/>
        </row>
        <row r="520">
          <cell r="A520"/>
          <cell r="B520"/>
        </row>
        <row r="521">
          <cell r="A521"/>
          <cell r="B521"/>
        </row>
        <row r="522">
          <cell r="A522"/>
          <cell r="B522"/>
        </row>
        <row r="523">
          <cell r="A523"/>
          <cell r="B523"/>
        </row>
        <row r="524">
          <cell r="A524"/>
          <cell r="B524"/>
        </row>
        <row r="525">
          <cell r="A525"/>
          <cell r="B525"/>
        </row>
        <row r="526">
          <cell r="A526"/>
          <cell r="B526"/>
        </row>
        <row r="527">
          <cell r="A527"/>
          <cell r="B527"/>
        </row>
        <row r="528">
          <cell r="A528"/>
          <cell r="B528"/>
        </row>
        <row r="529">
          <cell r="A529"/>
          <cell r="B529"/>
        </row>
        <row r="530">
          <cell r="A530"/>
          <cell r="B530"/>
        </row>
        <row r="531">
          <cell r="A531"/>
          <cell r="B531"/>
        </row>
        <row r="532">
          <cell r="A532"/>
          <cell r="B532"/>
        </row>
        <row r="533">
          <cell r="A533"/>
          <cell r="B533"/>
        </row>
        <row r="534">
          <cell r="A534"/>
          <cell r="B534"/>
        </row>
        <row r="535">
          <cell r="A535"/>
          <cell r="B535"/>
        </row>
        <row r="536">
          <cell r="A536"/>
          <cell r="B536"/>
        </row>
        <row r="537">
          <cell r="A537"/>
          <cell r="B537"/>
        </row>
        <row r="538">
          <cell r="A538"/>
          <cell r="B538"/>
        </row>
        <row r="539">
          <cell r="A539"/>
          <cell r="B539"/>
        </row>
        <row r="540">
          <cell r="A540"/>
          <cell r="B540"/>
        </row>
        <row r="541">
          <cell r="A541"/>
          <cell r="B541"/>
        </row>
        <row r="542">
          <cell r="A542"/>
          <cell r="B542"/>
        </row>
        <row r="543">
          <cell r="A543"/>
          <cell r="B543"/>
        </row>
        <row r="544">
          <cell r="A544"/>
          <cell r="B544"/>
        </row>
        <row r="545">
          <cell r="A545"/>
          <cell r="B545"/>
        </row>
        <row r="546">
          <cell r="A546"/>
          <cell r="B546"/>
        </row>
        <row r="547">
          <cell r="A547"/>
          <cell r="B547"/>
        </row>
        <row r="548">
          <cell r="A548"/>
          <cell r="B548"/>
        </row>
        <row r="549">
          <cell r="A549"/>
          <cell r="B549"/>
        </row>
        <row r="550">
          <cell r="A550"/>
          <cell r="B550"/>
        </row>
        <row r="551">
          <cell r="A551"/>
          <cell r="B551"/>
        </row>
        <row r="552">
          <cell r="A552"/>
          <cell r="B552"/>
        </row>
        <row r="553">
          <cell r="A553"/>
          <cell r="B553"/>
        </row>
        <row r="554">
          <cell r="A554"/>
          <cell r="B554"/>
        </row>
        <row r="555">
          <cell r="A555"/>
          <cell r="B555"/>
        </row>
        <row r="556">
          <cell r="A556"/>
          <cell r="B556"/>
        </row>
        <row r="557">
          <cell r="A557"/>
          <cell r="B557"/>
        </row>
        <row r="558">
          <cell r="A558"/>
          <cell r="B558"/>
        </row>
        <row r="559">
          <cell r="A559"/>
          <cell r="B559"/>
        </row>
        <row r="560">
          <cell r="A560"/>
          <cell r="B560"/>
        </row>
        <row r="561">
          <cell r="A561"/>
          <cell r="B561"/>
        </row>
        <row r="562">
          <cell r="A562"/>
          <cell r="B562"/>
        </row>
        <row r="563">
          <cell r="A563"/>
          <cell r="B563"/>
        </row>
        <row r="564">
          <cell r="A564"/>
          <cell r="B564"/>
        </row>
        <row r="565">
          <cell r="A565"/>
          <cell r="B565"/>
        </row>
        <row r="566">
          <cell r="A566"/>
          <cell r="B566"/>
        </row>
        <row r="567">
          <cell r="A567"/>
          <cell r="B567"/>
        </row>
        <row r="568">
          <cell r="A568"/>
          <cell r="B568"/>
        </row>
        <row r="569">
          <cell r="A569"/>
          <cell r="B569"/>
        </row>
        <row r="570">
          <cell r="A570"/>
          <cell r="B570"/>
        </row>
        <row r="571">
          <cell r="A571"/>
          <cell r="B571"/>
        </row>
        <row r="572">
          <cell r="A572"/>
          <cell r="B572"/>
        </row>
        <row r="573">
          <cell r="A573"/>
          <cell r="B573"/>
        </row>
        <row r="574">
          <cell r="A574"/>
          <cell r="B574"/>
        </row>
        <row r="575">
          <cell r="A575"/>
          <cell r="B575"/>
        </row>
        <row r="576">
          <cell r="A576"/>
          <cell r="B576"/>
        </row>
        <row r="577">
          <cell r="A577"/>
          <cell r="B577"/>
        </row>
        <row r="578">
          <cell r="A578"/>
          <cell r="B578"/>
        </row>
        <row r="579">
          <cell r="A579"/>
          <cell r="B579"/>
        </row>
        <row r="580">
          <cell r="A580"/>
          <cell r="B580"/>
        </row>
        <row r="581">
          <cell r="A581"/>
          <cell r="B581"/>
        </row>
        <row r="582">
          <cell r="A582"/>
          <cell r="B582"/>
        </row>
        <row r="583">
          <cell r="A583"/>
          <cell r="B583"/>
        </row>
        <row r="584">
          <cell r="A584"/>
          <cell r="B584"/>
        </row>
        <row r="585">
          <cell r="A585"/>
          <cell r="B585"/>
        </row>
        <row r="586">
          <cell r="A586"/>
          <cell r="B586"/>
        </row>
        <row r="587">
          <cell r="A587"/>
          <cell r="B587"/>
        </row>
        <row r="588">
          <cell r="A588"/>
          <cell r="B588"/>
        </row>
        <row r="589">
          <cell r="A589"/>
          <cell r="B589"/>
        </row>
        <row r="590">
          <cell r="A590"/>
          <cell r="B590"/>
        </row>
        <row r="591">
          <cell r="A591"/>
          <cell r="B591"/>
        </row>
        <row r="592">
          <cell r="A592"/>
          <cell r="B592"/>
        </row>
        <row r="593">
          <cell r="A593"/>
          <cell r="B593"/>
        </row>
        <row r="594">
          <cell r="A594"/>
          <cell r="B594"/>
        </row>
        <row r="595">
          <cell r="A595"/>
          <cell r="B595"/>
        </row>
        <row r="596">
          <cell r="A596"/>
          <cell r="B596"/>
        </row>
        <row r="597">
          <cell r="A597"/>
          <cell r="B597"/>
        </row>
        <row r="598">
          <cell r="A598"/>
          <cell r="B598"/>
        </row>
        <row r="599">
          <cell r="A599"/>
          <cell r="B599"/>
        </row>
        <row r="600">
          <cell r="A600"/>
          <cell r="B600"/>
        </row>
        <row r="601">
          <cell r="A601"/>
          <cell r="B601"/>
        </row>
        <row r="602">
          <cell r="A602"/>
          <cell r="B602"/>
        </row>
        <row r="603">
          <cell r="A603"/>
          <cell r="B603"/>
        </row>
        <row r="604">
          <cell r="A604"/>
          <cell r="B604"/>
        </row>
        <row r="605">
          <cell r="A605"/>
          <cell r="B605"/>
        </row>
        <row r="606">
          <cell r="A606"/>
          <cell r="B606"/>
        </row>
        <row r="607">
          <cell r="A607"/>
          <cell r="B607"/>
        </row>
        <row r="608">
          <cell r="A608"/>
          <cell r="B608"/>
        </row>
        <row r="609">
          <cell r="A609"/>
          <cell r="B609"/>
        </row>
        <row r="610">
          <cell r="A610"/>
          <cell r="B610"/>
        </row>
        <row r="611">
          <cell r="A611"/>
          <cell r="B611"/>
        </row>
        <row r="612">
          <cell r="A612"/>
          <cell r="B612"/>
        </row>
        <row r="613">
          <cell r="A613"/>
          <cell r="B613"/>
        </row>
        <row r="614">
          <cell r="A614"/>
          <cell r="B614"/>
        </row>
        <row r="615">
          <cell r="A615"/>
          <cell r="B615"/>
        </row>
        <row r="616">
          <cell r="A616"/>
          <cell r="B616"/>
        </row>
        <row r="617">
          <cell r="A617"/>
          <cell r="B617"/>
        </row>
        <row r="618">
          <cell r="A618"/>
          <cell r="B618"/>
        </row>
        <row r="619">
          <cell r="A619"/>
          <cell r="B619"/>
        </row>
        <row r="620">
          <cell r="A620"/>
          <cell r="B620"/>
        </row>
        <row r="621">
          <cell r="A621"/>
          <cell r="B621"/>
        </row>
        <row r="622">
          <cell r="A622"/>
          <cell r="B622"/>
        </row>
        <row r="623">
          <cell r="A623"/>
          <cell r="B623"/>
        </row>
        <row r="624">
          <cell r="A624"/>
          <cell r="B624"/>
        </row>
        <row r="625">
          <cell r="A625"/>
          <cell r="B625"/>
        </row>
        <row r="626">
          <cell r="A626"/>
          <cell r="B626"/>
        </row>
        <row r="627">
          <cell r="A627"/>
          <cell r="B627"/>
        </row>
        <row r="628">
          <cell r="A628"/>
          <cell r="B628"/>
        </row>
        <row r="629">
          <cell r="A629"/>
          <cell r="B629"/>
        </row>
        <row r="630">
          <cell r="A630"/>
          <cell r="B630"/>
        </row>
        <row r="631">
          <cell r="A631"/>
          <cell r="B631"/>
        </row>
        <row r="632">
          <cell r="A632"/>
          <cell r="B632"/>
        </row>
        <row r="633">
          <cell r="A633"/>
          <cell r="B633"/>
        </row>
        <row r="634">
          <cell r="A634"/>
          <cell r="B634"/>
        </row>
        <row r="635">
          <cell r="A635"/>
          <cell r="B635"/>
        </row>
        <row r="636">
          <cell r="A636"/>
          <cell r="B636"/>
        </row>
        <row r="637">
          <cell r="A637"/>
          <cell r="B637"/>
        </row>
        <row r="638">
          <cell r="A638"/>
          <cell r="B638"/>
        </row>
        <row r="639">
          <cell r="A639"/>
          <cell r="B639"/>
        </row>
        <row r="640">
          <cell r="A640"/>
          <cell r="B640"/>
        </row>
        <row r="641">
          <cell r="A641"/>
          <cell r="B641"/>
        </row>
        <row r="642">
          <cell r="A642"/>
          <cell r="B642"/>
        </row>
        <row r="643">
          <cell r="A643"/>
          <cell r="B643"/>
        </row>
        <row r="644">
          <cell r="A644"/>
          <cell r="B644"/>
        </row>
        <row r="645">
          <cell r="A645"/>
          <cell r="B645"/>
        </row>
        <row r="646">
          <cell r="A646"/>
          <cell r="B646"/>
        </row>
        <row r="647">
          <cell r="A647"/>
          <cell r="B647"/>
        </row>
        <row r="648">
          <cell r="A648"/>
          <cell r="B648"/>
        </row>
        <row r="649">
          <cell r="A649"/>
          <cell r="B649"/>
        </row>
        <row r="650">
          <cell r="A650"/>
          <cell r="B650"/>
        </row>
        <row r="651">
          <cell r="A651"/>
          <cell r="B651"/>
        </row>
        <row r="652">
          <cell r="A652"/>
          <cell r="B652"/>
        </row>
        <row r="653">
          <cell r="A653"/>
          <cell r="B653"/>
        </row>
        <row r="654">
          <cell r="A654"/>
          <cell r="B654"/>
        </row>
        <row r="655">
          <cell r="A655"/>
          <cell r="B655"/>
        </row>
        <row r="656">
          <cell r="A656"/>
          <cell r="B656"/>
        </row>
        <row r="657">
          <cell r="A657"/>
          <cell r="B657"/>
        </row>
        <row r="658">
          <cell r="A658"/>
          <cell r="B658"/>
        </row>
        <row r="659">
          <cell r="A659"/>
          <cell r="B659"/>
        </row>
        <row r="660">
          <cell r="A660"/>
          <cell r="B660"/>
        </row>
        <row r="661">
          <cell r="A661"/>
          <cell r="B661"/>
        </row>
        <row r="662">
          <cell r="A662"/>
          <cell r="B662"/>
        </row>
        <row r="663">
          <cell r="A663"/>
          <cell r="B663"/>
        </row>
        <row r="664">
          <cell r="A664"/>
          <cell r="B664"/>
        </row>
        <row r="665">
          <cell r="A665"/>
          <cell r="B665"/>
        </row>
        <row r="666">
          <cell r="A666"/>
          <cell r="B666"/>
        </row>
        <row r="667">
          <cell r="A667"/>
          <cell r="B667"/>
        </row>
        <row r="668">
          <cell r="A668"/>
          <cell r="B668"/>
        </row>
        <row r="669">
          <cell r="A669"/>
          <cell r="B669"/>
        </row>
        <row r="670">
          <cell r="A670"/>
          <cell r="B670"/>
        </row>
        <row r="671">
          <cell r="A671"/>
          <cell r="B671"/>
        </row>
        <row r="672">
          <cell r="A672"/>
          <cell r="B672"/>
        </row>
        <row r="673">
          <cell r="A673"/>
          <cell r="B673"/>
        </row>
        <row r="674">
          <cell r="A674"/>
          <cell r="B674"/>
        </row>
        <row r="675">
          <cell r="A675"/>
          <cell r="B675"/>
        </row>
        <row r="676">
          <cell r="A676"/>
          <cell r="B676"/>
        </row>
        <row r="677">
          <cell r="A677"/>
          <cell r="B677"/>
        </row>
        <row r="678">
          <cell r="A678"/>
          <cell r="B678"/>
        </row>
        <row r="679">
          <cell r="A679"/>
          <cell r="B679"/>
        </row>
        <row r="680">
          <cell r="A680"/>
          <cell r="B680"/>
        </row>
        <row r="681">
          <cell r="A681"/>
          <cell r="B681"/>
        </row>
        <row r="682">
          <cell r="A682"/>
          <cell r="B682"/>
        </row>
        <row r="683">
          <cell r="A683"/>
          <cell r="B683"/>
        </row>
        <row r="684">
          <cell r="A684"/>
          <cell r="B684"/>
        </row>
        <row r="685">
          <cell r="A685"/>
          <cell r="B685"/>
        </row>
        <row r="686">
          <cell r="A686"/>
          <cell r="B686"/>
        </row>
        <row r="687">
          <cell r="A687"/>
          <cell r="B687"/>
        </row>
        <row r="688">
          <cell r="A688"/>
          <cell r="B688"/>
        </row>
        <row r="689">
          <cell r="A689"/>
          <cell r="B689"/>
        </row>
        <row r="690">
          <cell r="A690"/>
          <cell r="B690"/>
        </row>
        <row r="691">
          <cell r="A691"/>
          <cell r="B691"/>
        </row>
        <row r="692">
          <cell r="A692"/>
          <cell r="B692"/>
        </row>
        <row r="693">
          <cell r="A693"/>
          <cell r="B693"/>
        </row>
        <row r="694">
          <cell r="A694"/>
          <cell r="B694"/>
        </row>
        <row r="695">
          <cell r="A695"/>
          <cell r="B695"/>
        </row>
        <row r="696">
          <cell r="A696"/>
          <cell r="B696"/>
        </row>
        <row r="697">
          <cell r="A697"/>
          <cell r="B697"/>
        </row>
        <row r="698">
          <cell r="A698"/>
          <cell r="B698"/>
        </row>
        <row r="699">
          <cell r="A699"/>
          <cell r="B699"/>
        </row>
        <row r="700">
          <cell r="A700"/>
          <cell r="B700"/>
        </row>
        <row r="701">
          <cell r="A701"/>
          <cell r="B701"/>
        </row>
        <row r="702">
          <cell r="A702"/>
          <cell r="B702"/>
        </row>
        <row r="703">
          <cell r="A703"/>
          <cell r="B703"/>
        </row>
        <row r="704">
          <cell r="A704"/>
          <cell r="B704"/>
        </row>
        <row r="705">
          <cell r="A705"/>
          <cell r="B705"/>
        </row>
        <row r="706">
          <cell r="A706"/>
          <cell r="B706"/>
        </row>
        <row r="707">
          <cell r="A707"/>
          <cell r="B707"/>
        </row>
        <row r="708">
          <cell r="A708"/>
          <cell r="B708"/>
        </row>
        <row r="709">
          <cell r="A709"/>
          <cell r="B709"/>
        </row>
        <row r="710">
          <cell r="A710"/>
          <cell r="B710"/>
        </row>
        <row r="711">
          <cell r="A711"/>
          <cell r="B711"/>
        </row>
        <row r="712">
          <cell r="A712"/>
          <cell r="B712"/>
        </row>
        <row r="713">
          <cell r="A713"/>
          <cell r="B713"/>
        </row>
        <row r="714">
          <cell r="A714"/>
          <cell r="B714"/>
        </row>
        <row r="715">
          <cell r="A715"/>
          <cell r="B715"/>
        </row>
        <row r="716">
          <cell r="A716"/>
          <cell r="B716"/>
        </row>
        <row r="717">
          <cell r="A717"/>
          <cell r="B717"/>
        </row>
        <row r="718">
          <cell r="A718"/>
          <cell r="B718"/>
        </row>
        <row r="719">
          <cell r="A719"/>
          <cell r="B719"/>
        </row>
        <row r="720">
          <cell r="A720"/>
          <cell r="B720"/>
        </row>
        <row r="721">
          <cell r="A721"/>
          <cell r="B721"/>
        </row>
        <row r="722">
          <cell r="A722"/>
          <cell r="B722"/>
        </row>
        <row r="723">
          <cell r="A723"/>
          <cell r="B723"/>
        </row>
        <row r="724">
          <cell r="A724"/>
          <cell r="B724"/>
        </row>
        <row r="725">
          <cell r="A725"/>
          <cell r="B725"/>
        </row>
        <row r="726">
          <cell r="A726"/>
          <cell r="B726"/>
        </row>
        <row r="727">
          <cell r="A727"/>
          <cell r="B727"/>
        </row>
        <row r="728">
          <cell r="A728"/>
          <cell r="B728"/>
        </row>
        <row r="729">
          <cell r="A729"/>
          <cell r="B729"/>
        </row>
        <row r="730">
          <cell r="A730"/>
          <cell r="B730"/>
        </row>
        <row r="731">
          <cell r="A731"/>
          <cell r="B731"/>
        </row>
        <row r="732">
          <cell r="A732"/>
          <cell r="B732"/>
        </row>
        <row r="733">
          <cell r="A733"/>
          <cell r="B733"/>
        </row>
        <row r="734">
          <cell r="A734"/>
          <cell r="B734"/>
        </row>
        <row r="735">
          <cell r="A735"/>
          <cell r="B735"/>
        </row>
        <row r="736">
          <cell r="A736"/>
          <cell r="B736"/>
        </row>
        <row r="737">
          <cell r="A737"/>
          <cell r="B737"/>
        </row>
        <row r="738">
          <cell r="A738"/>
          <cell r="B738"/>
        </row>
        <row r="739">
          <cell r="A739"/>
          <cell r="B739"/>
        </row>
        <row r="740">
          <cell r="A740"/>
          <cell r="B740"/>
        </row>
        <row r="741">
          <cell r="A741"/>
          <cell r="B741"/>
        </row>
        <row r="742">
          <cell r="A742"/>
          <cell r="B742"/>
        </row>
        <row r="743">
          <cell r="A743"/>
          <cell r="B743"/>
        </row>
        <row r="744">
          <cell r="A744"/>
          <cell r="B744"/>
        </row>
        <row r="745">
          <cell r="A745"/>
          <cell r="B745"/>
        </row>
        <row r="746">
          <cell r="A746"/>
          <cell r="B746"/>
        </row>
        <row r="747">
          <cell r="A747"/>
          <cell r="B747"/>
        </row>
        <row r="748">
          <cell r="A748"/>
          <cell r="B748"/>
        </row>
        <row r="749">
          <cell r="A749"/>
          <cell r="B749"/>
        </row>
        <row r="750">
          <cell r="A750"/>
          <cell r="B750"/>
        </row>
        <row r="751">
          <cell r="A751"/>
          <cell r="B751"/>
        </row>
        <row r="752">
          <cell r="A752"/>
          <cell r="B752"/>
        </row>
        <row r="753">
          <cell r="A753"/>
          <cell r="B753"/>
        </row>
        <row r="754">
          <cell r="A754"/>
          <cell r="B754"/>
        </row>
        <row r="755">
          <cell r="A755"/>
          <cell r="B755"/>
        </row>
        <row r="756">
          <cell r="A756"/>
          <cell r="B756"/>
        </row>
        <row r="757">
          <cell r="A757"/>
          <cell r="B757"/>
        </row>
        <row r="758">
          <cell r="A758"/>
          <cell r="B758"/>
        </row>
        <row r="759">
          <cell r="A759"/>
          <cell r="B759"/>
        </row>
        <row r="760">
          <cell r="A760"/>
          <cell r="B760"/>
        </row>
        <row r="761">
          <cell r="A761"/>
          <cell r="B761"/>
        </row>
        <row r="762">
          <cell r="A762"/>
          <cell r="B762"/>
        </row>
        <row r="763">
          <cell r="A763"/>
          <cell r="B763"/>
        </row>
        <row r="764">
          <cell r="A764"/>
          <cell r="B764"/>
        </row>
        <row r="765">
          <cell r="A765"/>
          <cell r="B765"/>
        </row>
        <row r="766">
          <cell r="A766"/>
          <cell r="B766"/>
        </row>
        <row r="767">
          <cell r="A767"/>
          <cell r="B767"/>
        </row>
        <row r="768">
          <cell r="A768"/>
          <cell r="B768"/>
        </row>
        <row r="769">
          <cell r="A769"/>
          <cell r="B769"/>
        </row>
        <row r="770">
          <cell r="A770"/>
          <cell r="B770"/>
        </row>
        <row r="771">
          <cell r="A771"/>
          <cell r="B771"/>
        </row>
        <row r="772">
          <cell r="A772"/>
          <cell r="B772"/>
        </row>
        <row r="773">
          <cell r="A773"/>
          <cell r="B773"/>
        </row>
        <row r="774">
          <cell r="A774"/>
          <cell r="B774"/>
        </row>
        <row r="775">
          <cell r="A775"/>
          <cell r="B775"/>
        </row>
        <row r="776">
          <cell r="A776"/>
          <cell r="B776"/>
        </row>
        <row r="777">
          <cell r="A777"/>
          <cell r="B777"/>
        </row>
        <row r="778">
          <cell r="A778"/>
          <cell r="B778"/>
        </row>
        <row r="779">
          <cell r="A779"/>
          <cell r="B779"/>
        </row>
        <row r="780">
          <cell r="A780"/>
          <cell r="B780"/>
        </row>
        <row r="781">
          <cell r="A781"/>
          <cell r="B781"/>
        </row>
        <row r="782">
          <cell r="A782"/>
          <cell r="B782"/>
        </row>
        <row r="783">
          <cell r="A783"/>
          <cell r="B783"/>
        </row>
        <row r="784">
          <cell r="A784"/>
          <cell r="B784"/>
        </row>
        <row r="785">
          <cell r="A785"/>
          <cell r="B785"/>
        </row>
        <row r="786">
          <cell r="A786"/>
          <cell r="B786"/>
        </row>
        <row r="787">
          <cell r="A787"/>
          <cell r="B787"/>
        </row>
        <row r="788">
          <cell r="A788"/>
          <cell r="B788"/>
        </row>
        <row r="789">
          <cell r="A789"/>
          <cell r="B789"/>
        </row>
        <row r="790">
          <cell r="A790"/>
          <cell r="B790"/>
        </row>
        <row r="791">
          <cell r="A791"/>
          <cell r="B791"/>
        </row>
        <row r="792">
          <cell r="A792"/>
          <cell r="B792"/>
        </row>
        <row r="793">
          <cell r="A793"/>
          <cell r="B793"/>
        </row>
        <row r="794">
          <cell r="A794"/>
          <cell r="B794"/>
        </row>
        <row r="795">
          <cell r="A795"/>
          <cell r="B795"/>
        </row>
        <row r="796">
          <cell r="A796"/>
          <cell r="B796"/>
        </row>
        <row r="797">
          <cell r="A797"/>
          <cell r="B797"/>
        </row>
        <row r="798">
          <cell r="A798"/>
          <cell r="B798"/>
        </row>
        <row r="799">
          <cell r="A799"/>
          <cell r="B799"/>
        </row>
        <row r="800">
          <cell r="A800"/>
          <cell r="B800"/>
        </row>
        <row r="801">
          <cell r="A801"/>
          <cell r="B801"/>
        </row>
        <row r="802">
          <cell r="A802"/>
          <cell r="B802"/>
        </row>
        <row r="803">
          <cell r="A803"/>
          <cell r="B803"/>
        </row>
        <row r="804">
          <cell r="A804"/>
          <cell r="B804"/>
        </row>
        <row r="805">
          <cell r="A805"/>
          <cell r="B805"/>
        </row>
        <row r="806">
          <cell r="A806"/>
          <cell r="B806"/>
        </row>
        <row r="807">
          <cell r="A807"/>
          <cell r="B807"/>
        </row>
        <row r="808">
          <cell r="A808"/>
          <cell r="B808"/>
        </row>
        <row r="809">
          <cell r="A809"/>
          <cell r="B809"/>
        </row>
        <row r="810">
          <cell r="A810"/>
          <cell r="B810"/>
        </row>
        <row r="811">
          <cell r="A811"/>
          <cell r="B811"/>
        </row>
        <row r="812">
          <cell r="A812"/>
          <cell r="B812"/>
        </row>
        <row r="813">
          <cell r="A813"/>
          <cell r="B813"/>
        </row>
        <row r="814">
          <cell r="A814"/>
          <cell r="B814"/>
        </row>
        <row r="815">
          <cell r="A815"/>
          <cell r="B815"/>
        </row>
        <row r="816">
          <cell r="A816"/>
          <cell r="B816"/>
        </row>
        <row r="817">
          <cell r="A817"/>
          <cell r="B817"/>
        </row>
        <row r="818">
          <cell r="A818"/>
          <cell r="B818"/>
        </row>
        <row r="819">
          <cell r="A819"/>
          <cell r="B819"/>
        </row>
        <row r="820">
          <cell r="A820"/>
          <cell r="B820"/>
        </row>
        <row r="821">
          <cell r="A821"/>
          <cell r="B821"/>
        </row>
        <row r="822">
          <cell r="A822"/>
          <cell r="B822"/>
        </row>
        <row r="823">
          <cell r="A823"/>
          <cell r="B823"/>
        </row>
        <row r="824">
          <cell r="A824"/>
          <cell r="B824"/>
        </row>
        <row r="825">
          <cell r="A825"/>
          <cell r="B825"/>
        </row>
        <row r="826">
          <cell r="A826"/>
          <cell r="B826"/>
        </row>
        <row r="827">
          <cell r="A827"/>
          <cell r="B827"/>
        </row>
        <row r="828">
          <cell r="A828"/>
          <cell r="B828"/>
        </row>
        <row r="829">
          <cell r="A829"/>
          <cell r="B829"/>
        </row>
        <row r="830">
          <cell r="A830"/>
          <cell r="B830"/>
        </row>
        <row r="831">
          <cell r="A831"/>
          <cell r="B831"/>
        </row>
        <row r="832">
          <cell r="A832"/>
          <cell r="B832"/>
        </row>
        <row r="833">
          <cell r="A833"/>
          <cell r="B833"/>
        </row>
        <row r="834">
          <cell r="A834"/>
          <cell r="B834"/>
        </row>
        <row r="835">
          <cell r="A835"/>
          <cell r="B835"/>
        </row>
        <row r="836">
          <cell r="A836"/>
          <cell r="B836"/>
        </row>
        <row r="837">
          <cell r="A837"/>
          <cell r="B837"/>
        </row>
        <row r="838">
          <cell r="A838"/>
          <cell r="B838"/>
        </row>
        <row r="839">
          <cell r="A839"/>
          <cell r="B839"/>
        </row>
        <row r="840">
          <cell r="A840"/>
          <cell r="B840"/>
        </row>
        <row r="841">
          <cell r="A841"/>
          <cell r="B841"/>
        </row>
        <row r="842">
          <cell r="A842"/>
          <cell r="B842"/>
        </row>
        <row r="843">
          <cell r="A843"/>
          <cell r="B843"/>
        </row>
        <row r="844">
          <cell r="A844"/>
          <cell r="B844"/>
        </row>
        <row r="845">
          <cell r="A845"/>
          <cell r="B845"/>
        </row>
        <row r="846">
          <cell r="A846"/>
          <cell r="B846"/>
        </row>
        <row r="847">
          <cell r="A847"/>
          <cell r="B847"/>
        </row>
        <row r="848">
          <cell r="A848"/>
          <cell r="B848"/>
        </row>
        <row r="849">
          <cell r="A849"/>
          <cell r="B849"/>
        </row>
        <row r="850">
          <cell r="A850"/>
          <cell r="B850"/>
        </row>
        <row r="851">
          <cell r="A851"/>
          <cell r="B851"/>
        </row>
        <row r="852">
          <cell r="A852"/>
          <cell r="B852"/>
        </row>
        <row r="853">
          <cell r="A853"/>
          <cell r="B853"/>
        </row>
        <row r="854">
          <cell r="A854"/>
          <cell r="B854"/>
        </row>
        <row r="855">
          <cell r="A855"/>
          <cell r="B855"/>
        </row>
        <row r="856">
          <cell r="A856"/>
          <cell r="B856"/>
        </row>
        <row r="857">
          <cell r="A857"/>
          <cell r="B857"/>
        </row>
        <row r="858">
          <cell r="A858"/>
          <cell r="B858"/>
        </row>
        <row r="859">
          <cell r="A859"/>
          <cell r="B859"/>
        </row>
        <row r="860">
          <cell r="A860"/>
          <cell r="B860"/>
        </row>
        <row r="861">
          <cell r="A861"/>
          <cell r="B861"/>
        </row>
        <row r="862">
          <cell r="A862"/>
          <cell r="B862"/>
        </row>
        <row r="863">
          <cell r="A863"/>
          <cell r="B863"/>
        </row>
        <row r="864">
          <cell r="A864"/>
          <cell r="B864"/>
        </row>
        <row r="865">
          <cell r="A865"/>
          <cell r="B865"/>
        </row>
        <row r="866">
          <cell r="A866"/>
          <cell r="B866"/>
        </row>
        <row r="867">
          <cell r="A867"/>
          <cell r="B867"/>
        </row>
        <row r="868">
          <cell r="A868"/>
          <cell r="B868"/>
        </row>
        <row r="869">
          <cell r="A869"/>
          <cell r="B869"/>
        </row>
        <row r="870">
          <cell r="A870"/>
          <cell r="B870"/>
        </row>
        <row r="871">
          <cell r="A871"/>
          <cell r="B871"/>
        </row>
        <row r="872">
          <cell r="A872"/>
          <cell r="B872"/>
        </row>
        <row r="873">
          <cell r="A873"/>
          <cell r="B873"/>
        </row>
        <row r="874">
          <cell r="A874"/>
          <cell r="B874"/>
        </row>
        <row r="875">
          <cell r="A875"/>
          <cell r="B875"/>
        </row>
        <row r="876">
          <cell r="A876"/>
          <cell r="B876"/>
        </row>
        <row r="877">
          <cell r="A877"/>
          <cell r="B877"/>
        </row>
        <row r="878">
          <cell r="A878"/>
          <cell r="B878"/>
        </row>
        <row r="879">
          <cell r="A879"/>
          <cell r="B879"/>
        </row>
        <row r="880">
          <cell r="A880"/>
          <cell r="B880"/>
        </row>
        <row r="881">
          <cell r="A881"/>
          <cell r="B881"/>
        </row>
        <row r="882">
          <cell r="A882"/>
          <cell r="B882"/>
        </row>
        <row r="883">
          <cell r="A883"/>
          <cell r="B883"/>
        </row>
        <row r="884">
          <cell r="A884"/>
          <cell r="B884"/>
        </row>
        <row r="885">
          <cell r="A885"/>
          <cell r="B885"/>
        </row>
        <row r="886">
          <cell r="A886"/>
          <cell r="B886"/>
        </row>
        <row r="887">
          <cell r="A887"/>
          <cell r="B887"/>
        </row>
        <row r="888">
          <cell r="A888"/>
          <cell r="B888"/>
        </row>
        <row r="889">
          <cell r="A889"/>
          <cell r="B889"/>
        </row>
        <row r="890">
          <cell r="A890"/>
          <cell r="B890"/>
        </row>
        <row r="891">
          <cell r="A891"/>
          <cell r="B891"/>
        </row>
        <row r="892">
          <cell r="A892"/>
          <cell r="B892"/>
        </row>
        <row r="893">
          <cell r="A893"/>
          <cell r="B893"/>
        </row>
        <row r="894">
          <cell r="A894"/>
          <cell r="B894"/>
        </row>
        <row r="895">
          <cell r="A895"/>
          <cell r="B895"/>
        </row>
        <row r="896">
          <cell r="A896"/>
          <cell r="B896"/>
        </row>
        <row r="897">
          <cell r="A897"/>
          <cell r="B897"/>
        </row>
        <row r="898">
          <cell r="A898"/>
          <cell r="B898"/>
        </row>
        <row r="899">
          <cell r="A899"/>
          <cell r="B899"/>
        </row>
        <row r="900">
          <cell r="A900"/>
          <cell r="B900"/>
        </row>
        <row r="901">
          <cell r="A901"/>
          <cell r="B901"/>
        </row>
        <row r="902">
          <cell r="A902"/>
          <cell r="B902"/>
        </row>
        <row r="903">
          <cell r="A903"/>
          <cell r="B903"/>
        </row>
        <row r="904">
          <cell r="A904"/>
          <cell r="B904"/>
        </row>
        <row r="905">
          <cell r="A905"/>
          <cell r="B905"/>
        </row>
        <row r="906">
          <cell r="A906"/>
          <cell r="B906"/>
        </row>
        <row r="907">
          <cell r="A907"/>
          <cell r="B907"/>
        </row>
        <row r="908">
          <cell r="A908"/>
          <cell r="B908"/>
        </row>
        <row r="909">
          <cell r="A909"/>
          <cell r="B909"/>
        </row>
        <row r="910">
          <cell r="A910"/>
          <cell r="B910"/>
        </row>
        <row r="911">
          <cell r="A911"/>
          <cell r="B911"/>
        </row>
        <row r="912">
          <cell r="A912"/>
          <cell r="B912"/>
        </row>
        <row r="913">
          <cell r="A913"/>
          <cell r="B913"/>
        </row>
        <row r="914">
          <cell r="A914"/>
          <cell r="B914"/>
        </row>
        <row r="915">
          <cell r="A915"/>
          <cell r="B915"/>
        </row>
        <row r="916">
          <cell r="A916"/>
          <cell r="B916"/>
        </row>
        <row r="917">
          <cell r="A917"/>
          <cell r="B917"/>
        </row>
        <row r="918">
          <cell r="A918"/>
          <cell r="B918"/>
        </row>
        <row r="919">
          <cell r="A919"/>
          <cell r="B919"/>
        </row>
        <row r="920">
          <cell r="A920"/>
          <cell r="B920"/>
        </row>
        <row r="921">
          <cell r="A921"/>
          <cell r="B921"/>
        </row>
        <row r="922">
          <cell r="A922"/>
          <cell r="B922"/>
        </row>
        <row r="923">
          <cell r="A923"/>
          <cell r="B923"/>
        </row>
        <row r="924">
          <cell r="A924"/>
          <cell r="B924"/>
        </row>
        <row r="925">
          <cell r="A925"/>
          <cell r="B925"/>
        </row>
        <row r="926">
          <cell r="A926"/>
          <cell r="B926"/>
        </row>
        <row r="927">
          <cell r="A927"/>
          <cell r="B927"/>
        </row>
        <row r="928">
          <cell r="A928"/>
          <cell r="B928"/>
        </row>
        <row r="929">
          <cell r="A929"/>
          <cell r="B929"/>
        </row>
        <row r="930">
          <cell r="A930"/>
          <cell r="B930"/>
        </row>
        <row r="931">
          <cell r="A931"/>
          <cell r="B931"/>
        </row>
        <row r="932">
          <cell r="A932"/>
          <cell r="B932"/>
        </row>
        <row r="933">
          <cell r="A933"/>
          <cell r="B933"/>
        </row>
        <row r="934">
          <cell r="A934"/>
          <cell r="B934"/>
        </row>
        <row r="935">
          <cell r="A935"/>
          <cell r="B935"/>
        </row>
        <row r="936">
          <cell r="A936"/>
          <cell r="B936"/>
        </row>
        <row r="937">
          <cell r="A937"/>
          <cell r="B937"/>
        </row>
        <row r="938">
          <cell r="A938"/>
          <cell r="B938"/>
        </row>
        <row r="939">
          <cell r="A939"/>
          <cell r="B939"/>
        </row>
        <row r="940">
          <cell r="A940"/>
          <cell r="B940"/>
        </row>
        <row r="941">
          <cell r="A941"/>
          <cell r="B941"/>
        </row>
        <row r="942">
          <cell r="A942"/>
          <cell r="B942"/>
        </row>
        <row r="943">
          <cell r="A943"/>
          <cell r="B943"/>
        </row>
        <row r="944">
          <cell r="A944"/>
          <cell r="B944"/>
        </row>
        <row r="945">
          <cell r="A945"/>
          <cell r="B945"/>
        </row>
        <row r="946">
          <cell r="A946"/>
          <cell r="B946"/>
        </row>
        <row r="947">
          <cell r="A947"/>
          <cell r="B947"/>
        </row>
        <row r="948">
          <cell r="A948"/>
          <cell r="B948"/>
        </row>
        <row r="949">
          <cell r="A949"/>
          <cell r="B949"/>
        </row>
        <row r="950">
          <cell r="A950"/>
          <cell r="B950"/>
        </row>
        <row r="951">
          <cell r="A951"/>
          <cell r="B951"/>
        </row>
        <row r="952">
          <cell r="A952"/>
          <cell r="B952"/>
        </row>
        <row r="953">
          <cell r="A953"/>
          <cell r="B953"/>
        </row>
        <row r="954">
          <cell r="A954"/>
          <cell r="B954"/>
        </row>
        <row r="955">
          <cell r="A955"/>
          <cell r="B955"/>
        </row>
        <row r="956">
          <cell r="A956"/>
          <cell r="B956"/>
        </row>
        <row r="957">
          <cell r="A957"/>
          <cell r="B957"/>
        </row>
        <row r="958">
          <cell r="A958"/>
          <cell r="B958"/>
        </row>
        <row r="959">
          <cell r="A959"/>
          <cell r="B959"/>
        </row>
        <row r="960">
          <cell r="A960"/>
          <cell r="B960"/>
        </row>
        <row r="961">
          <cell r="A961"/>
          <cell r="B961"/>
        </row>
        <row r="962">
          <cell r="A962"/>
          <cell r="B962"/>
        </row>
        <row r="963">
          <cell r="A963"/>
          <cell r="B963"/>
        </row>
        <row r="964">
          <cell r="A964"/>
          <cell r="B964"/>
        </row>
        <row r="965">
          <cell r="A965"/>
          <cell r="B965"/>
        </row>
        <row r="966">
          <cell r="A966"/>
          <cell r="B966"/>
        </row>
        <row r="967">
          <cell r="A967"/>
          <cell r="B967"/>
        </row>
        <row r="968">
          <cell r="A968"/>
          <cell r="B968"/>
        </row>
        <row r="969">
          <cell r="A969"/>
          <cell r="B969"/>
        </row>
        <row r="970">
          <cell r="A970"/>
          <cell r="B970"/>
        </row>
        <row r="971">
          <cell r="A971"/>
          <cell r="B971"/>
        </row>
        <row r="972">
          <cell r="A972"/>
          <cell r="B972"/>
        </row>
        <row r="973">
          <cell r="A973"/>
          <cell r="B973"/>
        </row>
        <row r="974">
          <cell r="A974"/>
          <cell r="B974"/>
        </row>
        <row r="975">
          <cell r="A975"/>
          <cell r="B975"/>
        </row>
        <row r="976">
          <cell r="A976"/>
          <cell r="B976"/>
        </row>
        <row r="977">
          <cell r="A977"/>
          <cell r="B977"/>
        </row>
        <row r="978">
          <cell r="A978"/>
          <cell r="B978"/>
        </row>
        <row r="979">
          <cell r="A979"/>
          <cell r="B979"/>
        </row>
        <row r="980">
          <cell r="A980"/>
          <cell r="B980"/>
        </row>
        <row r="981">
          <cell r="A981"/>
          <cell r="B981"/>
        </row>
        <row r="982">
          <cell r="A982"/>
          <cell r="B982"/>
        </row>
        <row r="983">
          <cell r="A983"/>
          <cell r="B983"/>
        </row>
        <row r="984">
          <cell r="A984"/>
          <cell r="B984"/>
        </row>
        <row r="985">
          <cell r="A985"/>
          <cell r="B985"/>
        </row>
        <row r="986">
          <cell r="A986"/>
          <cell r="B986"/>
        </row>
        <row r="987">
          <cell r="A987"/>
          <cell r="B987"/>
        </row>
        <row r="988">
          <cell r="A988"/>
          <cell r="B988"/>
        </row>
        <row r="989">
          <cell r="A989"/>
          <cell r="B989"/>
        </row>
        <row r="990">
          <cell r="A990"/>
          <cell r="B990"/>
        </row>
        <row r="991">
          <cell r="A991"/>
          <cell r="B991"/>
        </row>
        <row r="992">
          <cell r="A992"/>
          <cell r="B992"/>
        </row>
        <row r="993">
          <cell r="A993"/>
          <cell r="B993"/>
        </row>
        <row r="994">
          <cell r="A994"/>
          <cell r="B994"/>
        </row>
        <row r="995">
          <cell r="A995"/>
          <cell r="B995"/>
        </row>
        <row r="996">
          <cell r="A996"/>
          <cell r="B996"/>
        </row>
        <row r="997">
          <cell r="A997"/>
          <cell r="B997"/>
        </row>
        <row r="998">
          <cell r="A998"/>
          <cell r="B998"/>
        </row>
        <row r="999">
          <cell r="A999"/>
          <cell r="B999"/>
        </row>
        <row r="1000">
          <cell r="A1000"/>
          <cell r="B1000"/>
        </row>
      </sheetData>
      <sheetData sheetId="1"/>
      <sheetData sheetId="2"/>
      <sheetData sheetId="3"/>
      <sheetData sheetId="4"/>
      <sheetData sheetId="5"/>
    </sheetDataSet>
  </externalBook>
</externalLink>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grls.rosminzdrav.ru/Grls_View_v2.aspx?routingGuid=fd7355d2-abfa-4846-99da-a1c5c6e8991a" TargetMode="External"/><Relationship Id="rId21" Type="http://schemas.openxmlformats.org/officeDocument/2006/relationships/hyperlink" Target="https://grls.rosminzdrav.ru/Grls_View_v2.aspx?routingGuid=73faea00-ddd0-427e-9f40-49dfea9a2470" TargetMode="External"/><Relationship Id="rId324" Type="http://schemas.openxmlformats.org/officeDocument/2006/relationships/hyperlink" Target="https://grls.rosminzdrav.ru/Grls_View_v2.aspx?routingGuid=41231e71-613c-4a24-ab98-462b5d95f938" TargetMode="External"/><Relationship Id="rId531" Type="http://schemas.openxmlformats.org/officeDocument/2006/relationships/hyperlink" Target="https://grls.rosminzdrav.ru/Grls_View_v2.aspx?routingGuid=730b8fe6-57a9-4211-85e5-684ae4ef328f" TargetMode="External"/><Relationship Id="rId629" Type="http://schemas.openxmlformats.org/officeDocument/2006/relationships/hyperlink" Target="https://lk.regmed.ru/Register/GetPDFfromDAToken?Token=278aa15b-73f4-4b0e-8168-69185b2b8947" TargetMode="External"/><Relationship Id="rId170" Type="http://schemas.openxmlformats.org/officeDocument/2006/relationships/hyperlink" Target="https://grls.rosminzdrav.ru/Grls_View_v2.aspx?routingGuid=af4dd5ba-8e11-450c-83f0-3c6db2b13cf6" TargetMode="External"/><Relationship Id="rId268" Type="http://schemas.openxmlformats.org/officeDocument/2006/relationships/hyperlink" Target="http://grls.rosminzdrav.ru/Grls_View_v2.aspx?routingGuid=e2729daf-b6bd-46e1-9860-a1e798ffdb95&amp;t=" TargetMode="External"/><Relationship Id="rId475" Type="http://schemas.openxmlformats.org/officeDocument/2006/relationships/hyperlink" Target="https://grls.rosminzdrav.ru/Grls_View_v2.aspx?routingGuid=57d4c581-7e40-4990-9863-a40cdb84851b" TargetMode="External"/><Relationship Id="rId32" Type="http://schemas.openxmlformats.org/officeDocument/2006/relationships/hyperlink" Target="https://grls.rosminzdrav.ru/Grls_View_v2.aspx?routingGuid=f9454b06-083d-4c13-8eda-e54a19450d13" TargetMode="External"/><Relationship Id="rId128" Type="http://schemas.openxmlformats.org/officeDocument/2006/relationships/hyperlink" Target="https://grls.rosminzdrav.ru/Grls_View_v2.aspx?routingGuid=6cb99bc7-105a-4075-a791-8895b32ca394" TargetMode="External"/><Relationship Id="rId335" Type="http://schemas.openxmlformats.org/officeDocument/2006/relationships/hyperlink" Target="https://grls.rosminzdrav.ru/Grls_View_v2.aspx?routingGuid=8ac9b405-1c58-4a70-bda8-033c7966fd4d" TargetMode="External"/><Relationship Id="rId542" Type="http://schemas.openxmlformats.org/officeDocument/2006/relationships/hyperlink" Target="https://grls.rosminzdrav.ru/Grls_View_v2.aspx?routingGuid=099f97bf-1bee-4113-b6ba-1b81cb507783" TargetMode="External"/><Relationship Id="rId181" Type="http://schemas.openxmlformats.org/officeDocument/2006/relationships/hyperlink" Target="https://grls.rosminzdrav.ru/Grls_View_v2.aspx?routingGuid=a4090b86-5da6-4481-8230-dd9e607b60af" TargetMode="External"/><Relationship Id="rId402" Type="http://schemas.openxmlformats.org/officeDocument/2006/relationships/hyperlink" Target="https://grls.rosminzdrav.ru/Grls_View_v2.aspx?routingGuid=0fef3b4e-c5a8-46f5-86d9-dbb6b3ea7f69" TargetMode="External"/><Relationship Id="rId279" Type="http://schemas.openxmlformats.org/officeDocument/2006/relationships/hyperlink" Target="https://grls.rosminzdrav.ru/Grls_View_v2.aspx?routingGuid=9ea2867c-ced6-45dd-bf78-db44e14fd708" TargetMode="External"/><Relationship Id="rId486" Type="http://schemas.openxmlformats.org/officeDocument/2006/relationships/hyperlink" Target="https://grls.rosminzdrav.ru/Grls_View_v2.aspx?routingGuid=e0de1bec-a881-4f57-9b47-a6152b3b9902" TargetMode="External"/><Relationship Id="rId43" Type="http://schemas.openxmlformats.org/officeDocument/2006/relationships/hyperlink" Target="https://grls.rosminzdrav.ru/Grls_View_v2.aspx?routingGuid=6e48dbe9-c71e-4694-b7ac-47a70cf6b097" TargetMode="External"/><Relationship Id="rId139" Type="http://schemas.openxmlformats.org/officeDocument/2006/relationships/hyperlink" Target="https://lk.regmed.ru/Register/GetPDFfromDAToken?Token=030e4140-af45-48dd-b213-76aeb3a23c36" TargetMode="External"/><Relationship Id="rId346" Type="http://schemas.openxmlformats.org/officeDocument/2006/relationships/hyperlink" Target="http://grls.rosminzdrav.ru/Grls_View_v2.aspx?routingGuid=3e6672e6-b148-4ea7-a3ec-d95072a55562&amp;t=" TargetMode="External"/><Relationship Id="rId553" Type="http://schemas.openxmlformats.org/officeDocument/2006/relationships/hyperlink" Target="https://grls.rosminzdrav.ru/Grls_View_v2.aspx?routingGuid=ffbbd41c-3c7f-4e9c-a670-58300ad5f281" TargetMode="External"/><Relationship Id="rId192" Type="http://schemas.openxmlformats.org/officeDocument/2006/relationships/hyperlink" Target="https://lk.regmed.ru/Register/GetPDFfromDAToken?Token=3d5332a3-fefe-4a5b-acda-977c16b3d967" TargetMode="External"/><Relationship Id="rId206" Type="http://schemas.openxmlformats.org/officeDocument/2006/relationships/hyperlink" Target="https://grls.rosminzdrav.ru/Grls_View_v2.aspx?routingGuid=4f505e78-1d02-4b8f-aaf9-618368787be0" TargetMode="External"/><Relationship Id="rId413" Type="http://schemas.openxmlformats.org/officeDocument/2006/relationships/hyperlink" Target="https://grls.rosminzdrav.ru/Grls_View_v2.aspx?routingGuid=19de591c-4a02-4e30-9742-fda39270f0da" TargetMode="External"/><Relationship Id="rId497" Type="http://schemas.openxmlformats.org/officeDocument/2006/relationships/hyperlink" Target="https://lk.regmed.ru/Register/GetPDFfromDA?ID=1501096611" TargetMode="External"/><Relationship Id="rId620" Type="http://schemas.openxmlformats.org/officeDocument/2006/relationships/hyperlink" Target="https://grls.rosminzdrav.ru/Grls_View_v2.aspx?routingGuid=f035b599-e2f5-41c1-9ede-a7398483a6c4" TargetMode="External"/><Relationship Id="rId357" Type="http://schemas.openxmlformats.org/officeDocument/2006/relationships/hyperlink" Target="https://lk.regmed.ru/Register/GetPDFfromDAToken?Token=ce9023ae-8f18-40b4-87c3-b37e8c580d72" TargetMode="External"/><Relationship Id="rId54" Type="http://schemas.openxmlformats.org/officeDocument/2006/relationships/hyperlink" Target="https://lk.regmed.ru/Register/GetPDFfromDAToken?Token=8e7de8c8-45c1-4c8d-8449-0c0d2af1e327" TargetMode="External"/><Relationship Id="rId217" Type="http://schemas.openxmlformats.org/officeDocument/2006/relationships/hyperlink" Target="https://grls.rosminzdrav.ru/Grls_View_v2.aspx?routingGuid=98f6f75c-4d06-4e15-8e8e-52e513e2c4c1" TargetMode="External"/><Relationship Id="rId564" Type="http://schemas.openxmlformats.org/officeDocument/2006/relationships/hyperlink" Target="https://lk.regmed.ru/Register/GetPDFfromDAToken?Token=ee5a28a1-b369-4606-bd0e-32a3981091d3" TargetMode="External"/><Relationship Id="rId424" Type="http://schemas.openxmlformats.org/officeDocument/2006/relationships/hyperlink" Target="https://lk.regmed.ru/Register/GetPDFfromDAToken?Token=875d9b63-d6c1-43e7-8c6c-921afc6c274b" TargetMode="External"/><Relationship Id="rId631" Type="http://schemas.openxmlformats.org/officeDocument/2006/relationships/hyperlink" Target="https://lk.regmed.ru/Register/GetPDFfromDAToken?Token=6ca8ca73-36bd-4995-a21a-2728a73b9b86" TargetMode="External"/><Relationship Id="rId270" Type="http://schemas.openxmlformats.org/officeDocument/2006/relationships/hyperlink" Target="https://grls.rosminzdrav.ru/Grls_View_v2.aspx?routingGuid=708a5616-61d3-4695-a4cb-2e78bcfca33b" TargetMode="External"/><Relationship Id="rId65" Type="http://schemas.openxmlformats.org/officeDocument/2006/relationships/hyperlink" Target="https://grls.rosminzdrav.ru/Grls_View_v2.aspx?routingGuid=2bf12380-3a71-4642-a9a3-ef0e4ca9b815" TargetMode="External"/><Relationship Id="rId130" Type="http://schemas.openxmlformats.org/officeDocument/2006/relationships/hyperlink" Target="https://grls.rosminzdrav.ru/Grls_View_v2.aspx?routingGuid=b287b682-550a-418f-8189-05dac16da4ae" TargetMode="External"/><Relationship Id="rId368" Type="http://schemas.openxmlformats.org/officeDocument/2006/relationships/hyperlink" Target="https://grls.rosminzdrav.ru/Grls_View_v2.aspx?routingGuid=def42703-fcd2-477f-98fe-ced5a9ac0ccf" TargetMode="External"/><Relationship Id="rId575" Type="http://schemas.openxmlformats.org/officeDocument/2006/relationships/hyperlink" Target="https://lk.regmed.ru/Register/GetPDFfromDA?ID=1634791611" TargetMode="External"/><Relationship Id="rId228" Type="http://schemas.openxmlformats.org/officeDocument/2006/relationships/hyperlink" Target="https://grls.rosminzdrav.ru/Grls_View_v2.aspx?routingGuid=35f3aeab-53d0-4aa3-b370-016ed06e2330" TargetMode="External"/><Relationship Id="rId435" Type="http://schemas.openxmlformats.org/officeDocument/2006/relationships/hyperlink" Target="https://grls.rosminzdrav.ru/Grls_View_v2.aspx?routingGuid=bba91e7b-b9d4-4f7b-bf4d-6fde2e9956ea" TargetMode="External"/><Relationship Id="rId642" Type="http://schemas.openxmlformats.org/officeDocument/2006/relationships/printerSettings" Target="../printerSettings/printerSettings1.bin"/><Relationship Id="rId281" Type="http://schemas.openxmlformats.org/officeDocument/2006/relationships/hyperlink" Target="https://grls.rosminzdrav.ru/Grls_View_v2.aspx?routingGuid=9702f069-1e9e-45d6-b8c9-dfa602227867" TargetMode="External"/><Relationship Id="rId502" Type="http://schemas.openxmlformats.org/officeDocument/2006/relationships/hyperlink" Target="https://lk.regmed.ru/Register/GetPDFfromDA?ID=1494836031" TargetMode="External"/><Relationship Id="rId76" Type="http://schemas.openxmlformats.org/officeDocument/2006/relationships/hyperlink" Target="http://grls.rosminzdrav.ru/Grls_View_v2.aspx?routingGuid=8ecd1f23-ce36-4316-8f63-4aa28a61a7e4&amp;t=" TargetMode="External"/><Relationship Id="rId141" Type="http://schemas.openxmlformats.org/officeDocument/2006/relationships/hyperlink" Target="http://grls.rosminzdrav.ru/Grls_View_v2.aspx?routingGuid=fb9c24c2-c33a-4920-8361-9997d94b4e68&amp;t=" TargetMode="External"/><Relationship Id="rId379" Type="http://schemas.openxmlformats.org/officeDocument/2006/relationships/hyperlink" Target="https://grls.rosminzdrav.ru/Grls_View_v2.aspx?routingGuid=0cc60fe9-635e-4134-80d2-59a7787e33fb" TargetMode="External"/><Relationship Id="rId586" Type="http://schemas.openxmlformats.org/officeDocument/2006/relationships/hyperlink" Target="https://lk.regmed.ru/Register/GetPDFfromDAToken?Token=f8efd728-6ef8-4826-916b-04c8b9a696ac" TargetMode="External"/><Relationship Id="rId7" Type="http://schemas.openxmlformats.org/officeDocument/2006/relationships/hyperlink" Target="https://grls.rosminzdrav.ru/Grls_View_v2.aspx?routingGuid=84b15383-df1c-4cb1-a2bb-287483fe9800" TargetMode="External"/><Relationship Id="rId239" Type="http://schemas.openxmlformats.org/officeDocument/2006/relationships/hyperlink" Target="http://grls.rosminzdrav.ru/Grls_View_v2.aspx?routingGuid=de917eb7-9b46-453b-bb49-a588ee683192&amp;t=" TargetMode="External"/><Relationship Id="rId446" Type="http://schemas.openxmlformats.org/officeDocument/2006/relationships/hyperlink" Target="https://grls.rosminzdrav.ru/Grls_View_v2.aspx?routingGuid=03b79f0e-932b-4d1b-afcc-ed70f037b9ea" TargetMode="External"/><Relationship Id="rId292" Type="http://schemas.openxmlformats.org/officeDocument/2006/relationships/hyperlink" Target="https://grls.rosminzdrav.ru/Grls_View_v2.aspx?routingGuid=69bf2722-aa8e-4374-a63b-c2e0fd5da7cd" TargetMode="External"/><Relationship Id="rId306" Type="http://schemas.openxmlformats.org/officeDocument/2006/relationships/hyperlink" Target="https://lk.regmed.ru/Register/GetPDFfromDAToken?Token=57130d1c-3dc2-4727-bfc6-85009a2c893a" TargetMode="External"/><Relationship Id="rId87" Type="http://schemas.openxmlformats.org/officeDocument/2006/relationships/hyperlink" Target="http://grls.rosminzdrav.ru/Grls_View_v2.aspx?routingGuid=0e797243-3326-40c5-91d4-3790146525e4&amp;t=" TargetMode="External"/><Relationship Id="rId513" Type="http://schemas.openxmlformats.org/officeDocument/2006/relationships/hyperlink" Target="https://grls.rosminzdrav.ru/Grls_View_v2.aspx?routingGuid=da624460-36a0-47be-bf46-850be407fc42" TargetMode="External"/><Relationship Id="rId597" Type="http://schemas.openxmlformats.org/officeDocument/2006/relationships/hyperlink" Target="https://lk.regmed.ru/Register/GetPDFfromDAToken?Token=15837a61-cde6-4017-ab21-aa0710335a9e" TargetMode="External"/><Relationship Id="rId152" Type="http://schemas.openxmlformats.org/officeDocument/2006/relationships/hyperlink" Target="http://grls.rosminzdrav.ru/Grls_View_v2.aspx?routingGuid=fec37fbb-555f-4f09-832e-e55c4adf9598&amp;t=" TargetMode="External"/><Relationship Id="rId457" Type="http://schemas.openxmlformats.org/officeDocument/2006/relationships/hyperlink" Target="https://grls.rosminzdrav.ru/Grls_View_v2.aspx?routingGuid=dd508633-c49f-470d-8160-f9f0307f5c2a" TargetMode="External"/><Relationship Id="rId14" Type="http://schemas.openxmlformats.org/officeDocument/2006/relationships/hyperlink" Target="https://grls.rosminzdrav.ru/Grls_View_v2.aspx?routingGuid=30fc01db-b288-495f-9e55-e1dd798d18a9" TargetMode="External"/><Relationship Id="rId317" Type="http://schemas.openxmlformats.org/officeDocument/2006/relationships/hyperlink" Target="https://grls.rosminzdrav.ru/Grls_View_v2.aspx?routingGuid=a55e6d43-fef5-4c3d-af16-a15f6b065685" TargetMode="External"/><Relationship Id="rId524" Type="http://schemas.openxmlformats.org/officeDocument/2006/relationships/hyperlink" Target="https://grls.rosminzdrav.ru/Grls_View_v2.aspx?routingGuid=a52736b8-b1ac-408c-a2c1-3fb82c941200" TargetMode="External"/><Relationship Id="rId98" Type="http://schemas.openxmlformats.org/officeDocument/2006/relationships/hyperlink" Target="https://grls.rosminzdrav.ru/Grls_View_v2.aspx?routingGuid=0d28b2ad-18b2-4e7a-8c27-436c0feea6d4" TargetMode="External"/><Relationship Id="rId163" Type="http://schemas.openxmlformats.org/officeDocument/2006/relationships/hyperlink" Target="https://grls.rosminzdrav.ru/Grls_View_v2.aspx?routingGuid=2227b96d-2e61-48bd-9cca-17ce427fdc48" TargetMode="External"/><Relationship Id="rId370" Type="http://schemas.openxmlformats.org/officeDocument/2006/relationships/hyperlink" Target="https://grls.rosminzdrav.ru/Grls_View_v2.aspx?routingGuid=3e6a77c5-d2ae-4f34-b737-7803e65abe65" TargetMode="External"/><Relationship Id="rId230" Type="http://schemas.openxmlformats.org/officeDocument/2006/relationships/hyperlink" Target="http://grls.rosminzdrav.ru/Grls_View_v2.aspx?routingGuid=aef7142f-ecd9-454b-b8cb-58f9ca7f752f&amp;t=" TargetMode="External"/><Relationship Id="rId468" Type="http://schemas.openxmlformats.org/officeDocument/2006/relationships/hyperlink" Target="https://grls.rosminzdrav.ru/Grls_View_v2.aspx?routingGuid=31ac5c67-3971-408e-9f95-48f4368633f3" TargetMode="External"/><Relationship Id="rId25" Type="http://schemas.openxmlformats.org/officeDocument/2006/relationships/hyperlink" Target="https://grls.rosminzdrav.ru/Grls_View_v2.aspx?routingGuid=aba4f9bd-407e-42a8-a32c-1105beece2f6" TargetMode="External"/><Relationship Id="rId328" Type="http://schemas.openxmlformats.org/officeDocument/2006/relationships/hyperlink" Target="http://grls.rosminzdrav.ru/Grls_View_v2.aspx?routingGuid=45ea6a47-5e12-4580-b8ed-b03d229557e4&amp;t=" TargetMode="External"/><Relationship Id="rId535" Type="http://schemas.openxmlformats.org/officeDocument/2006/relationships/hyperlink" Target="https://grls.rosminzdrav.ru/Grls_View_v2.aspx?routingGuid=9cf47038-4fe5-4f9a-a02a-9fbc22151700" TargetMode="External"/><Relationship Id="rId174" Type="http://schemas.openxmlformats.org/officeDocument/2006/relationships/hyperlink" Target="https://grls.rosminzdrav.ru/Grls_View_v2.aspx?routingGuid=1c26875c-896c-488d-b713-142d18c1310f" TargetMode="External"/><Relationship Id="rId381" Type="http://schemas.openxmlformats.org/officeDocument/2006/relationships/hyperlink" Target="https://grls.rosminzdrav.ru/Grls_View_v2.aspx?routingGuid=ec6e3b51-e76b-4abf-99cf-7c02bab06091" TargetMode="External"/><Relationship Id="rId602" Type="http://schemas.openxmlformats.org/officeDocument/2006/relationships/hyperlink" Target="https://lk.regmed.ru/Register/GetPDFfromDAToken?Token=ea20c32d-1656-4930-81f0-a2940083f505" TargetMode="External"/><Relationship Id="rId241" Type="http://schemas.openxmlformats.org/officeDocument/2006/relationships/hyperlink" Target="https://grls.rosminzdrav.ru/Grls_View_v2.aspx?routingGuid=91d987ae-568f-4c6b-8623-8abf1ea0cbdc" TargetMode="External"/><Relationship Id="rId479" Type="http://schemas.openxmlformats.org/officeDocument/2006/relationships/hyperlink" Target="https://grls.rosminzdrav.ru/Grls_View_v2.aspx?routingGuid=d3711e78-aa94-461f-9296-486bbe9ada11" TargetMode="External"/><Relationship Id="rId36" Type="http://schemas.openxmlformats.org/officeDocument/2006/relationships/hyperlink" Target="https://grls.rosminzdrav.ru/Grls_View_v2.aspx?routingGuid=0b7d30f1-b40f-453c-9c7b-800a072aa409" TargetMode="External"/><Relationship Id="rId339" Type="http://schemas.openxmlformats.org/officeDocument/2006/relationships/hyperlink" Target="https://grls.rosminzdrav.ru/Grls_View_v2.aspx?routingGuid=62187342-c256-42fb-8419-8f916294db89" TargetMode="External"/><Relationship Id="rId546" Type="http://schemas.openxmlformats.org/officeDocument/2006/relationships/hyperlink" Target="https://grls.rosminzdrav.ru/Grls_View_v2.aspx?routingGuid=6315b2da-7738-4b6c-adb5-4d2afbfd6dcb" TargetMode="External"/><Relationship Id="rId101" Type="http://schemas.openxmlformats.org/officeDocument/2006/relationships/hyperlink" Target="https://lk.regmed.ru/Register/GetPDFfromDAToken?Token=f88d9e07-3794-4fde-9c2d-fd91c377cc95" TargetMode="External"/><Relationship Id="rId185" Type="http://schemas.openxmlformats.org/officeDocument/2006/relationships/hyperlink" Target="https://grls.rosminzdrav.ru/Grls_View_v2.aspx?routingGuid=5b6518f1-1b39-4e40-8390-4b9a01bf80dd" TargetMode="External"/><Relationship Id="rId406" Type="http://schemas.openxmlformats.org/officeDocument/2006/relationships/hyperlink" Target="https://grls.rosminzdrav.ru/Grls_View_v2.aspx?routingGuid=917cfbd3-7c97-4096-ae7a-73075d7d8ff3" TargetMode="External"/><Relationship Id="rId392" Type="http://schemas.openxmlformats.org/officeDocument/2006/relationships/hyperlink" Target="https://grls.rosminzdrav.ru/Grls_View_v2.aspx?routingGuid=4ab0ef2c-197b-47b1-b5d8-910a60b4c5d5" TargetMode="External"/><Relationship Id="rId613" Type="http://schemas.openxmlformats.org/officeDocument/2006/relationships/hyperlink" Target="https://grls.rosminzdrav.ru/Grls_View_v2.aspx?routingGuid=0fcbffbf-d247-4aa3-a4df-cccf3af59785" TargetMode="External"/><Relationship Id="rId252" Type="http://schemas.openxmlformats.org/officeDocument/2006/relationships/hyperlink" Target="https://grls.rosminzdrav.ru/Grls_View_v2.aspx?routingGuid=0482f816-63ad-49b9-9b56-808b708f6dab" TargetMode="External"/><Relationship Id="rId47" Type="http://schemas.openxmlformats.org/officeDocument/2006/relationships/hyperlink" Target="https://grls.rosminzdrav.ru/Grls_View_v2.aspx?routingGuid=82af2230-6ada-4cb2-a263-0a2c1f841be2" TargetMode="External"/><Relationship Id="rId89" Type="http://schemas.openxmlformats.org/officeDocument/2006/relationships/hyperlink" Target="https://grls.rosminzdrav.ru/Grls_View_v2.aspx?routingGuid=ec6e3b51-e76b-4abf-99cf-7c02bab06091" TargetMode="External"/><Relationship Id="rId112" Type="http://schemas.openxmlformats.org/officeDocument/2006/relationships/hyperlink" Target="https://lk.regmed.ru/Register/GetPDFfromDAToken?Token=3453097f-e598-4860-bd54-aa72f063f2ef" TargetMode="External"/><Relationship Id="rId154" Type="http://schemas.openxmlformats.org/officeDocument/2006/relationships/hyperlink" Target="https://lk.regmed.ru/Register/GetPDFfromDAToken?Token=6b6de448-9da8-4025-8b7a-e10951e7ff00" TargetMode="External"/><Relationship Id="rId361" Type="http://schemas.openxmlformats.org/officeDocument/2006/relationships/hyperlink" Target="https://grls.rosminzdrav.ru/Grls_View_v2.aspx?routingGuid=3f429426-417a-42af-8212-54d0f9b4f48a" TargetMode="External"/><Relationship Id="rId557" Type="http://schemas.openxmlformats.org/officeDocument/2006/relationships/hyperlink" Target="https://grls.rosminzdrav.ru/Grls_View_v2.aspx?routingGuid=633cdfdd-34a7-4e62-939f-d39c64bb2c24" TargetMode="External"/><Relationship Id="rId599" Type="http://schemas.openxmlformats.org/officeDocument/2006/relationships/hyperlink" Target="https://grls.rosminzdrav.ru/Grls_View_v2.aspx?routingGuid=96e23044-21c2-4c98-bdd9-c703f58131cb" TargetMode="External"/><Relationship Id="rId196" Type="http://schemas.openxmlformats.org/officeDocument/2006/relationships/hyperlink" Target="https://lk.regmed.ru/Register/GetPDFfromDAToken?Token=023326ba-2394-4cee-8436-d2d7251635d0" TargetMode="External"/><Relationship Id="rId417" Type="http://schemas.openxmlformats.org/officeDocument/2006/relationships/hyperlink" Target="https://grls.rosminzdrav.ru/Grls_View_v2.aspx?routingGuid=b3466e77-18e8-4684-9e21-c5cda714ed86" TargetMode="External"/><Relationship Id="rId459" Type="http://schemas.openxmlformats.org/officeDocument/2006/relationships/hyperlink" Target="https://grls.rosminzdrav.ru/Grls_View_v2.aspx?routingGuid=3d3b451d-8d08-4645-a5ad-1ec5b9dbee4a" TargetMode="External"/><Relationship Id="rId624" Type="http://schemas.openxmlformats.org/officeDocument/2006/relationships/hyperlink" Target="https://grls.rosminzdrav.ru/Grls_View_v2.aspx?routingGuid=89ef1c8f-42a1-41e7-9675-ad685aa41438" TargetMode="External"/><Relationship Id="rId16" Type="http://schemas.openxmlformats.org/officeDocument/2006/relationships/hyperlink" Target="http://grls.rosminzdrav.ru/Grls_View_v2.aspx?routingGuid=d9b7a224-4ea9-4e72-9147-51b294e89dc3&amp;t=" TargetMode="External"/><Relationship Id="rId221" Type="http://schemas.openxmlformats.org/officeDocument/2006/relationships/hyperlink" Target="https://lk.regmed.ru/Register/GetPDFfromDAToken?Token=10e497be-3d4a-43a2-aa31-092ce691668e" TargetMode="External"/><Relationship Id="rId263" Type="http://schemas.openxmlformats.org/officeDocument/2006/relationships/hyperlink" Target="https://grls.rosminzdrav.ru/Grls_View_v2.aspx?routingGuid=2d805292-2bee-4665-b4ef-a466b3e3bc8f" TargetMode="External"/><Relationship Id="rId319" Type="http://schemas.openxmlformats.org/officeDocument/2006/relationships/hyperlink" Target="http://grls.rosminzdrav.ru/Grls_View_v2.aspx?routingGuid=7da2f9f3-53a6-4cbe-9eae-65a3d0bed21b&amp;t=" TargetMode="External"/><Relationship Id="rId470" Type="http://schemas.openxmlformats.org/officeDocument/2006/relationships/hyperlink" Target="https://grls.rosminzdrav.ru/Grls_View_v2.aspx?routingGuid=31ac5c67-3971-408e-9f95-48f4368633f3" TargetMode="External"/><Relationship Id="rId526" Type="http://schemas.openxmlformats.org/officeDocument/2006/relationships/hyperlink" Target="https://grls.rosminzdrav.ru/Grls_View_v2.aspx?routingGuid=b6e70f7d-f42b-4e97-9f68-6baa0a75ffad" TargetMode="External"/><Relationship Id="rId58" Type="http://schemas.openxmlformats.org/officeDocument/2006/relationships/hyperlink" Target="https://grls.rosminzdrav.ru/Grls_View_v2.aspx?routingGuid=795940d7-9c11-423c-98fe-44a1d739a593" TargetMode="External"/><Relationship Id="rId123" Type="http://schemas.openxmlformats.org/officeDocument/2006/relationships/hyperlink" Target="https://grls.rosminzdrav.ru/Grls_View_v2.aspx?routingGuid=ce700a9a-2b35-47e5-a73b-3cf65afee43b" TargetMode="External"/><Relationship Id="rId330" Type="http://schemas.openxmlformats.org/officeDocument/2006/relationships/hyperlink" Target="https://grls.rosminzdrav.ru/Grls_View_v2.aspx?routingGuid=b5f5bf28-a50c-46a3-8777-66ad5b7b6870" TargetMode="External"/><Relationship Id="rId568" Type="http://schemas.openxmlformats.org/officeDocument/2006/relationships/hyperlink" Target="https://grls.rosminzdrav.ru/Grls_View_v2.aspx?routingGuid=76a79bba-d7c4-42d4-8469-ef532bed36f7" TargetMode="External"/><Relationship Id="rId165" Type="http://schemas.openxmlformats.org/officeDocument/2006/relationships/hyperlink" Target="https://grls.rosminzdrav.ru/Grls_View_v2.aspx?routingGuid=21ef9e10-0802-4099-9f29-815fab9bf24f" TargetMode="External"/><Relationship Id="rId372" Type="http://schemas.openxmlformats.org/officeDocument/2006/relationships/hyperlink" Target="https://grls.rosminzdrav.ru/Grls_View_v2.aspx?routingGuid=3e6a77c5-d2ae-4f34-b737-7803e65abe65" TargetMode="External"/><Relationship Id="rId428" Type="http://schemas.openxmlformats.org/officeDocument/2006/relationships/hyperlink" Target="https://grls.rosminzdrav.ru/Grls_View_v2.aspx?routingGuid=c41257ee-b3d4-4a93-8763-4cdc7e70cd09" TargetMode="External"/><Relationship Id="rId635" Type="http://schemas.openxmlformats.org/officeDocument/2006/relationships/hyperlink" Target="https://lk.regmed.ru/Register/GetPDFfromDAToken?Token=71281561-3c48-48b5-adce-60fba30d5683" TargetMode="External"/><Relationship Id="rId232" Type="http://schemas.openxmlformats.org/officeDocument/2006/relationships/hyperlink" Target="https://grls.rosminzdrav.ru/Grls_View_v2.aspx?routingGuid=f91918fb-09b8-4766-8e48-6606a0541073" TargetMode="External"/><Relationship Id="rId274" Type="http://schemas.openxmlformats.org/officeDocument/2006/relationships/hyperlink" Target="https://grls.rosminzdrav.ru/Grls_View_v2.aspx?routingGuid=708a5616-61d3-4695-a4cb-2e78bcfca33b" TargetMode="External"/><Relationship Id="rId481" Type="http://schemas.openxmlformats.org/officeDocument/2006/relationships/hyperlink" Target="https://grls.rosminzdrav.ru/Grls_View_v2.aspx?routingGuid=1ec467a3-99d4-4109-a1e5-089702b7c177" TargetMode="External"/><Relationship Id="rId27" Type="http://schemas.openxmlformats.org/officeDocument/2006/relationships/hyperlink" Target="https://grls.rosminzdrav.ru/Grls_View_v2.aspx?routingGuid=81b39c46-e795-4993-b85b-0cf51e164f6b" TargetMode="External"/><Relationship Id="rId69" Type="http://schemas.openxmlformats.org/officeDocument/2006/relationships/hyperlink" Target="https://grls.rosminzdrav.ru/Grls_View_v2.aspx?routingGuid=4f6d874c-7745-4c6b-8c90-228a1f2f3484" TargetMode="External"/><Relationship Id="rId134" Type="http://schemas.openxmlformats.org/officeDocument/2006/relationships/hyperlink" Target="https://grls.rosminzdrav.ru/Grls_View_v2.aspx?routingGuid=80286849-4848-4b66-a986-a99c8a476964" TargetMode="External"/><Relationship Id="rId537" Type="http://schemas.openxmlformats.org/officeDocument/2006/relationships/hyperlink" Target="https://grls.rosminzdrav.ru/Grls_View_v2.aspx?routingGuid=bd9c87a6-7f47-4f8e-ba63-eccb45521fab" TargetMode="External"/><Relationship Id="rId579" Type="http://schemas.openxmlformats.org/officeDocument/2006/relationships/hyperlink" Target="https://grls.rosminzdrav.ru/Grls_View_v2.aspx?routingGuid=f94267d3-8c60-499a-9be7-5bde70d2d7ac" TargetMode="External"/><Relationship Id="rId80" Type="http://schemas.openxmlformats.org/officeDocument/2006/relationships/hyperlink" Target="https://lk.regmed.ru/Register/GetPDFfromDAToken?Token=88854c2c-329e-40d6-9464-84468572891b" TargetMode="External"/><Relationship Id="rId176" Type="http://schemas.openxmlformats.org/officeDocument/2006/relationships/hyperlink" Target="https://grls.rosminzdrav.ru/Grls_View_v2.aspx?routingGuid=bbcf7276-a503-4968-abd0-286f29aa80a7" TargetMode="External"/><Relationship Id="rId341" Type="http://schemas.openxmlformats.org/officeDocument/2006/relationships/hyperlink" Target="https://grls.rosminzdrav.ru/Grls_View_v2.aspx?routingGuid=c27afa22-136b-4a31-96c0-fa7b3d7357f4" TargetMode="External"/><Relationship Id="rId383" Type="http://schemas.openxmlformats.org/officeDocument/2006/relationships/hyperlink" Target="http://grls.rosminzdrav.ru/Grls_View_v2.aspx?routingGuid=accc9e6e-21d3-4b43-8eb4-65d0bf807a6a&amp;t=" TargetMode="External"/><Relationship Id="rId439" Type="http://schemas.openxmlformats.org/officeDocument/2006/relationships/hyperlink" Target="https://grls.rosminzdrav.ru/Grls_View_v2.aspx?routingGuid=0cce9c7a-2004-4791-b0a5-830e1469b245" TargetMode="External"/><Relationship Id="rId590" Type="http://schemas.openxmlformats.org/officeDocument/2006/relationships/hyperlink" Target="https://grls.rosminzdrav.ru/Grls_View_v2.aspx?routingGuid=c878e337-f3b6-44d8-9ac7-c245862a4463" TargetMode="External"/><Relationship Id="rId604" Type="http://schemas.openxmlformats.org/officeDocument/2006/relationships/hyperlink" Target="https://grls.rosminzdrav.ru/Grls_View_v2.aspx?routingGuid=e7b7b94d-8b67-45ff-8bd0-b314a927cb05" TargetMode="External"/><Relationship Id="rId201" Type="http://schemas.openxmlformats.org/officeDocument/2006/relationships/hyperlink" Target="https://lk.regmed.ru/Register/GetPDFfromDAToken?Token=daa21352-7464-4e37-a24b-31888db79e80" TargetMode="External"/><Relationship Id="rId243" Type="http://schemas.openxmlformats.org/officeDocument/2006/relationships/hyperlink" Target="https://grls.rosminzdrav.ru/Grls_View_v2.aspx?routingGuid=e4ffdd5e-89db-479f-b9a3-4aee83beeb8a" TargetMode="External"/><Relationship Id="rId285" Type="http://schemas.openxmlformats.org/officeDocument/2006/relationships/hyperlink" Target="https://grls.rosminzdrav.ru/Grls_View_v2.aspx?routingGuid=c2615365-07f8-416b-be71-d3e983cb1eb3" TargetMode="External"/><Relationship Id="rId450" Type="http://schemas.openxmlformats.org/officeDocument/2006/relationships/hyperlink" Target="https://grls.rosminzdrav.ru/Grls_View_v2.aspx?routingGuid=09c1471e-ec8c-42ce-9ef9-0f1ded2db528" TargetMode="External"/><Relationship Id="rId506" Type="http://schemas.openxmlformats.org/officeDocument/2006/relationships/hyperlink" Target="https://grls.rosminzdrav.ru/Grls_View_v2.aspx?routingGuid=ac3504e5-0456-448c-9f1c-487b6658df60" TargetMode="External"/><Relationship Id="rId38" Type="http://schemas.openxmlformats.org/officeDocument/2006/relationships/hyperlink" Target="https://grls.rosminzdrav.ru/Grls_View_v2.aspx?routingGuid=d4d36459-a495-4769-bf77-558ba99330b1" TargetMode="External"/><Relationship Id="rId103" Type="http://schemas.openxmlformats.org/officeDocument/2006/relationships/hyperlink" Target="https://lk.regmed.ru/Register/GetPDFfromDAToken?Token=a5276048-6e32-4f08-9d02-266d9f69b4db" TargetMode="External"/><Relationship Id="rId310" Type="http://schemas.openxmlformats.org/officeDocument/2006/relationships/hyperlink" Target="https://grls.rosminzdrav.ru/Grls_View_v2.aspx?routingGuid=d4e26cea-321e-489e-90b0-10674ba3eaf9" TargetMode="External"/><Relationship Id="rId492" Type="http://schemas.openxmlformats.org/officeDocument/2006/relationships/hyperlink" Target="https://lk.regmed.ru/Register/GetPDFfromDA?ID=1544404631" TargetMode="External"/><Relationship Id="rId548" Type="http://schemas.openxmlformats.org/officeDocument/2006/relationships/hyperlink" Target="https://grls.rosminzdrav.ru/Grls_View_v2.aspx?routingGuid=5e6f4da3-3813-4f0a-a8b6-7abc41c4b3de" TargetMode="External"/><Relationship Id="rId91" Type="http://schemas.openxmlformats.org/officeDocument/2006/relationships/hyperlink" Target="https://grls.rosminzdrav.ru/Grls_View_v2.aspx?routingGuid=0cc60fe9-635e-4134-80d2-59a7787e33fb" TargetMode="External"/><Relationship Id="rId145" Type="http://schemas.openxmlformats.org/officeDocument/2006/relationships/hyperlink" Target="http://grls.rosminzdrav.ru/Grls_View_v2.aspx?routingGuid=24b95e82-2958-40e4-a4a2-4771c644d37a&amp;t=" TargetMode="External"/><Relationship Id="rId187" Type="http://schemas.openxmlformats.org/officeDocument/2006/relationships/hyperlink" Target="https://grls.rosminzdrav.ru/Grls_View_v2.aspx?routingGuid=aa975a20-f44a-451e-bf3e-3dcc80435b61" TargetMode="External"/><Relationship Id="rId352" Type="http://schemas.openxmlformats.org/officeDocument/2006/relationships/hyperlink" Target="https://grls.rosminzdrav.ru/Grls_View_v2.aspx?routingGuid=daa1567c-260a-4baf-bc15-9532637374d6&amp;t=" TargetMode="External"/><Relationship Id="rId394" Type="http://schemas.openxmlformats.org/officeDocument/2006/relationships/hyperlink" Target="https://grls.rosminzdrav.ru/Grls_View_v2.aspx?routingGuid=256ea028-eb19-4200-8221-512438fbd5ef" TargetMode="External"/><Relationship Id="rId408" Type="http://schemas.openxmlformats.org/officeDocument/2006/relationships/hyperlink" Target="https://grls.rosminzdrav.ru/Grls_View_v2.aspx?routingGuid=9a09ed84-2913-4e23-a93a-ace308eab1dc" TargetMode="External"/><Relationship Id="rId615" Type="http://schemas.openxmlformats.org/officeDocument/2006/relationships/hyperlink" Target="https://grls.rosminzdrav.ru/Grls_View_v2.aspx?routingGuid=6d1d9760-3bab-4d35-b454-a9539b9fd9e6" TargetMode="External"/><Relationship Id="rId212" Type="http://schemas.openxmlformats.org/officeDocument/2006/relationships/hyperlink" Target="https://lk.regmed.ru/Register/GetPDFfromDAToken?Token=3553002d-a459-42b4-8d3c-382ab7278081" TargetMode="External"/><Relationship Id="rId254" Type="http://schemas.openxmlformats.org/officeDocument/2006/relationships/hyperlink" Target="http://grls.rosminzdrav.ru/Grls_View_v2.aspx?routingGuid=dee8c37b-28f6-45f1-9773-d691d9fb54ae&amp;t=" TargetMode="External"/><Relationship Id="rId49" Type="http://schemas.openxmlformats.org/officeDocument/2006/relationships/hyperlink" Target="https://grls.rosminzdrav.ru/Grls_View_v2.aspx?routingGuid=263b30af-486c-42e0-911a-2a5ed131f20b" TargetMode="External"/><Relationship Id="rId114" Type="http://schemas.openxmlformats.org/officeDocument/2006/relationships/hyperlink" Target="https://grls.rosminzdrav.ru/Grls_View_v2.aspx?routingGuid=d494c688-0bc6-4c30-9e81-23f043ceb43e&amp;t=" TargetMode="External"/><Relationship Id="rId296" Type="http://schemas.openxmlformats.org/officeDocument/2006/relationships/hyperlink" Target="https://grls.rosminzdrav.ru/Grls_View_v2.aspx?routingGuid=cf5179f1-d6f7-4a8b-9251-28065290b167" TargetMode="External"/><Relationship Id="rId461" Type="http://schemas.openxmlformats.org/officeDocument/2006/relationships/hyperlink" Target="https://grls.rosminzdrav.ru/Grls_View_v2.aspx?routingGuid=831b739d-0598-4fef-adaf-7038c119d3f3" TargetMode="External"/><Relationship Id="rId517" Type="http://schemas.openxmlformats.org/officeDocument/2006/relationships/hyperlink" Target="https://lk.regmed.ru/Register/GetPDFfromDA?ID=1501926911" TargetMode="External"/><Relationship Id="rId559" Type="http://schemas.openxmlformats.org/officeDocument/2006/relationships/hyperlink" Target="https://lk.regmed.ru/Register/GetPDFfromDAToken?Token=f106fac2-b184-4b96-ad68-6ac1fd1325da" TargetMode="External"/><Relationship Id="rId60" Type="http://schemas.openxmlformats.org/officeDocument/2006/relationships/hyperlink" Target="https://lk.regmed.ru/Register/GetPDFfromDAToken?Token=7fabfdf2-4fe8-448e-859f-9a4b20cc3213" TargetMode="External"/><Relationship Id="rId156" Type="http://schemas.openxmlformats.org/officeDocument/2006/relationships/hyperlink" Target="https://lk.regmed.ru/Register/GetPDFfromDAToken?Token=b2eb25a3-b0e8-4ec0-a061-84b5525ed27c" TargetMode="External"/><Relationship Id="rId198" Type="http://schemas.openxmlformats.org/officeDocument/2006/relationships/hyperlink" Target="https://grls.rosminzdrav.ru/Grls_View_v2.aspx?routingGuid=162087a7-8c2e-4c1c-ada9-b2d41a7fc06d" TargetMode="External"/><Relationship Id="rId321" Type="http://schemas.openxmlformats.org/officeDocument/2006/relationships/hyperlink" Target="https://grls.rosminzdrav.ru/Grls_View_v2.aspx?routingGuid=41231e71-613c-4a24-ab98-462b5d95f938" TargetMode="External"/><Relationship Id="rId363" Type="http://schemas.openxmlformats.org/officeDocument/2006/relationships/hyperlink" Target="https://grls.rosminzdrav.ru/Grls_View_v2.aspx?routingGuid=f6747520-46db-401c-ac99-b006cfc89abf" TargetMode="External"/><Relationship Id="rId419" Type="http://schemas.openxmlformats.org/officeDocument/2006/relationships/hyperlink" Target="https://lk.regmed.ru/Register/GetPDFfromDAToken?Token=1a7b0dc3-0d55-4995-9e0a-3a9bc58544df" TargetMode="External"/><Relationship Id="rId570" Type="http://schemas.openxmlformats.org/officeDocument/2006/relationships/hyperlink" Target="https://grls.rosminzdrav.ru/Grls_View_v2.aspx?routingGuid=d3714db8-cea4-461c-839c-1840024120c8" TargetMode="External"/><Relationship Id="rId626" Type="http://schemas.openxmlformats.org/officeDocument/2006/relationships/hyperlink" Target="https://grls.rosminzdrav.ru/Grls_View_v2.aspx?routingGuid=89ef1c8f-42a1-41e7-9675-ad685aa41438" TargetMode="External"/><Relationship Id="rId223" Type="http://schemas.openxmlformats.org/officeDocument/2006/relationships/hyperlink" Target="https://grls.rosminzdrav.ru/Grls_View_v2.aspx?routingGuid=7ded6546-8feb-4afd-9a4d-1fce9414a552" TargetMode="External"/><Relationship Id="rId430" Type="http://schemas.openxmlformats.org/officeDocument/2006/relationships/hyperlink" Target="https://grls.rosminzdrav.ru/Grls_View_v2.aspx?routingGuid=823b5e3f-1e4d-4be9-b7c7-6acdc77fd788" TargetMode="External"/><Relationship Id="rId18" Type="http://schemas.openxmlformats.org/officeDocument/2006/relationships/hyperlink" Target="https://grls.rosminzdrav.ru/Grls_View_v2.aspx?routingGuid=60b8bad6-1fec-492d-a07c-25eee3daa0b5" TargetMode="External"/><Relationship Id="rId265" Type="http://schemas.openxmlformats.org/officeDocument/2006/relationships/hyperlink" Target="http://grls.rosminzdrav.ru/Grls_View_v2.aspx?routingGuid=e2729daf-b6bd-46e1-9860-a1e798ffdb95&amp;t=" TargetMode="External"/><Relationship Id="rId472" Type="http://schemas.openxmlformats.org/officeDocument/2006/relationships/hyperlink" Target="https://lk.regmed.ru/Register/GetPDFfromDA?ID=1516404731" TargetMode="External"/><Relationship Id="rId528" Type="http://schemas.openxmlformats.org/officeDocument/2006/relationships/hyperlink" Target="https://grls.rosminzdrav.ru/Grls_View_v2.aspx?routingGuid=9196861c-6233-45be-8241-186d3f051250" TargetMode="External"/><Relationship Id="rId125" Type="http://schemas.openxmlformats.org/officeDocument/2006/relationships/hyperlink" Target="https://lk.regmed.ru/Register/GetPDFfromDAToken?Token=8cc54647-279e-4b2f-82d7-b1ed3161d86a" TargetMode="External"/><Relationship Id="rId167" Type="http://schemas.openxmlformats.org/officeDocument/2006/relationships/hyperlink" Target="https://lk.regmed.ru/Register/GetPDFfromDAToken?Token=49eb0c51-5786-40d6-aa23-a6ca97631b43" TargetMode="External"/><Relationship Id="rId332" Type="http://schemas.openxmlformats.org/officeDocument/2006/relationships/hyperlink" Target="http://grls.rosminzdrav.ru/Grls_View_v2.aspx?routingGuid=0f830a1f-1669-498e-9461-97b3b29333bd&amp;t=" TargetMode="External"/><Relationship Id="rId374" Type="http://schemas.openxmlformats.org/officeDocument/2006/relationships/hyperlink" Target="https://grls.rosminzdrav.ru/Grls_View_v2.aspx?routingGuid=bd0099be-c683-4345-a633-3de57fe08bab" TargetMode="External"/><Relationship Id="rId581" Type="http://schemas.openxmlformats.org/officeDocument/2006/relationships/hyperlink" Target="https://lk.regmed.ru/Register/GetPDFfromDAToken?Token=8ad4f0f0-b346-4aa8-af10-12a900409bb3" TargetMode="External"/><Relationship Id="rId71" Type="http://schemas.openxmlformats.org/officeDocument/2006/relationships/hyperlink" Target="https://grls.rosminzdrav.ru/Grls_View_v2.aspx?routingGuid=b8dfef4d-a4cf-4d18-9599-1a3fb42864c7" TargetMode="External"/><Relationship Id="rId234" Type="http://schemas.openxmlformats.org/officeDocument/2006/relationships/hyperlink" Target="https://grls.rosminzdrav.ru/Grls_View_v2.aspx?routingGuid=7da83465-3e51-4a42-99a7-7aff7e64f9e4" TargetMode="External"/><Relationship Id="rId637" Type="http://schemas.openxmlformats.org/officeDocument/2006/relationships/hyperlink" Target="https://lk.regmed.ru/Register/GetPDFfromDAToken?Token=74527abd-af79-4f2c-b524-782c1d0313c9" TargetMode="External"/><Relationship Id="rId2" Type="http://schemas.openxmlformats.org/officeDocument/2006/relationships/hyperlink" Target="https://grls.rosminzdrav.ru/Grls_View_v2.aspx?routingGuid=9f91626d-1063-4ea5-9346-800cc6ef9b44" TargetMode="External"/><Relationship Id="rId29" Type="http://schemas.openxmlformats.org/officeDocument/2006/relationships/hyperlink" Target="https://grls.rosminzdrav.ru/Grls_View_v2.aspx?routingGuid=04b887e5-95d7-44df-beaa-a539fe956444" TargetMode="External"/><Relationship Id="rId276" Type="http://schemas.openxmlformats.org/officeDocument/2006/relationships/hyperlink" Target="http://grls.rosminzdrav.ru/Grls_View_v2.aspx?routingGuid=fba2bb4d-f934-460c-b318-dad8525f8cd6&amp;t=" TargetMode="External"/><Relationship Id="rId441" Type="http://schemas.openxmlformats.org/officeDocument/2006/relationships/hyperlink" Target="https://grls.rosminzdrav.ru/Grls_View_v2.aspx?routingGuid=831c5a30-1b96-43a6-bf67-a6dc879f33ed" TargetMode="External"/><Relationship Id="rId483" Type="http://schemas.openxmlformats.org/officeDocument/2006/relationships/hyperlink" Target="https://grls.rosminzdrav.ru/Grls_View_v2.aspx?routingGuid=e0de1bec-a881-4f57-9b47-a6152b3b9902" TargetMode="External"/><Relationship Id="rId539" Type="http://schemas.openxmlformats.org/officeDocument/2006/relationships/hyperlink" Target="https://grls.rosminzdrav.ru/Grls_View_v2.aspx?routingGuid=0fcbffbf-d247-4aa3-a4df-cccf3af59785" TargetMode="External"/><Relationship Id="rId40" Type="http://schemas.openxmlformats.org/officeDocument/2006/relationships/hyperlink" Target="https://lk.regmed.ru/Register/GetPDFfromDAToken?Token=9916a334-02fd-4f23-ad64-c996916ac2d6" TargetMode="External"/><Relationship Id="rId136" Type="http://schemas.openxmlformats.org/officeDocument/2006/relationships/hyperlink" Target="https://grls.rosminzdrav.ru/Grls_View_v2.aspx?routingGuid=b90698f2-e111-4450-b82c-5c3ca26a25f5" TargetMode="External"/><Relationship Id="rId178" Type="http://schemas.openxmlformats.org/officeDocument/2006/relationships/hyperlink" Target="https://lk.regmed.ru/Register/GetPDFfromDAToken?Token=60f59013-3af8-438a-b5ec-739308a69e96" TargetMode="External"/><Relationship Id="rId301" Type="http://schemas.openxmlformats.org/officeDocument/2006/relationships/hyperlink" Target="https://grls.rosminzdrav.ru/Grls_View_v2.aspx?routingGuid=a0eece39-1af9-4420-be24-7ff034677feb" TargetMode="External"/><Relationship Id="rId343" Type="http://schemas.openxmlformats.org/officeDocument/2006/relationships/hyperlink" Target="http://grls.rosminzdrav.ru/Grls_View_v2.aspx?routingGuid=2bad86b1-6c60-4df8-9f0b-e3bbc2d0aed4&amp;t=" TargetMode="External"/><Relationship Id="rId550" Type="http://schemas.openxmlformats.org/officeDocument/2006/relationships/hyperlink" Target="https://grls.rosminzdrav.ru/Grls_View_v2.aspx?routingGuid=46a21252-b40d-407d-9129-d078a310a5b2" TargetMode="External"/><Relationship Id="rId82" Type="http://schemas.openxmlformats.org/officeDocument/2006/relationships/hyperlink" Target="https://grls.rosminzdrav.ru/Grls_View_v2.aspx?routingGuid=0814c0aa-66c2-4566-a774-02de4c45b6ac" TargetMode="External"/><Relationship Id="rId203" Type="http://schemas.openxmlformats.org/officeDocument/2006/relationships/hyperlink" Target="https://lk.regmed.ru/Register/GetPDFfromDAToken?Token=0725a6ff-6dab-4a0b-bf38-21b81e568dfb" TargetMode="External"/><Relationship Id="rId385" Type="http://schemas.openxmlformats.org/officeDocument/2006/relationships/hyperlink" Target="https://lk.regmed.ru/Register/GetPDFfromDAToken?Token=7037708a-d472-4a50-890a-76944cf29ef7" TargetMode="External"/><Relationship Id="rId592" Type="http://schemas.openxmlformats.org/officeDocument/2006/relationships/hyperlink" Target="https://lk.regmed.ru/Register/GetPDFfromDAToken?Token=7a5aa5a2-26ce-4b74-a18e-06cad4414c03" TargetMode="External"/><Relationship Id="rId606" Type="http://schemas.openxmlformats.org/officeDocument/2006/relationships/hyperlink" Target="https://grls.rosminzdrav.ru/Grls_View_v2.aspx?routingGuid=b974d161-6689-49b1-a6f6-a825ebf5a7f2" TargetMode="External"/><Relationship Id="rId245" Type="http://schemas.openxmlformats.org/officeDocument/2006/relationships/hyperlink" Target="https://grls.rosminzdrav.ru/Grls_View_v2.aspx?routingGuid=fdc0478a-afd9-4fb4-b9fd-51277ddd1027" TargetMode="External"/><Relationship Id="rId287" Type="http://schemas.openxmlformats.org/officeDocument/2006/relationships/hyperlink" Target="https://grls.rosminzdrav.ru/Grls_View_v2.aspx?routingGuid=69534cbd-1ff0-4210-8fa1-3ed6ab7564ac" TargetMode="External"/><Relationship Id="rId410" Type="http://schemas.openxmlformats.org/officeDocument/2006/relationships/hyperlink" Target="https://grls.rosminzdrav.ru/Grls_View_v2.aspx?routingGuid=9a09ed84-2913-4e23-a93a-ace308eab1dc" TargetMode="External"/><Relationship Id="rId452" Type="http://schemas.openxmlformats.org/officeDocument/2006/relationships/hyperlink" Target="https://grls.rosminzdrav.ru/Grls_View_v2.aspx?routingGuid=5c6779c4-47b4-4c91-9642-933f4c3b11da" TargetMode="External"/><Relationship Id="rId494" Type="http://schemas.openxmlformats.org/officeDocument/2006/relationships/hyperlink" Target="https://lk.regmed.ru/Register/GetPDFfromDAToken?Token=58f1b7dc-8dab-4377-aa9c-e3b963a41705" TargetMode="External"/><Relationship Id="rId508" Type="http://schemas.openxmlformats.org/officeDocument/2006/relationships/hyperlink" Target="https://grls.rosminzdrav.ru/Grls_View_v2.aspx?routingGuid=1bbc81c1-2d8e-4e68-9b86-93278f4e989c" TargetMode="External"/><Relationship Id="rId105" Type="http://schemas.openxmlformats.org/officeDocument/2006/relationships/hyperlink" Target="http://grls.rosminzdrav.ru/Grls_View_v2.aspx?routingGuid=f1674482-805b-467b-896f-f78e3c14cba4&amp;t=" TargetMode="External"/><Relationship Id="rId147" Type="http://schemas.openxmlformats.org/officeDocument/2006/relationships/hyperlink" Target="https://grls.rosminzdrav.ru/Grls_View_v2.aspx?routingGuid=34537f7c-cc43-45ef-bc9a-9820641bf718" TargetMode="External"/><Relationship Id="rId312" Type="http://schemas.openxmlformats.org/officeDocument/2006/relationships/hyperlink" Target="http://grls.rosminzdrav.ru/Grls_View_v2.aspx?routingGuid=0962362a-d8cb-4c53-b4f2-43cc75eea35f&amp;t=" TargetMode="External"/><Relationship Id="rId354" Type="http://schemas.openxmlformats.org/officeDocument/2006/relationships/hyperlink" Target="http://grls.rosminzdrav.ru/Grls_View_v2.aspx?routingGuid=71035dbe-6178-42c0-8d36-aa54e546a65b&amp;t=" TargetMode="External"/><Relationship Id="rId51" Type="http://schemas.openxmlformats.org/officeDocument/2006/relationships/hyperlink" Target="https://grls.rosminzdrav.ru/Grls_View_v2.aspx?routingGuid=7901c857-1397-49d2-9a93-f8c171091efa" TargetMode="External"/><Relationship Id="rId93" Type="http://schemas.openxmlformats.org/officeDocument/2006/relationships/hyperlink" Target="https://grls.rosminzdrav.ru/Grls_View_v2.aspx?routingGuid=3059b036-5e60-42ed-b26c-7eb6d5d06406" TargetMode="External"/><Relationship Id="rId189" Type="http://schemas.openxmlformats.org/officeDocument/2006/relationships/hyperlink" Target="http://grls.rosminzdrav.ru/Grls_View_v2.aspx?routingGuid=0d17eb38-2f27-41b3-ae00-df4048d683a8&amp;t=" TargetMode="External"/><Relationship Id="rId396" Type="http://schemas.openxmlformats.org/officeDocument/2006/relationships/hyperlink" Target="https://grls.rosminzdrav.ru/Grls_View_v2.aspx?routingGuid=907b510e-7f7f-46df-b43a-f6541b9871fc" TargetMode="External"/><Relationship Id="rId561" Type="http://schemas.openxmlformats.org/officeDocument/2006/relationships/hyperlink" Target="https://grls.rosminzdrav.ru/Grls_View_v2.aspx?routingGuid=0ba24732-9dc8-464f-9334-1656fb2a15d4" TargetMode="External"/><Relationship Id="rId617" Type="http://schemas.openxmlformats.org/officeDocument/2006/relationships/hyperlink" Target="https://grls.rosminzdrav.ru/Grls_View_v2.aspx?routingGuid=6d1d9760-3bab-4d35-b454-a9539b9fd9e6" TargetMode="External"/><Relationship Id="rId214" Type="http://schemas.openxmlformats.org/officeDocument/2006/relationships/hyperlink" Target="https://lk.regmed.ru/Register/GetPDFfromDAToken?Token=2582b5a2-7a42-49c7-ab2d-7f067592996f" TargetMode="External"/><Relationship Id="rId256" Type="http://schemas.openxmlformats.org/officeDocument/2006/relationships/hyperlink" Target="https://grls.rosminzdrav.ru/Grls_View_v2.aspx?routingGuid=640af3c6-436c-47e2-a2cb-8cfff245452f" TargetMode="External"/><Relationship Id="rId298" Type="http://schemas.openxmlformats.org/officeDocument/2006/relationships/hyperlink" Target="https://grls.rosminzdrav.ru/Grls_View_v2.aspx?routingGuid=a4eb2ebc-3815-42d3-b335-960b32db498b" TargetMode="External"/><Relationship Id="rId421" Type="http://schemas.openxmlformats.org/officeDocument/2006/relationships/hyperlink" Target="https://lk.regmed.ru/Register/GetPDFfromDAToken?Token=1a0debf3-0fdb-4bcc-ab01-d33c998b1f20" TargetMode="External"/><Relationship Id="rId463" Type="http://schemas.openxmlformats.org/officeDocument/2006/relationships/hyperlink" Target="https://lk.regmed.ru/Register/GetPDFfromDAToken?Token=40ae3588-c6bf-4e09-8293-2297990eff80" TargetMode="External"/><Relationship Id="rId519" Type="http://schemas.openxmlformats.org/officeDocument/2006/relationships/hyperlink" Target="https://grls.rosminzdrav.ru/Grls_View_v2.aspx?routingGuid=fd2093f8-0c92-4172-bc6c-0c44d55adbfb" TargetMode="External"/><Relationship Id="rId116" Type="http://schemas.openxmlformats.org/officeDocument/2006/relationships/hyperlink" Target="https://grls.rosminzdrav.ru/Grls_View_v2.aspx?routingGuid=ff05de13-f90b-475b-a47c-609c8a0539a7" TargetMode="External"/><Relationship Id="rId158" Type="http://schemas.openxmlformats.org/officeDocument/2006/relationships/hyperlink" Target="http://grls.rosminzdrav.ru/Grls_View_v2.aspx?routingGuid=124a42d3-7fac-48c0-aaaf-cfe4d199894b&amp;t=" TargetMode="External"/><Relationship Id="rId323" Type="http://schemas.openxmlformats.org/officeDocument/2006/relationships/hyperlink" Target="https://lk.regmed.ru/Register/GetPDFfromDAToken?Token=2ee8485e-7a43-4e4b-89e5-47703a28d58a" TargetMode="External"/><Relationship Id="rId530" Type="http://schemas.openxmlformats.org/officeDocument/2006/relationships/hyperlink" Target="https://grls.rosminzdrav.ru/Grls_View_v2.aspx?routingGuid=f1e09f65-6c2b-49ed-bd96-3ff58ef202d8" TargetMode="External"/><Relationship Id="rId20" Type="http://schemas.openxmlformats.org/officeDocument/2006/relationships/hyperlink" Target="https://grls.rosminzdrav.ru/Grls_View_v2.aspx?routingGuid=73faea00-ddd0-427e-9f40-49dfea9a2470" TargetMode="External"/><Relationship Id="rId62" Type="http://schemas.openxmlformats.org/officeDocument/2006/relationships/hyperlink" Target="https://lk.regmed.ru/Register/GetPDFfromDAToken?Token=64e50f3b-676a-4ffd-a308-008f4019c7c0" TargetMode="External"/><Relationship Id="rId365" Type="http://schemas.openxmlformats.org/officeDocument/2006/relationships/hyperlink" Target="https://grls.rosminzdrav.ru/Grls_View_v2.aspx?routingGuid=78dc381a-ed0b-4ebc-a939-78b672f706f0" TargetMode="External"/><Relationship Id="rId572" Type="http://schemas.openxmlformats.org/officeDocument/2006/relationships/hyperlink" Target="https://grls.rosminzdrav.ru/Grls_View_v2.aspx?routingGuid=d3714db8-cea4-461c-839c-1840024120c8" TargetMode="External"/><Relationship Id="rId628" Type="http://schemas.openxmlformats.org/officeDocument/2006/relationships/hyperlink" Target="https://grls.rosminzdrav.ru/Grls_View_v2.aspx?routingGuid=1a4a48c3-a278-4283-9a32-aa920611ebe5" TargetMode="External"/><Relationship Id="rId225" Type="http://schemas.openxmlformats.org/officeDocument/2006/relationships/hyperlink" Target="https://grls.rosminzdrav.ru/Grls_View_v2.aspx?routingGuid=94cb6422-2bae-41b1-b881-7019bc1e6c88" TargetMode="External"/><Relationship Id="rId267" Type="http://schemas.openxmlformats.org/officeDocument/2006/relationships/hyperlink" Target="https://grls.rosminzdrav.ru/Grls_View_v2.aspx?routingGuid=2d805292-2bee-4665-b4ef-a466b3e3bc8f" TargetMode="External"/><Relationship Id="rId432" Type="http://schemas.openxmlformats.org/officeDocument/2006/relationships/hyperlink" Target="https://grls.rosminzdrav.ru/Grls_View_v2.aspx?routingGuid=3cf40fcb-fe6b-4f3b-aac2-300e5253d28f" TargetMode="External"/><Relationship Id="rId474" Type="http://schemas.openxmlformats.org/officeDocument/2006/relationships/hyperlink" Target="https://grls.rosminzdrav.ru/Grls_View_v2.aspx?routingGuid=c4cf7e73-cdee-4bd7-ab58-00e2bb5e6958" TargetMode="External"/><Relationship Id="rId127" Type="http://schemas.openxmlformats.org/officeDocument/2006/relationships/hyperlink" Target="https://lk.regmed.ru/Register/GetPDFfromDAToken?Token=333cbca5-2931-4145-ba0e-d5b9ee3e74f7" TargetMode="External"/><Relationship Id="rId31" Type="http://schemas.openxmlformats.org/officeDocument/2006/relationships/hyperlink" Target="http://grls.rosminzdrav.ru/Grls_View_v2.aspx?routingGuid=f43b3011-7633-434e-a703-3e18238e9b83&amp;t=" TargetMode="External"/><Relationship Id="rId73" Type="http://schemas.openxmlformats.org/officeDocument/2006/relationships/hyperlink" Target="https://grls.rosminzdrav.ru/Grls_View_v2.aspx?routingGuid=b8dfef4d-a4cf-4d18-9599-1a3fb42864c7" TargetMode="External"/><Relationship Id="rId169" Type="http://schemas.openxmlformats.org/officeDocument/2006/relationships/hyperlink" Target="http://grls.rosminzdrav.ru/Grls_View_v2.aspx?routingGuid=61237c83-f5c4-43db-aad1-879afb2576dc&amp;t=" TargetMode="External"/><Relationship Id="rId334" Type="http://schemas.openxmlformats.org/officeDocument/2006/relationships/hyperlink" Target="https://grls.rosminzdrav.ru/Grls_View_v2.aspx?routingGuid=5ef363e0-7cee-48c5-ad35-c352b3fb519e" TargetMode="External"/><Relationship Id="rId376" Type="http://schemas.openxmlformats.org/officeDocument/2006/relationships/hyperlink" Target="https://grls.rosminzdrav.ru/Grls_View_v2.aspx?routingGuid=8790c6b6-9ab5-4df0-8084-075d18ec2595&amp;t=" TargetMode="External"/><Relationship Id="rId541" Type="http://schemas.openxmlformats.org/officeDocument/2006/relationships/hyperlink" Target="https://grls.rosminzdrav.ru/Grls_View_v2.aspx?routingGuid=099f97bf-1bee-4113-b6ba-1b81cb507783" TargetMode="External"/><Relationship Id="rId583" Type="http://schemas.openxmlformats.org/officeDocument/2006/relationships/hyperlink" Target="https://grls.rosminzdrav.ru/Grls_View_v2.aspx?routingGuid=4bb4c4f0-e8eb-4d44-94f2-5259ad424a4f" TargetMode="External"/><Relationship Id="rId639" Type="http://schemas.openxmlformats.org/officeDocument/2006/relationships/hyperlink" Target="https://grls.rosminzdrav.ru/Grls_View_v2.aspx?routingGuid=28cf88b2-695f-4467-a36a-7ea401b5c0dd" TargetMode="External"/><Relationship Id="rId4" Type="http://schemas.openxmlformats.org/officeDocument/2006/relationships/hyperlink" Target="https://grls.rosminzdrav.ru/Grls_View_v2.aspx?routingGuid=580694c3-d27d-4aa9-900d-0437dc6119ca" TargetMode="External"/><Relationship Id="rId180" Type="http://schemas.openxmlformats.org/officeDocument/2006/relationships/hyperlink" Target="http://grls.rosminzdrav.ru/Grls_View_v2.aspx?routingGuid=ca43f50c-f676-44b2-86ad-853f677b4498&amp;t=" TargetMode="External"/><Relationship Id="rId236" Type="http://schemas.openxmlformats.org/officeDocument/2006/relationships/hyperlink" Target="https://grls.rosminzdrav.ru/Grls_View_v2.aspx?routingGuid=7da83465-3e51-4a42-99a7-7aff7e64f9e4" TargetMode="External"/><Relationship Id="rId278" Type="http://schemas.openxmlformats.org/officeDocument/2006/relationships/hyperlink" Target="https://lk.regmed.ru/Register/GetPDFfromDAToken?Token=1f268f03-9b1c-4d7b-9599-88099428d00f" TargetMode="External"/><Relationship Id="rId401" Type="http://schemas.openxmlformats.org/officeDocument/2006/relationships/hyperlink" Target="http://grls.rosminzdrav.ru/Grls_View_v2.aspx?routingGuid=e5e46dca-6622-4d3a-a0cd-349a012a5fc0&amp;t=" TargetMode="External"/><Relationship Id="rId443" Type="http://schemas.openxmlformats.org/officeDocument/2006/relationships/hyperlink" Target="https://grls.rosminzdrav.ru/Grls_View_v2.aspx?routingGuid=4c557b4f-d993-4256-84b8-be1a3067c76b" TargetMode="External"/><Relationship Id="rId303" Type="http://schemas.openxmlformats.org/officeDocument/2006/relationships/hyperlink" Target="https://grls.rosminzdrav.ru/Grls_View_v2.aspx?routingGuid=1f496df2-7c22-4ddc-8980-da1023a88a35" TargetMode="External"/><Relationship Id="rId485" Type="http://schemas.openxmlformats.org/officeDocument/2006/relationships/hyperlink" Target="https://lk.regmed.ru/Register/GetPDFfromDAToken?Token=c7ac97b0-4532-4343-8e11-6cd7f223fbed" TargetMode="External"/><Relationship Id="rId42" Type="http://schemas.openxmlformats.org/officeDocument/2006/relationships/hyperlink" Target="https://lk.regmed.ru/Register/GetPDFfromDAToken?Token=22df29cf-dc92-4628-a24c-edf2e8b2b256" TargetMode="External"/><Relationship Id="rId84" Type="http://schemas.openxmlformats.org/officeDocument/2006/relationships/hyperlink" Target="http://grls.rosminzdrav.ru/Grls_View_v2.aspx?routingGuid=3a8088d9-7d7f-445f-a8e4-a1bab7a809ad&amp;t=" TargetMode="External"/><Relationship Id="rId138" Type="http://schemas.openxmlformats.org/officeDocument/2006/relationships/hyperlink" Target="https://grls.rosminzdrav.ru/Grls_View_v2.aspx?routingGuid=b90698f2-e111-4450-b82c-5c3ca26a25f5" TargetMode="External"/><Relationship Id="rId345" Type="http://schemas.openxmlformats.org/officeDocument/2006/relationships/hyperlink" Target="https://grls.rosminzdrav.ru/Grls_View_v2.aspx?routingGuid=fdfbbbec-8dee-4615-b7eb-26968c926dbf" TargetMode="External"/><Relationship Id="rId387" Type="http://schemas.openxmlformats.org/officeDocument/2006/relationships/hyperlink" Target="https://lk.regmed.ru/Register/GetPDFfromDAToken?Token=b68f5db4-a3af-4ec9-be07-b9fc4583ba4b" TargetMode="External"/><Relationship Id="rId510" Type="http://schemas.openxmlformats.org/officeDocument/2006/relationships/hyperlink" Target="https://lk.regmed.ru/Register/GetPDFfromDAToken?Token=794bbd49-799b-402d-ac63-cd915a377894" TargetMode="External"/><Relationship Id="rId552" Type="http://schemas.openxmlformats.org/officeDocument/2006/relationships/hyperlink" Target="https://grls.rosminzdrav.ru/Grls_View_v2.aspx?routingGuid=ffbbd41c-3c7f-4e9c-a670-58300ad5f281" TargetMode="External"/><Relationship Id="rId594" Type="http://schemas.openxmlformats.org/officeDocument/2006/relationships/hyperlink" Target="https://grls.rosminzdrav.ru/Grls_View_v2.aspx?routingGuid=67d47b58-44f8-467a-ac68-f50a5e27ec96" TargetMode="External"/><Relationship Id="rId608" Type="http://schemas.openxmlformats.org/officeDocument/2006/relationships/hyperlink" Target="https://grls.rosminzdrav.ru/Grls_View_v2.aspx?routingGuid=b974d161-6689-49b1-a6f6-a825ebf5a7f2" TargetMode="External"/><Relationship Id="rId191" Type="http://schemas.openxmlformats.org/officeDocument/2006/relationships/hyperlink" Target="https://lk.regmed.ru/Register/GetPDFfromDAToken?Token=22a07d8d-d541-45f6-8093-29d650df9705" TargetMode="External"/><Relationship Id="rId205" Type="http://schemas.openxmlformats.org/officeDocument/2006/relationships/hyperlink" Target="http://grls.rosminzdrav.ru/Grls_View_v2.aspx?routingGuid=8b65507f-1d6e-4318-b54e-d1d9632dd46c&amp;t=" TargetMode="External"/><Relationship Id="rId247" Type="http://schemas.openxmlformats.org/officeDocument/2006/relationships/hyperlink" Target="https://grls.rosminzdrav.ru/Grls_View_v2.aspx?routingGuid=5a312c4c-479c-463e-85d1-fa7e8990168d" TargetMode="External"/><Relationship Id="rId412" Type="http://schemas.openxmlformats.org/officeDocument/2006/relationships/hyperlink" Target="https://grls.rosminzdrav.ru/Grls_View_v2.aspx?routingGuid=7135d5bc-ee0d-49bc-a8ae-b99cfb0a63c7&amp;t=" TargetMode="External"/><Relationship Id="rId107" Type="http://schemas.openxmlformats.org/officeDocument/2006/relationships/hyperlink" Target="https://lk.regmed.ru/Register/GetPDFfromDAToken?Token=0b4492da-8526-4af7-a136-8dc82478f429" TargetMode="External"/><Relationship Id="rId289" Type="http://schemas.openxmlformats.org/officeDocument/2006/relationships/hyperlink" Target="https://grls.rosminzdrav.ru/Grls_View_v2.aspx?routingGuid=69bf2722-aa8e-4374-a63b-c2e0fd5da7cd" TargetMode="External"/><Relationship Id="rId454" Type="http://schemas.openxmlformats.org/officeDocument/2006/relationships/hyperlink" Target="https://grls.rosminzdrav.ru/Grls_View_v2.aspx?routingGuid=e52e38b6-79d2-41fc-b6ed-2eb372023a81" TargetMode="External"/><Relationship Id="rId496" Type="http://schemas.openxmlformats.org/officeDocument/2006/relationships/hyperlink" Target="https://grls.rosminzdrav.ru/Grls_View_v2.aspx?routingGuid=2e02af66-4bc2-4f7a-bb57-0c53682091f4" TargetMode="External"/><Relationship Id="rId11" Type="http://schemas.openxmlformats.org/officeDocument/2006/relationships/hyperlink" Target="https://grls.rosminzdrav.ru/Grls_View_v2.aspx?routingGuid=9197ac42-596c-4696-829a-f39b4433e1ba" TargetMode="External"/><Relationship Id="rId53" Type="http://schemas.openxmlformats.org/officeDocument/2006/relationships/hyperlink" Target="https://grls.rosminzdrav.ru/Grls_View_v2.aspx?routingGuid=7901c857-1397-49d2-9a93-f8c171091efa" TargetMode="External"/><Relationship Id="rId149" Type="http://schemas.openxmlformats.org/officeDocument/2006/relationships/hyperlink" Target="https://grls.rosminzdrav.ru/Grls_View_v2.aspx?routingGuid=f0e5ea62-1cea-4427-923d-201a87349492" TargetMode="External"/><Relationship Id="rId314" Type="http://schemas.openxmlformats.org/officeDocument/2006/relationships/hyperlink" Target="http://grls.rosminzdrav.ru/Grls_View_v2.aspx?routingGuid=37890f2a-f963-4c4a-a9fc-d7738025bf49&amp;t=" TargetMode="External"/><Relationship Id="rId356" Type="http://schemas.openxmlformats.org/officeDocument/2006/relationships/hyperlink" Target="https://lk.regmed.ru/Register/GetPDFfromDAToken?Token=50f49d83-55c5-4c3f-95fd-eb87ceb7bbc1" TargetMode="External"/><Relationship Id="rId398" Type="http://schemas.openxmlformats.org/officeDocument/2006/relationships/hyperlink" Target="https://grls.rosminzdrav.ru/Grls_View_v2.aspx?routingGuid=907b510e-7f7f-46df-b43a-f6541b9871fc" TargetMode="External"/><Relationship Id="rId521" Type="http://schemas.openxmlformats.org/officeDocument/2006/relationships/hyperlink" Target="https://grls.rosminzdrav.ru/Grls_View_v2.aspx?routingGuid=e79d768f-8d1c-4d6c-b0a9-78858b83791d" TargetMode="External"/><Relationship Id="rId563" Type="http://schemas.openxmlformats.org/officeDocument/2006/relationships/hyperlink" Target="https://grls.rosminzdrav.ru/Grls_View_v2.aspx?routingGuid=e99e15ff-e349-466b-96fc-4a1c427ba9a8" TargetMode="External"/><Relationship Id="rId619" Type="http://schemas.openxmlformats.org/officeDocument/2006/relationships/hyperlink" Target="https://lk.regmed.ru/Register/GetPDFfromDA?ID=1607301531" TargetMode="External"/><Relationship Id="rId95" Type="http://schemas.openxmlformats.org/officeDocument/2006/relationships/hyperlink" Target="https://grls.rosminzdrav.ru/Grls_View_v2.aspx?routingGuid=0d28b2ad-18b2-4e7a-8c27-436c0feea6d4" TargetMode="External"/><Relationship Id="rId160" Type="http://schemas.openxmlformats.org/officeDocument/2006/relationships/hyperlink" Target="https://lk.regmed.ru/Register/GetPDFfromDAToken?Token=21d09ab4-e8b0-4241-88e6-6f4a8868109c" TargetMode="External"/><Relationship Id="rId216" Type="http://schemas.openxmlformats.org/officeDocument/2006/relationships/hyperlink" Target="http://grls.rosminzdrav.ru/Grls_View_v2.aspx?routingGuid=17eeb85f-062a-4f03-b4ba-7053cbca6a2e&amp;t=" TargetMode="External"/><Relationship Id="rId423" Type="http://schemas.openxmlformats.org/officeDocument/2006/relationships/hyperlink" Target="https://grls.rosminzdrav.ru/Grls_View_v2.aspx?routingGuid=04423b6b-72c2-40be-8c6c-6114c38d6f55" TargetMode="External"/><Relationship Id="rId258" Type="http://schemas.openxmlformats.org/officeDocument/2006/relationships/hyperlink" Target="https://grls.rosminzdrav.ru/Grls_View_v2.aspx?routingGuid=f3397dc1-d0e3-472a-975a-f988a9b4b549" TargetMode="External"/><Relationship Id="rId465" Type="http://schemas.openxmlformats.org/officeDocument/2006/relationships/hyperlink" Target="https://grls.rosminzdrav.ru/Grls_View_v2.aspx?routingGuid=f16f8076-1f4f-4a2f-8918-0b39da14dc94" TargetMode="External"/><Relationship Id="rId630" Type="http://schemas.openxmlformats.org/officeDocument/2006/relationships/hyperlink" Target="https://grls.rosminzdrav.ru/Grls_View_v2.aspx?routingGuid=1a4a48c3-a278-4283-9a32-aa920611ebe5" TargetMode="External"/><Relationship Id="rId22" Type="http://schemas.openxmlformats.org/officeDocument/2006/relationships/hyperlink" Target="https://grls.rosminzdrav.ru/Grls_View_v2.aspx?routingGuid=e6156693-4103-4342-8849-ac022e006944" TargetMode="External"/><Relationship Id="rId64" Type="http://schemas.openxmlformats.org/officeDocument/2006/relationships/hyperlink" Target="http://grls.rosminzdrav.ru/Grls_View_v2.aspx?routingGuid=6e2aecff-8338-4266-8505-8b8c9b01801a&amp;t=" TargetMode="External"/><Relationship Id="rId118" Type="http://schemas.openxmlformats.org/officeDocument/2006/relationships/hyperlink" Target="https://grls.rosminzdrav.ru/Grls_View_v2.aspx?routingGuid=fd7355d2-abfa-4846-99da-a1c5c6e8991a" TargetMode="External"/><Relationship Id="rId325" Type="http://schemas.openxmlformats.org/officeDocument/2006/relationships/hyperlink" Target="http://grls.rosminzdrav.ru/Grls_View_v2.aspx?routingGuid=2116d9c4-05b6-4d24-80cf-d438d2ed4e0e&amp;t=" TargetMode="External"/><Relationship Id="rId367" Type="http://schemas.openxmlformats.org/officeDocument/2006/relationships/hyperlink" Target="https://grls.rosminzdrav.ru/Grls_View_v2.aspx?routingGuid=e674fd41-ea9d-4a0b-9f4b-7f728da76cf0" TargetMode="External"/><Relationship Id="rId532" Type="http://schemas.openxmlformats.org/officeDocument/2006/relationships/hyperlink" Target="https://grls.rosminzdrav.ru/Grls_View_v2.aspx?routingGuid=730b8fe6-57a9-4211-85e5-684ae4ef328f" TargetMode="External"/><Relationship Id="rId574" Type="http://schemas.openxmlformats.org/officeDocument/2006/relationships/hyperlink" Target="https://grls.rosminzdrav.ru/Grls_View_v2.aspx?routingGuid=7a1fd292-7204-452f-8342-f3d724314b8d" TargetMode="External"/><Relationship Id="rId171" Type="http://schemas.openxmlformats.org/officeDocument/2006/relationships/hyperlink" Target="https://grls.rosminzdrav.ru/Grls_View_v2.aspx?routingGuid=af4dd5ba-8e11-450c-83f0-3c6db2b13cf6" TargetMode="External"/><Relationship Id="rId227" Type="http://schemas.openxmlformats.org/officeDocument/2006/relationships/hyperlink" Target="http://grls.rosminzdrav.ru/Grls_View_v2.aspx?routingGuid=e3ab4daa-0aca-47e9-8b48-96b99c77096e&amp;t=" TargetMode="External"/><Relationship Id="rId269" Type="http://schemas.openxmlformats.org/officeDocument/2006/relationships/hyperlink" Target="https://grls.rosminzdrav.ru/Grls_View_v2.aspx?routingGuid=708a5616-61d3-4695-a4cb-2e78bcfca33b" TargetMode="External"/><Relationship Id="rId434" Type="http://schemas.openxmlformats.org/officeDocument/2006/relationships/hyperlink" Target="https://grls.rosminzdrav.ru/Grls_View_v2.aspx?routingGuid=273f2134-22fe-4c67-a562-4d3da5eb7e66" TargetMode="External"/><Relationship Id="rId476" Type="http://schemas.openxmlformats.org/officeDocument/2006/relationships/hyperlink" Target="https://grls.rosminzdrav.ru/Grls_View_v2.aspx?routingGuid=09eddf8c-cba4-4468-9262-3c582b28ca1b" TargetMode="External"/><Relationship Id="rId641" Type="http://schemas.openxmlformats.org/officeDocument/2006/relationships/hyperlink" Target="https://grls.rosminzdrav.ru/Grls_View_v2.aspx?routingGuid=f226c735-914f-4562-8e0c-88a46da41b90" TargetMode="External"/><Relationship Id="rId33" Type="http://schemas.openxmlformats.org/officeDocument/2006/relationships/hyperlink" Target="https://grls.rosminzdrav.ru/Grls_View_v2.aspx?routingGuid=f9454b06-083d-4c13-8eda-e54a19450d13" TargetMode="External"/><Relationship Id="rId129" Type="http://schemas.openxmlformats.org/officeDocument/2006/relationships/hyperlink" Target="http://grls.rosminzdrav.ru/Grls_View_v2.aspx?routingGuid=e5e46dca-6622-4d3a-a0cd-349a012a5fc0&amp;t=" TargetMode="External"/><Relationship Id="rId280" Type="http://schemas.openxmlformats.org/officeDocument/2006/relationships/hyperlink" Target="https://lk.regmed.ru/Register/GetPDFfromDAToken?Token=e9c994dc-e4ae-4196-9018-5e51b545e040" TargetMode="External"/><Relationship Id="rId336" Type="http://schemas.openxmlformats.org/officeDocument/2006/relationships/hyperlink" Target="https://grls.rosminzdrav.ru/Grls_View_v2.aspx?routingGuid=62187342-c256-42fb-8419-8f916294db89" TargetMode="External"/><Relationship Id="rId501" Type="http://schemas.openxmlformats.org/officeDocument/2006/relationships/hyperlink" Target="https://grls.rosminzdrav.ru/Grls_View_v2.aspx?routingGuid=e7abb5e6-5845-4837-a7b4-3b8bbb694d86" TargetMode="External"/><Relationship Id="rId543" Type="http://schemas.openxmlformats.org/officeDocument/2006/relationships/hyperlink" Target="https://grls.rosminzdrav.ru/Grls_View_v2.aspx?routingGuid=440474e0-65a8-4b60-8c7b-12ac8d70b4a3" TargetMode="External"/><Relationship Id="rId75" Type="http://schemas.openxmlformats.org/officeDocument/2006/relationships/hyperlink" Target="https://grls.rosminzdrav.ru/Grls_View_v2.aspx?routingGuid=8c19af66-4fb0-474c-a1bf-d60e191504cd" TargetMode="External"/><Relationship Id="rId140" Type="http://schemas.openxmlformats.org/officeDocument/2006/relationships/hyperlink" Target="https://grls.rosminzdrav.ru/Grls_View_v2.aspx?routingGuid=fe89d09a-8d9b-45fa-bb82-740a81904a6d" TargetMode="External"/><Relationship Id="rId182" Type="http://schemas.openxmlformats.org/officeDocument/2006/relationships/hyperlink" Target="https://lk.regmed.ru/Register/GetPDFfromDAToken?Token=8415d4f4-69df-4249-bc87-8ca7cad24c51" TargetMode="External"/><Relationship Id="rId378" Type="http://schemas.openxmlformats.org/officeDocument/2006/relationships/hyperlink" Target="https://grls.rosminzdrav.ru/Grls_View_v2.aspx?routingGuid=0cc60fe9-635e-4134-80d2-59a7787e33fb" TargetMode="External"/><Relationship Id="rId403" Type="http://schemas.openxmlformats.org/officeDocument/2006/relationships/hyperlink" Target="https://lk.regmed.ru/Register/GetPDFfromDAToken?Token=562428d8-f0bf-4357-ab6b-cd21651ff559" TargetMode="External"/><Relationship Id="rId585" Type="http://schemas.openxmlformats.org/officeDocument/2006/relationships/hyperlink" Target="https://lk.regmed.ru/Register/GetPDFfromDAToken?Token=7edf99f7-7979-438f-9170-b9e3c18fcc4d" TargetMode="External"/><Relationship Id="rId6" Type="http://schemas.openxmlformats.org/officeDocument/2006/relationships/hyperlink" Target="https://grls.rosminzdrav.ru/Grls_View_v2.aspx?routingGuid=115ba81b-7cb9-4737-9e63-163458ef9d0b" TargetMode="External"/><Relationship Id="rId238" Type="http://schemas.openxmlformats.org/officeDocument/2006/relationships/hyperlink" Target="https://grls.rosminzdrav.ru/Grls_View_v2.aspx?routingGuid=3fbed720-7541-47c6-ba18-678e6f65efe9" TargetMode="External"/><Relationship Id="rId445" Type="http://schemas.openxmlformats.org/officeDocument/2006/relationships/hyperlink" Target="https://grls.rosminzdrav.ru/Grls_View_v2.aspx?routingGuid=03b79f0e-932b-4d1b-afcc-ed70f037b9ea" TargetMode="External"/><Relationship Id="rId487" Type="http://schemas.openxmlformats.org/officeDocument/2006/relationships/hyperlink" Target="https://lk.regmed.ru/Register/GetPDFfromDA?ID=1543829851" TargetMode="External"/><Relationship Id="rId610" Type="http://schemas.openxmlformats.org/officeDocument/2006/relationships/hyperlink" Target="https://grls.rosminzdrav.ru/Grls_View_v2.aspx?routingGuid=2c603cdb-8b61-4ae5-b196-689e5e8ee3ef" TargetMode="External"/><Relationship Id="rId291" Type="http://schemas.openxmlformats.org/officeDocument/2006/relationships/hyperlink" Target="https://lk.regmed.ru/Register/GetPDFfromDAToken?Token=295e328d-3b30-4202-920f-eb247e014d71" TargetMode="External"/><Relationship Id="rId305" Type="http://schemas.openxmlformats.org/officeDocument/2006/relationships/hyperlink" Target="https://grls.rosminzdrav.ru/Grls_View_v2.aspx?routingGuid=1f496df2-7c22-4ddc-8980-da1023a88a35" TargetMode="External"/><Relationship Id="rId347" Type="http://schemas.openxmlformats.org/officeDocument/2006/relationships/hyperlink" Target="https://grls.rosminzdrav.ru/Grls_View_v2.aspx?routingGuid=0544ac02-95bc-4db8-8c03-e56ad7882e51" TargetMode="External"/><Relationship Id="rId512" Type="http://schemas.openxmlformats.org/officeDocument/2006/relationships/hyperlink" Target="https://lk.regmed.ru/Register/GetPDFfromDA?ID=1448256521" TargetMode="External"/><Relationship Id="rId44" Type="http://schemas.openxmlformats.org/officeDocument/2006/relationships/hyperlink" Target="http://grls.rosminzdrav.ru/Grls_View_v2.aspx?routingGuid=2a2e60b9-cc49-4bc2-9f7f-5766163a5610&amp;t=" TargetMode="External"/><Relationship Id="rId86" Type="http://schemas.openxmlformats.org/officeDocument/2006/relationships/hyperlink" Target="https://grls.rosminzdrav.ru/Grls_View_v2.aspx?routingGuid=658e07cb-fcb9-412f-9392-b9e9e21a6343" TargetMode="External"/><Relationship Id="rId151" Type="http://schemas.openxmlformats.org/officeDocument/2006/relationships/hyperlink" Target="https://grls.rosminzdrav.ru/Grls_View_v2.aspx?routingGuid=d1eda2da-96d0-46b8-883a-7358a06372b2" TargetMode="External"/><Relationship Id="rId389" Type="http://schemas.openxmlformats.org/officeDocument/2006/relationships/hyperlink" Target="https://grls.rosminzdrav.ru/Grls_View_v2.aspx?routingGuid=7d9b29e8-f2f7-45c6-8ee5-2e78011e49af" TargetMode="External"/><Relationship Id="rId554" Type="http://schemas.openxmlformats.org/officeDocument/2006/relationships/hyperlink" Target="https://grls.rosminzdrav.ru/Grls_View_v2.aspx?routingGuid=bb793945-6dfc-41a3-a8da-fdd3605314ef" TargetMode="External"/><Relationship Id="rId596" Type="http://schemas.openxmlformats.org/officeDocument/2006/relationships/hyperlink" Target="https://grls.rosminzdrav.ru/Grls_View_v2.aspx?routingGuid=96e23044-21c2-4c98-bdd9-c703f58131cb" TargetMode="External"/><Relationship Id="rId193" Type="http://schemas.openxmlformats.org/officeDocument/2006/relationships/hyperlink" Target="https://grls.rosminzdrav.ru/Grls_View_v2.aspx?routingGuid=573dc2fd-b104-4a0c-a56a-486f57764912" TargetMode="External"/><Relationship Id="rId207" Type="http://schemas.openxmlformats.org/officeDocument/2006/relationships/hyperlink" Target="https://lk.regmed.ru/Register/GetPDFfromDAToken?Token=a03421c1-d658-4466-a600-c80d1005976d" TargetMode="External"/><Relationship Id="rId249" Type="http://schemas.openxmlformats.org/officeDocument/2006/relationships/hyperlink" Target="https://grls.rosminzdrav.ru/Grls_View_v2.aspx?routingGuid=0482f816-63ad-49b9-9b56-808b708f6dab" TargetMode="External"/><Relationship Id="rId414" Type="http://schemas.openxmlformats.org/officeDocument/2006/relationships/hyperlink" Target="https://grls.rosminzdrav.ru/Grls_View_v2.aspx?routingGuid=19de591c-4a02-4e30-9742-fda39270f0da" TargetMode="External"/><Relationship Id="rId456" Type="http://schemas.openxmlformats.org/officeDocument/2006/relationships/hyperlink" Target="https://grls.rosminzdrav.ru/Grls_View_v2.aspx?routingGuid=dd508633-c49f-470d-8160-f9f0307f5c2a" TargetMode="External"/><Relationship Id="rId498" Type="http://schemas.openxmlformats.org/officeDocument/2006/relationships/hyperlink" Target="https://grls.rosminzdrav.ru/Grls_View_v2.aspx?routingGuid=e7abb5e6-5845-4837-a7b4-3b8bbb694d86" TargetMode="External"/><Relationship Id="rId621" Type="http://schemas.openxmlformats.org/officeDocument/2006/relationships/hyperlink" Target="https://grls.rosminzdrav.ru/Grls_View_v2.aspx?routingGuid=f035b599-e2f5-41c1-9ede-a7398483a6c4" TargetMode="External"/><Relationship Id="rId13" Type="http://schemas.openxmlformats.org/officeDocument/2006/relationships/hyperlink" Target="https://grls.rosminzdrav.ru/Grls_View_v2.aspx?routingGuid=30fc01db-b288-495f-9e55-e1dd798d18a9" TargetMode="External"/><Relationship Id="rId109" Type="http://schemas.openxmlformats.org/officeDocument/2006/relationships/hyperlink" Target="https://grls.rosminzdrav.ru/Grls_View_v2.aspx?routingGuid=579be5e3-09cf-46b4-8238-f3087cd4e808" TargetMode="External"/><Relationship Id="rId260" Type="http://schemas.openxmlformats.org/officeDocument/2006/relationships/hyperlink" Target="http://grls.rosminzdrav.ru/Grls_View_v2.aspx?routingGuid=e46d0e09-a66e-402e-8777-b446fa489d1c&amp;t=" TargetMode="External"/><Relationship Id="rId316" Type="http://schemas.openxmlformats.org/officeDocument/2006/relationships/hyperlink" Target="https://grls.rosminzdrav.ru/Grls_View_v2.aspx?routingGuid=a55e6d43-fef5-4c3d-af16-a15f6b065685" TargetMode="External"/><Relationship Id="rId523" Type="http://schemas.openxmlformats.org/officeDocument/2006/relationships/hyperlink" Target="https://grls.rosminzdrav.ru/Grls_View_v2.aspx?routingGuid=5dc4ccc5-a077-4b07-9b76-f5fe043cafe1" TargetMode="External"/><Relationship Id="rId55" Type="http://schemas.openxmlformats.org/officeDocument/2006/relationships/hyperlink" Target="https://grls.rosminzdrav.ru/Grls_View_v2.aspx?routingGuid=6aefbaea-b7c4-49fe-b6a2-0d376c18f14a" TargetMode="External"/><Relationship Id="rId97" Type="http://schemas.openxmlformats.org/officeDocument/2006/relationships/hyperlink" Target="https://grls.rosminzdrav.ru/Grls_View_v2.aspx?routingGuid=0d28b2ad-18b2-4e7a-8c27-436c0feea6d4" TargetMode="External"/><Relationship Id="rId120" Type="http://schemas.openxmlformats.org/officeDocument/2006/relationships/hyperlink" Target="https://grls.rosminzdrav.ru/Grls_View_v2.aspx?routingGuid=70f8f0f0-7bac-41ec-a36d-51dcd6ebce84" TargetMode="External"/><Relationship Id="rId358" Type="http://schemas.openxmlformats.org/officeDocument/2006/relationships/hyperlink" Target="https://grls.rosminzdrav.ru/Grls_View_v2.aspx?routingGuid=e231ed27-8f9b-48e2-9c90-6d4b5edb2693" TargetMode="External"/><Relationship Id="rId565" Type="http://schemas.openxmlformats.org/officeDocument/2006/relationships/hyperlink" Target="https://lk.regmed.ru/Register/GetPDFfromDAToken?Token=b89ec8a5-8076-4611-a1f9-7510b21feab1" TargetMode="External"/><Relationship Id="rId162" Type="http://schemas.openxmlformats.org/officeDocument/2006/relationships/hyperlink" Target="https://lk.regmed.ru/Register/GetPDFfromDAToken?Token=b432b611-0158-4b27-8d05-73c60d69171c" TargetMode="External"/><Relationship Id="rId218" Type="http://schemas.openxmlformats.org/officeDocument/2006/relationships/hyperlink" Target="https://grls.rosminzdrav.ru/Grls_View_v2.aspx?routingGuid=98f6f75c-4d06-4e15-8e8e-52e513e2c4c1" TargetMode="External"/><Relationship Id="rId425" Type="http://schemas.openxmlformats.org/officeDocument/2006/relationships/hyperlink" Target="https://grls.rosminzdrav.ru/Grls_View_v2.aspx?routingGuid=04423b6b-72c2-40be-8c6c-6114c38d6f55" TargetMode="External"/><Relationship Id="rId467" Type="http://schemas.openxmlformats.org/officeDocument/2006/relationships/hyperlink" Target="https://grls.rosminzdrav.ru/Grls_View_v2.aspx?routingGuid=d2ede1d8-e73f-4e5c-924d-b822f8f0e85a" TargetMode="External"/><Relationship Id="rId632" Type="http://schemas.openxmlformats.org/officeDocument/2006/relationships/hyperlink" Target="https://grls.rosminzdrav.ru/Grls_View_v2.aspx?routingGuid=286b6f36-0609-4bfe-95f0-c61e64984e57" TargetMode="External"/><Relationship Id="rId271" Type="http://schemas.openxmlformats.org/officeDocument/2006/relationships/hyperlink" Target="https://grls.rosminzdrav.ru/Grls_View_v2.aspx?routingGuid=245ee300-7d64-4000-ab8b-ded51091a060" TargetMode="External"/><Relationship Id="rId24" Type="http://schemas.openxmlformats.org/officeDocument/2006/relationships/hyperlink" Target="http://grls.rosminzdrav.ru/Grls_View_v2.aspx?routingGuid=aba4f9bd-407e-42a8-a32c-1105beece2f6&amp;t=" TargetMode="External"/><Relationship Id="rId66" Type="http://schemas.openxmlformats.org/officeDocument/2006/relationships/hyperlink" Target="https://grls.rosminzdrav.ru/Grls_View_v2.aspx?routingGuid=2bf12380-3a71-4642-a9a3-ef0e4ca9b815" TargetMode="External"/><Relationship Id="rId131" Type="http://schemas.openxmlformats.org/officeDocument/2006/relationships/hyperlink" Target="https://lk.regmed.ru/Register/GetPDFfromDAToken?Token=4d1562e5-05e7-405f-9673-b89a20ffd447" TargetMode="External"/><Relationship Id="rId327" Type="http://schemas.openxmlformats.org/officeDocument/2006/relationships/hyperlink" Target="https://grls.rosminzdrav.ru/Grls_View_v2.aspx?routingGuid=d7622abd-8b68-42cc-aeb2-08d107689bbc" TargetMode="External"/><Relationship Id="rId369" Type="http://schemas.openxmlformats.org/officeDocument/2006/relationships/hyperlink" Target="https://grls.rosminzdrav.ru/Grls_View_v2.aspx?routingGuid=c80b2c6f-35a1-4d85-91e9-e6c699e85ddc&amp;t=" TargetMode="External"/><Relationship Id="rId534" Type="http://schemas.openxmlformats.org/officeDocument/2006/relationships/hyperlink" Target="https://grls.rosminzdrav.ru/Grls_View_v2.aspx?routingGuid=4621a0ab-0cff-40c7-afb8-63317fa41052" TargetMode="External"/><Relationship Id="rId576" Type="http://schemas.openxmlformats.org/officeDocument/2006/relationships/hyperlink" Target="https://grls.rosminzdrav.ru/Grls_View_v2.aspx?routingGuid=374366a8-e413-438e-a33f-8f627a5db513" TargetMode="External"/><Relationship Id="rId173" Type="http://schemas.openxmlformats.org/officeDocument/2006/relationships/hyperlink" Target="https://grls.rosminzdrav.ru/Grls_View_v2.aspx?routingGuid=1c26875c-896c-488d-b713-142d18c1310f" TargetMode="External"/><Relationship Id="rId229" Type="http://schemas.openxmlformats.org/officeDocument/2006/relationships/hyperlink" Target="https://grls.rosminzdrav.ru/Grls_View_v2.aspx?routingGuid=35f3aeab-53d0-4aa3-b370-016ed06e2330" TargetMode="External"/><Relationship Id="rId380" Type="http://schemas.openxmlformats.org/officeDocument/2006/relationships/hyperlink" Target="https://grls.rosminzdrav.ru/Grls_View_v2.aspx?routingGuid=3059b036-5e60-42ed-b26c-7eb6d5d06406" TargetMode="External"/><Relationship Id="rId436" Type="http://schemas.openxmlformats.org/officeDocument/2006/relationships/hyperlink" Target="https://lk.regmed.ru/Register/GetPDFfromDAToken?Token=a5551ce2-9a90-4746-bdaa-77d891c76946" TargetMode="External"/><Relationship Id="rId601" Type="http://schemas.openxmlformats.org/officeDocument/2006/relationships/hyperlink" Target="https://grls.rosminzdrav.ru/Grls_View_v2.aspx?routingGuid=e7b7b94d-8b67-45ff-8bd0-b314a927cb05" TargetMode="External"/><Relationship Id="rId240" Type="http://schemas.openxmlformats.org/officeDocument/2006/relationships/hyperlink" Target="https://grls.rosminzdrav.ru/Grls_View_v2.aspx?routingGuid=91d987ae-568f-4c6b-8623-8abf1ea0cbdc" TargetMode="External"/><Relationship Id="rId478" Type="http://schemas.openxmlformats.org/officeDocument/2006/relationships/hyperlink" Target="https://grls.rosminzdrav.ru/Grls_View_v2.aspx?routingGuid=542d022f-3d93-49b1-9580-4241a1ec80d2" TargetMode="External"/><Relationship Id="rId35" Type="http://schemas.openxmlformats.org/officeDocument/2006/relationships/hyperlink" Target="http://grls.rosminzdrav.ru/Grls_View_v2.aspx?routingGuid=5aba1c6d-00b7-484e-b79c-ad45273f4575&amp;t=" TargetMode="External"/><Relationship Id="rId77" Type="http://schemas.openxmlformats.org/officeDocument/2006/relationships/hyperlink" Target="https://grls.rosminzdrav.ru/Grls_View_v2.aspx?routingGuid=b8dfef4d-a4cf-4d18-9599-1a3fb42864c7" TargetMode="External"/><Relationship Id="rId100" Type="http://schemas.openxmlformats.org/officeDocument/2006/relationships/hyperlink" Target="https://grls.rosminzdrav.ru/Grls_View_v2.aspx?routingGuid=eb109c11-f04c-4753-b278-73a5bd064e47" TargetMode="External"/><Relationship Id="rId282" Type="http://schemas.openxmlformats.org/officeDocument/2006/relationships/hyperlink" Target="http://grls.rosminzdrav.ru/Grls_View_v2.aspx?routingGuid=b015b822-3621-47b5-a28b-f3fcb1be3e29&amp;t=" TargetMode="External"/><Relationship Id="rId338" Type="http://schemas.openxmlformats.org/officeDocument/2006/relationships/hyperlink" Target="https://lk.regmed.ru/Register/GetPDFfromDAToken?Token=c2b7dbca-7236-4aa8-be60-8c042331a880" TargetMode="External"/><Relationship Id="rId503" Type="http://schemas.openxmlformats.org/officeDocument/2006/relationships/hyperlink" Target="https://grls.rosminzdrav.ru/Grls_View_v2.aspx?routingGuid=ac3504e5-0456-448c-9f1c-487b6658df60" TargetMode="External"/><Relationship Id="rId545" Type="http://schemas.openxmlformats.org/officeDocument/2006/relationships/hyperlink" Target="https://grls.rosminzdrav.ru/Grls_View_v2.aspx?routingGuid=6315b2da-7738-4b6c-adb5-4d2afbfd6dcb" TargetMode="External"/><Relationship Id="rId587" Type="http://schemas.openxmlformats.org/officeDocument/2006/relationships/hyperlink" Target="https://grls.rosminzdrav.ru/Grls_View_v2.aspx?routingGuid=bb770bb9-3c59-44ac-9f5c-9ed0dbce6322" TargetMode="External"/><Relationship Id="rId8" Type="http://schemas.openxmlformats.org/officeDocument/2006/relationships/hyperlink" Target="http://grls.rosminzdrav.ru/Grls_View_v2.aspx?routingGuid=c4592056-f001-476c-9fcf-8f64bc5ec53b&amp;t=" TargetMode="External"/><Relationship Id="rId142" Type="http://schemas.openxmlformats.org/officeDocument/2006/relationships/hyperlink" Target="https://grls.rosminzdrav.ru/Grls_View_v2.aspx?routingGuid=e7496b1f-1be9-46a3-b43f-e1c83a5b6cc8" TargetMode="External"/><Relationship Id="rId184" Type="http://schemas.openxmlformats.org/officeDocument/2006/relationships/hyperlink" Target="https://lk.regmed.ru/Register/GetPDFfromDAToken?Token=fd485da8-7368-4961-a19c-06323bb3bcc0" TargetMode="External"/><Relationship Id="rId391" Type="http://schemas.openxmlformats.org/officeDocument/2006/relationships/hyperlink" Target="https://grls.rosminzdrav.ru/Grls_View_v2.aspx?routingGuid=5e4345d6-7ca0-45c7-8f39-928c497b5e6e" TargetMode="External"/><Relationship Id="rId405" Type="http://schemas.openxmlformats.org/officeDocument/2006/relationships/hyperlink" Target="https://lk.regmed.ru/Register/GetPDFfromDAToken?Token=27abb41d-81e6-4bab-922d-98bfbb1f3638" TargetMode="External"/><Relationship Id="rId447" Type="http://schemas.openxmlformats.org/officeDocument/2006/relationships/hyperlink" Target="https://grls.rosminzdrav.ru/Grls_View_v2.aspx?routingGuid=3415eb53-da40-4647-b1bb-659792a9c18e" TargetMode="External"/><Relationship Id="rId612" Type="http://schemas.openxmlformats.org/officeDocument/2006/relationships/hyperlink" Target="https://grls.rosminzdrav.ru/Grls_View_v2.aspx?routingGuid=0fcbffbf-d247-4aa3-a4df-cccf3af59785" TargetMode="External"/><Relationship Id="rId251" Type="http://schemas.openxmlformats.org/officeDocument/2006/relationships/hyperlink" Target="https://lk.regmed.ru/Register/GetPDFfromDAToken?Token=adbfd269-10a4-4e66-843d-b02b4eb3546f" TargetMode="External"/><Relationship Id="rId489" Type="http://schemas.openxmlformats.org/officeDocument/2006/relationships/hyperlink" Target="https://lk.regmed.ru/Register/GetPDFfromDAToken?Token=0c88c29e-5431-4ce5-87c0-c05c88e9e994" TargetMode="External"/><Relationship Id="rId46" Type="http://schemas.openxmlformats.org/officeDocument/2006/relationships/hyperlink" Target="https://lk.regmed.ru/Register/GetPDFfromDAToken?Token=ff0cddac-c2c3-4fac-84e2-d026f4f71869" TargetMode="External"/><Relationship Id="rId293" Type="http://schemas.openxmlformats.org/officeDocument/2006/relationships/hyperlink" Target="http://grls.rosminzdrav.ru/Grls_View_v2.aspx?routingGuid=0760d6c3-49ad-4187-9036-5a690d19e861&amp;t=" TargetMode="External"/><Relationship Id="rId307" Type="http://schemas.openxmlformats.org/officeDocument/2006/relationships/hyperlink" Target="https://grls.rosminzdrav.ru/Grls_View_v2.aspx?routingGuid=91324daa-ff4a-4519-8513-0f5d89103116" TargetMode="External"/><Relationship Id="rId349" Type="http://schemas.openxmlformats.org/officeDocument/2006/relationships/hyperlink" Target="https://grls.rosminzdrav.ru/Grls_View_v2.aspx?routingGuid=e9aa0be8-7a01-4d82-9e8d-6cce064a2b65&amp;t=" TargetMode="External"/><Relationship Id="rId514" Type="http://schemas.openxmlformats.org/officeDocument/2006/relationships/hyperlink" Target="https://lk.regmed.ru/Register/GetPDFfromDAToken?Token=2ff88f9a-c44d-4bd1-9bf1-2e8f744c5c4d" TargetMode="External"/><Relationship Id="rId556" Type="http://schemas.openxmlformats.org/officeDocument/2006/relationships/hyperlink" Target="https://grls.rosminzdrav.ru/Grls_View_v2.aspx?routingGuid=633cdfdd-34a7-4e62-939f-d39c64bb2c24" TargetMode="External"/><Relationship Id="rId88" Type="http://schemas.openxmlformats.org/officeDocument/2006/relationships/hyperlink" Target="https://grls.rosminzdrav.ru/Grls_View_v2.aspx?routingGuid=ec6e3b51-e76b-4abf-99cf-7c02bab06091" TargetMode="External"/><Relationship Id="rId111" Type="http://schemas.openxmlformats.org/officeDocument/2006/relationships/hyperlink" Target="https://grls.rosminzdrav.ru/Grls_View_v2.aspx?routingGuid=579be5e3-09cf-46b4-8238-f3087cd4e808" TargetMode="External"/><Relationship Id="rId153" Type="http://schemas.openxmlformats.org/officeDocument/2006/relationships/hyperlink" Target="https://grls.rosminzdrav.ru/Grls_View_v2.aspx?routingGuid=39b44822-0ca7-409d-bc25-db49ef3d5471" TargetMode="External"/><Relationship Id="rId195" Type="http://schemas.openxmlformats.org/officeDocument/2006/relationships/hyperlink" Target="https://grls.rosminzdrav.ru/Grls_View_v2.aspx?routingGuid=162087a7-8c2e-4c1c-ada9-b2d41a7fc06d" TargetMode="External"/><Relationship Id="rId209" Type="http://schemas.openxmlformats.org/officeDocument/2006/relationships/hyperlink" Target="https://grls.rosminzdrav.ru/Grls_View_v2.aspx?routingGuid=4f505e78-1d02-4b8f-aaf9-618368787be0" TargetMode="External"/><Relationship Id="rId360" Type="http://schemas.openxmlformats.org/officeDocument/2006/relationships/hyperlink" Target="https://grls.rosminzdrav.ru/Grls_View_v2.aspx?routingGuid=3f429426-417a-42af-8212-54d0f9b4f48a" TargetMode="External"/><Relationship Id="rId416" Type="http://schemas.openxmlformats.org/officeDocument/2006/relationships/hyperlink" Target="https://grls.rosminzdrav.ru/Grls_View_v2.aspx?routingGuid=da452e8e-dbe3-44cd-9f81-03e8f724da4d" TargetMode="External"/><Relationship Id="rId598" Type="http://schemas.openxmlformats.org/officeDocument/2006/relationships/hyperlink" Target="https://lk.regmed.ru/Register/GetPDFfromDAToken?Token=155cbba8-cb33-4a81-b131-74b958784e9e" TargetMode="External"/><Relationship Id="rId220" Type="http://schemas.openxmlformats.org/officeDocument/2006/relationships/hyperlink" Target="https://grls.rosminzdrav.ru/Grls_View_v2.aspx?routingGuid=7ded6546-8feb-4afd-9a4d-1fce9414a552" TargetMode="External"/><Relationship Id="rId458" Type="http://schemas.openxmlformats.org/officeDocument/2006/relationships/hyperlink" Target="https://grls.rosminzdrav.ru/Grls_View_v2.aspx?routingGuid=3d3b451d-8d08-4645-a5ad-1ec5b9dbee4a" TargetMode="External"/><Relationship Id="rId623" Type="http://schemas.openxmlformats.org/officeDocument/2006/relationships/hyperlink" Target="https://grls.rosminzdrav.ru/Grls_View_v2.aspx?routingGuid=3d207bf4-c6a2-49bf-aa53-76c242f79c31" TargetMode="External"/><Relationship Id="rId15" Type="http://schemas.openxmlformats.org/officeDocument/2006/relationships/hyperlink" Target="https://grls.rosminzdrav.ru/Grls_View_v2.aspx?routingGuid=221f440c-110f-4587-8edb-bc7559e9b891" TargetMode="External"/><Relationship Id="rId57" Type="http://schemas.openxmlformats.org/officeDocument/2006/relationships/hyperlink" Target="http://grls.rosminzdrav.ru/Grls_View_v2.aspx?routingGuid=795940d7-9c11-423c-98fe-44a1d739a593&amp;t=" TargetMode="External"/><Relationship Id="rId262" Type="http://schemas.openxmlformats.org/officeDocument/2006/relationships/hyperlink" Target="https://grls.rosminzdrav.ru/Grls_View_v2.aspx?routingGuid=efdeae15-37e3-4ec2-bdef-9e98fdbd8846" TargetMode="External"/><Relationship Id="rId318" Type="http://schemas.openxmlformats.org/officeDocument/2006/relationships/hyperlink" Target="http://grls.rosminzdrav.ru/Grls_View_v2.aspx?routingGuid=37474124-8d9f-4196-99ab-6a0bd063d777&amp;t=" TargetMode="External"/><Relationship Id="rId525" Type="http://schemas.openxmlformats.org/officeDocument/2006/relationships/hyperlink" Target="https://grls.rosminzdrav.ru/Grls_View_v2.aspx?routingGuid=b6e70f7d-f42b-4e97-9f68-6baa0a75ffad" TargetMode="External"/><Relationship Id="rId567" Type="http://schemas.openxmlformats.org/officeDocument/2006/relationships/hyperlink" Target="https://grls.rosminzdrav.ru/Grls_View_v2.aspx?routingGuid=f4c374e9-0954-4d79-85c4-148a3b816718" TargetMode="External"/><Relationship Id="rId99" Type="http://schemas.openxmlformats.org/officeDocument/2006/relationships/hyperlink" Target="http://grls.rosminzdrav.ru/Grls_View_v2.aspx?routingGuid=0c704154-cba0-4019-ad47-535acfcd840c&amp;t=" TargetMode="External"/><Relationship Id="rId122" Type="http://schemas.openxmlformats.org/officeDocument/2006/relationships/hyperlink" Target="http://grls.rosminzdrav.ru/Grls_View_v2.aspx?routingGuid=ce700a9a-2b35-47e5-a73b-3cf65afee43b&amp;t=" TargetMode="External"/><Relationship Id="rId164" Type="http://schemas.openxmlformats.org/officeDocument/2006/relationships/hyperlink" Target="http://grls.rosminzdrav.ru/Grls_View_v2.aspx?routingGuid=df187e16-c6c8-4e25-996d-d24609d80ffe&amp;t=" TargetMode="External"/><Relationship Id="rId371" Type="http://schemas.openxmlformats.org/officeDocument/2006/relationships/hyperlink" Target="https://lk.regmed.ru/Register/GetPDFfromDAToken?Token=0f30d250-b996-4595-b47d-8966e076423c" TargetMode="External"/><Relationship Id="rId427" Type="http://schemas.openxmlformats.org/officeDocument/2006/relationships/hyperlink" Target="https://grls.rosminzdrav.ru/Grls_View_v2.aspx?routingGuid=a57652f2-8fc8-4e28-be1f-da12f2505d95" TargetMode="External"/><Relationship Id="rId469" Type="http://schemas.openxmlformats.org/officeDocument/2006/relationships/hyperlink" Target="https://lk.regmed.ru/Register/GetPDFfromDAToken?Token=464df451-dc26-492d-829a-c416d1e140e2" TargetMode="External"/><Relationship Id="rId634" Type="http://schemas.openxmlformats.org/officeDocument/2006/relationships/hyperlink" Target="https://grls.rosminzdrav.ru/Grls_View_v2.aspx?routingGuid=8dc63f11-354b-4d39-ae83-7db709b7e6a3" TargetMode="External"/><Relationship Id="rId26" Type="http://schemas.openxmlformats.org/officeDocument/2006/relationships/hyperlink" Target="http://grls.rosminzdrav.ru/Grls_View_v2.aspx?routingGuid=81b39c46-e795-4993-b85b-0cf51e164f6b&amp;t=" TargetMode="External"/><Relationship Id="rId231" Type="http://schemas.openxmlformats.org/officeDocument/2006/relationships/hyperlink" Target="https://grls.rosminzdrav.ru/Grls_View_v2.aspx?routingGuid=f91918fb-09b8-4766-8e48-6606a0541073" TargetMode="External"/><Relationship Id="rId273" Type="http://schemas.openxmlformats.org/officeDocument/2006/relationships/hyperlink" Target="https://grls.rosminzdrav.ru/Grls_View_v2.aspx?routingGuid=708a5616-61d3-4695-a4cb-2e78bcfca33b" TargetMode="External"/><Relationship Id="rId329" Type="http://schemas.openxmlformats.org/officeDocument/2006/relationships/hyperlink" Target="https://grls.rosminzdrav.ru/Grls_View_v2.aspx?routingGuid=45ea6a47-5e12-4580-b8ed-b03d229557e4" TargetMode="External"/><Relationship Id="rId480" Type="http://schemas.openxmlformats.org/officeDocument/2006/relationships/hyperlink" Target="https://grls.rosminzdrav.ru/Grls_View_v2.aspx?routingGuid=1ec467a3-99d4-4109-a1e5-089702b7c177" TargetMode="External"/><Relationship Id="rId536" Type="http://schemas.openxmlformats.org/officeDocument/2006/relationships/hyperlink" Target="https://grls.rosminzdrav.ru/Grls_View_v2.aspx?routingGuid=9cf47038-4fe5-4f9a-a02a-9fbc22151700" TargetMode="External"/><Relationship Id="rId68" Type="http://schemas.openxmlformats.org/officeDocument/2006/relationships/hyperlink" Target="https://grls.rosminzdrav.ru/Grls_View_v2.aspx?routingGuid=4f6d874c-7745-4c6b-8c90-228a1f2f3484" TargetMode="External"/><Relationship Id="rId133" Type="http://schemas.openxmlformats.org/officeDocument/2006/relationships/hyperlink" Target="https://lk.regmed.ru/Register/GetPDFfromDAToken?Token=068c5473-106f-49bc-a5f7-7ba1b7f020c3" TargetMode="External"/><Relationship Id="rId175" Type="http://schemas.openxmlformats.org/officeDocument/2006/relationships/hyperlink" Target="https://grls.rosminzdrav.ru/Grls_View_v2.aspx?routingGuid=1c26875c-896c-488d-b713-142d18c1310f" TargetMode="External"/><Relationship Id="rId340" Type="http://schemas.openxmlformats.org/officeDocument/2006/relationships/hyperlink" Target="http://grls.rosminzdrav.ru/Grls_View_v2.aspx?routingGuid=b8526b31-c6bb-4bc1-966f-5c85550cee41&amp;t=" TargetMode="External"/><Relationship Id="rId578" Type="http://schemas.openxmlformats.org/officeDocument/2006/relationships/hyperlink" Target="https://grls.rosminzdrav.ru/Grls_View_v2.aspx?routingGuid=e670abc1-a1f0-498f-88b0-5b59c2384ae8" TargetMode="External"/><Relationship Id="rId200" Type="http://schemas.openxmlformats.org/officeDocument/2006/relationships/hyperlink" Target="https://grls.rosminzdrav.ru/Grls_View_v2.aspx?routingGuid=f79c63df-14fc-4066-a985-f34555bed179" TargetMode="External"/><Relationship Id="rId382" Type="http://schemas.openxmlformats.org/officeDocument/2006/relationships/hyperlink" Target="https://grls.rosminzdrav.ru/Grls_View_v2.aspx?routingGuid=ec6e3b51-e76b-4abf-99cf-7c02bab06091" TargetMode="External"/><Relationship Id="rId438" Type="http://schemas.openxmlformats.org/officeDocument/2006/relationships/hyperlink" Target="https://lk.regmed.ru/Register/GetPDFfromDAToken?Token=00c87575-46f0-48a2-9e3e-d1059fad0680" TargetMode="External"/><Relationship Id="rId603" Type="http://schemas.openxmlformats.org/officeDocument/2006/relationships/hyperlink" Target="https://lk.regmed.ru/Register/GetPDFfromDAToken?Token=1bcf38bd-4b35-4419-a7b2-095c8c0298a3" TargetMode="External"/><Relationship Id="rId242" Type="http://schemas.openxmlformats.org/officeDocument/2006/relationships/hyperlink" Target="http://grls.rosminzdrav.ru/Grls_View_v2.aspx?routingGuid=fa3953b4-a836-46cb-84fa-04af871c773f&amp;t=" TargetMode="External"/><Relationship Id="rId284" Type="http://schemas.openxmlformats.org/officeDocument/2006/relationships/hyperlink" Target="https://lk.regmed.ru/Register/GetPDFfromDAToken?Token=5a727ed4-b3cb-4f35-8c47-cdc269e90fed" TargetMode="External"/><Relationship Id="rId491" Type="http://schemas.openxmlformats.org/officeDocument/2006/relationships/hyperlink" Target="https://grls.rosminzdrav.ru/Grls_View_v2.aspx?routingGuid=497b8580-5439-4e70-aad4-2dd853dcf4ee" TargetMode="External"/><Relationship Id="rId505" Type="http://schemas.openxmlformats.org/officeDocument/2006/relationships/hyperlink" Target="https://lk.regmed.ru/Register/GetPDFfromDAToken?Token=ddc422a6-d267-4dfc-bc14-9a1e8b4e0183" TargetMode="External"/><Relationship Id="rId37" Type="http://schemas.openxmlformats.org/officeDocument/2006/relationships/hyperlink" Target="https://grls.rosminzdrav.ru/Grls_View_v2.aspx?routingGuid=0b7d30f1-b40f-453c-9c7b-800a072aa409" TargetMode="External"/><Relationship Id="rId79" Type="http://schemas.openxmlformats.org/officeDocument/2006/relationships/hyperlink" Target="https://grls.rosminzdrav.ru/Grls_View_v2.aspx?routingGuid=b8dfef4d-a4cf-4d18-9599-1a3fb42864c7" TargetMode="External"/><Relationship Id="rId102" Type="http://schemas.openxmlformats.org/officeDocument/2006/relationships/hyperlink" Target="https://grls.rosminzdrav.ru/Grls_View_v2.aspx?routingGuid=eb109c11-f04c-4753-b278-73a5bd064e47" TargetMode="External"/><Relationship Id="rId144" Type="http://schemas.openxmlformats.org/officeDocument/2006/relationships/hyperlink" Target="https://grls.rosminzdrav.ru/Grls_View_v2.aspx?routingGuid=c6301213-2c71-499d-bf27-8fd593484674" TargetMode="External"/><Relationship Id="rId547" Type="http://schemas.openxmlformats.org/officeDocument/2006/relationships/hyperlink" Target="https://grls.rosminzdrav.ru/Grls_View_v2.aspx?routingGuid=5e6f4da3-3813-4f0a-a8b6-7abc41c4b3de" TargetMode="External"/><Relationship Id="rId589" Type="http://schemas.openxmlformats.org/officeDocument/2006/relationships/hyperlink" Target="https://grls.rosminzdrav.ru/Grls_View_v2.aspx?routingGuid=c878e337-f3b6-44d8-9ac7-c245862a4463" TargetMode="External"/><Relationship Id="rId90" Type="http://schemas.openxmlformats.org/officeDocument/2006/relationships/hyperlink" Target="http://grls.rosminzdrav.ru/Grls_View_v2.aspx?routingGuid=accc9e6e-21d3-4b43-8eb4-65d0bf807a6a&amp;t=" TargetMode="External"/><Relationship Id="rId186" Type="http://schemas.openxmlformats.org/officeDocument/2006/relationships/hyperlink" Target="http://grls.rosminzdrav.ru/Grls_View_v2.aspx?routingGuid=81101529-b9fa-42c8-b76c-a700ade3d59c&amp;t=" TargetMode="External"/><Relationship Id="rId351" Type="http://schemas.openxmlformats.org/officeDocument/2006/relationships/hyperlink" Target="https://grls.rosminzdrav.ru/Grls_View_v2.aspx?routingGuid=45faa55d-d1ab-4179-9b8d-7b152e30bfec" TargetMode="External"/><Relationship Id="rId393" Type="http://schemas.openxmlformats.org/officeDocument/2006/relationships/hyperlink" Target="https://grls.rosminzdrav.ru/Grls_View_v2.aspx?routingGuid=256ea028-eb19-4200-8221-512438fbd5ef" TargetMode="External"/><Relationship Id="rId407" Type="http://schemas.openxmlformats.org/officeDocument/2006/relationships/hyperlink" Target="https://grls.rosminzdrav.ru/Grls_View_v2.aspx?routingGuid=d7b9e544-3399-43a8-9434-f5b503eb14ff&amp;t=" TargetMode="External"/><Relationship Id="rId449" Type="http://schemas.openxmlformats.org/officeDocument/2006/relationships/hyperlink" Target="https://grls.rosminzdrav.ru/Grls_View_v2.aspx?routingGuid=19c7c512-8b66-4bf9-b0c7-73fb0375bfa4" TargetMode="External"/><Relationship Id="rId614" Type="http://schemas.openxmlformats.org/officeDocument/2006/relationships/hyperlink" Target="https://grls.rosminzdrav.ru/Grls_View_v2.aspx?routingGuid=201d602b-19f5-4518-b35b-ccaf466bd096" TargetMode="External"/><Relationship Id="rId211" Type="http://schemas.openxmlformats.org/officeDocument/2006/relationships/hyperlink" Target="https://grls.rosminzdrav.ru/Grls_View_v2.aspx?routingGuid=c88b7ed6-2791-496d-95ac-2bf2453e540b" TargetMode="External"/><Relationship Id="rId253" Type="http://schemas.openxmlformats.org/officeDocument/2006/relationships/hyperlink" Target="http://grls.rosminzdrav.ru/Grls_View_v2.aspx?routingGuid=e7d9a488-4838-4519-b9b2-7a7c83cac570&amp;t=" TargetMode="External"/><Relationship Id="rId295" Type="http://schemas.openxmlformats.org/officeDocument/2006/relationships/hyperlink" Target="https://lk.regmed.ru/Register/GetPDFfromDAToken?Token=0cff0d2a-3085-4425-a8d9-40621446b45c" TargetMode="External"/><Relationship Id="rId309" Type="http://schemas.openxmlformats.org/officeDocument/2006/relationships/hyperlink" Target="https://grls.rosminzdrav.ru/Grls_View_v2.aspx?routingGuid=d4e26cea-321e-489e-90b0-10674ba3eaf9" TargetMode="External"/><Relationship Id="rId460" Type="http://schemas.openxmlformats.org/officeDocument/2006/relationships/hyperlink" Target="https://grls.rosminzdrav.ru/Grls_View_v2.aspx?routingGuid=34b1bf3a-7f95-4780-a24a-a9dba2626ce7" TargetMode="External"/><Relationship Id="rId516" Type="http://schemas.openxmlformats.org/officeDocument/2006/relationships/hyperlink" Target="https://lk.regmed.ru/Register/GetPDFfromDAToken?Token=fe955df9-4f46-4423-be3a-1f83cefdf08f" TargetMode="External"/><Relationship Id="rId48" Type="http://schemas.openxmlformats.org/officeDocument/2006/relationships/hyperlink" Target="https://lk.regmed.ru/Register/GetPDFfromDAToken?Token=9a6142ea-2a03-4b1a-9dbb-31db8de71e87" TargetMode="External"/><Relationship Id="rId113" Type="http://schemas.openxmlformats.org/officeDocument/2006/relationships/hyperlink" Target="https://grls.rosminzdrav.ru/Grls_View_v2.aspx?routingGuid=85127f3b-11cb-47df-95aa-325127c74955" TargetMode="External"/><Relationship Id="rId320" Type="http://schemas.openxmlformats.org/officeDocument/2006/relationships/hyperlink" Target="https://grls.rosminzdrav.ru/Grls_View_v2.aspx?routingGuid=7da2f9f3-53a6-4cbe-9eae-65a3d0bed21b" TargetMode="External"/><Relationship Id="rId558" Type="http://schemas.openxmlformats.org/officeDocument/2006/relationships/hyperlink" Target="https://grls.rosminzdrav.ru/Grls_View_v2.aspx?routingGuid=0ba24732-9dc8-464f-9334-1656fb2a15d4" TargetMode="External"/><Relationship Id="rId155" Type="http://schemas.openxmlformats.org/officeDocument/2006/relationships/hyperlink" Target="https://grls.rosminzdrav.ru/Grls_View_v2.aspx?routingGuid=39b44822-0ca7-409d-bc25-db49ef3d5471" TargetMode="External"/><Relationship Id="rId197" Type="http://schemas.openxmlformats.org/officeDocument/2006/relationships/hyperlink" Target="https://lk.regmed.ru/Register/GetPDFfromDAToken?Token=ee03c4ca-717d-4833-b701-e198134f2d9e" TargetMode="External"/><Relationship Id="rId362" Type="http://schemas.openxmlformats.org/officeDocument/2006/relationships/hyperlink" Target="https://grls.rosminzdrav.ru/Grls_View_v2.aspx?routingGuid=8c0994ff-cbcc-429d-b150-e0cf4404a1ac&amp;t=" TargetMode="External"/><Relationship Id="rId418" Type="http://schemas.openxmlformats.org/officeDocument/2006/relationships/hyperlink" Target="https://grls.rosminzdrav.ru/Grls_View_v2.aspx?routingGuid=171865ce-48a4-4d02-8392-f65717356121" TargetMode="External"/><Relationship Id="rId625" Type="http://schemas.openxmlformats.org/officeDocument/2006/relationships/hyperlink" Target="https://lk.regmed.ru/Register/GetPDFfromDAToken?Token=98aa6592-f3ff-4626-8956-8bb4c5db5255" TargetMode="External"/><Relationship Id="rId222" Type="http://schemas.openxmlformats.org/officeDocument/2006/relationships/hyperlink" Target="https://lk.regmed.ru/Register/GetPDFfromDAToken?Token=712b88e8-5bd2-4955-b963-d496b4e78858" TargetMode="External"/><Relationship Id="rId264" Type="http://schemas.openxmlformats.org/officeDocument/2006/relationships/hyperlink" Target="https://grls.rosminzdrav.ru/Grls_View_v2.aspx?routingGuid=2d805292-2bee-4665-b4ef-a466b3e3bc8f" TargetMode="External"/><Relationship Id="rId471" Type="http://schemas.openxmlformats.org/officeDocument/2006/relationships/hyperlink" Target="https://lk.regmed.ru/Register/GetPDFfromDAToken?Token=1f06acab-7a62-4de1-8081-38da0a5d6105" TargetMode="External"/><Relationship Id="rId17" Type="http://schemas.openxmlformats.org/officeDocument/2006/relationships/hyperlink" Target="https://grls.rosminzdrav.ru/Grls_View_v2.aspx?routingGuid=60b8bad6-1fec-492d-a07c-25eee3daa0b5" TargetMode="External"/><Relationship Id="rId59" Type="http://schemas.openxmlformats.org/officeDocument/2006/relationships/hyperlink" Target="https://grls.rosminzdrav.ru/Grls_View_v2.aspx?routingGuid=d8627a3c-16a5-46d0-b31f-e60eb2448d80" TargetMode="External"/><Relationship Id="rId124" Type="http://schemas.openxmlformats.org/officeDocument/2006/relationships/hyperlink" Target="https://grls.rosminzdrav.ru/Grls_View_v2.aspx?routingGuid=907b510e-7f7f-46df-b43a-f6541b9871fc" TargetMode="External"/><Relationship Id="rId527" Type="http://schemas.openxmlformats.org/officeDocument/2006/relationships/hyperlink" Target="https://grls.rosminzdrav.ru/Grls_View_v2.aspx?routingGuid=9196861c-6233-45be-8241-186d3f051250" TargetMode="External"/><Relationship Id="rId569" Type="http://schemas.openxmlformats.org/officeDocument/2006/relationships/hyperlink" Target="https://grls.rosminzdrav.ru/Grls_View_v2.aspx?routingGuid=76a79bba-d7c4-42d4-8469-ef532bed36f7" TargetMode="External"/><Relationship Id="rId70" Type="http://schemas.openxmlformats.org/officeDocument/2006/relationships/hyperlink" Target="https://grls.rosminzdrav.ru/Grls_View_v2.aspx?routingGuid=a282addd-c0aa-4540-a495-2a96a71e6fbe" TargetMode="External"/><Relationship Id="rId166" Type="http://schemas.openxmlformats.org/officeDocument/2006/relationships/hyperlink" Target="https://lk.regmed.ru/Register/GetPDFfromDAToken?Token=7542b90d-b67b-4205-9d82-117e106aba6c" TargetMode="External"/><Relationship Id="rId331" Type="http://schemas.openxmlformats.org/officeDocument/2006/relationships/hyperlink" Target="https://grls.rosminzdrav.ru/Grls_View_v2.aspx?routingGuid=b5f5bf28-a50c-46a3-8777-66ad5b7b6870" TargetMode="External"/><Relationship Id="rId373" Type="http://schemas.openxmlformats.org/officeDocument/2006/relationships/hyperlink" Target="https://lk.regmed.ru/Register/GetPDFfromDAToken?Token=527e32cb-7614-4bf0-9239-1a2231d3c4c5" TargetMode="External"/><Relationship Id="rId429" Type="http://schemas.openxmlformats.org/officeDocument/2006/relationships/hyperlink" Target="https://grls.rosminzdrav.ru/Grls_View_v2.aspx?routingGuid=823b5e3f-1e4d-4be9-b7c7-6acdc77fd788" TargetMode="External"/><Relationship Id="rId580" Type="http://schemas.openxmlformats.org/officeDocument/2006/relationships/hyperlink" Target="https://lk.regmed.ru/Register/GetPDFfromDAToken?Token=750ab89f-ffeb-4e33-bf98-b18f486693be" TargetMode="External"/><Relationship Id="rId636" Type="http://schemas.openxmlformats.org/officeDocument/2006/relationships/hyperlink" Target="https://grls.rosminzdrav.ru/Grls_View_v2.aspx?routingGuid=8dc63f11-354b-4d39-ae83-7db709b7e6a3" TargetMode="External"/><Relationship Id="rId1" Type="http://schemas.openxmlformats.org/officeDocument/2006/relationships/hyperlink" Target="https://grls.rosminzdrav.ru/Grls_View_v2.aspx?routingGuid=9f91626d-1063-4ea5-9346-800cc6ef9b44" TargetMode="External"/><Relationship Id="rId233" Type="http://schemas.openxmlformats.org/officeDocument/2006/relationships/hyperlink" Target="http://grls.rosminzdrav.ru/Grls_View_v2.aspx?routingGuid=368521c3-ffe0-427c-9e7e-b3e0530b260b&amp;t=" TargetMode="External"/><Relationship Id="rId440" Type="http://schemas.openxmlformats.org/officeDocument/2006/relationships/hyperlink" Target="https://grls.rosminzdrav.ru/Grls_View_v2.aspx?routingGuid=831c5a30-1b96-43a6-bf67-a6dc879f33ed" TargetMode="External"/><Relationship Id="rId28" Type="http://schemas.openxmlformats.org/officeDocument/2006/relationships/hyperlink" Target="https://grls.rosminzdrav.ru/Grls_View_v2.aspx?routingGuid=04b887e5-95d7-44df-beaa-a539fe956444" TargetMode="External"/><Relationship Id="rId275" Type="http://schemas.openxmlformats.org/officeDocument/2006/relationships/hyperlink" Target="https://grls.rosminzdrav.ru/Grls_View_v2.aspx?routingGuid=245ee300-7d64-4000-ab8b-ded51091a060" TargetMode="External"/><Relationship Id="rId300" Type="http://schemas.openxmlformats.org/officeDocument/2006/relationships/hyperlink" Target="https://grls.rosminzdrav.ru/Grls_View_v2.aspx?routingGuid=a0eece39-1af9-4420-be24-7ff034677feb" TargetMode="External"/><Relationship Id="rId482" Type="http://schemas.openxmlformats.org/officeDocument/2006/relationships/hyperlink" Target="https://grls.rosminzdrav.ru/Grls_View_v2.aspx?routingGuid=636522c9-19b7-4c5d-99dd-68664e22bc30" TargetMode="External"/><Relationship Id="rId538" Type="http://schemas.openxmlformats.org/officeDocument/2006/relationships/hyperlink" Target="https://grls.rosminzdrav.ru/Grls_View_v2.aspx?routingGuid=0fcbffbf-d247-4aa3-a4df-cccf3af59785" TargetMode="External"/><Relationship Id="rId81" Type="http://schemas.openxmlformats.org/officeDocument/2006/relationships/hyperlink" Target="https://grls.rosminzdrav.ru/Grls_View_v2.aspx?routingGuid=8c19af66-4fb0-474c-a1bf-d60e191504cd" TargetMode="External"/><Relationship Id="rId135" Type="http://schemas.openxmlformats.org/officeDocument/2006/relationships/hyperlink" Target="http://grls.rosminzdrav.ru/Grls_View_v2.aspx?routingGuid=52ba41b8-9298-4f53-a5c0-8dedc52494a6&amp;t=" TargetMode="External"/><Relationship Id="rId177" Type="http://schemas.openxmlformats.org/officeDocument/2006/relationships/hyperlink" Target="https://lk.regmed.ru/Register/GetPDFfromDAToken?Token=871cc235-deab-47cc-ac2f-13a865cc2b7f" TargetMode="External"/><Relationship Id="rId342" Type="http://schemas.openxmlformats.org/officeDocument/2006/relationships/hyperlink" Target="https://grls.rosminzdrav.ru/Grls_View_v2.aspx?routingGuid=c27afa22-136b-4a31-96c0-fa7b3d7357f4" TargetMode="External"/><Relationship Id="rId384" Type="http://schemas.openxmlformats.org/officeDocument/2006/relationships/hyperlink" Target="https://grls.rosminzdrav.ru/Grls_View_v2.aspx?routingGuid=c925a572-ac44-4311-b506-0b50d1d43cf7" TargetMode="External"/><Relationship Id="rId591" Type="http://schemas.openxmlformats.org/officeDocument/2006/relationships/hyperlink" Target="https://grls.rosminzdrav.ru/Grls_View_v2.aspx?routingGuid=67d47b58-44f8-467a-ac68-f50a5e27ec96" TargetMode="External"/><Relationship Id="rId605" Type="http://schemas.openxmlformats.org/officeDocument/2006/relationships/hyperlink" Target="https://grls.rosminzdrav.ru/Grls_View_v2.aspx?routingGuid=dbcc0b53-6439-4a7a-8b89-a97af778b07d" TargetMode="External"/><Relationship Id="rId202" Type="http://schemas.openxmlformats.org/officeDocument/2006/relationships/hyperlink" Target="https://grls.rosminzdrav.ru/Grls_View_v2.aspx?routingGuid=f79c63df-14fc-4066-a985-f34555bed179" TargetMode="External"/><Relationship Id="rId244" Type="http://schemas.openxmlformats.org/officeDocument/2006/relationships/hyperlink" Target="https://grls.rosminzdrav.ru/Grls_View_v2.aspx?routingGuid=e4ffdd5e-89db-479f-b9a3-4aee83beeb8a" TargetMode="External"/><Relationship Id="rId39" Type="http://schemas.openxmlformats.org/officeDocument/2006/relationships/hyperlink" Target="https://grls.rosminzdrav.ru/Grls_View_v2.aspx?routingGuid=fa42329f-9433-4dc6-af8a-f811be13fb87" TargetMode="External"/><Relationship Id="rId286" Type="http://schemas.openxmlformats.org/officeDocument/2006/relationships/hyperlink" Target="https://lk.regmed.ru/Register/GetPDFfromDAToken?Token=14eebaad-2e05-4a98-9cb4-66fbe0d85f28" TargetMode="External"/><Relationship Id="rId451" Type="http://schemas.openxmlformats.org/officeDocument/2006/relationships/hyperlink" Target="https://grls.rosminzdrav.ru/Grls_View_v2.aspx?routingGuid=09c1471e-ec8c-42ce-9ef9-0f1ded2db528" TargetMode="External"/><Relationship Id="rId493" Type="http://schemas.openxmlformats.org/officeDocument/2006/relationships/hyperlink" Target="https://grls.rosminzdrav.ru/Grls_View_v2.aspx?routingGuid=85903bfa-570c-432d-aa6a-9e0d5be6ae6e" TargetMode="External"/><Relationship Id="rId507" Type="http://schemas.openxmlformats.org/officeDocument/2006/relationships/hyperlink" Target="https://lk.regmed.ru/Register/GetPDFfromDA?ID=1485438071" TargetMode="External"/><Relationship Id="rId549" Type="http://schemas.openxmlformats.org/officeDocument/2006/relationships/hyperlink" Target="https://grls.rosminzdrav.ru/Grls_View_v2.aspx?routingGuid=46a21252-b40d-407d-9129-d078a310a5b2" TargetMode="External"/><Relationship Id="rId50" Type="http://schemas.openxmlformats.org/officeDocument/2006/relationships/hyperlink" Target="http://grls.rosminzdrav.ru/Grls_View_v2.aspx?routingGuid=56e77eb8-534a-44be-afd0-061fb8ec4621&amp;t=" TargetMode="External"/><Relationship Id="rId104" Type="http://schemas.openxmlformats.org/officeDocument/2006/relationships/hyperlink" Target="https://grls.rosminzdrav.ru/Grls_View_v2.aspx?routingGuid=74a77c48-c131-41c4-ab9d-88f8daa7fa64" TargetMode="External"/><Relationship Id="rId146" Type="http://schemas.openxmlformats.org/officeDocument/2006/relationships/hyperlink" Target="https://grls.rosminzdrav.ru/Grls_View_v2.aspx?routingGuid=34537f7c-cc43-45ef-bc9a-9820641bf718" TargetMode="External"/><Relationship Id="rId188" Type="http://schemas.openxmlformats.org/officeDocument/2006/relationships/hyperlink" Target="https://grls.rosminzdrav.ru/Grls_View_v2.aspx?routingGuid=aa975a20-f44a-451e-bf3e-3dcc80435b61" TargetMode="External"/><Relationship Id="rId311" Type="http://schemas.openxmlformats.org/officeDocument/2006/relationships/hyperlink" Target="http://grls.rosminzdrav.ru/Grls_View_v2.aspx?routingGuid=0358c243-78a1-4df6-8df2-bcef660d17f3&amp;t=" TargetMode="External"/><Relationship Id="rId353" Type="http://schemas.openxmlformats.org/officeDocument/2006/relationships/hyperlink" Target="https://grls.rosminzdrav.ru/Grls_View_v2.aspx?routingGuid=dd8bb917-0073-4bc0-809b-587e89c9a8b0" TargetMode="External"/><Relationship Id="rId395" Type="http://schemas.openxmlformats.org/officeDocument/2006/relationships/hyperlink" Target="https://grls.rosminzdrav.ru/Grls_View_v2.aspx?routingGuid=c9b0af9a-2d86-4ad1-8c53-9a0087b6c270&amp;t=" TargetMode="External"/><Relationship Id="rId409" Type="http://schemas.openxmlformats.org/officeDocument/2006/relationships/hyperlink" Target="https://lk.regmed.ru/Register/GetPDFfromDAToken?Token=2a1a1d19-5cc8-420a-9c43-043ac5ec5115" TargetMode="External"/><Relationship Id="rId560" Type="http://schemas.openxmlformats.org/officeDocument/2006/relationships/hyperlink" Target="https://lk.regmed.ru/Register/GetPDFfromDAToken?Token=195e9eaa-565d-4ace-86b6-60dade74e830" TargetMode="External"/><Relationship Id="rId92" Type="http://schemas.openxmlformats.org/officeDocument/2006/relationships/hyperlink" Target="https://grls.rosminzdrav.ru/Grls_View_v2.aspx?routingGuid=0cc60fe9-635e-4134-80d2-59a7787e33fb" TargetMode="External"/><Relationship Id="rId213" Type="http://schemas.openxmlformats.org/officeDocument/2006/relationships/hyperlink" Target="https://grls.rosminzdrav.ru/Grls_View_v2.aspx?routingGuid=c88b7ed6-2791-496d-95ac-2bf2453e540b" TargetMode="External"/><Relationship Id="rId420" Type="http://schemas.openxmlformats.org/officeDocument/2006/relationships/hyperlink" Target="https://grls.rosminzdrav.ru/Grls_View_v2.aspx?routingGuid=171865ce-48a4-4d02-8392-f65717356121" TargetMode="External"/><Relationship Id="rId616" Type="http://schemas.openxmlformats.org/officeDocument/2006/relationships/hyperlink" Target="https://lk.regmed.ru/Register/GetPDFfromDAToken?Token=fd521f05-a4c3-4eeb-95f5-ca5ab71cbf29" TargetMode="External"/><Relationship Id="rId255" Type="http://schemas.openxmlformats.org/officeDocument/2006/relationships/hyperlink" Target="https://grls.rosminzdrav.ru/Grls_View_v2.aspx?routingGuid=dee8c37b-28f6-45f1-9773-d691d9fb54ae" TargetMode="External"/><Relationship Id="rId297" Type="http://schemas.openxmlformats.org/officeDocument/2006/relationships/hyperlink" Target="https://lk.regmed.ru/Register/GetPDFfromDAToken?Token=60bf52c4-1cf3-491f-95c7-1443f70310fe" TargetMode="External"/><Relationship Id="rId462" Type="http://schemas.openxmlformats.org/officeDocument/2006/relationships/hyperlink" Target="https://lk.regmed.ru/Register/GetPDFfromDAToken?Token=e29e3046-2780-4b38-98d4-6db2916b84dd" TargetMode="External"/><Relationship Id="rId518" Type="http://schemas.openxmlformats.org/officeDocument/2006/relationships/hyperlink" Target="https://grls.rosminzdrav.ru/Grls_View_v2.aspx?routingGuid=fd2093f8-0c92-4172-bc6c-0c44d55adbfb" TargetMode="External"/><Relationship Id="rId115" Type="http://schemas.openxmlformats.org/officeDocument/2006/relationships/hyperlink" Target="https://grls.rosminzdrav.ru/Grls_View_v2.aspx?routingGuid=ff05de13-f90b-475b-a47c-609c8a0539a7&amp;t=" TargetMode="External"/><Relationship Id="rId157" Type="http://schemas.openxmlformats.org/officeDocument/2006/relationships/hyperlink" Target="https://grls.rosminzdrav.ru/Grls_View_v2.aspx?routingGuid=d8000e0b-8c92-4c5f-97ca-007605503798" TargetMode="External"/><Relationship Id="rId322" Type="http://schemas.openxmlformats.org/officeDocument/2006/relationships/hyperlink" Target="https://lk.regmed.ru/Register/GetPDFfromDAToken?Token=bbb42574-93e7-4e33-91ef-666773d1f867" TargetMode="External"/><Relationship Id="rId364" Type="http://schemas.openxmlformats.org/officeDocument/2006/relationships/hyperlink" Target="https://grls.rosminzdrav.ru/Grls_View_v2.aspx?routingGuid=f6747520-46db-401c-ac99-b006cfc89abf" TargetMode="External"/><Relationship Id="rId61" Type="http://schemas.openxmlformats.org/officeDocument/2006/relationships/hyperlink" Target="https://grls.rosminzdrav.ru/Grls_View_v2.aspx?routingGuid=d8627a3c-16a5-46d0-b31f-e60eb2448d80" TargetMode="External"/><Relationship Id="rId199" Type="http://schemas.openxmlformats.org/officeDocument/2006/relationships/hyperlink" Target="http://grls.rosminzdrav.ru/Grls_View_v2.aspx?routingGuid=f5818301-d1f3-41f0-8756-aae5c73114a3&amp;t=" TargetMode="External"/><Relationship Id="rId571" Type="http://schemas.openxmlformats.org/officeDocument/2006/relationships/hyperlink" Target="https://lk.regmed.ru/Register/GetPDFfromDAToken?Token=52d43d70-7935-4398-9317-cc070e49481e" TargetMode="External"/><Relationship Id="rId627" Type="http://schemas.openxmlformats.org/officeDocument/2006/relationships/hyperlink" Target="https://lk.regmed.ru/Register/GetPDFfromDAToken?Token=4d2e8313-f9db-4eb3-bec0-0350adb169a5" TargetMode="External"/><Relationship Id="rId19" Type="http://schemas.openxmlformats.org/officeDocument/2006/relationships/hyperlink" Target="http://grls.rosminzdrav.ru/Grls_View_v2.aspx?routingGuid=5d56b9eb-b9a5-4bd5-b6cc-ff7f975b513b&amp;t=" TargetMode="External"/><Relationship Id="rId224" Type="http://schemas.openxmlformats.org/officeDocument/2006/relationships/hyperlink" Target="http://grls.rosminzdrav.ru/Grls_View_v2.aspx?routingGuid=e3696973-e636-4bc1-8a9d-42508ea757a1&amp;t=" TargetMode="External"/><Relationship Id="rId266" Type="http://schemas.openxmlformats.org/officeDocument/2006/relationships/hyperlink" Target="https://grls.rosminzdrav.ru/Grls_View_v2.aspx?routingGuid=2d805292-2bee-4665-b4ef-a466b3e3bc8f" TargetMode="External"/><Relationship Id="rId431" Type="http://schemas.openxmlformats.org/officeDocument/2006/relationships/hyperlink" Target="https://grls.rosminzdrav.ru/Grls_View_v2.aspx?routingGuid=b1d7deaa-0d44-46b4-bbf6-6efcf4f8df7a" TargetMode="External"/><Relationship Id="rId473" Type="http://schemas.openxmlformats.org/officeDocument/2006/relationships/hyperlink" Target="https://grls.rosminzdrav.ru/Grls_View_v2.aspx?routingGuid=c4cf7e73-cdee-4bd7-ab58-00e2bb5e6958" TargetMode="External"/><Relationship Id="rId529" Type="http://schemas.openxmlformats.org/officeDocument/2006/relationships/hyperlink" Target="https://grls.rosminzdrav.ru/Grls_View_v2.aspx?routingGuid=d234ce19-0767-4a41-b04d-65b1301e2070" TargetMode="External"/><Relationship Id="rId30" Type="http://schemas.openxmlformats.org/officeDocument/2006/relationships/hyperlink" Target="https://grls.rosminzdrav.ru/Grls_View_v2.aspx?routingGuid=fa23fbae-fb1a-45b2-8191-2db254575e44" TargetMode="External"/><Relationship Id="rId126" Type="http://schemas.openxmlformats.org/officeDocument/2006/relationships/hyperlink" Target="https://grls.rosminzdrav.ru/Grls_View_v2.aspx?routingGuid=907b510e-7f7f-46df-b43a-f6541b9871fc" TargetMode="External"/><Relationship Id="rId168" Type="http://schemas.openxmlformats.org/officeDocument/2006/relationships/hyperlink" Target="https://grls.rosminzdrav.ru/Grls_View_v2.aspx?routingGuid=21ef9e10-0802-4099-9f29-815fab9bf24f" TargetMode="External"/><Relationship Id="rId333" Type="http://schemas.openxmlformats.org/officeDocument/2006/relationships/hyperlink" Target="http://grls.rosminzdrav.ru/Grls_View_v2.aspx?routingGuid=5ef363e0-7cee-48c5-ad35-c352b3fb519e&amp;t=" TargetMode="External"/><Relationship Id="rId540" Type="http://schemas.openxmlformats.org/officeDocument/2006/relationships/hyperlink" Target="https://grls.rosminzdrav.ru/Grls_View_v2.aspx?routingGuid=201d602b-19f5-4518-b35b-ccaf466bd096" TargetMode="External"/><Relationship Id="rId72" Type="http://schemas.openxmlformats.org/officeDocument/2006/relationships/hyperlink" Target="https://lk.regmed.ru/Register/GetPDFfromDAToken?Token=6d0a7c06-3859-4f01-8d37-bf8887046a88" TargetMode="External"/><Relationship Id="rId375" Type="http://schemas.openxmlformats.org/officeDocument/2006/relationships/hyperlink" Target="https://grls.rosminzdrav.ru/Grls_View_v2.aspx?routingGuid=e0e0ca2f-5129-4f15-8c99-b6e061a95537&amp;t=" TargetMode="External"/><Relationship Id="rId582" Type="http://schemas.openxmlformats.org/officeDocument/2006/relationships/hyperlink" Target="https://grls.rosminzdrav.ru/Grls_View_v2.aspx?routingGuid=f94267d3-8c60-499a-9be7-5bde70d2d7ac" TargetMode="External"/><Relationship Id="rId638" Type="http://schemas.openxmlformats.org/officeDocument/2006/relationships/hyperlink" Target="https://grls.rosminzdrav.ru/Grls_View_v2.aspx?routingGuid=28cf88b2-695f-4467-a36a-7ea401b5c0dd" TargetMode="External"/><Relationship Id="rId3" Type="http://schemas.openxmlformats.org/officeDocument/2006/relationships/hyperlink" Target="https://grls.rosminzdrav.ru/Grls_View_v2.aspx?routingGuid=e175064d-f010-42d9-bfca-0b186e7cb1d7" TargetMode="External"/><Relationship Id="rId235" Type="http://schemas.openxmlformats.org/officeDocument/2006/relationships/hyperlink" Target="https://lk.regmed.ru/Register/GetPDFfromDAToken?Token=92b647e6-6e46-4d97-b5db-055d884d1048" TargetMode="External"/><Relationship Id="rId277" Type="http://schemas.openxmlformats.org/officeDocument/2006/relationships/hyperlink" Target="https://grls.rosminzdrav.ru/Grls_View_v2.aspx?routingGuid=9ea2867c-ced6-45dd-bf78-db44e14fd708" TargetMode="External"/><Relationship Id="rId400" Type="http://schemas.openxmlformats.org/officeDocument/2006/relationships/hyperlink" Target="https://grls.rosminzdrav.ru/Grls_View_v2.aspx?routingGuid=6cb99bc7-105a-4075-a791-8895b32ca394" TargetMode="External"/><Relationship Id="rId442" Type="http://schemas.openxmlformats.org/officeDocument/2006/relationships/hyperlink" Target="https://grls.rosminzdrav.ru/Grls_View_v2.aspx?routingGuid=55cdead2-b88d-488a-a698-0d7df658d5c9" TargetMode="External"/><Relationship Id="rId484" Type="http://schemas.openxmlformats.org/officeDocument/2006/relationships/hyperlink" Target="https://lk.regmed.ru/Register/GetPDFfromDAToken?Token=f465d04c-878b-470d-bdc4-80fe697e5668" TargetMode="External"/><Relationship Id="rId137" Type="http://schemas.openxmlformats.org/officeDocument/2006/relationships/hyperlink" Target="https://lk.regmed.ru/Register/GetPDFfromDAToken?Token=ebfed185-d787-4d31-8be8-d3cbc95b7794" TargetMode="External"/><Relationship Id="rId302" Type="http://schemas.openxmlformats.org/officeDocument/2006/relationships/hyperlink" Target="http://grls.rosminzdrav.ru/Grls_View_v2.aspx?routingGuid=6f07494f-792b-4a67-a25b-2c4b1c6afbe0&amp;t=" TargetMode="External"/><Relationship Id="rId344" Type="http://schemas.openxmlformats.org/officeDocument/2006/relationships/hyperlink" Target="https://grls.rosminzdrav.ru/Grls_View_v2.aspx?routingGuid=fdfbbbec-8dee-4615-b7eb-26968c926dbf" TargetMode="External"/><Relationship Id="rId41" Type="http://schemas.openxmlformats.org/officeDocument/2006/relationships/hyperlink" Target="https://grls.rosminzdrav.ru/Grls_View_v2.aspx?routingGuid=fa42329f-9433-4dc6-af8a-f811be13fb87" TargetMode="External"/><Relationship Id="rId83" Type="http://schemas.openxmlformats.org/officeDocument/2006/relationships/hyperlink" Target="https://grls.rosminzdrav.ru/Grls_View_v2.aspx?routingGuid=0814c0aa-66c2-4566-a774-02de4c45b6ac" TargetMode="External"/><Relationship Id="rId179" Type="http://schemas.openxmlformats.org/officeDocument/2006/relationships/hyperlink" Target="https://grls.rosminzdrav.ru/Grls_View_v2.aspx?routingGuid=bbcf7276-a503-4968-abd0-286f29aa80a7" TargetMode="External"/><Relationship Id="rId386" Type="http://schemas.openxmlformats.org/officeDocument/2006/relationships/hyperlink" Target="https://grls.rosminzdrav.ru/Grls_View_v2.aspx?routingGuid=c925a572-ac44-4311-b506-0b50d1d43cf7" TargetMode="External"/><Relationship Id="rId551" Type="http://schemas.openxmlformats.org/officeDocument/2006/relationships/hyperlink" Target="https://grls.rosminzdrav.ru/Grls_View_v2.aspx?routingGuid=d93b9c17-ccc5-4d89-91dd-de0740e50a51" TargetMode="External"/><Relationship Id="rId593" Type="http://schemas.openxmlformats.org/officeDocument/2006/relationships/hyperlink" Target="https://lk.regmed.ru/Register/GetPDFfromDAToken?Token=1bfeede7-f8ba-44c7-8e8f-7f6e8dc1b9c4" TargetMode="External"/><Relationship Id="rId607" Type="http://schemas.openxmlformats.org/officeDocument/2006/relationships/hyperlink" Target="https://lk.regmed.ru/Register/GetPDFfromDAToken?Token=7efc3fca-7110-41f0-adc2-f32077b43099" TargetMode="External"/><Relationship Id="rId190" Type="http://schemas.openxmlformats.org/officeDocument/2006/relationships/hyperlink" Target="https://grls.rosminzdrav.ru/Grls_View_v2.aspx?routingGuid=573dc2fd-b104-4a0c-a56a-486f57764912" TargetMode="External"/><Relationship Id="rId204" Type="http://schemas.openxmlformats.org/officeDocument/2006/relationships/hyperlink" Target="https://grls.rosminzdrav.ru/Grls_View_v2.aspx?routingGuid=ad209ac6-713c-44f3-a988-34b85866cd93" TargetMode="External"/><Relationship Id="rId246" Type="http://schemas.openxmlformats.org/officeDocument/2006/relationships/hyperlink" Target="https://grls.rosminzdrav.ru/Grls_View_v2.aspx?routingGuid=5a312c4c-479c-463e-85d1-fa7e8990168d" TargetMode="External"/><Relationship Id="rId288" Type="http://schemas.openxmlformats.org/officeDocument/2006/relationships/hyperlink" Target="http://grls.rosminzdrav.ru/Grls_View_v2.aspx?routingGuid=dfd84eba-8612-49fd-a32e-b83d21643d56&amp;t=" TargetMode="External"/><Relationship Id="rId411" Type="http://schemas.openxmlformats.org/officeDocument/2006/relationships/hyperlink" Target="https://lk.regmed.ru/Register/GetPDFfromDAToken?Token=6341b74a-871e-49eb-80ea-bbc454aee8a1" TargetMode="External"/><Relationship Id="rId453" Type="http://schemas.openxmlformats.org/officeDocument/2006/relationships/hyperlink" Target="https://grls.rosminzdrav.ru/Grls_View_v2.aspx?routingGuid=5c6779c4-47b4-4c91-9642-933f4c3b11da" TargetMode="External"/><Relationship Id="rId509" Type="http://schemas.openxmlformats.org/officeDocument/2006/relationships/hyperlink" Target="https://lk.regmed.ru/Register/GetPDFfromDAToken?Token=f66b51aa-040f-4b90-9f4e-cd2805b4b2ae" TargetMode="External"/><Relationship Id="rId106" Type="http://schemas.openxmlformats.org/officeDocument/2006/relationships/hyperlink" Target="https://lk.regmed.ru/Register/GetPDFfromDAToken?Token=ba26e648-28b3-4eac-b578-0748c8e03c4e" TargetMode="External"/><Relationship Id="rId313" Type="http://schemas.openxmlformats.org/officeDocument/2006/relationships/hyperlink" Target="https://grls.rosminzdrav.ru/Grls_View_v2.aspx?routingGuid=0962362a-d8cb-4c53-b4f2-43cc75eea35f" TargetMode="External"/><Relationship Id="rId495" Type="http://schemas.openxmlformats.org/officeDocument/2006/relationships/hyperlink" Target="https://lk.regmed.ru/Register/GetPDFfromDAToken?Token=a2f73862-29c5-4053-96f1-e06e79a85db5" TargetMode="External"/><Relationship Id="rId10" Type="http://schemas.openxmlformats.org/officeDocument/2006/relationships/hyperlink" Target="https://grls.rosminzdrav.ru/Grls_View_v2.aspx?routingGuid=4215760f-875d-476b-a9b6-af2e398c3025" TargetMode="External"/><Relationship Id="rId52" Type="http://schemas.openxmlformats.org/officeDocument/2006/relationships/hyperlink" Target="https://lk.regmed.ru/Register/GetPDFfromDAToken?Token=67df064e-3139-49b6-917f-a5131fbd35d6" TargetMode="External"/><Relationship Id="rId94" Type="http://schemas.openxmlformats.org/officeDocument/2006/relationships/hyperlink" Target="https://grls.rosminzdrav.ru/Grls_View_v2.aspx?routingGuid=0d28b2ad-18b2-4e7a-8c27-436c0feea6d4" TargetMode="External"/><Relationship Id="rId148" Type="http://schemas.openxmlformats.org/officeDocument/2006/relationships/hyperlink" Target="http://grls.rosminzdrav.ru/Grls_View_v2.aspx?routingGuid=dbe0bb34-ff56-47e4-9873-0133b28f09c9&amp;t=" TargetMode="External"/><Relationship Id="rId355" Type="http://schemas.openxmlformats.org/officeDocument/2006/relationships/hyperlink" Target="https://grls.rosminzdrav.ru/Grls_View_v2.aspx?routingGuid=e231ed27-8f9b-48e2-9c90-6d4b5edb2693" TargetMode="External"/><Relationship Id="rId397" Type="http://schemas.openxmlformats.org/officeDocument/2006/relationships/hyperlink" Target="https://lk.regmed.ru/Register/GetPDFfromDAToken?Token=8cc54647-279e-4b2f-82d7-b1ed3161d86a" TargetMode="External"/><Relationship Id="rId520" Type="http://schemas.openxmlformats.org/officeDocument/2006/relationships/hyperlink" Target="https://grls.rosminzdrav.ru/Grls_View_v2.aspx?routingGuid=b26c9259-2e10-4bdb-826b-fbfdb38594ec" TargetMode="External"/><Relationship Id="rId562" Type="http://schemas.openxmlformats.org/officeDocument/2006/relationships/hyperlink" Target="https://grls.rosminzdrav.ru/Grls_View_v2.aspx?routingGuid=f97a3039-ffe8-41fb-9e1a-9776bc3c29dc" TargetMode="External"/><Relationship Id="rId618" Type="http://schemas.openxmlformats.org/officeDocument/2006/relationships/hyperlink" Target="https://lk.regmed.ru/Register/GetPDFfromDAToken?Token=b3d83643-9f4a-4180-9c6c-ef18d9a4117a" TargetMode="External"/><Relationship Id="rId215" Type="http://schemas.openxmlformats.org/officeDocument/2006/relationships/hyperlink" Target="https://grls.rosminzdrav.ru/Grls_View_v2.aspx?routingGuid=fa171426-1eca-44bc-81f4-6031a67504f1" TargetMode="External"/><Relationship Id="rId257" Type="http://schemas.openxmlformats.org/officeDocument/2006/relationships/hyperlink" Target="https://grls.rosminzdrav.ru/Grls_View_v2.aspx?routingGuid=640af3c6-436c-47e2-a2cb-8cfff245452f" TargetMode="External"/><Relationship Id="rId422" Type="http://schemas.openxmlformats.org/officeDocument/2006/relationships/hyperlink" Target="https://grls.rosminzdrav.ru/Grls_View_v2.aspx?routingGuid=8ce0c81e-8786-455c-a0df-1c368abb096e" TargetMode="External"/><Relationship Id="rId464" Type="http://schemas.openxmlformats.org/officeDocument/2006/relationships/hyperlink" Target="https://grls.rosminzdrav.ru/Grls_View_v2.aspx?routingGuid=831b739d-0598-4fef-adaf-7038c119d3f3" TargetMode="External"/><Relationship Id="rId299" Type="http://schemas.openxmlformats.org/officeDocument/2006/relationships/hyperlink" Target="https://grls.rosminzdrav.ru/Grls_View_v2.aspx?routingGuid=d45dfeef-25f0-48a2-8913-bd6f2593fc47" TargetMode="External"/><Relationship Id="rId63" Type="http://schemas.openxmlformats.org/officeDocument/2006/relationships/hyperlink" Target="https://grls.rosminzdrav.ru/Grls_View_v2.aspx?routingGuid=375ef2f9-abab-464c-b1b3-b993bc8f42ec" TargetMode="External"/><Relationship Id="rId159" Type="http://schemas.openxmlformats.org/officeDocument/2006/relationships/hyperlink" Target="https://grls.rosminzdrav.ru/Grls_View_v2.aspx?routingGuid=9d163668-04c5-490d-81ed-287f1cc6ac47" TargetMode="External"/><Relationship Id="rId366" Type="http://schemas.openxmlformats.org/officeDocument/2006/relationships/hyperlink" Target="https://grls.rosminzdrav.ru/Grls_View_v2.aspx?routingGuid=6bd9d7fe-4357-44a0-b8c4-f2d9cbaf6176&amp;t=" TargetMode="External"/><Relationship Id="rId573" Type="http://schemas.openxmlformats.org/officeDocument/2006/relationships/hyperlink" Target="https://lk.regmed.ru/Register/GetPDFfromDAToken?Token=3b97ecf2-aa81-40e7-9dc5-58dc24f5eeae" TargetMode="External"/><Relationship Id="rId226" Type="http://schemas.openxmlformats.org/officeDocument/2006/relationships/hyperlink" Target="https://grls.rosminzdrav.ru/Grls_View_v2.aspx?routingGuid=94cb6422-2bae-41b1-b881-7019bc1e6c88" TargetMode="External"/><Relationship Id="rId433" Type="http://schemas.openxmlformats.org/officeDocument/2006/relationships/hyperlink" Target="https://grls.rosminzdrav.ru/Grls_View_v2.aspx?routingGuid=3cf40fcb-fe6b-4f3b-aac2-300e5253d28f" TargetMode="External"/><Relationship Id="rId640" Type="http://schemas.openxmlformats.org/officeDocument/2006/relationships/hyperlink" Target="https://grls.rosminzdrav.ru/Grls_View_v2.aspx?routingGuid=f226c735-914f-4562-8e0c-88a46da41b90" TargetMode="External"/><Relationship Id="rId74" Type="http://schemas.openxmlformats.org/officeDocument/2006/relationships/hyperlink" Target="https://lk.regmed.ru/Register/GetPDFfromDAToken?Token=88854c2c-329e-40d6-9464-84468572891b" TargetMode="External"/><Relationship Id="rId377" Type="http://schemas.openxmlformats.org/officeDocument/2006/relationships/hyperlink" Target="https://grls.rosminzdrav.ru/Grls_View_v2.aspx?routingGuid=8790c6b6-9ab5-4df0-8084-075d18ec2595" TargetMode="External"/><Relationship Id="rId500" Type="http://schemas.openxmlformats.org/officeDocument/2006/relationships/hyperlink" Target="https://lk.regmed.ru/Register/GetPDFfromDAToken?Token=5d499ddb-5573-41bd-a3f7-d5c0ed17486e" TargetMode="External"/><Relationship Id="rId584" Type="http://schemas.openxmlformats.org/officeDocument/2006/relationships/hyperlink" Target="https://grls.rosminzdrav.ru/Grls_View_v2.aspx?routingGuid=bb770bb9-3c59-44ac-9f5c-9ed0dbce6322" TargetMode="External"/><Relationship Id="rId5" Type="http://schemas.openxmlformats.org/officeDocument/2006/relationships/hyperlink" Target="https://grls.rosminzdrav.ru/Grls_View_v2.aspx?routingGuid=115ba81b-7cb9-4737-9e63-163458ef9d0b" TargetMode="External"/><Relationship Id="rId237" Type="http://schemas.openxmlformats.org/officeDocument/2006/relationships/hyperlink" Target="https://lk.regmed.ru/Register/GetPDFfromDAToken?Token=d3a2ba4c-0ab7-4f72-bada-cdbf545e9964" TargetMode="External"/><Relationship Id="rId444" Type="http://schemas.openxmlformats.org/officeDocument/2006/relationships/hyperlink" Target="https://grls.rosminzdrav.ru/Grls_View_v2.aspx?routingGuid=4c557b4f-d993-4256-84b8-be1a3067c76b" TargetMode="External"/><Relationship Id="rId290" Type="http://schemas.openxmlformats.org/officeDocument/2006/relationships/hyperlink" Target="https://lk.regmed.ru/Register/GetPDFfromDAToken?Token=2516e721-6e26-4b63-bc37-7163e862ca17" TargetMode="External"/><Relationship Id="rId304" Type="http://schemas.openxmlformats.org/officeDocument/2006/relationships/hyperlink" Target="https://lk.regmed.ru/Register/GetPDFfromDAToken?Token=ec8dbc07-4048-4803-b294-939328173382" TargetMode="External"/><Relationship Id="rId388" Type="http://schemas.openxmlformats.org/officeDocument/2006/relationships/hyperlink" Target="https://grls.rosminzdrav.ru/Grls_View_v2.aspx?routingGuid=602ae9fc-73ba-4522-a5c6-178cc483e85f" TargetMode="External"/><Relationship Id="rId511" Type="http://schemas.openxmlformats.org/officeDocument/2006/relationships/hyperlink" Target="https://grls.rosminzdrav.ru/Grls_View_v2.aspx?routingGuid=1bbc81c1-2d8e-4e68-9b86-93278f4e989c" TargetMode="External"/><Relationship Id="rId609" Type="http://schemas.openxmlformats.org/officeDocument/2006/relationships/hyperlink" Target="https://lk.regmed.ru/Register/GetPDFfromDAToken?Token=ce5c7160-b92d-472c-8725-9250e6e5cd16" TargetMode="External"/><Relationship Id="rId85" Type="http://schemas.openxmlformats.org/officeDocument/2006/relationships/hyperlink" Target="https://grls.rosminzdrav.ru/Grls_View_v2.aspx?routingGuid=658e07cb-fcb9-412f-9392-b9e9e21a6343" TargetMode="External"/><Relationship Id="rId150" Type="http://schemas.openxmlformats.org/officeDocument/2006/relationships/hyperlink" Target="https://grls.rosminzdrav.ru/Grls_View_v2.aspx?routingGuid=f0e5ea62-1cea-4427-923d-201a87349492" TargetMode="External"/><Relationship Id="rId595" Type="http://schemas.openxmlformats.org/officeDocument/2006/relationships/hyperlink" Target="https://grls.rosminzdrav.ru/Grls_View_v2.aspx?routingGuid=45abe8b5-120c-43b9-b82e-692f1c581c57" TargetMode="External"/><Relationship Id="rId248" Type="http://schemas.openxmlformats.org/officeDocument/2006/relationships/hyperlink" Target="http://grls.rosminzdrav.ru/Grls_View_v2.aspx?routingGuid=6b6eb6ab-e08f-451b-83af-6529917525e0&amp;t=" TargetMode="External"/><Relationship Id="rId455" Type="http://schemas.openxmlformats.org/officeDocument/2006/relationships/hyperlink" Target="https://grls.rosminzdrav.ru/Grls_View_v2.aspx?routingGuid=e52e38b6-79d2-41fc-b6ed-2eb372023a81" TargetMode="External"/><Relationship Id="rId12" Type="http://schemas.openxmlformats.org/officeDocument/2006/relationships/hyperlink" Target="http://grls.rosminzdrav.ru/Grls_View_v2.aspx?routingGuid=43b8e297-04e6-46a8-9d65-f7f656dfcafc&amp;t=" TargetMode="External"/><Relationship Id="rId108" Type="http://schemas.openxmlformats.org/officeDocument/2006/relationships/hyperlink" Target="https://grls.rosminzdrav.ru/Grls_View_v2.aspx?routingGuid=2ae3187f-3553-4a0f-953d-db66a9c16d23" TargetMode="External"/><Relationship Id="rId315" Type="http://schemas.openxmlformats.org/officeDocument/2006/relationships/hyperlink" Target="https://grls.rosminzdrav.ru/Grls_View_v2.aspx?routingGuid=37890f2a-f963-4c4a-a9fc-d7738025bf49" TargetMode="External"/><Relationship Id="rId522" Type="http://schemas.openxmlformats.org/officeDocument/2006/relationships/hyperlink" Target="https://grls.rosminzdrav.ru/Grls_View_v2.aspx?routingGuid=e79d768f-8d1c-4d6c-b0a9-78858b83791d" TargetMode="External"/><Relationship Id="rId96" Type="http://schemas.openxmlformats.org/officeDocument/2006/relationships/hyperlink" Target="https://grls.rosminzdrav.ru/Grls_View_v2.aspx?routingGuid=0c704154-cba0-4019-ad47-535acfcd840c" TargetMode="External"/><Relationship Id="rId161" Type="http://schemas.openxmlformats.org/officeDocument/2006/relationships/hyperlink" Target="https://grls.rosminzdrav.ru/Grls_View_v2.aspx?routingGuid=9d163668-04c5-490d-81ed-287f1cc6ac47" TargetMode="External"/><Relationship Id="rId399" Type="http://schemas.openxmlformats.org/officeDocument/2006/relationships/hyperlink" Target="https://lk.regmed.ru/Register/GetPDFfromDAToken?Token=333cbca5-2931-4145-ba0e-d5b9ee3e74f7" TargetMode="External"/><Relationship Id="rId259" Type="http://schemas.openxmlformats.org/officeDocument/2006/relationships/hyperlink" Target="http://grls.rosminzdrav.ru/Grls_View_v2.aspx?routingGuid=c8239b79-bc3e-435f-a7e7-3fdc63171bd6&amp;t=" TargetMode="External"/><Relationship Id="rId466" Type="http://schemas.openxmlformats.org/officeDocument/2006/relationships/hyperlink" Target="https://grls.rosminzdrav.ru/Grls_View_v2.aspx?routingGuid=d2ede1d8-e73f-4e5c-924d-b822f8f0e85a" TargetMode="External"/><Relationship Id="rId23" Type="http://schemas.openxmlformats.org/officeDocument/2006/relationships/hyperlink" Target="http://grls.rosminzdrav.ru/Grls_View_v2.aspx?routingGuid=a670767c-43c3-4823-8c12-311809975160&amp;t=" TargetMode="External"/><Relationship Id="rId119" Type="http://schemas.openxmlformats.org/officeDocument/2006/relationships/hyperlink" Target="http://grls.rosminzdrav.ru/Grls_View_v2.aspx?routingGuid=d8f07c35-7edc-49ab-8647-6b6865449167&amp;t=" TargetMode="External"/><Relationship Id="rId326" Type="http://schemas.openxmlformats.org/officeDocument/2006/relationships/hyperlink" Target="http://grls.rosminzdrav.ru/Grls_View_v2.aspx?routingGuid=d7622abd-8b68-42cc-aeb2-08d107689bbc&amp;t=" TargetMode="External"/><Relationship Id="rId533" Type="http://schemas.openxmlformats.org/officeDocument/2006/relationships/hyperlink" Target="https://grls.rosminzdrav.ru/Grls_View_v2.aspx?routingGuid=4621a0ab-0cff-40c7-afb8-63317fa41052" TargetMode="External"/><Relationship Id="rId172" Type="http://schemas.openxmlformats.org/officeDocument/2006/relationships/hyperlink" Target="http://grls.rosminzdrav.ru/Grls_View_v2.aspx?routingGuid=3a8b491f-08bf-49aa-80ac-02b9a3c91a1f&amp;t=" TargetMode="External"/><Relationship Id="rId477" Type="http://schemas.openxmlformats.org/officeDocument/2006/relationships/hyperlink" Target="https://grls.rosminzdrav.ru/Grls_View_v2.aspx?routingGuid=09eddf8c-cba4-4468-9262-3c582b28ca1b" TargetMode="External"/><Relationship Id="rId600" Type="http://schemas.openxmlformats.org/officeDocument/2006/relationships/hyperlink" Target="https://grls.rosminzdrav.ru/Grls_View_v2.aspx?routingGuid=0a5c02f9-fc05-4f23-abda-3a0cb7ae2b6b" TargetMode="External"/><Relationship Id="rId337" Type="http://schemas.openxmlformats.org/officeDocument/2006/relationships/hyperlink" Target="https://lk.regmed.ru/Register/GetPDFfromDAToken?Token=6d636ac5-7688-499c-b16b-bff4c5285c1a" TargetMode="External"/><Relationship Id="rId34" Type="http://schemas.openxmlformats.org/officeDocument/2006/relationships/hyperlink" Target="https://grls.rosminzdrav.ru/Grls_View_v2.aspx?routingGuid=4b6927fa-e480-44a7-b945-557299500fe8" TargetMode="External"/><Relationship Id="rId544" Type="http://schemas.openxmlformats.org/officeDocument/2006/relationships/hyperlink" Target="https://grls.rosminzdrav.ru/Grls_View_v2.aspx?routingGuid=440474e0-65a8-4b60-8c7b-12ac8d70b4a3" TargetMode="External"/><Relationship Id="rId183" Type="http://schemas.openxmlformats.org/officeDocument/2006/relationships/hyperlink" Target="https://grls.rosminzdrav.ru/Grls_View_v2.aspx?routingGuid=a4090b86-5da6-4481-8230-dd9e607b60af" TargetMode="External"/><Relationship Id="rId390" Type="http://schemas.openxmlformats.org/officeDocument/2006/relationships/hyperlink" Target="https://grls.rosminzdrav.ru/Grls_View_v2.aspx?routingGuid=5e4345d6-7ca0-45c7-8f39-928c497b5e6e" TargetMode="External"/><Relationship Id="rId404" Type="http://schemas.openxmlformats.org/officeDocument/2006/relationships/hyperlink" Target="https://grls.rosminzdrav.ru/Grls_View_v2.aspx?routingGuid=0fef3b4e-c5a8-46f5-86d9-dbb6b3ea7f69" TargetMode="External"/><Relationship Id="rId611" Type="http://schemas.openxmlformats.org/officeDocument/2006/relationships/hyperlink" Target="https://grls.rosminzdrav.ru/Grls_View_v2.aspx?routingGuid=2c603cdb-8b61-4ae5-b196-689e5e8ee3ef" TargetMode="External"/><Relationship Id="rId250" Type="http://schemas.openxmlformats.org/officeDocument/2006/relationships/hyperlink" Target="https://lk.regmed.ru/Register/GetPDFfromDAToken?Token=861ea14c-5408-419d-bd47-031af580ecf7" TargetMode="External"/><Relationship Id="rId488" Type="http://schemas.openxmlformats.org/officeDocument/2006/relationships/hyperlink" Target="https://grls.rosminzdrav.ru/Grls_View_v2.aspx?routingGuid=497b8580-5439-4e70-aad4-2dd853dcf4ee" TargetMode="External"/><Relationship Id="rId45" Type="http://schemas.openxmlformats.org/officeDocument/2006/relationships/hyperlink" Target="https://grls.rosminzdrav.ru/Grls_View_v2.aspx?routingGuid=82af2230-6ada-4cb2-a263-0a2c1f841be2" TargetMode="External"/><Relationship Id="rId110" Type="http://schemas.openxmlformats.org/officeDocument/2006/relationships/hyperlink" Target="https://lk.regmed.ru/Register/GetPDFfromDAToken?Token=dc4e4486-14e8-430b-b506-5364c1e11fe7" TargetMode="External"/><Relationship Id="rId348" Type="http://schemas.openxmlformats.org/officeDocument/2006/relationships/hyperlink" Target="https://grls.rosminzdrav.ru/Grls_View_v2.aspx?routingGuid=0544ac02-95bc-4db8-8c03-e56ad7882e51" TargetMode="External"/><Relationship Id="rId555" Type="http://schemas.openxmlformats.org/officeDocument/2006/relationships/hyperlink" Target="https://grls.rosminzdrav.ru/Grls_View_v2.aspx?routingGuid=bb793945-6dfc-41a3-a8da-fdd3605314ef" TargetMode="External"/><Relationship Id="rId194" Type="http://schemas.openxmlformats.org/officeDocument/2006/relationships/hyperlink" Target="http://grls.rosminzdrav.ru/Grls_View_v2.aspx?routingGuid=539093dd-5019-4c91-982a-7b0108bbce0e&amp;t=" TargetMode="External"/><Relationship Id="rId208" Type="http://schemas.openxmlformats.org/officeDocument/2006/relationships/hyperlink" Target="https://lk.regmed.ru/Register/GetPDFfromDAToken?Token=7069eb11-87e9-4098-956f-d6a04dcc1ff5" TargetMode="External"/><Relationship Id="rId415" Type="http://schemas.openxmlformats.org/officeDocument/2006/relationships/hyperlink" Target="https://grls.rosminzdrav.ru/Grls_View_v2.aspx?routingGuid=da452e8e-dbe3-44cd-9f81-03e8f724da4d" TargetMode="External"/><Relationship Id="rId622" Type="http://schemas.openxmlformats.org/officeDocument/2006/relationships/hyperlink" Target="https://grls.rosminzdrav.ru/Grls_View_v2.aspx?routingGuid=3d207bf4-c6a2-49bf-aa53-76c242f79c31" TargetMode="External"/><Relationship Id="rId261" Type="http://schemas.openxmlformats.org/officeDocument/2006/relationships/hyperlink" Target="https://grls.rosminzdrav.ru/Grls_View_v2.aspx?routingGuid=e46d0e09-a66e-402e-8777-b446fa489d1c" TargetMode="External"/><Relationship Id="rId499" Type="http://schemas.openxmlformats.org/officeDocument/2006/relationships/hyperlink" Target="https://lk.regmed.ru/Register/GetPDFfromDAToken?Token=abaeab64-440f-46c4-8436-933583d1369f" TargetMode="External"/><Relationship Id="rId56" Type="http://schemas.openxmlformats.org/officeDocument/2006/relationships/hyperlink" Target="http://grls.rosminzdrav.ru/Grls_View_v2.aspx?routingGuid=f7b0a096-adc5-4d00-9845-688629c81df0&amp;t=" TargetMode="External"/><Relationship Id="rId359" Type="http://schemas.openxmlformats.org/officeDocument/2006/relationships/hyperlink" Target="https://grls.rosminzdrav.ru/Grls_View_v2.aspx?routingGuid=f8533219-aa8e-4abf-85af-03f5cf67b7de&amp;t=" TargetMode="External"/><Relationship Id="rId566" Type="http://schemas.openxmlformats.org/officeDocument/2006/relationships/hyperlink" Target="https://grls.rosminzdrav.ru/Grls_View_v2.aspx?routingGuid=e99e15ff-e349-466b-96fc-4a1c427ba9a8" TargetMode="External"/><Relationship Id="rId121" Type="http://schemas.openxmlformats.org/officeDocument/2006/relationships/hyperlink" Target="https://grls.rosminzdrav.ru/Grls_View_v2.aspx?routingGuid=0ae550bc-37b4-4f2e-bbff-b1a71c00c505" TargetMode="External"/><Relationship Id="rId219" Type="http://schemas.openxmlformats.org/officeDocument/2006/relationships/hyperlink" Target="http://grls.rosminzdrav.ru/Grls_View_v2.aspx?routingGuid=bc69c871-334e-49d1-9c5e-34547e17b015&amp;t=" TargetMode="External"/><Relationship Id="rId426" Type="http://schemas.openxmlformats.org/officeDocument/2006/relationships/hyperlink" Target="https://lk.regmed.ru/Register/GetPDFfromDAToken?Token=c868a446-4bff-498e-b019-e9905de20954" TargetMode="External"/><Relationship Id="rId633" Type="http://schemas.openxmlformats.org/officeDocument/2006/relationships/hyperlink" Target="https://grls.rosminzdrav.ru/Grls_View_v2.aspx?routingGuid=286b6f36-0609-4bfe-95f0-c61e64984e57" TargetMode="External"/><Relationship Id="rId67" Type="http://schemas.openxmlformats.org/officeDocument/2006/relationships/hyperlink" Target="http://grls.rosminzdrav.ru/Grls_View_v2.aspx?routingGuid=19f151f4-39f1-4518-bdad-6c70489cb7db&amp;t=" TargetMode="External"/><Relationship Id="rId272" Type="http://schemas.openxmlformats.org/officeDocument/2006/relationships/hyperlink" Target="http://grls.rosminzdrav.ru/Grls_View_v2.aspx?routingGuid=fba2bb4d-f934-460c-b318-dad8525f8cd6&amp;t=" TargetMode="External"/><Relationship Id="rId577" Type="http://schemas.openxmlformats.org/officeDocument/2006/relationships/hyperlink" Target="https://grls.rosminzdrav.ru/Grls_View_v2.aspx?routingGuid=e670abc1-a1f0-498f-88b0-5b59c2384ae8" TargetMode="External"/><Relationship Id="rId132" Type="http://schemas.openxmlformats.org/officeDocument/2006/relationships/hyperlink" Target="https://grls.rosminzdrav.ru/Grls_View_v2.aspx?routingGuid=b287b682-550a-418f-8189-05dac16da4ae" TargetMode="External"/><Relationship Id="rId437" Type="http://schemas.openxmlformats.org/officeDocument/2006/relationships/hyperlink" Target="https://grls.rosminzdrav.ru/Grls_View_v2.aspx?routingGuid=bba91e7b-b9d4-4f7b-bf4d-6fde2e9956ea" TargetMode="External"/><Relationship Id="rId283" Type="http://schemas.openxmlformats.org/officeDocument/2006/relationships/hyperlink" Target="https://grls.rosminzdrav.ru/Grls_View_v2.aspx?routingGuid=c2615365-07f8-416b-be71-d3e983cb1eb3" TargetMode="External"/><Relationship Id="rId490" Type="http://schemas.openxmlformats.org/officeDocument/2006/relationships/hyperlink" Target="https://lk.regmed.ru/Register/GetPDFfromDAToken?Token=97738f66-2c34-48b5-a2d6-6d5ffa7ba9df" TargetMode="External"/><Relationship Id="rId504" Type="http://schemas.openxmlformats.org/officeDocument/2006/relationships/hyperlink" Target="https://lk.regmed.ru/Register/GetPDFfromDAToken?Token=5038bc46-b8c9-4ef3-8fc2-5e00da6487f4" TargetMode="External"/><Relationship Id="rId78" Type="http://schemas.openxmlformats.org/officeDocument/2006/relationships/hyperlink" Target="https://lk.regmed.ru/Register/GetPDFfromDAToken?Token=6d0a7c06-3859-4f01-8d37-bf8887046a88" TargetMode="External"/><Relationship Id="rId143" Type="http://schemas.openxmlformats.org/officeDocument/2006/relationships/hyperlink" Target="https://grls.rosminzdrav.ru/Grls_View_v2.aspx?routingGuid=e7496b1f-1be9-46a3-b43f-e1c83a5b6cc8" TargetMode="External"/><Relationship Id="rId350" Type="http://schemas.openxmlformats.org/officeDocument/2006/relationships/hyperlink" Target="https://grls.rosminzdrav.ru/Grls_View_v2.aspx?routingGuid=45faa55d-d1ab-4179-9b8d-7b152e30bfec" TargetMode="External"/><Relationship Id="rId588" Type="http://schemas.openxmlformats.org/officeDocument/2006/relationships/hyperlink" Target="https://grls.rosminzdrav.ru/Grls_View_v2.aspx?routingGuid=d6071621-5c34-4cdc-a228-7b4c80b9f422" TargetMode="External"/><Relationship Id="rId9" Type="http://schemas.openxmlformats.org/officeDocument/2006/relationships/hyperlink" Target="https://grls.rosminzdrav.ru/Grls_View_v2.aspx?routingGuid=4215760f-875d-476b-a9b6-af2e398c3025" TargetMode="External"/><Relationship Id="rId210" Type="http://schemas.openxmlformats.org/officeDocument/2006/relationships/hyperlink" Target="http://grls.rosminzdrav.ru/Grls_View_v2.aspx?routingGuid=5357746a-154a-43d6-8079-181497073d49&amp;t=" TargetMode="External"/><Relationship Id="rId448" Type="http://schemas.openxmlformats.org/officeDocument/2006/relationships/hyperlink" Target="https://grls.rosminzdrav.ru/Grls_View_v2.aspx?routingGuid=3415eb53-da40-4647-b1bb-659792a9c18e" TargetMode="External"/><Relationship Id="rId294" Type="http://schemas.openxmlformats.org/officeDocument/2006/relationships/hyperlink" Target="https://grls.rosminzdrav.ru/Grls_View_v2.aspx?routingGuid=cf5179f1-d6f7-4a8b-9251-28065290b167" TargetMode="External"/><Relationship Id="rId308" Type="http://schemas.openxmlformats.org/officeDocument/2006/relationships/hyperlink" Target="http://grls.rosminzdrav.ru/Grls_View_v2.aspx?routingGuid=36bc288f-5bfc-4c4c-a748-b68aefafeba1&amp;t=" TargetMode="External"/><Relationship Id="rId515" Type="http://schemas.openxmlformats.org/officeDocument/2006/relationships/hyperlink" Target="https://grls.rosminzdrav.ru/Grls_View_v2.aspx?routingGuid=da624460-36a0-47be-bf46-850be407fc42"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lk.regmed.ru/Register/GetPDFfromDA?ID=1512826451" TargetMode="External"/><Relationship Id="rId21" Type="http://schemas.openxmlformats.org/officeDocument/2006/relationships/hyperlink" Target="https://lk.regmed.ru/Register/GetPDFfromDA?ID=1592320751" TargetMode="External"/><Relationship Id="rId42" Type="http://schemas.openxmlformats.org/officeDocument/2006/relationships/hyperlink" Target="https://lk.regmed.ru/Register/GetPDFfromDA?ID=1523760571" TargetMode="External"/><Relationship Id="rId63" Type="http://schemas.openxmlformats.org/officeDocument/2006/relationships/hyperlink" Target="https://grls.rosminzdrav.ru/InstrImg/2022/07/11/1482961/7ca870d6-4357-4c0d-8ba4-f49b758dfd88.pdf" TargetMode="External"/><Relationship Id="rId84" Type="http://schemas.openxmlformats.org/officeDocument/2006/relationships/hyperlink" Target="https://grls.rosminzdrav.ru/InstrImg/2025/06/10/1518039/2f088da7-8272-4666-bcb6-a2e0826808b5.pdf" TargetMode="External"/><Relationship Id="rId138" Type="http://schemas.openxmlformats.org/officeDocument/2006/relationships/hyperlink" Target="mailto:savinova@vaccina.info" TargetMode="External"/><Relationship Id="rId159" Type="http://schemas.openxmlformats.org/officeDocument/2006/relationships/hyperlink" Target="https://grls.rosminzdrav.ru/InstrImg/2025/12/30/1524963/862ae1b6-e8bc-417c-8173-0fa0ff6a6e52.pdf" TargetMode="External"/><Relationship Id="rId170" Type="http://schemas.openxmlformats.org/officeDocument/2006/relationships/hyperlink" Target="https://grls.rosminzdrav.ru/InstrImg/2020/11/25/140879/fd8765bc-811d-4fc0-8599-fd0eeb9dd8aa.pdf" TargetMode="External"/><Relationship Id="rId107" Type="http://schemas.openxmlformats.org/officeDocument/2006/relationships/hyperlink" Target="https://grls.rosminzdrav.ru/InstrImg/2026/01/22/1525392/c4730a97-f7f4-406f-954c-6a6bed44be35.pdf" TargetMode="External"/><Relationship Id="rId11" Type="http://schemas.openxmlformats.org/officeDocument/2006/relationships/hyperlink" Target="https://grls.rosminzdrav.ru/InstrImg/2020/05/28/10700/9d141b34-47e7-48c8-9480-616cbbc792fc.pdf" TargetMode="External"/><Relationship Id="rId32" Type="http://schemas.openxmlformats.org/officeDocument/2006/relationships/hyperlink" Target="https://lk.regmed.ru/Register/GetPDFfromDA?ID=1611660161" TargetMode="External"/><Relationship Id="rId53" Type="http://schemas.openxmlformats.org/officeDocument/2006/relationships/hyperlink" Target="https://grls.rosminzdrav.ru/InstrImg/2025/06/19/1518378/557245be-23d7-4913-9af3-4fa130d3c97f.pdf" TargetMode="External"/><Relationship Id="rId74" Type="http://schemas.openxmlformats.org/officeDocument/2006/relationships/hyperlink" Target="https://grls.rosminzdrav.ru/InstrImg/2017/4/26/1416345/%D0%A0_N002667_01%5B2012%5D_0.pdf" TargetMode="External"/><Relationship Id="rId128" Type="http://schemas.openxmlformats.org/officeDocument/2006/relationships/hyperlink" Target="https://grls.rosminzdrav.ru/InstrImg/2023/07/13/1494926/d8440e50-44f6-4e4b-a50d-64608384e586.pdf" TargetMode="External"/><Relationship Id="rId149" Type="http://schemas.openxmlformats.org/officeDocument/2006/relationships/hyperlink" Target="https://lk.regmed.ru/Register/GetPDFfromDA?ID=1485438071" TargetMode="External"/><Relationship Id="rId5" Type="http://schemas.openxmlformats.org/officeDocument/2006/relationships/hyperlink" Target="https://grls.rosminzdrav.ru/InstrImg/2025/05/19/1517351/3bec22d2-65bc-4a94-9482-413901e57760.pdf" TargetMode="External"/><Relationship Id="rId95" Type="http://schemas.openxmlformats.org/officeDocument/2006/relationships/hyperlink" Target="https://grls.rosminzdrav.ru/InstrImg/2020/08/24/86488/cd62e567-52e1-43cd-a128-999c87d1773a.pdf" TargetMode="External"/><Relationship Id="rId160" Type="http://schemas.openxmlformats.org/officeDocument/2006/relationships/hyperlink" Target="https://grls.rosminzdrav.ru/InstrImg/2024/01/23/1501030/43ed9d31-44e7-403a-a977-d714a002b9c6.pdf" TargetMode="External"/><Relationship Id="rId181" Type="http://schemas.openxmlformats.org/officeDocument/2006/relationships/hyperlink" Target="https://lk.regmed.ru/Register/GetPDFfromDA?ID=1607301531" TargetMode="External"/><Relationship Id="rId22" Type="http://schemas.openxmlformats.org/officeDocument/2006/relationships/hyperlink" Target="https://grls.rosminzdrav.ru/InstrImg/2020/9/29/1461721/%D0%A0_N000461_01%5B2018%5D_0.pdf" TargetMode="External"/><Relationship Id="rId43" Type="http://schemas.openxmlformats.org/officeDocument/2006/relationships/hyperlink" Target="https://grls.rosminzdrav.ru/InstrImg/2026/02/10/1526281/07a2f661-6334-4894-8117-0ad7563ba4ef.pdf" TargetMode="External"/><Relationship Id="rId64" Type="http://schemas.openxmlformats.org/officeDocument/2006/relationships/hyperlink" Target="https://grls.rosminzdrav.ru/InstrImg/2025/07/25/1519625/ca601e77-829c-48a9-b9b5-204e5b86aa88.pdf" TargetMode="External"/><Relationship Id="rId118" Type="http://schemas.openxmlformats.org/officeDocument/2006/relationships/hyperlink" Target="https://grls.rosminzdrav.ru/InstrImg/2025/04/07/1515838/1b86346c-ace0-4de8-a757-2d3e7e4604e4.pdf" TargetMode="External"/><Relationship Id="rId139" Type="http://schemas.openxmlformats.org/officeDocument/2006/relationships/hyperlink" Target="https://grls.rosminzdrav.ru/InstrImg/2023/03/14/1491812/20189f0f-07b3-427e-9a8a-d8006843c2d6.pdf" TargetMode="External"/><Relationship Id="rId85" Type="http://schemas.openxmlformats.org/officeDocument/2006/relationships/hyperlink" Target="https://grls.rosminzdrav.ru/InstrImg/2022/11/30/1489210/e0b55ee6-f6b6-4a34-8719-972e455bb957.pdf" TargetMode="External"/><Relationship Id="rId150" Type="http://schemas.openxmlformats.org/officeDocument/2006/relationships/hyperlink" Target="https://lk.regmed.ru/Register/GetPDFfromDA?ID=1448256521" TargetMode="External"/><Relationship Id="rId171" Type="http://schemas.openxmlformats.org/officeDocument/2006/relationships/hyperlink" Target="https://lk.regmed.ru/Register/GetPDFfromDA?ID=1634791611" TargetMode="External"/><Relationship Id="rId12" Type="http://schemas.openxmlformats.org/officeDocument/2006/relationships/hyperlink" Target="https://grls.rosminzdrav.ru/InstrImg/2026/05/27/1530421/6bdc8421-6c08-4bf7-be7f-0ae5d96a478d.pdf" TargetMode="External"/><Relationship Id="rId33" Type="http://schemas.openxmlformats.org/officeDocument/2006/relationships/hyperlink" Target="https://lk.regmed.ru/Register/GetPDFfromDA?ID=1575625191" TargetMode="External"/><Relationship Id="rId108" Type="http://schemas.openxmlformats.org/officeDocument/2006/relationships/hyperlink" Target="https://grls.rosminzdrav.ru/InstrImg/2023/03/01/1491468/c8da2905-b80e-470c-adc7-c40c03707ddd.pdf" TargetMode="External"/><Relationship Id="rId129" Type="http://schemas.openxmlformats.org/officeDocument/2006/relationships/hyperlink" Target="https://grls.rosminzdrav.ru/InstrImg/2019/8/15/1445618/%D0%9F_N015312_01%5B2010%5D_0.pdf" TargetMode="External"/><Relationship Id="rId54" Type="http://schemas.openxmlformats.org/officeDocument/2006/relationships/hyperlink" Target="https://grls.rosminzdrav.ru/InstrImg/2022/09/20/1485497/ec14bfcf-e7ae-4d2a-8916-3a79e74272eb.pdf" TargetMode="External"/><Relationship Id="rId75" Type="http://schemas.openxmlformats.org/officeDocument/2006/relationships/hyperlink" Target="https://grls.rosminzdrav.ru/InstrImg/2021/1/19/1465274/%D0%9F_N012585_01%5B2014%5D_0.pdf" TargetMode="External"/><Relationship Id="rId96" Type="http://schemas.openxmlformats.org/officeDocument/2006/relationships/hyperlink" Target="https://grls.rosminzdrav.ru/InstrImg/2021/09/20/1473405/41395d1f-d6e8-41d5-88fe-a1a29b28be83.pdf" TargetMode="External"/><Relationship Id="rId140" Type="http://schemas.openxmlformats.org/officeDocument/2006/relationships/hyperlink" Target="mailto:savinova@vaccina.info" TargetMode="External"/><Relationship Id="rId161" Type="http://schemas.openxmlformats.org/officeDocument/2006/relationships/hyperlink" Target="https://grls.rosminzdrav.ru/InstrImg/2020/06/11/1206428/53252686-7415-4f30-bdba-632b434439f9.pdf" TargetMode="External"/><Relationship Id="rId182" Type="http://schemas.openxmlformats.org/officeDocument/2006/relationships/hyperlink" Target="https://grls.rosminzdrav.ru/InstrImg/2024/12/09/1511749/a4738d52-4ff6-4599-a566-530f55491e76.pdf" TargetMode="External"/><Relationship Id="rId6" Type="http://schemas.openxmlformats.org/officeDocument/2006/relationships/hyperlink" Target="https://grls.rosminzdrav.ru/InstrImg/2025/06/02/1517794/d7367d9e-e745-46a7-b297-5a093bf3738a.pdf" TargetMode="External"/><Relationship Id="rId23" Type="http://schemas.openxmlformats.org/officeDocument/2006/relationships/hyperlink" Target="https://grls.rosminzdrav.ru/InstrImg/2026/05/07/1529632/54e13522-5efa-4c8c-a9b0-7ea539b4f9d1.pdf" TargetMode="External"/><Relationship Id="rId119" Type="http://schemas.openxmlformats.org/officeDocument/2006/relationships/hyperlink" Target="https://lk.regmed.ru/Register/GetPDFfromDA?ID=1545562701" TargetMode="External"/><Relationship Id="rId44" Type="http://schemas.openxmlformats.org/officeDocument/2006/relationships/hyperlink" Target="https://grls.rosminzdrav.ru/InstrImg/2021/12/14/1476333/f3799188-0d95-48db-a0ce-bb1396d44765.pdf" TargetMode="External"/><Relationship Id="rId65" Type="http://schemas.openxmlformats.org/officeDocument/2006/relationships/hyperlink" Target="https://grls.rosminzdrav.ru/InstrImg/2024/12/19/1512043/59e764b9-60fd-455d-b6fc-d0056460286e.pdf" TargetMode="External"/><Relationship Id="rId86" Type="http://schemas.openxmlformats.org/officeDocument/2006/relationships/hyperlink" Target="https://lk.regmed.ru/Register/GetPDFfromDA?ID=1626767261" TargetMode="External"/><Relationship Id="rId130" Type="http://schemas.openxmlformats.org/officeDocument/2006/relationships/hyperlink" Target="https://grls.rosminzdrav.ru/InstrImg/2019/8/14/1445562/%D0%9F_N013657_01%5B2009%5D_0.pdf" TargetMode="External"/><Relationship Id="rId151" Type="http://schemas.openxmlformats.org/officeDocument/2006/relationships/hyperlink" Target="https://lk.regmed.ru/Register/GetPDFfromDA?ID=1501926911" TargetMode="External"/><Relationship Id="rId172" Type="http://schemas.openxmlformats.org/officeDocument/2006/relationships/hyperlink" Target="https://grls.rosminzdrav.ru/InstrImg/2020/06/18/1452053/3993efd1-cdd7-4127-88ae-330ac7a6d1c1.pdf" TargetMode="External"/><Relationship Id="rId13" Type="http://schemas.openxmlformats.org/officeDocument/2006/relationships/hyperlink" Target="mailto:zaytseva@vaccina.info" TargetMode="External"/><Relationship Id="rId18" Type="http://schemas.openxmlformats.org/officeDocument/2006/relationships/hyperlink" Target="https://lk.regmed.ru/Register/GetPDFfromDA?ID=1605321651" TargetMode="External"/><Relationship Id="rId39" Type="http://schemas.openxmlformats.org/officeDocument/2006/relationships/hyperlink" Target="https://grls.rosminzdrav.ru/InstrImg/2020/11/23/1413288/cb3a391e-05f5-41e6-9963-8f102193f7e0.pdf" TargetMode="External"/><Relationship Id="rId109" Type="http://schemas.openxmlformats.org/officeDocument/2006/relationships/hyperlink" Target="https://lk.regmed.ru/Register/GetPDFfromDA?ID=1641359721" TargetMode="External"/><Relationship Id="rId34" Type="http://schemas.openxmlformats.org/officeDocument/2006/relationships/hyperlink" Target="https://grls.rosminzdrav.ru/InstrImg/2025/07/21/1519595/f7c8e9e3-baf4-4c2e-949f-a41b75a8ad7c.pdf" TargetMode="External"/><Relationship Id="rId50" Type="http://schemas.openxmlformats.org/officeDocument/2006/relationships/hyperlink" Target="https://grls.rosminzdrav.ru/InstrImg/2025/12/30/1524922/f74ec015-a175-4792-8828-9d0c1f6547ab.pdf" TargetMode="External"/><Relationship Id="rId55" Type="http://schemas.openxmlformats.org/officeDocument/2006/relationships/hyperlink" Target="https://lk.regmed.ru/Register/GetPDFfromDA?ID=1583272671" TargetMode="External"/><Relationship Id="rId76" Type="http://schemas.openxmlformats.org/officeDocument/2006/relationships/hyperlink" Target="https://grls.rosminzdrav.ru/InstrImg/2021/1/19/1465274/%D0%9F_N012585_01%5B2014%5D_0.pdf" TargetMode="External"/><Relationship Id="rId97" Type="http://schemas.openxmlformats.org/officeDocument/2006/relationships/hyperlink" Target="https://grls.rosminzdrav.ru/InstrImg/2020/11/27/1463688/%D0%A0_N002481_01%5B2020%5D_0.pdf" TargetMode="External"/><Relationship Id="rId104" Type="http://schemas.openxmlformats.org/officeDocument/2006/relationships/hyperlink" Target="https://grls.rosminzdrav.ru/InstrImg/2025/06/20/1518412/cd0f3dff-5242-4a3d-b71e-22447afe0e73.pdf" TargetMode="External"/><Relationship Id="rId120" Type="http://schemas.openxmlformats.org/officeDocument/2006/relationships/hyperlink" Target="https://grls.rosminzdrav.ru/InstrImg/2020/12/02/1423524/629a6384-1db2-499f-afb1-e87dac723b9a.pdf" TargetMode="External"/><Relationship Id="rId125" Type="http://schemas.openxmlformats.org/officeDocument/2006/relationships/hyperlink" Target="https://grls.rosminzdrav.ru/InstrImg/2026/01/16/1525169/a5f21ff0-2d7c-4ab8-8025-1ccbc0cf7cc6.pdf" TargetMode="External"/><Relationship Id="rId141" Type="http://schemas.openxmlformats.org/officeDocument/2006/relationships/hyperlink" Target="https://lk.regmed.ru/Register/GetPDFfromDA?ID=1589687781" TargetMode="External"/><Relationship Id="rId146" Type="http://schemas.openxmlformats.org/officeDocument/2006/relationships/hyperlink" Target="https://lk.regmed.ru/Register/GetPDFfromDA?ID=1544404631" TargetMode="External"/><Relationship Id="rId167" Type="http://schemas.openxmlformats.org/officeDocument/2006/relationships/hyperlink" Target="https://grls.rosminzdrav.ru/InstrImg/2020/11/23/146563/3780d7de-b3a2-42ee-b652-ae7a04722a90.pdf" TargetMode="External"/><Relationship Id="rId188" Type="http://schemas.openxmlformats.org/officeDocument/2006/relationships/hyperlink" Target="https://grls.rosminzdrav.ru/InstrImg/2026/04/13/1528563/1136dc5f-fe53-46a4-ba36-20995e399a16.pdf" TargetMode="External"/><Relationship Id="rId7" Type="http://schemas.openxmlformats.org/officeDocument/2006/relationships/hyperlink" Target="https://lk.regmed.ru/Register/GetPDFfromDA?ID=1484709711" TargetMode="External"/><Relationship Id="rId71" Type="http://schemas.openxmlformats.org/officeDocument/2006/relationships/hyperlink" Target="mailto:savinova@vaccina.info" TargetMode="External"/><Relationship Id="rId92" Type="http://schemas.openxmlformats.org/officeDocument/2006/relationships/hyperlink" Target="https://grls.rosminzdrav.ru/InstrImg/2025/04/08/1515924/2cb5904f-0eb6-4463-9e6d-a2aa95a7192c.pdf" TargetMode="External"/><Relationship Id="rId162" Type="http://schemas.openxmlformats.org/officeDocument/2006/relationships/hyperlink" Target="https://grls.rosminzdrav.ru/InstrImg/2019/06/30/739/1fca1237-4a6a-4bdd-b176-7ef01c56c1bf.pdf" TargetMode="External"/><Relationship Id="rId183" Type="http://schemas.openxmlformats.org/officeDocument/2006/relationships/hyperlink" Target="https://grls.rosminzdrav.ru/InstrImg/2025/03/25/1515160/e4c206af-2701-4f99-a45f-09d998ef0935.pdf" TargetMode="External"/><Relationship Id="rId2" Type="http://schemas.openxmlformats.org/officeDocument/2006/relationships/hyperlink" Target="mailto:savinova@vaccina.info" TargetMode="External"/><Relationship Id="rId29" Type="http://schemas.openxmlformats.org/officeDocument/2006/relationships/hyperlink" Target="https://grls.rosminzdrav.ru/InstrImg/2026/03/04/1527238/fe2adafe-5094-4da2-bbba-1a640a0ceb4e.pdf" TargetMode="External"/><Relationship Id="rId24" Type="http://schemas.openxmlformats.org/officeDocument/2006/relationships/hyperlink" Target="https://lk.regmed.ru/Register/GetPDFfromDA?ID=1607490831" TargetMode="External"/><Relationship Id="rId40" Type="http://schemas.openxmlformats.org/officeDocument/2006/relationships/hyperlink" Target="https://lk.regmed.ru/Register/GetPDFfromDA?ID=1512826451" TargetMode="External"/><Relationship Id="rId45" Type="http://schemas.openxmlformats.org/officeDocument/2006/relationships/hyperlink" Target="https://grls.rosminzdrav.ru/InstrImg/2026/03/05/1527284/4a34f8fb-090f-4a41-bab9-0d4194977316.pdf" TargetMode="External"/><Relationship Id="rId66" Type="http://schemas.openxmlformats.org/officeDocument/2006/relationships/hyperlink" Target="https://lk.regmed.ru/Register/GetPDFfromDA?ID=1649843881" TargetMode="External"/><Relationship Id="rId87" Type="http://schemas.openxmlformats.org/officeDocument/2006/relationships/hyperlink" Target="https://grls.rosminzdrav.ru/InstrImg/2021/10/22/1474770/84220d47-9ed2-44e3-a2d3-89170a0f96d8.pdf" TargetMode="External"/><Relationship Id="rId110" Type="http://schemas.openxmlformats.org/officeDocument/2006/relationships/hyperlink" Target="https://grls.rosminzdrav.ru/InstrImg/2020/11/27/1463649/%D0%9B%D0%9F-000499%5B2016%5D_0.pdf" TargetMode="External"/><Relationship Id="rId115" Type="http://schemas.openxmlformats.org/officeDocument/2006/relationships/hyperlink" Target="https://grls.rosminzdrav.ru/InstrImg/2022/09/09/1485745/6205a5ae-4bbb-42bf-84d2-93c4042be1cb.pdf" TargetMode="External"/><Relationship Id="rId131" Type="http://schemas.openxmlformats.org/officeDocument/2006/relationships/hyperlink" Target="https://grls.rosminzdrav.ru/InstrImg/2023/07/19/1495141/8a2ba9a0-eb39-4368-9a0d-f81451183bb0.pdf" TargetMode="External"/><Relationship Id="rId136" Type="http://schemas.openxmlformats.org/officeDocument/2006/relationships/hyperlink" Target="https://grls.rosminzdrav.ru/InstrImg/2023/02/09/1490961/74e94624-eabc-450e-bf32-2c1ddaca2be5.pdf" TargetMode="External"/><Relationship Id="rId157" Type="http://schemas.openxmlformats.org/officeDocument/2006/relationships/hyperlink" Target="https://grls.rosminzdrav.ru/InstrImg/2019/10/17/1448631/%D0%9B%D0%9F-001290%5B2017%5D_0.pdf" TargetMode="External"/><Relationship Id="rId178" Type="http://schemas.openxmlformats.org/officeDocument/2006/relationships/hyperlink" Target="https://grls.rosminzdrav.ru/InstrImg/2025/06/16/1518163/105870c5-93ab-426a-9043-b14a77b3a9e1.pdf" TargetMode="External"/><Relationship Id="rId61" Type="http://schemas.openxmlformats.org/officeDocument/2006/relationships/hyperlink" Target="https://grls.rosminzdrav.ru/InstrImg/2021/1/12/1464953/%D0%9B%D0%9F-001412%5B2019%5D_0.pdf" TargetMode="External"/><Relationship Id="rId82" Type="http://schemas.openxmlformats.org/officeDocument/2006/relationships/hyperlink" Target="https://grls.rosminzdrav.ru/InstrImg/2025/03/28/1515433/7cb66dc6-27dc-4004-ae84-1159c993bc84.pdf" TargetMode="External"/><Relationship Id="rId152" Type="http://schemas.openxmlformats.org/officeDocument/2006/relationships/hyperlink" Target="https://grls.rosminzdrav.ru/InstrImg/2026/05/19/1529992/3e4bff0f-b904-49bd-8f8c-cf901c4749df.pdf" TargetMode="External"/><Relationship Id="rId173" Type="http://schemas.openxmlformats.org/officeDocument/2006/relationships/hyperlink" Target="https://grls.rosminzdrav.ru/InstrImg/2025/06/02/1517810/7b7b0a6f-2d36-481e-a964-4e8d04031cd7.pdf" TargetMode="External"/><Relationship Id="rId19" Type="http://schemas.openxmlformats.org/officeDocument/2006/relationships/hyperlink" Target="https://grls.rosminzdrav.ru/InstrImg/2024/12/16/1511954/43eafc3c-33ac-4e33-969c-259e9a175ebb.pdf" TargetMode="External"/><Relationship Id="rId14" Type="http://schemas.openxmlformats.org/officeDocument/2006/relationships/hyperlink" Target="https://grls.rosminzdrav.ru/InstrImg/2025/12/04/1523945/374687b9-516b-4eb9-9e34-640e88c2e1e2.pdf" TargetMode="External"/><Relationship Id="rId30" Type="http://schemas.openxmlformats.org/officeDocument/2006/relationships/hyperlink" Target="https://grls.rosminzdrav.ru/InstrImg/2019/8/6/1445331/%D0%9F_N011073%5B2016%5D_1.pdf" TargetMode="External"/><Relationship Id="rId35" Type="http://schemas.openxmlformats.org/officeDocument/2006/relationships/hyperlink" Target="https://grls.rosminzdrav.ru/InstrImg/2022/03/24/1479420/567f4c1a-9b51-46b3-aa9d-6be72c91e48b.pdf" TargetMode="External"/><Relationship Id="rId56" Type="http://schemas.openxmlformats.org/officeDocument/2006/relationships/hyperlink" Target="https://lk.regmed.ru/Register/GetPDFfromDA?ID=1581523381" TargetMode="External"/><Relationship Id="rId77" Type="http://schemas.openxmlformats.org/officeDocument/2006/relationships/hyperlink" Target="https://grls.rosminzdrav.ru/InstrImg/2025/09/15/1521458/990be5c7-4178-4812-a999-fd00eaeb3d60.pdf" TargetMode="External"/><Relationship Id="rId100" Type="http://schemas.openxmlformats.org/officeDocument/2006/relationships/hyperlink" Target="https://grls.rosminzdrav.ru/InstrImg/2026/02/06/1526184/204c2bdf-4b3b-45c5-b641-f7ce1ae753b3.pdf" TargetMode="External"/><Relationship Id="rId105" Type="http://schemas.openxmlformats.org/officeDocument/2006/relationships/hyperlink" Target="mailto:savinova@vaccina.info" TargetMode="External"/><Relationship Id="rId126" Type="http://schemas.openxmlformats.org/officeDocument/2006/relationships/hyperlink" Target="https://lk.regmed.ru/Register/GetPDFfromDA?ID=1574006211" TargetMode="External"/><Relationship Id="rId147" Type="http://schemas.openxmlformats.org/officeDocument/2006/relationships/hyperlink" Target="https://lk.regmed.ru/Register/GetPDFfromDA?ID=1501096611" TargetMode="External"/><Relationship Id="rId168" Type="http://schemas.openxmlformats.org/officeDocument/2006/relationships/hyperlink" Target="https://grls.rosminzdrav.ru/InstrImg/2025/02/28/1514525/002c6594-b19d-4b5a-a79c-60853ca8612c.pdf" TargetMode="External"/><Relationship Id="rId8" Type="http://schemas.openxmlformats.org/officeDocument/2006/relationships/hyperlink" Target="mailto:savinova@vaccina.info" TargetMode="External"/><Relationship Id="rId51" Type="http://schemas.openxmlformats.org/officeDocument/2006/relationships/hyperlink" Target="https://grls.rosminzdrav.ru/InstrImg/2020/10/15/1462300/%D0%A0_N001586_01%5B2007%5D_0.pdf" TargetMode="External"/><Relationship Id="rId72" Type="http://schemas.openxmlformats.org/officeDocument/2006/relationships/hyperlink" Target="https://grls.rosminzdrav.ru/InstrImg/2016/4/4/37565/%D0%9F_N015218_01%5B2009%5D_0.pdf" TargetMode="External"/><Relationship Id="rId93" Type="http://schemas.openxmlformats.org/officeDocument/2006/relationships/hyperlink" Target="https://grls.rosminzdrav.ru/InstrImg/2019/10/25/1448929/%D0%A0_N001273_01%5B2019%5D_0.pdf" TargetMode="External"/><Relationship Id="rId98" Type="http://schemas.openxmlformats.org/officeDocument/2006/relationships/hyperlink" Target="https://grls.rosminzdrav.ru/InstrImg/2025/02/06/1513573/c7fd0ba6-d018-4726-b9e2-1ae791edec76.pdf" TargetMode="External"/><Relationship Id="rId121" Type="http://schemas.openxmlformats.org/officeDocument/2006/relationships/hyperlink" Target="https://grls.rosminzdrav.ru/InstrImg/2019/06/29/1424317/a2b80c77-0857-4a1d-a948-36a987511e54.pdf" TargetMode="External"/><Relationship Id="rId142" Type="http://schemas.openxmlformats.org/officeDocument/2006/relationships/hyperlink" Target="https://grls.rosminzdrav.ru/InstrImg/2026/01/22/1525402/07c3adec-cd5e-49f6-9bc3-7a3e029cd98c.pdf" TargetMode="External"/><Relationship Id="rId163" Type="http://schemas.openxmlformats.org/officeDocument/2006/relationships/hyperlink" Target="https://grls.rosminzdrav.ru/InstrImg/2020/06/01/1422432/8314c8e6-25f4-4bd2-97f0-1a3b881e7dcb.pdf" TargetMode="External"/><Relationship Id="rId184" Type="http://schemas.openxmlformats.org/officeDocument/2006/relationships/hyperlink" Target="https://grls.rosminzdrav.ru/InstrImg/2025/03/14/1514899/44c72a47-2cd3-4a92-b136-0902c17fafb6.pdf" TargetMode="External"/><Relationship Id="rId189" Type="http://schemas.openxmlformats.org/officeDocument/2006/relationships/hyperlink" Target="https://grls.rosminzdrav.ru/InstrImg/2026/04/13/1528638/81dbfeae-d02c-4909-ae9d-1b3092cc89e9.pdf" TargetMode="External"/><Relationship Id="rId3" Type="http://schemas.openxmlformats.org/officeDocument/2006/relationships/hyperlink" Target="https://lk.regmed.ru/Register/GetPDFfromDA?ID=1597318981" TargetMode="External"/><Relationship Id="rId25" Type="http://schemas.openxmlformats.org/officeDocument/2006/relationships/hyperlink" Target="https://lk.regmed.ru/Register/GetPDFfromDA?ID=1607490831" TargetMode="External"/><Relationship Id="rId46" Type="http://schemas.openxmlformats.org/officeDocument/2006/relationships/hyperlink" Target="https://lk.regmed.ru/Register/GetPDFfromDA?ID=1612604181" TargetMode="External"/><Relationship Id="rId67" Type="http://schemas.openxmlformats.org/officeDocument/2006/relationships/hyperlink" Target="https://grls.rosminzdrav.ru/InstrImg/2022/11/25/1488723/80c7b6fb-3d8f-4ee9-9610-da77ce371e71.pdf" TargetMode="External"/><Relationship Id="rId116" Type="http://schemas.openxmlformats.org/officeDocument/2006/relationships/hyperlink" Target="mailto:savinova@vaccina.info" TargetMode="External"/><Relationship Id="rId137" Type="http://schemas.openxmlformats.org/officeDocument/2006/relationships/hyperlink" Target="https://lk.regmed.ru/Register/GetPDFfromDA?ID=1558408561" TargetMode="External"/><Relationship Id="rId158" Type="http://schemas.openxmlformats.org/officeDocument/2006/relationships/hyperlink" Target="https://grls.rosminzdrav.ru/InstrImg/2020/06/03/37799/c7a7977e-fea0-4451-80db-bfd751ccf3f6.pdf" TargetMode="External"/><Relationship Id="rId20" Type="http://schemas.openxmlformats.org/officeDocument/2006/relationships/hyperlink" Target="https://grls.rosminzdrav.ru/InstrImg/2018/7/19/1423955/%D0%A0_N002668_01%5B2012%5D_0.pdf" TargetMode="External"/><Relationship Id="rId41" Type="http://schemas.openxmlformats.org/officeDocument/2006/relationships/hyperlink" Target="https://lk.regmed.ru/Register/GetPDFfromDA?ID=1633580161" TargetMode="External"/><Relationship Id="rId62" Type="http://schemas.openxmlformats.org/officeDocument/2006/relationships/hyperlink" Target="https://lk.regmed.ru/Register/GetPDFfromDA?ID=1509638211" TargetMode="External"/><Relationship Id="rId83" Type="http://schemas.openxmlformats.org/officeDocument/2006/relationships/hyperlink" Target="mailto:savinova@vaccina.info" TargetMode="External"/><Relationship Id="rId88" Type="http://schemas.openxmlformats.org/officeDocument/2006/relationships/hyperlink" Target="https://grls.rosminzdrav.ru/InstrImg/2021/07/22/86490/6edc4318-42c0-4bc8-b5c8-ce3d12306614.pdf" TargetMode="External"/><Relationship Id="rId111" Type="http://schemas.openxmlformats.org/officeDocument/2006/relationships/hyperlink" Target="https://grls.rosminzdrav.ru/InstrImg/2026/03/04/1527238/fe2adafe-5094-4da2-bbba-1a640a0ceb4e.pdf" TargetMode="External"/><Relationship Id="rId132" Type="http://schemas.openxmlformats.org/officeDocument/2006/relationships/hyperlink" Target="https://grls.rosminzdrav.ru/InstrImg/2020/4/29/1456610/%D0%9F_N013850_01%5B2017%5D_2.pdf" TargetMode="External"/><Relationship Id="rId153" Type="http://schemas.openxmlformats.org/officeDocument/2006/relationships/hyperlink" Target="https://grls.rosminzdrav.ru/InstrImg/2024/02/12/1501815/32f958db-a12b-4c41-9b5b-e1707a1b19ee.pdf" TargetMode="External"/><Relationship Id="rId174" Type="http://schemas.openxmlformats.org/officeDocument/2006/relationships/hyperlink" Target="https://grls.rosminzdrav.ru/InstrImg/2025/03/25/1515266/f7896710-fb4c-49f0-9e20-d6272771ab13.pdf" TargetMode="External"/><Relationship Id="rId179" Type="http://schemas.openxmlformats.org/officeDocument/2006/relationships/hyperlink" Target="https://grls.rosminzdrav.ru/InstrImg/2025/07/09/1519029/0d8fd7ae-7b89-4160-9ecd-4b0646f6482f.pdf" TargetMode="External"/><Relationship Id="rId15" Type="http://schemas.openxmlformats.org/officeDocument/2006/relationships/hyperlink" Target="https://grls.rosminzdrav.ru/InstrImg/2026/06/02/1530636/e301156c-c7d5-45d7-bf58-5346c270c493.pdf" TargetMode="External"/><Relationship Id="rId36" Type="http://schemas.openxmlformats.org/officeDocument/2006/relationships/hyperlink" Target="https://grls.rosminzdrav.ru/InstrImg/2023/01/09/1490224/e76560fa-e72e-49eb-8daf-91f3d1403e22.pdf" TargetMode="External"/><Relationship Id="rId57" Type="http://schemas.openxmlformats.org/officeDocument/2006/relationships/hyperlink" Target="https://lk.regmed.ru/Register/GetPDFfromDA?ID=1574028031" TargetMode="External"/><Relationship Id="rId106" Type="http://schemas.openxmlformats.org/officeDocument/2006/relationships/hyperlink" Target="https://grls.rosminzdrav.ru/InstrImg/2022/07/01/1482554/5f33ae33-eaa6-4ca5-aed1-e39900dc85a6.pdf" TargetMode="External"/><Relationship Id="rId127" Type="http://schemas.openxmlformats.org/officeDocument/2006/relationships/hyperlink" Target="mailto:savinova@vaccina.info" TargetMode="External"/><Relationship Id="rId10" Type="http://schemas.openxmlformats.org/officeDocument/2006/relationships/hyperlink" Target="https://grls.rosminzdrav.ru/InstrImg/2017/4/26/1416322/%D0%A0_N002666_01%5B2013%5D_0.pdf" TargetMode="External"/><Relationship Id="rId31" Type="http://schemas.openxmlformats.org/officeDocument/2006/relationships/hyperlink" Target="https://grls.rosminzdrav.ru/InstrImg/2019/8/6/1445331/%D0%9F_N011073%5B2016%5D_1.pdf" TargetMode="External"/><Relationship Id="rId52" Type="http://schemas.openxmlformats.org/officeDocument/2006/relationships/hyperlink" Target="https://lk.regmed.ru/Register/GetPDFfromDA?ID=1597558391" TargetMode="External"/><Relationship Id="rId73" Type="http://schemas.openxmlformats.org/officeDocument/2006/relationships/hyperlink" Target="https://grls.rosminzdrav.ru/InstrImg/2024/12/05/1511721/ee78b171-6cf3-474c-9f58-0391a7a5b91f.pdf" TargetMode="External"/><Relationship Id="rId78" Type="http://schemas.openxmlformats.org/officeDocument/2006/relationships/hyperlink" Target="https://grls.rosminzdrav.ru/InstrImg/2025/09/15/1521458/990be5c7-4178-4812-a999-fd00eaeb3d60.pdf" TargetMode="External"/><Relationship Id="rId94" Type="http://schemas.openxmlformats.org/officeDocument/2006/relationships/hyperlink" Target="mailto:savinova@vaccina.info" TargetMode="External"/><Relationship Id="rId99" Type="http://schemas.openxmlformats.org/officeDocument/2006/relationships/hyperlink" Target="https://grls.rosminzdrav.ru/InstrImg/2022/12/12/1489555/281290ac-8b7f-4930-a191-7eff9a7cb147.pdf" TargetMode="External"/><Relationship Id="rId101" Type="http://schemas.openxmlformats.org/officeDocument/2006/relationships/hyperlink" Target="https://grls.rosminzdrav.ru/InstrImg/2021/6/4/1469733/%D0%A0_N000661_01%5B2017%5D_0.pdf" TargetMode="External"/><Relationship Id="rId122" Type="http://schemas.openxmlformats.org/officeDocument/2006/relationships/hyperlink" Target="https://lk.regmed.ru/Register/GetPDFfromDA?ID=1497046991" TargetMode="External"/><Relationship Id="rId143" Type="http://schemas.openxmlformats.org/officeDocument/2006/relationships/hyperlink" Target="https://grls.rosminzdrav.ru/InstrImg/2025/10/30/1523008/59dd5156-957b-4de5-86c8-83d284b70f65.pdf" TargetMode="External"/><Relationship Id="rId148" Type="http://schemas.openxmlformats.org/officeDocument/2006/relationships/hyperlink" Target="https://lk.regmed.ru/Register/GetPDFfromDA?ID=1494836031" TargetMode="External"/><Relationship Id="rId164" Type="http://schemas.openxmlformats.org/officeDocument/2006/relationships/hyperlink" Target="https://grls.rosminzdrav.ru/InstrImg/2020/05/28/37407/eca15fe8-8706-4bd3-9148-1f54c5ab52ed.pdf" TargetMode="External"/><Relationship Id="rId169" Type="http://schemas.openxmlformats.org/officeDocument/2006/relationships/hyperlink" Target="https://grls.rosminzdrav.ru/InstrImg/2025/03/27/1515398/ec0df501-9186-4e20-ae68-c07f28302f7b.pdf" TargetMode="External"/><Relationship Id="rId185" Type="http://schemas.openxmlformats.org/officeDocument/2006/relationships/hyperlink" Target="https://grls.rosminzdrav.ru/InstrImg/2025/04/04/1515791/731944c3-c908-4ee4-8479-026ab476fc4b.pdf" TargetMode="External"/><Relationship Id="rId4" Type="http://schemas.openxmlformats.org/officeDocument/2006/relationships/hyperlink" Target="mailto:savinova@vaccina.info" TargetMode="External"/><Relationship Id="rId9" Type="http://schemas.openxmlformats.org/officeDocument/2006/relationships/hyperlink" Target="https://lk.regmed.ru/Register/GetPDFfromDA?ID=1587927891" TargetMode="External"/><Relationship Id="rId180" Type="http://schemas.openxmlformats.org/officeDocument/2006/relationships/hyperlink" Target="https://grls.rosminzdrav.ru/InstrImg/2025/12/30/1524963/862ae1b6-e8bc-417c-8173-0fa0ff6a6e52.pdf" TargetMode="External"/><Relationship Id="rId26" Type="http://schemas.openxmlformats.org/officeDocument/2006/relationships/hyperlink" Target="https://grls.rosminzdrav.ru/InstrImg/2021/10/06/1474149/bd8cf367-32be-419a-a06f-cb35a0ecd9d1.pdf" TargetMode="External"/><Relationship Id="rId47" Type="http://schemas.openxmlformats.org/officeDocument/2006/relationships/hyperlink" Target="https://grls.rosminzdrav.ru/InstrImg/2025/05/26/1517557/95b8d8b7-23f5-4e99-a4f7-efc667459b50.pdf" TargetMode="External"/><Relationship Id="rId68" Type="http://schemas.openxmlformats.org/officeDocument/2006/relationships/hyperlink" Target="https://grls.rosminzdrav.ru/InstrImg/2017/6/22/1417297/%D0%9B%D0%A1-001296%5B2012%5D_0.pdf" TargetMode="External"/><Relationship Id="rId89" Type="http://schemas.openxmlformats.org/officeDocument/2006/relationships/hyperlink" Target="https://grls.rosminzdrav.ru/InstrImg/2020/06/13/86486/475a8abf-d0b5-425d-9ae0-6f893e6a19eb.pdf" TargetMode="External"/><Relationship Id="rId112" Type="http://schemas.openxmlformats.org/officeDocument/2006/relationships/hyperlink" Target="https://grls.rosminzdrav.ru/InstrImg/2025/06/16/1518193/6df836e1-9750-4ca5-be05-590641b808ac.pdf" TargetMode="External"/><Relationship Id="rId133" Type="http://schemas.openxmlformats.org/officeDocument/2006/relationships/hyperlink" Target="https://grls.rosminzdrav.ru/InstrImg/2020/12/15/1464278/%D0%9F_N015829_01%5B2017%5D_3.pdf" TargetMode="External"/><Relationship Id="rId154" Type="http://schemas.openxmlformats.org/officeDocument/2006/relationships/hyperlink" Target="https://grls.rosminzdrav.ru/InstrImg/2023/11/15/1499083/aedb6c35-3db8-494a-a41e-8ffc737dc35b.pdf" TargetMode="External"/><Relationship Id="rId175" Type="http://schemas.openxmlformats.org/officeDocument/2006/relationships/hyperlink" Target="https://grls.rosminzdrav.ru/InstrImg/2019/6/10/1440397/%D0%9F_N014879_01-2003%5B2003%5D_0.pdf" TargetMode="External"/><Relationship Id="rId16" Type="http://schemas.openxmlformats.org/officeDocument/2006/relationships/hyperlink" Target="https://lk.regmed.ru/Register/GetPDFfromDA?ID=1601683231" TargetMode="External"/><Relationship Id="rId37" Type="http://schemas.openxmlformats.org/officeDocument/2006/relationships/hyperlink" Target="https://grls.rosminzdrav.ru/InstrImg/2020/11/12/37422/bb3f3b49-b450-42cf-a999-bcc087b2eb05.pdf" TargetMode="External"/><Relationship Id="rId58" Type="http://schemas.openxmlformats.org/officeDocument/2006/relationships/hyperlink" Target="https://lk.regmed.ru/Register/GetPDFfromDA?ID=1594767771" TargetMode="External"/><Relationship Id="rId79" Type="http://schemas.openxmlformats.org/officeDocument/2006/relationships/hyperlink" Target="https://lk.regmed.ru/Register/GetPDFfromDA?ID=1607784571" TargetMode="External"/><Relationship Id="rId102" Type="http://schemas.openxmlformats.org/officeDocument/2006/relationships/hyperlink" Target="https://grls.rosminzdrav.ru/InstrImg/2026/02/03/1525996/748a2896-887a-40f1-82c0-510ac345461d.pdf" TargetMode="External"/><Relationship Id="rId123" Type="http://schemas.openxmlformats.org/officeDocument/2006/relationships/hyperlink" Target="https://grls.rosminzdrav.ru/InstrImg/2025/06/02/1517806/3c9102ff-eafa-47bc-b83f-eb05cfac1092.pdf" TargetMode="External"/><Relationship Id="rId144" Type="http://schemas.openxmlformats.org/officeDocument/2006/relationships/hyperlink" Target="https://grls.rosminzdrav.ru/InstrImg/2020/06/16/1416543/cc00d61d-e7e3-4d66-bfd4-02dc184c0de6.pdf" TargetMode="External"/><Relationship Id="rId90" Type="http://schemas.openxmlformats.org/officeDocument/2006/relationships/hyperlink" Target="https://grls.rosminzdrav.ru/InstrImg/2021/7/6/1470535/%D0%9B%D0%A1%D0%A0-005759_08%5B2020%5D_0.pdf" TargetMode="External"/><Relationship Id="rId165" Type="http://schemas.openxmlformats.org/officeDocument/2006/relationships/hyperlink" Target="https://grls.rosminzdrav.ru/InstrImg/2020/11/20/1414272/ad633910-6fd8-473c-8c81-dc945f343f42.pdf" TargetMode="External"/><Relationship Id="rId186" Type="http://schemas.openxmlformats.org/officeDocument/2006/relationships/hyperlink" Target="https://grls.rosminzdrav.ru/InstrImg/2021/09/20/1473405/41395d1f-d6e8-41d5-88fe-a1a29b28be83.pdf" TargetMode="External"/><Relationship Id="rId27" Type="http://schemas.openxmlformats.org/officeDocument/2006/relationships/hyperlink" Target="https://grls.rosminzdrav.ru/InstrImg/2021/10/06/1474147/01e6e663-0f1b-4047-bdc9-365d6ba31c8a.pdf" TargetMode="External"/><Relationship Id="rId48" Type="http://schemas.openxmlformats.org/officeDocument/2006/relationships/hyperlink" Target="https://lk.regmed.ru/Register/GetPDFfromDA?ID=1581220991" TargetMode="External"/><Relationship Id="rId69" Type="http://schemas.openxmlformats.org/officeDocument/2006/relationships/hyperlink" Target="https://grls.rosminzdrav.ru/InstrImg/2022/11/25/1488637/2d8b70a5-023e-45f6-a321-21ab12c43cb4.pdf" TargetMode="External"/><Relationship Id="rId113" Type="http://schemas.openxmlformats.org/officeDocument/2006/relationships/hyperlink" Target="https://lk.regmed.ru/Register/GetPDFfromDA?ID=1596978511" TargetMode="External"/><Relationship Id="rId134" Type="http://schemas.openxmlformats.org/officeDocument/2006/relationships/hyperlink" Target="https://grls.rosminzdrav.ru/InstrImg/2016/6/9/1308974/%D0%9B%D0%A1%D0%A0-003210_07%5B2018%5D_0.pdf" TargetMode="External"/><Relationship Id="rId80" Type="http://schemas.openxmlformats.org/officeDocument/2006/relationships/hyperlink" Target="https://lk.regmed.ru/Register/GetPDFfromDA?ID=1609919901" TargetMode="External"/><Relationship Id="rId155" Type="http://schemas.openxmlformats.org/officeDocument/2006/relationships/hyperlink" Target="https://grls.rosminzdrav.ru/InstrImg/2026/04/08/1528373/3fb2f386-4fb1-4866-bc9c-0268096bb4fc.pdf" TargetMode="External"/><Relationship Id="rId176" Type="http://schemas.openxmlformats.org/officeDocument/2006/relationships/hyperlink" Target="https://lk.regmed.ru/Register/GetPDFfromDA?ID=1621040001" TargetMode="External"/><Relationship Id="rId17" Type="http://schemas.openxmlformats.org/officeDocument/2006/relationships/hyperlink" Target="mailto:savinova@vaccina.info" TargetMode="External"/><Relationship Id="rId38" Type="http://schemas.openxmlformats.org/officeDocument/2006/relationships/hyperlink" Target="mailto:savinova@vaccina.info" TargetMode="External"/><Relationship Id="rId59" Type="http://schemas.openxmlformats.org/officeDocument/2006/relationships/hyperlink" Target="https://lk.regmed.ru/Register/GetPDFfromDA?ID=1544529771" TargetMode="External"/><Relationship Id="rId103" Type="http://schemas.openxmlformats.org/officeDocument/2006/relationships/hyperlink" Target="https://grls.rosminzdrav.ru/InstrImg/2022/10/26/1480925/8a4034a5-ce9e-4e60-8aed-62309841b33e.pdf" TargetMode="External"/><Relationship Id="rId124" Type="http://schemas.openxmlformats.org/officeDocument/2006/relationships/hyperlink" Target="https://grls.rosminzdrav.ru/InstrImg/2021/04/08/1467900/f508c5e7-aa0d-42c7-bedb-2e85c64ad4f7.pdf" TargetMode="External"/><Relationship Id="rId70" Type="http://schemas.openxmlformats.org/officeDocument/2006/relationships/hyperlink" Target="https://lk.regmed.ru/Register/GetPDFfromDA?ID=1621077341" TargetMode="External"/><Relationship Id="rId91" Type="http://schemas.openxmlformats.org/officeDocument/2006/relationships/hyperlink" Target="https://grls.rosminzdrav.ru/InstrImg/2020/06/08/86489/1668d555-c914-4376-a4a0-b5164cb2a0e9.pdf" TargetMode="External"/><Relationship Id="rId145" Type="http://schemas.openxmlformats.org/officeDocument/2006/relationships/hyperlink" Target="https://lk.regmed.ru/Register/GetPDFfromDA?ID=1543829851" TargetMode="External"/><Relationship Id="rId166" Type="http://schemas.openxmlformats.org/officeDocument/2006/relationships/hyperlink" Target="https://grls.rosminzdrav.ru/InstrImg/2020/11/25/146561/ca0de68f-feec-4e52-b6e6-210c5d91c6af.pdf" TargetMode="External"/><Relationship Id="rId187" Type="http://schemas.openxmlformats.org/officeDocument/2006/relationships/hyperlink" Target="https://grls.rosminzdrav.ru/InstrImg/2025/07/15/1519302/c7dac0d8-df0c-484e-99a0-d7b6422ab318.pdf" TargetMode="External"/><Relationship Id="rId1" Type="http://schemas.openxmlformats.org/officeDocument/2006/relationships/hyperlink" Target="https://lk.regmed.ru/Register/GetPDFfromDA?ID=1597322951" TargetMode="External"/><Relationship Id="rId28" Type="http://schemas.openxmlformats.org/officeDocument/2006/relationships/hyperlink" Target="https://grls.rosminzdrav.ru/InstrImg/2025/06/16/1518193/6df836e1-9750-4ca5-be05-590641b808ac.pdf" TargetMode="External"/><Relationship Id="rId49" Type="http://schemas.openxmlformats.org/officeDocument/2006/relationships/hyperlink" Target="mailto:savinova@vaccina.info" TargetMode="External"/><Relationship Id="rId114" Type="http://schemas.openxmlformats.org/officeDocument/2006/relationships/hyperlink" Target="https://grls.rosminzdrav.ru/InstrImg/2023/04/13/1492490/6ff5839d-5715-4ac9-b3b7-b35008686c67.pdf" TargetMode="External"/><Relationship Id="rId60" Type="http://schemas.openxmlformats.org/officeDocument/2006/relationships/hyperlink" Target="mailto:savinova@vaccina.info" TargetMode="External"/><Relationship Id="rId81" Type="http://schemas.openxmlformats.org/officeDocument/2006/relationships/hyperlink" Target="mailto:savinova@vaccina.info" TargetMode="External"/><Relationship Id="rId135" Type="http://schemas.openxmlformats.org/officeDocument/2006/relationships/hyperlink" Target="https://grls.rosminzdrav.ru/InstrImg/2020/12/18/1464410/%D0%9F_N014361_01%5B2020%5D_0.pdf" TargetMode="External"/><Relationship Id="rId156" Type="http://schemas.openxmlformats.org/officeDocument/2006/relationships/hyperlink" Target="https://grls.rosminzdrav.ru/InstrImg/2018/11/10/1426168/%D0%A0_N000460_01%5B2018%5D_0.pdf" TargetMode="External"/><Relationship Id="rId177" Type="http://schemas.openxmlformats.org/officeDocument/2006/relationships/hyperlink" Target="https://grls.rosminzdrav.ru/InstrImg/2025/06/20/1518413/41c4a162-9126-495b-93df-fc2894a8a11f.pdf"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grls.rosminzdrav.ru/InstrImg/2025/04/07/1515838/1b86346c-ace0-4de8-a757-2d3e7e4604e4.pdf" TargetMode="External"/><Relationship Id="rId21" Type="http://schemas.openxmlformats.org/officeDocument/2006/relationships/hyperlink" Target="https://grls.rosminzdrav.ru/InstrImg/2020/9/29/1461721/%D0%A0_N000461_01%5B2018%5D_0.pdf" TargetMode="External"/><Relationship Id="rId42" Type="http://schemas.openxmlformats.org/officeDocument/2006/relationships/hyperlink" Target="https://lk.regmed.ru/Register/GetPDFfromDA?ID=1523760571" TargetMode="External"/><Relationship Id="rId63" Type="http://schemas.openxmlformats.org/officeDocument/2006/relationships/hyperlink" Target="https://grls.rosminzdrav.ru/InstrImg/2022/07/11/1482961/91a975c9-b5b0-4f4e-8827-f5683ed7c461.pdf" TargetMode="External"/><Relationship Id="rId84" Type="http://schemas.openxmlformats.org/officeDocument/2006/relationships/hyperlink" Target="https://grls.rosminzdrav.ru/InstrImg/2022/11/30/1489210/e0b55ee6-f6b6-4a34-8719-972e455bb957.pdf" TargetMode="External"/><Relationship Id="rId138" Type="http://schemas.openxmlformats.org/officeDocument/2006/relationships/hyperlink" Target="https://grls.rosminzdrav.ru/InstrImg/2023/03/14/1491812/20189f0f-07b3-427e-9a8a-d8006843c2d6.pdf" TargetMode="External"/><Relationship Id="rId159" Type="http://schemas.openxmlformats.org/officeDocument/2006/relationships/hyperlink" Target="https://grls.rosminzdrav.ru/InstrImg/2024/01/23/1501030/43ed9d31-44e7-403a-a977-d714a002b9c6.pdf" TargetMode="External"/><Relationship Id="rId170" Type="http://schemas.openxmlformats.org/officeDocument/2006/relationships/hyperlink" Target="https://lk.regmed.ru/Register/GetPDFfromDA?ID=1634791611" TargetMode="External"/><Relationship Id="rId107" Type="http://schemas.openxmlformats.org/officeDocument/2006/relationships/hyperlink" Target="https://grls.rosminzdrav.ru/InstrImg/2023/03/01/1491468/c8da2905-b80e-470c-adc7-c40c03707ddd.pdf" TargetMode="External"/><Relationship Id="rId11" Type="http://schemas.openxmlformats.org/officeDocument/2006/relationships/hyperlink" Target="https://grls.rosminzdrav.ru/InstrImg/2020/05/28/10700/9d141b34-47e7-48c8-9480-616cbbc792fc.pdf" TargetMode="External"/><Relationship Id="rId32" Type="http://schemas.openxmlformats.org/officeDocument/2006/relationships/hyperlink" Target="https://lk.regmed.ru/Register/GetPDFfromDA?ID=1611660161" TargetMode="External"/><Relationship Id="rId53" Type="http://schemas.openxmlformats.org/officeDocument/2006/relationships/hyperlink" Target="https://grls.rosminzdrav.ru/InstrImg/2025/06/19/1518378/557245be-23d7-4913-9af3-4fa130d3c97f.pdf" TargetMode="External"/><Relationship Id="rId74" Type="http://schemas.openxmlformats.org/officeDocument/2006/relationships/hyperlink" Target="https://grls.rosminzdrav.ru/InstrImg/2017/4/26/1416345/%D0%A0_N002667_01%5B2012%5D_0.pdf" TargetMode="External"/><Relationship Id="rId128" Type="http://schemas.openxmlformats.org/officeDocument/2006/relationships/hyperlink" Target="https://grls.rosminzdrav.ru/InstrImg/2019/8/15/1445618/%D0%9F_N015312_01%5B2010%5D_0.pdf" TargetMode="External"/><Relationship Id="rId149" Type="http://schemas.openxmlformats.org/officeDocument/2006/relationships/hyperlink" Target="https://lk.regmed.ru/Register/GetPDFfromDA?ID=1448256521" TargetMode="External"/><Relationship Id="rId5" Type="http://schemas.openxmlformats.org/officeDocument/2006/relationships/hyperlink" Target="mailto:savinova@vaccina.info" TargetMode="External"/><Relationship Id="rId95" Type="http://schemas.openxmlformats.org/officeDocument/2006/relationships/hyperlink" Target="https://grls.rosminzdrav.ru/InstrImg/2021/09/20/1473405/41395d1f-d6e8-41d5-88fe-a1a29b28be83.pdf" TargetMode="External"/><Relationship Id="rId160" Type="http://schemas.openxmlformats.org/officeDocument/2006/relationships/hyperlink" Target="https://grls.rosminzdrav.ru/InstrImg/2020/06/11/1206428/53252686-7415-4f30-bdba-632b434439f9.pdf" TargetMode="External"/><Relationship Id="rId181" Type="http://schemas.openxmlformats.org/officeDocument/2006/relationships/hyperlink" Target="https://grls.rosminzdrav.ru/InstrImg/2024/12/09/1511749/a4738d52-4ff6-4599-a566-530f55491e76.pdf" TargetMode="External"/><Relationship Id="rId22" Type="http://schemas.openxmlformats.org/officeDocument/2006/relationships/hyperlink" Target="https://grls.rosminzdrav.ru/InstrImg/2026/05/07/1529632/54e13522-5efa-4c8c-a9b0-7ea539b4f9d1.pdf" TargetMode="External"/><Relationship Id="rId43" Type="http://schemas.openxmlformats.org/officeDocument/2006/relationships/hyperlink" Target="https://grls.rosminzdrav.ru/InstrImg/2026/02/10/1526281/07a2f661-6334-4894-8117-0ad7563ba4ef.pdf" TargetMode="External"/><Relationship Id="rId64" Type="http://schemas.openxmlformats.org/officeDocument/2006/relationships/hyperlink" Target="https://grls.rosminzdrav.ru/InstrImg/2025/07/25/1519625/ca601e77-829c-48a9-b9b5-204e5b86aa88.pdf" TargetMode="External"/><Relationship Id="rId118" Type="http://schemas.openxmlformats.org/officeDocument/2006/relationships/hyperlink" Target="https://lk.regmed.ru/Register/GetPDFfromDA?ID=1545562701" TargetMode="External"/><Relationship Id="rId139" Type="http://schemas.openxmlformats.org/officeDocument/2006/relationships/hyperlink" Target="mailto:savinova@vaccina.info" TargetMode="External"/><Relationship Id="rId85" Type="http://schemas.openxmlformats.org/officeDocument/2006/relationships/hyperlink" Target="https://lk.regmed.ru/Register/GetPDFfromDA?ID=1626767261" TargetMode="External"/><Relationship Id="rId150" Type="http://schemas.openxmlformats.org/officeDocument/2006/relationships/hyperlink" Target="https://lk.regmed.ru/Register/GetPDFfromDA?ID=1501926911" TargetMode="External"/><Relationship Id="rId171" Type="http://schemas.openxmlformats.org/officeDocument/2006/relationships/hyperlink" Target="https://grls.rosminzdrav.ru/InstrImg/2020/06/18/1452053/3993efd1-cdd7-4127-88ae-330ac7a6d1c1.pdf" TargetMode="External"/><Relationship Id="rId12" Type="http://schemas.openxmlformats.org/officeDocument/2006/relationships/hyperlink" Target="https://grls.rosminzdrav.ru/InstrImg/2026/05/27/1530421/6bdc8421-6c08-4bf7-be7f-0ae5d96a478d.pdf" TargetMode="External"/><Relationship Id="rId33" Type="http://schemas.openxmlformats.org/officeDocument/2006/relationships/hyperlink" Target="https://lk.regmed.ru/Register/GetPDFfromDA?ID=1575625191" TargetMode="External"/><Relationship Id="rId108" Type="http://schemas.openxmlformats.org/officeDocument/2006/relationships/hyperlink" Target="https://lk.regmed.ru/Register/GetPDFfromDA?ID=1641359721" TargetMode="External"/><Relationship Id="rId129" Type="http://schemas.openxmlformats.org/officeDocument/2006/relationships/hyperlink" Target="https://grls.rosminzdrav.ru/InstrImg/2019/8/14/1445562/%D0%9F_N013657_01%5B2009%5D_0.pdf" TargetMode="External"/><Relationship Id="rId54" Type="http://schemas.openxmlformats.org/officeDocument/2006/relationships/hyperlink" Target="https://grls.rosminzdrav.ru/InstrImg/2022/09/20/1485497/31812477-c020-47c0-9f2e-80268b27b29f.pdf" TargetMode="External"/><Relationship Id="rId75" Type="http://schemas.openxmlformats.org/officeDocument/2006/relationships/hyperlink" Target="https://grls.rosminzdrav.ru/InstrImg/2021/1/19/1465274/%D0%9F_N012585_01%5B2014%5D_0.pdf" TargetMode="External"/><Relationship Id="rId96" Type="http://schemas.openxmlformats.org/officeDocument/2006/relationships/hyperlink" Target="https://grls.rosminzdrav.ru/InstrImg/2020/11/27/1463688/%D0%A0_N002481_01%5B2020%5D_0.pdf" TargetMode="External"/><Relationship Id="rId140" Type="http://schemas.openxmlformats.org/officeDocument/2006/relationships/hyperlink" Target="https://lk.regmed.ru/Register/GetPDFfromDA?ID=1589687781" TargetMode="External"/><Relationship Id="rId161" Type="http://schemas.openxmlformats.org/officeDocument/2006/relationships/hyperlink" Target="https://grls.rosminzdrav.ru/InstrImg/2019/06/30/739/1fca1237-4a6a-4bdd-b176-7ef01c56c1bf.pdf" TargetMode="External"/><Relationship Id="rId182" Type="http://schemas.openxmlformats.org/officeDocument/2006/relationships/hyperlink" Target="https://grls.rosminzdrav.ru/InstrImg/2025/03/25/1515160/e4c206af-2701-4f99-a45f-09d998ef0935.pdf" TargetMode="External"/><Relationship Id="rId6" Type="http://schemas.openxmlformats.org/officeDocument/2006/relationships/hyperlink" Target="https://grls.rosminzdrav.ru/InstrImg/2025/06/02/1517794/d7367d9e-e745-46a7-b297-5a093bf3738a.pdf" TargetMode="External"/><Relationship Id="rId23" Type="http://schemas.openxmlformats.org/officeDocument/2006/relationships/hyperlink" Target="https://lk.regmed.ru/Register/GetPDFfromDA?ID=1607490831" TargetMode="External"/><Relationship Id="rId119" Type="http://schemas.openxmlformats.org/officeDocument/2006/relationships/hyperlink" Target="https://grls.rosminzdrav.ru/InstrImg/2020/12/02/1423524/629a6384-1db2-499f-afb1-e87dac723b9a.pdf" TargetMode="External"/><Relationship Id="rId44" Type="http://schemas.openxmlformats.org/officeDocument/2006/relationships/hyperlink" Target="https://grls.rosminzdrav.ru/InstrImg/2021/12/14/1476333/6ec3965b-4239-4718-add0-ce5ef822b7c4.pdf" TargetMode="External"/><Relationship Id="rId65" Type="http://schemas.openxmlformats.org/officeDocument/2006/relationships/hyperlink" Target="https://grls.rosminzdrav.ru/InstrImg/2024/12/19/1512043/59e764b9-60fd-455d-b6fc-d0056460286e.pdf" TargetMode="External"/><Relationship Id="rId86" Type="http://schemas.openxmlformats.org/officeDocument/2006/relationships/hyperlink" Target="https://grls.rosminzdrav.ru/InstrImg/2021/10/22/1474770/84220d47-9ed2-44e3-a2d3-89170a0f96d8.pdf" TargetMode="External"/><Relationship Id="rId130" Type="http://schemas.openxmlformats.org/officeDocument/2006/relationships/hyperlink" Target="https://grls.rosminzdrav.ru/InstrImg/2023/07/19/1495141/8a2ba9a0-eb39-4368-9a0d-f81451183bb0.pdf" TargetMode="External"/><Relationship Id="rId151" Type="http://schemas.openxmlformats.org/officeDocument/2006/relationships/hyperlink" Target="https://grls.rosminzdrav.ru/InstrImg/2026/05/19/1529992/3e4bff0f-b904-49bd-8f8c-cf901c4749df.pdf" TargetMode="External"/><Relationship Id="rId172" Type="http://schemas.openxmlformats.org/officeDocument/2006/relationships/hyperlink" Target="https://grls.rosminzdrav.ru/InstrImg/2025/06/02/1517810/7b7b0a6f-2d36-481e-a964-4e8d04031cd7.pdf" TargetMode="External"/><Relationship Id="rId13" Type="http://schemas.openxmlformats.org/officeDocument/2006/relationships/hyperlink" Target="https://grls.rosminzdrav.ru/InstrImg/2025/12/04/1523945/374687b9-516b-4eb9-9e34-640e88c2e1e2.pdf" TargetMode="External"/><Relationship Id="rId18" Type="http://schemas.openxmlformats.org/officeDocument/2006/relationships/hyperlink" Target="https://grls.rosminzdrav.ru/InstrImg/2024/12/16/1511954/43eafc3c-33ac-4e33-969c-259e9a175ebb.pdf" TargetMode="External"/><Relationship Id="rId39" Type="http://schemas.openxmlformats.org/officeDocument/2006/relationships/hyperlink" Target="mailto:savinova@vaccina.info" TargetMode="External"/><Relationship Id="rId109" Type="http://schemas.openxmlformats.org/officeDocument/2006/relationships/hyperlink" Target="https://grls.rosminzdrav.ru/InstrImg/2020/11/27/1463649/%D0%9B%D0%9F-000499%5B2016%5D_0.pdf" TargetMode="External"/><Relationship Id="rId34" Type="http://schemas.openxmlformats.org/officeDocument/2006/relationships/hyperlink" Target="https://grls.rosminzdrav.ru/InstrImg/2025/07/21/1519595/f7c8e9e3-baf4-4c2e-949f-a41b75a8ad7c.pdf" TargetMode="External"/><Relationship Id="rId50" Type="http://schemas.openxmlformats.org/officeDocument/2006/relationships/hyperlink" Target="mailto:savinova@vaccina.info" TargetMode="External"/><Relationship Id="rId55" Type="http://schemas.openxmlformats.org/officeDocument/2006/relationships/hyperlink" Target="https://lk.regmed.ru/Register/GetPDFfromDA?ID=1583272671" TargetMode="External"/><Relationship Id="rId76" Type="http://schemas.openxmlformats.org/officeDocument/2006/relationships/hyperlink" Target="https://grls.rosminzdrav.ru/InstrImg/2021/1/19/1465274/%D0%9F_N012585_01%5B2014%5D_0.pdf" TargetMode="External"/><Relationship Id="rId97" Type="http://schemas.openxmlformats.org/officeDocument/2006/relationships/hyperlink" Target="https://grls.rosminzdrav.ru/InstrImg/2025/02/06/1513573/c7fd0ba6-d018-4726-b9e2-1ae791edec76.pdf" TargetMode="External"/><Relationship Id="rId104" Type="http://schemas.openxmlformats.org/officeDocument/2006/relationships/hyperlink" Target="https://grls.rosminzdrav.ru/InstrImg/2022/07/01/1482554/5f33ae33-eaa6-4ca5-aed1-e39900dc85a6.pdf" TargetMode="External"/><Relationship Id="rId120" Type="http://schemas.openxmlformats.org/officeDocument/2006/relationships/hyperlink" Target="https://grls.rosminzdrav.ru/InstrImg/2019/06/29/1424317/a2b80c77-0857-4a1d-a948-36a987511e54.pdf" TargetMode="External"/><Relationship Id="rId125" Type="http://schemas.openxmlformats.org/officeDocument/2006/relationships/hyperlink" Target="https://lk.regmed.ru/Register/GetPDFfromDA?ID=1574006211" TargetMode="External"/><Relationship Id="rId141" Type="http://schemas.openxmlformats.org/officeDocument/2006/relationships/hyperlink" Target="https://grls.rosminzdrav.ru/InstrImg/2026/01/22/1525402/07c3adec-cd5e-49f6-9bc3-7a3e029cd98c.pdf" TargetMode="External"/><Relationship Id="rId146" Type="http://schemas.openxmlformats.org/officeDocument/2006/relationships/hyperlink" Target="https://lk.regmed.ru/Register/GetPDFfromDA?ID=1501096611" TargetMode="External"/><Relationship Id="rId167" Type="http://schemas.openxmlformats.org/officeDocument/2006/relationships/hyperlink" Target="https://grls.rosminzdrav.ru/InstrImg/2025/02/28/1514525/002c6594-b19d-4b5a-a79c-60853ca8612c.pdf" TargetMode="External"/><Relationship Id="rId188" Type="http://schemas.openxmlformats.org/officeDocument/2006/relationships/hyperlink" Target="https://grls.rosminzdrav.ru/InstrImg/2026/04/13/1528638/81dbfeae-d02c-4909-ae9d-1b3092cc89e9.pdf" TargetMode="External"/><Relationship Id="rId7" Type="http://schemas.openxmlformats.org/officeDocument/2006/relationships/hyperlink" Target="https://lk.regmed.ru/Register/GetPDFfromDA?ID=1484709711" TargetMode="External"/><Relationship Id="rId71" Type="http://schemas.openxmlformats.org/officeDocument/2006/relationships/hyperlink" Target="https://grls.rosminzdrav.ru/InstrImg/2016/4/4/37565/%D0%9F_N015218_01%5B2009%5D_0.pdf" TargetMode="External"/><Relationship Id="rId92" Type="http://schemas.openxmlformats.org/officeDocument/2006/relationships/hyperlink" Target="https://grls.rosminzdrav.ru/InstrImg/2019/10/25/1448929/%D0%A0_N001273_01%5B2019%5D_0.pdf" TargetMode="External"/><Relationship Id="rId162" Type="http://schemas.openxmlformats.org/officeDocument/2006/relationships/hyperlink" Target="https://grls.rosminzdrav.ru/InstrImg/2020/06/01/1422432/8314c8e6-25f4-4bd2-97f0-1a3b881e7dcb.pdf" TargetMode="External"/><Relationship Id="rId183" Type="http://schemas.openxmlformats.org/officeDocument/2006/relationships/hyperlink" Target="https://grls.rosminzdrav.ru/InstrImg/2025/03/14/1514899/44c72a47-2cd3-4a92-b136-0902c17fafb6.pdf" TargetMode="External"/><Relationship Id="rId2" Type="http://schemas.openxmlformats.org/officeDocument/2006/relationships/hyperlink" Target="mailto:savinova@vaccina.info" TargetMode="External"/><Relationship Id="rId29" Type="http://schemas.openxmlformats.org/officeDocument/2006/relationships/hyperlink" Target="https://grls.rosminzdrav.ru/InstrImg/2026/03/04/1527238/fe2adafe-5094-4da2-bbba-1a640a0ceb4e.pdf" TargetMode="External"/><Relationship Id="rId24" Type="http://schemas.openxmlformats.org/officeDocument/2006/relationships/hyperlink" Target="https://lk.regmed.ru/Register/GetPDFfromDA?ID=1607490831" TargetMode="External"/><Relationship Id="rId40" Type="http://schemas.openxmlformats.org/officeDocument/2006/relationships/hyperlink" Target="https://lk.regmed.ru/Register/GetPDFfromDA?ID=1512826451" TargetMode="External"/><Relationship Id="rId45" Type="http://schemas.openxmlformats.org/officeDocument/2006/relationships/hyperlink" Target="https://grls.rosminzdrav.ru/InstrImg/2026/03/05/1527284/4a34f8fb-090f-4a41-bab9-0d4194977316.pdf" TargetMode="External"/><Relationship Id="rId66" Type="http://schemas.openxmlformats.org/officeDocument/2006/relationships/hyperlink" Target="https://lk.regmed.ru/Register/GetPDFfromDA?ID=1649843881" TargetMode="External"/><Relationship Id="rId87" Type="http://schemas.openxmlformats.org/officeDocument/2006/relationships/hyperlink" Target="https://grls.rosminzdrav.ru/InstrImg/2021/07/22/86490/fa07de3f-3b07-40e8-b027-068e2a19359f.pdf" TargetMode="External"/><Relationship Id="rId110" Type="http://schemas.openxmlformats.org/officeDocument/2006/relationships/hyperlink" Target="https://grls.rosminzdrav.ru/InstrImg/2026/03/04/1527238/fe2adafe-5094-4da2-bbba-1a640a0ceb4e.pdf" TargetMode="External"/><Relationship Id="rId115" Type="http://schemas.openxmlformats.org/officeDocument/2006/relationships/hyperlink" Target="https://lk.regmed.ru/Register/GetPDFfromDA?ID=1512826451" TargetMode="External"/><Relationship Id="rId131" Type="http://schemas.openxmlformats.org/officeDocument/2006/relationships/hyperlink" Target="https://grls.rosminzdrav.ru/InstrImg/2020/4/29/1456610/%D0%9F_N013850_01%5B2014%5D_0.pdf" TargetMode="External"/><Relationship Id="rId136" Type="http://schemas.openxmlformats.org/officeDocument/2006/relationships/hyperlink" Target="mailto:savinova@vaccina.info" TargetMode="External"/><Relationship Id="rId157" Type="http://schemas.openxmlformats.org/officeDocument/2006/relationships/hyperlink" Target="https://grls.rosminzdrav.ru/InstrImg/2020/06/03/37799/c7a7977e-fea0-4451-80db-bfd751ccf3f6.pdf" TargetMode="External"/><Relationship Id="rId178" Type="http://schemas.openxmlformats.org/officeDocument/2006/relationships/hyperlink" Target="https://grls.rosminzdrav.ru/InstrImg/2025/07/09/1519029/0d8fd7ae-7b89-4160-9ecd-4b0646f6482f.pdf" TargetMode="External"/><Relationship Id="rId61" Type="http://schemas.openxmlformats.org/officeDocument/2006/relationships/hyperlink" Target="mailto:savinova@vaccina.info" TargetMode="External"/><Relationship Id="rId82" Type="http://schemas.openxmlformats.org/officeDocument/2006/relationships/hyperlink" Target="https://grls.rosminzdrav.ru/InstrImg/2025/06/10/1518039/2f088da7-8272-4666-bcb6-a2e0826808b5.pdf" TargetMode="External"/><Relationship Id="rId152" Type="http://schemas.openxmlformats.org/officeDocument/2006/relationships/hyperlink" Target="https://grls.rosminzdrav.ru/InstrImg/2024/02/12/1501815/32f958db-a12b-4c41-9b5b-e1707a1b19ee.pdf" TargetMode="External"/><Relationship Id="rId173" Type="http://schemas.openxmlformats.org/officeDocument/2006/relationships/hyperlink" Target="https://grls.rosminzdrav.ru/InstrImg/2025/03/25/1515266/f7896710-fb4c-49f0-9e20-d6272771ab13.pdf" TargetMode="External"/><Relationship Id="rId19" Type="http://schemas.openxmlformats.org/officeDocument/2006/relationships/hyperlink" Target="https://grls.rosminzdrav.ru/InstrImg/2018/7/19/1423955/%D0%A0_N002668_01%5B2012%5D_0.pdf" TargetMode="External"/><Relationship Id="rId14" Type="http://schemas.openxmlformats.org/officeDocument/2006/relationships/hyperlink" Target="https://grls.rosminzdrav.ru/InstrImg/2026/06/02/1530636/e301156c-c7d5-45d7-bf58-5346c270c493.pdf" TargetMode="External"/><Relationship Id="rId30" Type="http://schemas.openxmlformats.org/officeDocument/2006/relationships/hyperlink" Target="https://grls.rosminzdrav.ru/InstrImg/2019/8/6/1445331/%D0%9F_N011073%5B2014%5D_0.pdf" TargetMode="External"/><Relationship Id="rId35" Type="http://schemas.openxmlformats.org/officeDocument/2006/relationships/hyperlink" Target="https://grls.rosminzdrav.ru/InstrImg/2022/03/24/1479420/3838bcfc-cc6a-448b-abf8-404668c05a34.pdf" TargetMode="External"/><Relationship Id="rId56" Type="http://schemas.openxmlformats.org/officeDocument/2006/relationships/hyperlink" Target="https://lk.regmed.ru/Register/GetPDFfromDA?ID=1581523381" TargetMode="External"/><Relationship Id="rId77" Type="http://schemas.openxmlformats.org/officeDocument/2006/relationships/hyperlink" Target="https://grls.rosminzdrav.ru/InstrImg/2025/09/15/1521458/990be5c7-4178-4812-a999-fd00eaeb3d60.pdf" TargetMode="External"/><Relationship Id="rId100" Type="http://schemas.openxmlformats.org/officeDocument/2006/relationships/hyperlink" Target="https://grls.rosminzdrav.ru/InstrImg/2021/6/4/1469733/%D0%A0_N000661_01%5B2017%5D_0.pdf" TargetMode="External"/><Relationship Id="rId105" Type="http://schemas.openxmlformats.org/officeDocument/2006/relationships/hyperlink" Target="mailto:savinova@vaccina.info" TargetMode="External"/><Relationship Id="rId126" Type="http://schemas.openxmlformats.org/officeDocument/2006/relationships/hyperlink" Target="https://grls.rosminzdrav.ru/InstrImg/2023/07/13/1494926/d8440e50-44f6-4e4b-a50d-64608384e586.pdf" TargetMode="External"/><Relationship Id="rId147" Type="http://schemas.openxmlformats.org/officeDocument/2006/relationships/hyperlink" Target="https://lk.regmed.ru/Register/GetPDFfromDA?ID=1494836031" TargetMode="External"/><Relationship Id="rId168" Type="http://schemas.openxmlformats.org/officeDocument/2006/relationships/hyperlink" Target="https://grls.rosminzdrav.ru/InstrImg/2025/03/27/1515398/ec0df501-9186-4e20-ae68-c07f28302f7b.pdf" TargetMode="External"/><Relationship Id="rId8" Type="http://schemas.openxmlformats.org/officeDocument/2006/relationships/hyperlink" Target="mailto:savinova@vaccina.info" TargetMode="External"/><Relationship Id="rId51" Type="http://schemas.openxmlformats.org/officeDocument/2006/relationships/hyperlink" Target="https://grls.rosminzdrav.ru/InstrImg/2020/10/15/1462300/%D0%A0_N001586_01%5B2007%5D_0.pdf" TargetMode="External"/><Relationship Id="rId72" Type="http://schemas.openxmlformats.org/officeDocument/2006/relationships/hyperlink" Target="mailto:savinova@vaccina.info" TargetMode="External"/><Relationship Id="rId93" Type="http://schemas.openxmlformats.org/officeDocument/2006/relationships/hyperlink" Target="https://grls.rosminzdrav.ru/InstrImg/2020/08/24/86488/1ed689ab-55e8-4379-9b04-687068382c27.pdf" TargetMode="External"/><Relationship Id="rId98" Type="http://schemas.openxmlformats.org/officeDocument/2006/relationships/hyperlink" Target="https://grls.rosminzdrav.ru/InstrImg/2022/12/12/1489555/281290ac-8b7f-4930-a191-7eff9a7cb147.pdf" TargetMode="External"/><Relationship Id="rId121" Type="http://schemas.openxmlformats.org/officeDocument/2006/relationships/hyperlink" Target="https://lk.regmed.ru/Register/GetPDFfromDA?ID=1497046991" TargetMode="External"/><Relationship Id="rId142" Type="http://schemas.openxmlformats.org/officeDocument/2006/relationships/hyperlink" Target="https://grls.rosminzdrav.ru/InstrImg/2025/10/30/1523008/59dd5156-957b-4de5-86c8-83d284b70f65.pdf" TargetMode="External"/><Relationship Id="rId163" Type="http://schemas.openxmlformats.org/officeDocument/2006/relationships/hyperlink" Target="https://grls.rosminzdrav.ru/InstrImg/2020/05/28/37407/eca15fe8-8706-4bd3-9148-1f54c5ab52ed.pdf" TargetMode="External"/><Relationship Id="rId184" Type="http://schemas.openxmlformats.org/officeDocument/2006/relationships/hyperlink" Target="https://grls.rosminzdrav.ru/InstrImg/2025/04/04/1515791/731944c3-c908-4ee4-8479-026ab476fc4b.pdf" TargetMode="External"/><Relationship Id="rId3" Type="http://schemas.openxmlformats.org/officeDocument/2006/relationships/hyperlink" Target="https://lk.regmed.ru/Register/GetPDFfromDA?ID=1597318981" TargetMode="External"/><Relationship Id="rId25" Type="http://schemas.openxmlformats.org/officeDocument/2006/relationships/hyperlink" Target="https://grls.rosminzdrav.ru/InstrImg/2021/10/06/1474149/9fb37d4d-6fc7-451d-ae8b-ff2258dcae40.pdf" TargetMode="External"/><Relationship Id="rId46" Type="http://schemas.openxmlformats.org/officeDocument/2006/relationships/hyperlink" Target="https://lk.regmed.ru/Register/GetPDFfromDA?ID=1612604181" TargetMode="External"/><Relationship Id="rId67" Type="http://schemas.openxmlformats.org/officeDocument/2006/relationships/hyperlink" Target="https://grls.rosminzdrav.ru/InstrImg/2022/11/25/1488723/80c7b6fb-3d8f-4ee9-9610-da77ce371e71.pdf" TargetMode="External"/><Relationship Id="rId116" Type="http://schemas.openxmlformats.org/officeDocument/2006/relationships/hyperlink" Target="mailto:savinova@vaccina.info" TargetMode="External"/><Relationship Id="rId137" Type="http://schemas.openxmlformats.org/officeDocument/2006/relationships/hyperlink" Target="https://lk.regmed.ru/Register/GetPDFfromDA?ID=1558408561" TargetMode="External"/><Relationship Id="rId158" Type="http://schemas.openxmlformats.org/officeDocument/2006/relationships/hyperlink" Target="https://grls.rosminzdrav.ru/InstrImg/2025/12/30/1524963/862ae1b6-e8bc-417c-8173-0fa0ff6a6e52.pdf" TargetMode="External"/><Relationship Id="rId20" Type="http://schemas.openxmlformats.org/officeDocument/2006/relationships/hyperlink" Target="https://lk.regmed.ru/Register/GetPDFfromDA?ID=1592320751" TargetMode="External"/><Relationship Id="rId41" Type="http://schemas.openxmlformats.org/officeDocument/2006/relationships/hyperlink" Target="https://lk.regmed.ru/Register/GetPDFfromDA?ID=1633580161" TargetMode="External"/><Relationship Id="rId62" Type="http://schemas.openxmlformats.org/officeDocument/2006/relationships/hyperlink" Target="https://lk.regmed.ru/Register/GetPDFfromDA?ID=1509638211" TargetMode="External"/><Relationship Id="rId83" Type="http://schemas.openxmlformats.org/officeDocument/2006/relationships/hyperlink" Target="mailto:savinova@vaccina.info" TargetMode="External"/><Relationship Id="rId88" Type="http://schemas.openxmlformats.org/officeDocument/2006/relationships/hyperlink" Target="https://grls.rosminzdrav.ru/InstrImg/2020/06/13/86486/607fd14a-da55-42fe-8db7-52767fd34cc2.pdf" TargetMode="External"/><Relationship Id="rId111" Type="http://schemas.openxmlformats.org/officeDocument/2006/relationships/hyperlink" Target="https://grls.rosminzdrav.ru/InstrImg/2025/06/16/1518193/6df836e1-9750-4ca5-be05-590641b808ac.pdf" TargetMode="External"/><Relationship Id="rId132" Type="http://schemas.openxmlformats.org/officeDocument/2006/relationships/hyperlink" Target="https://grls.rosminzdrav.ru/InstrImg/2020/12/15/1464278/%D0%9F_N015829_01%5B2016%5D_5.pdf" TargetMode="External"/><Relationship Id="rId153" Type="http://schemas.openxmlformats.org/officeDocument/2006/relationships/hyperlink" Target="https://grls.rosminzdrav.ru/InstrImg/2023/11/15/1499083/aedb6c35-3db8-494a-a41e-8ffc737dc35b.pdf" TargetMode="External"/><Relationship Id="rId174" Type="http://schemas.openxmlformats.org/officeDocument/2006/relationships/hyperlink" Target="https://grls.rosminzdrav.ru/InstrImg/2019/6/10/1440397/%D0%9F_N014879_01-2003%5B2003%5D_0.pdf" TargetMode="External"/><Relationship Id="rId179" Type="http://schemas.openxmlformats.org/officeDocument/2006/relationships/hyperlink" Target="https://grls.rosminzdrav.ru/InstrImg/2025/12/30/1524963/862ae1b6-e8bc-417c-8173-0fa0ff6a6e52.pdf" TargetMode="External"/><Relationship Id="rId15" Type="http://schemas.openxmlformats.org/officeDocument/2006/relationships/hyperlink" Target="https://lk.regmed.ru/Register/GetPDFfromDA?ID=1601683231" TargetMode="External"/><Relationship Id="rId36" Type="http://schemas.openxmlformats.org/officeDocument/2006/relationships/hyperlink" Target="https://grls.rosminzdrav.ru/InstrImg/2023/01/09/1490224/e76560fa-e72e-49eb-8daf-91f3d1403e22.pdf" TargetMode="External"/><Relationship Id="rId57" Type="http://schemas.openxmlformats.org/officeDocument/2006/relationships/hyperlink" Target="https://lk.regmed.ru/Register/GetPDFfromDA?ID=1574028031" TargetMode="External"/><Relationship Id="rId106" Type="http://schemas.openxmlformats.org/officeDocument/2006/relationships/hyperlink" Target="https://grls.rosminzdrav.ru/InstrImg/2026/01/22/1525392/c4730a97-f7f4-406f-954c-6a6bed44be35.pdf" TargetMode="External"/><Relationship Id="rId127" Type="http://schemas.openxmlformats.org/officeDocument/2006/relationships/hyperlink" Target="mailto:savinova@vaccina.info" TargetMode="External"/><Relationship Id="rId10" Type="http://schemas.openxmlformats.org/officeDocument/2006/relationships/hyperlink" Target="https://grls.rosminzdrav.ru/InstrImg/2017/4/26/1416322/%D0%A0_N002666_01%5B2013%5D_0.pdf" TargetMode="External"/><Relationship Id="rId31" Type="http://schemas.openxmlformats.org/officeDocument/2006/relationships/hyperlink" Target="https://grls.rosminzdrav.ru/InstrImg/2019/8/6/1445331/%D0%9F_N011073%5B2014%5D_0.pdf" TargetMode="External"/><Relationship Id="rId52" Type="http://schemas.openxmlformats.org/officeDocument/2006/relationships/hyperlink" Target="https://lk.regmed.ru/Register/GetPDFfromDA?ID=1597558391" TargetMode="External"/><Relationship Id="rId73" Type="http://schemas.openxmlformats.org/officeDocument/2006/relationships/hyperlink" Target="https://grls.rosminzdrav.ru/InstrImg/2024/12/05/1511721/ee78b171-6cf3-474c-9f58-0391a7a5b91f.pdf" TargetMode="External"/><Relationship Id="rId78" Type="http://schemas.openxmlformats.org/officeDocument/2006/relationships/hyperlink" Target="https://grls.rosminzdrav.ru/InstrImg/2025/09/15/1521458/990be5c7-4178-4812-a999-fd00eaeb3d60.pdf" TargetMode="External"/><Relationship Id="rId94" Type="http://schemas.openxmlformats.org/officeDocument/2006/relationships/hyperlink" Target="mailto:savinova@vaccina.info" TargetMode="External"/><Relationship Id="rId99" Type="http://schemas.openxmlformats.org/officeDocument/2006/relationships/hyperlink" Target="https://grls.rosminzdrav.ru/InstrImg/2026/02/06/1526184/204c2bdf-4b3b-45c5-b641-f7ce1ae753b3.pdf" TargetMode="External"/><Relationship Id="rId101" Type="http://schemas.openxmlformats.org/officeDocument/2006/relationships/hyperlink" Target="https://grls.rosminzdrav.ru/InstrImg/2026/02/03/1525996/748a2896-887a-40f1-82c0-510ac345461d.pdf" TargetMode="External"/><Relationship Id="rId122" Type="http://schemas.openxmlformats.org/officeDocument/2006/relationships/hyperlink" Target="https://grls.rosminzdrav.ru/InstrImg/2025/06/02/1517806/3c9102ff-eafa-47bc-b83f-eb05cfac1092.pdf" TargetMode="External"/><Relationship Id="rId143" Type="http://schemas.openxmlformats.org/officeDocument/2006/relationships/hyperlink" Target="https://grls.rosminzdrav.ru/InstrImg/2020/06/16/1416543/cc00d61d-e7e3-4d66-bfd4-02dc184c0de6.pdf" TargetMode="External"/><Relationship Id="rId148" Type="http://schemas.openxmlformats.org/officeDocument/2006/relationships/hyperlink" Target="https://lk.regmed.ru/Register/GetPDFfromDA?ID=1485438071" TargetMode="External"/><Relationship Id="rId164" Type="http://schemas.openxmlformats.org/officeDocument/2006/relationships/hyperlink" Target="https://grls.rosminzdrav.ru/InstrImg/2020/11/20/1414272/ad633910-6fd8-473c-8c81-dc945f343f42.pdf" TargetMode="External"/><Relationship Id="rId169" Type="http://schemas.openxmlformats.org/officeDocument/2006/relationships/hyperlink" Target="https://grls.rosminzdrav.ru/InstrImg/2020/11/25/140879/f4484511-f351-42f9-8a7a-85a995f31517.pdf" TargetMode="External"/><Relationship Id="rId185" Type="http://schemas.openxmlformats.org/officeDocument/2006/relationships/hyperlink" Target="https://grls.rosminzdrav.ru/InstrImg/2021/09/20/1473405/41395d1f-d6e8-41d5-88fe-a1a29b28be83.pdf" TargetMode="External"/><Relationship Id="rId4" Type="http://schemas.openxmlformats.org/officeDocument/2006/relationships/hyperlink" Target="https://grls.rosminzdrav.ru/InstrImg/2025/05/19/1517351/3bec22d2-65bc-4a94-9482-413901e57760.pdf" TargetMode="External"/><Relationship Id="rId9" Type="http://schemas.openxmlformats.org/officeDocument/2006/relationships/hyperlink" Target="https://lk.regmed.ru/Register/GetPDFfromDA?ID=1587927891" TargetMode="External"/><Relationship Id="rId180" Type="http://schemas.openxmlformats.org/officeDocument/2006/relationships/hyperlink" Target="https://lk.regmed.ru/Register/GetPDFfromDA?ID=1607301531" TargetMode="External"/><Relationship Id="rId26" Type="http://schemas.openxmlformats.org/officeDocument/2006/relationships/hyperlink" Target="https://grls.rosminzdrav.ru/InstrImg/2021/10/06/1474147/01e6e663-0f1b-4047-bdc9-365d6ba31c8a.pdf" TargetMode="External"/><Relationship Id="rId47" Type="http://schemas.openxmlformats.org/officeDocument/2006/relationships/hyperlink" Target="https://grls.rosminzdrav.ru/InstrImg/2025/05/26/1517557/95b8d8b7-23f5-4e99-a4f7-efc667459b50.pdf" TargetMode="External"/><Relationship Id="rId68" Type="http://schemas.openxmlformats.org/officeDocument/2006/relationships/hyperlink" Target="https://grls.rosminzdrav.ru/InstrImg/2017/6/22/1417297/%D0%9B%D0%A1-001296%5B2012%5D_0.pdf" TargetMode="External"/><Relationship Id="rId89" Type="http://schemas.openxmlformats.org/officeDocument/2006/relationships/hyperlink" Target="https://grls.rosminzdrav.ru/InstrImg/2021/7/6/1470535/%D0%9B%D0%A1%D0%A0-005759_08%5B2020%5D_0.pdf" TargetMode="External"/><Relationship Id="rId112" Type="http://schemas.openxmlformats.org/officeDocument/2006/relationships/hyperlink" Target="https://lk.regmed.ru/Register/GetPDFfromDA?ID=1596978511" TargetMode="External"/><Relationship Id="rId133" Type="http://schemas.openxmlformats.org/officeDocument/2006/relationships/hyperlink" Target="https://grls.rosminzdrav.ru/InstrImg/2016/6/9/1308974/%D0%9B%D0%A1%D0%A0-003210_07%5B2018%5D_0.pdf" TargetMode="External"/><Relationship Id="rId154" Type="http://schemas.openxmlformats.org/officeDocument/2006/relationships/hyperlink" Target="https://grls.rosminzdrav.ru/InstrImg/2026/04/08/1528373/3fb2f386-4fb1-4866-bc9c-0268096bb4fc.pdf" TargetMode="External"/><Relationship Id="rId175" Type="http://schemas.openxmlformats.org/officeDocument/2006/relationships/hyperlink" Target="https://lk.regmed.ru/Register/GetPDFfromDA?ID=1621040001" TargetMode="External"/><Relationship Id="rId16" Type="http://schemas.openxmlformats.org/officeDocument/2006/relationships/hyperlink" Target="https://lk.regmed.ru/Register/GetPDFfromDA?ID=1605321651" TargetMode="External"/><Relationship Id="rId37" Type="http://schemas.openxmlformats.org/officeDocument/2006/relationships/hyperlink" Target="https://grls.rosminzdrav.ru/InstrImg/2020/11/12/37422/bb3f3b49-b450-42cf-a999-bcc087b2eb05.pdf" TargetMode="External"/><Relationship Id="rId58" Type="http://schemas.openxmlformats.org/officeDocument/2006/relationships/hyperlink" Target="https://lk.regmed.ru/Register/GetPDFfromDA?ID=1594767771" TargetMode="External"/><Relationship Id="rId79" Type="http://schemas.openxmlformats.org/officeDocument/2006/relationships/hyperlink" Target="https://lk.regmed.ru/Register/GetPDFfromDA?ID=1607784571" TargetMode="External"/><Relationship Id="rId102" Type="http://schemas.openxmlformats.org/officeDocument/2006/relationships/hyperlink" Target="https://grls.rosminzdrav.ru/InstrImg/2022/10/26/1480925/bbce1055-ce8d-4cf1-8ce2-d5a008359d42.pdf" TargetMode="External"/><Relationship Id="rId123" Type="http://schemas.openxmlformats.org/officeDocument/2006/relationships/hyperlink" Target="https://grls.rosminzdrav.ru/InstrImg/2021/04/08/1467900/ea2f5550-f9f6-4b5f-918d-7101ffaea430.pdf" TargetMode="External"/><Relationship Id="rId144" Type="http://schemas.openxmlformats.org/officeDocument/2006/relationships/hyperlink" Target="https://lk.regmed.ru/Register/GetPDFfromDA?ID=1543829851" TargetMode="External"/><Relationship Id="rId90" Type="http://schemas.openxmlformats.org/officeDocument/2006/relationships/hyperlink" Target="https://grls.rosminzdrav.ru/InstrImg/2020/06/08/86489/f8c71c84-d7eb-4cba-990a-8c9e218ca432.pdf" TargetMode="External"/><Relationship Id="rId165" Type="http://schemas.openxmlformats.org/officeDocument/2006/relationships/hyperlink" Target="https://grls.rosminzdrav.ru/InstrImg/2020/11/25/146561/742bfd83-5da9-4e9c-bbb5-b9de800c21fa.pdf" TargetMode="External"/><Relationship Id="rId186" Type="http://schemas.openxmlformats.org/officeDocument/2006/relationships/hyperlink" Target="https://grls.rosminzdrav.ru/InstrImg/2025/07/15/1519302/c7dac0d8-df0c-484e-99a0-d7b6422ab318.pdf" TargetMode="External"/><Relationship Id="rId27" Type="http://schemas.openxmlformats.org/officeDocument/2006/relationships/hyperlink" Target="https://grls.rosminzdrav.ru/InstrImg/2025/06/16/1518193/6df836e1-9750-4ca5-be05-590641b808ac.pdf" TargetMode="External"/><Relationship Id="rId48" Type="http://schemas.openxmlformats.org/officeDocument/2006/relationships/hyperlink" Target="https://lk.regmed.ru/Register/GetPDFfromDA?ID=1581220991" TargetMode="External"/><Relationship Id="rId69" Type="http://schemas.openxmlformats.org/officeDocument/2006/relationships/hyperlink" Target="https://grls.rosminzdrav.ru/InstrImg/2022/11/25/1488637/c97cdf1c-9f19-49af-853a-b664873cc8fb.pdf" TargetMode="External"/><Relationship Id="rId113" Type="http://schemas.openxmlformats.org/officeDocument/2006/relationships/hyperlink" Target="https://grls.rosminzdrav.ru/InstrImg/2023/04/13/1492490/b02b0c0a-7a26-4b3a-8e0b-7f5d8e8e4ef1.pdf" TargetMode="External"/><Relationship Id="rId134" Type="http://schemas.openxmlformats.org/officeDocument/2006/relationships/hyperlink" Target="https://grls.rosminzdrav.ru/InstrImg/2020/12/18/1464410/%D0%9F_N014361_01%5B2020%5D_0.pdf" TargetMode="External"/><Relationship Id="rId80" Type="http://schemas.openxmlformats.org/officeDocument/2006/relationships/hyperlink" Target="https://lk.regmed.ru/Register/GetPDFfromDA?ID=1609919901" TargetMode="External"/><Relationship Id="rId155" Type="http://schemas.openxmlformats.org/officeDocument/2006/relationships/hyperlink" Target="https://grls.rosminzdrav.ru/InstrImg/2018/11/10/1426168/%D0%A0_N000460_01%5B2018%5D_0.pdf" TargetMode="External"/><Relationship Id="rId176" Type="http://schemas.openxmlformats.org/officeDocument/2006/relationships/hyperlink" Target="https://grls.rosminzdrav.ru/InstrImg/2025/06/20/1518413/41c4a162-9126-495b-93df-fc2894a8a11f.pdf" TargetMode="External"/><Relationship Id="rId17" Type="http://schemas.openxmlformats.org/officeDocument/2006/relationships/hyperlink" Target="mailto:savinova@vaccina.info" TargetMode="External"/><Relationship Id="rId38" Type="http://schemas.openxmlformats.org/officeDocument/2006/relationships/hyperlink" Target="https://grls.rosminzdrav.ru/InstrImg/2020/11/23/1413288/cb3a391e-05f5-41e6-9963-8f102193f7e0.pdf" TargetMode="External"/><Relationship Id="rId59" Type="http://schemas.openxmlformats.org/officeDocument/2006/relationships/hyperlink" Target="https://lk.regmed.ru/Register/GetPDFfromDA?ID=1544529771" TargetMode="External"/><Relationship Id="rId103" Type="http://schemas.openxmlformats.org/officeDocument/2006/relationships/hyperlink" Target="https://grls.rosminzdrav.ru/InstrImg/2025/06/20/1518412/cd0f3dff-5242-4a3d-b71e-22447afe0e73.pdf" TargetMode="External"/><Relationship Id="rId124" Type="http://schemas.openxmlformats.org/officeDocument/2006/relationships/hyperlink" Target="https://grls.rosminzdrav.ru/InstrImg/2026/01/16/1525169/a5f21ff0-2d7c-4ab8-8025-1ccbc0cf7cc6.pdf" TargetMode="External"/><Relationship Id="rId70" Type="http://schemas.openxmlformats.org/officeDocument/2006/relationships/hyperlink" Target="https://lk.regmed.ru/Register/GetPDFfromDA?ID=1621077341" TargetMode="External"/><Relationship Id="rId91" Type="http://schemas.openxmlformats.org/officeDocument/2006/relationships/hyperlink" Target="https://grls.rosminzdrav.ru/InstrImg/2025/04/08/1515924/2cb5904f-0eb6-4463-9e6d-a2aa95a7192c.pdf" TargetMode="External"/><Relationship Id="rId145" Type="http://schemas.openxmlformats.org/officeDocument/2006/relationships/hyperlink" Target="https://lk.regmed.ru/Register/GetPDFfromDA?ID=1544404631" TargetMode="External"/><Relationship Id="rId166" Type="http://schemas.openxmlformats.org/officeDocument/2006/relationships/hyperlink" Target="https://grls.rosminzdrav.ru/InstrImg/2020/11/23/146563/3780d7de-b3a2-42ee-b652-ae7a04722a90.pdf" TargetMode="External"/><Relationship Id="rId187" Type="http://schemas.openxmlformats.org/officeDocument/2006/relationships/hyperlink" Target="https://grls.rosminzdrav.ru/InstrImg/2026/04/13/1528563/1136dc5f-fe53-46a4-ba36-20995e399a16.pdf" TargetMode="External"/><Relationship Id="rId1" Type="http://schemas.openxmlformats.org/officeDocument/2006/relationships/hyperlink" Target="https://lk.regmed.ru/Register/GetPDFfromDA?ID=1597322951" TargetMode="External"/><Relationship Id="rId28" Type="http://schemas.openxmlformats.org/officeDocument/2006/relationships/hyperlink" Target="mailto:savinova@vaccina.info" TargetMode="External"/><Relationship Id="rId49" Type="http://schemas.openxmlformats.org/officeDocument/2006/relationships/hyperlink" Target="https://grls.rosminzdrav.ru/InstrImg/2025/12/30/1524922/f74ec015-a175-4792-8828-9d0c1f6547ab.pdf" TargetMode="External"/><Relationship Id="rId114" Type="http://schemas.openxmlformats.org/officeDocument/2006/relationships/hyperlink" Target="https://grls.rosminzdrav.ru/InstrImg/2022/09/09/1485745/6205a5ae-4bbb-42bf-84d2-93c4042be1cb.pdf" TargetMode="External"/><Relationship Id="rId60" Type="http://schemas.openxmlformats.org/officeDocument/2006/relationships/hyperlink" Target="https://grls.rosminzdrav.ru/InstrImg/2021/1/12/1464953/%D0%9B%D0%9F-001412%5B2019%5D_0.pdf" TargetMode="External"/><Relationship Id="rId81" Type="http://schemas.openxmlformats.org/officeDocument/2006/relationships/hyperlink" Target="https://grls.rosminzdrav.ru/InstrImg/2025/03/28/1515433/7cb66dc6-27dc-4004-ae84-1159c993bc84.pdf" TargetMode="External"/><Relationship Id="rId135" Type="http://schemas.openxmlformats.org/officeDocument/2006/relationships/hyperlink" Target="https://grls.rosminzdrav.ru/InstrImg/2023/02/09/1490961/74e94624-eabc-450e-bf32-2c1ddaca2be5.pdf" TargetMode="External"/><Relationship Id="rId156" Type="http://schemas.openxmlformats.org/officeDocument/2006/relationships/hyperlink" Target="https://grls.rosminzdrav.ru/InstrImg/2019/10/17/1448631/%D0%9B%D0%9F-001290%5B2017%5D_0.pdf" TargetMode="External"/><Relationship Id="rId177" Type="http://schemas.openxmlformats.org/officeDocument/2006/relationships/hyperlink" Target="https://grls.rosminzdrav.ru/InstrImg/2025/06/16/1518163/105870c5-93ab-426a-9043-b14a77b3a9e1.pdf"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grls.rosminzdrav.ru/InstrImg/2025/04/07/1515838/1b86346c-ace0-4de8-a757-2d3e7e4604e4.pdf" TargetMode="External"/><Relationship Id="rId21" Type="http://schemas.openxmlformats.org/officeDocument/2006/relationships/hyperlink" Target="https://grls.rosminzdrav.ru/InstrImg/2020/9/29/1461721/%D0%A0_N000461_01%5B2018%5D_0.pdf" TargetMode="External"/><Relationship Id="rId42" Type="http://schemas.openxmlformats.org/officeDocument/2006/relationships/hyperlink" Target="https://lk.regmed.ru/Register/GetPDFfromDA?ID=1633580161" TargetMode="External"/><Relationship Id="rId63" Type="http://schemas.openxmlformats.org/officeDocument/2006/relationships/hyperlink" Target="mailto:savinova@vaccina.info" TargetMode="External"/><Relationship Id="rId84" Type="http://schemas.openxmlformats.org/officeDocument/2006/relationships/hyperlink" Target="https://grls.rosminzdrav.ru/InstrImg/2024/01/11/1500686/a4e8c4ef-1a75-4265-b493-987635facdbe.pdf" TargetMode="External"/><Relationship Id="rId138" Type="http://schemas.openxmlformats.org/officeDocument/2006/relationships/hyperlink" Target="https://lk.regmed.ru/Register/GetPDFfromDA?ID=1558408561" TargetMode="External"/><Relationship Id="rId159" Type="http://schemas.openxmlformats.org/officeDocument/2006/relationships/hyperlink" Target="https://grls.rosminzdrav.ru/InstrImg/2025/12/30/1524963/862ae1b6-e8bc-417c-8173-0fa0ff6a6e52.pdf" TargetMode="External"/><Relationship Id="rId170" Type="http://schemas.openxmlformats.org/officeDocument/2006/relationships/hyperlink" Target="https://grls.rosminzdrav.ru/InstrImg/2020/11/25/140879/f4484511-f351-42f9-8a7a-85a995f31517.pdf" TargetMode="External"/><Relationship Id="rId107" Type="http://schemas.openxmlformats.org/officeDocument/2006/relationships/hyperlink" Target="mailto:savinova@vaccina.info" TargetMode="External"/><Relationship Id="rId11" Type="http://schemas.openxmlformats.org/officeDocument/2006/relationships/hyperlink" Target="https://grls.rosminzdrav.ru/InstrImg/2020/05/28/10700/9d141b34-47e7-48c8-9480-616cbbc792fc.pdf" TargetMode="External"/><Relationship Id="rId32" Type="http://schemas.openxmlformats.org/officeDocument/2006/relationships/hyperlink" Target="https://grls.rosminzdrav.ru/InstrImg/2019/8/6/1445331/%D0%9F_N011073%5B2016%5D_1.pdf" TargetMode="External"/><Relationship Id="rId53" Type="http://schemas.openxmlformats.org/officeDocument/2006/relationships/hyperlink" Target="https://lk.regmed.ru/Register/GetPDFfromDA?ID=1597558391" TargetMode="External"/><Relationship Id="rId74" Type="http://schemas.openxmlformats.org/officeDocument/2006/relationships/hyperlink" Target="mailto:savinova@vaccina.info" TargetMode="External"/><Relationship Id="rId128" Type="http://schemas.openxmlformats.org/officeDocument/2006/relationships/hyperlink" Target="https://grls.rosminzdrav.ru/InstrImg/2019/8/15/1445618/%D0%9F_N015312_01%5B2010%5D_0.pdf" TargetMode="External"/><Relationship Id="rId149" Type="http://schemas.openxmlformats.org/officeDocument/2006/relationships/hyperlink" Target="https://lk.regmed.ru/Register/GetPDFfromDA?ID=1485438071" TargetMode="External"/><Relationship Id="rId5" Type="http://schemas.openxmlformats.org/officeDocument/2006/relationships/hyperlink" Target="https://grls.rosminzdrav.ru/InstrImg/2025/06/02/1517794/d7367d9e-e745-46a7-b297-5a093bf3738a.pdf" TargetMode="External"/><Relationship Id="rId95" Type="http://schemas.openxmlformats.org/officeDocument/2006/relationships/hyperlink" Target="https://grls.rosminzdrav.ru/InstrImg/2021/09/20/1473405/41395d1f-d6e8-41d5-88fe-a1a29b28be83.pdf" TargetMode="External"/><Relationship Id="rId160" Type="http://schemas.openxmlformats.org/officeDocument/2006/relationships/hyperlink" Target="https://grls.rosminzdrav.ru/InstrImg/2024/01/23/1501030/43ed9d31-44e7-403a-a977-d714a002b9c6.pdf" TargetMode="External"/><Relationship Id="rId181" Type="http://schemas.openxmlformats.org/officeDocument/2006/relationships/hyperlink" Target="https://lk.regmed.ru/Register/GetPDFfromDA?ID=1607301531" TargetMode="External"/><Relationship Id="rId22" Type="http://schemas.openxmlformats.org/officeDocument/2006/relationships/hyperlink" Target="https://grls.rosminzdrav.ru/InstrImg/2026/05/07/1529632/54e13522-5efa-4c8c-a9b0-7ea539b4f9d1.pdf" TargetMode="External"/><Relationship Id="rId43" Type="http://schemas.openxmlformats.org/officeDocument/2006/relationships/hyperlink" Target="https://lk.regmed.ru/Register/GetPDFfromDA?ID=1523760571" TargetMode="External"/><Relationship Id="rId64" Type="http://schemas.openxmlformats.org/officeDocument/2006/relationships/hyperlink" Target="https://grls.rosminzdrav.ru/InstrImg/2022/07/11/1482961/91a975c9-b5b0-4f4e-8827-f5683ed7c461.pdf" TargetMode="External"/><Relationship Id="rId118" Type="http://schemas.openxmlformats.org/officeDocument/2006/relationships/hyperlink" Target="mailto:savinova@vaccina.info" TargetMode="External"/><Relationship Id="rId139" Type="http://schemas.openxmlformats.org/officeDocument/2006/relationships/hyperlink" Target="https://grls.rosminzdrav.ru/InstrImg/2023/03/14/1491812/20189f0f-07b3-427e-9a8a-d8006843c2d6.pdf" TargetMode="External"/><Relationship Id="rId85" Type="http://schemas.openxmlformats.org/officeDocument/2006/relationships/hyperlink" Target="mailto:savinova@vaccina.info" TargetMode="External"/><Relationship Id="rId150" Type="http://schemas.openxmlformats.org/officeDocument/2006/relationships/hyperlink" Target="https://lk.regmed.ru/Register/GetPDFfromDA?ID=1448256521" TargetMode="External"/><Relationship Id="rId171" Type="http://schemas.openxmlformats.org/officeDocument/2006/relationships/hyperlink" Target="https://lk.regmed.ru/Register/GetPDFfromDA?ID=1634791611" TargetMode="External"/><Relationship Id="rId12" Type="http://schemas.openxmlformats.org/officeDocument/2006/relationships/hyperlink" Target="https://grls.rosminzdrav.ru/InstrImg/2026/05/27/1530421/6bdc8421-6c08-4bf7-be7f-0ae5d96a478d.pdf" TargetMode="External"/><Relationship Id="rId33" Type="http://schemas.openxmlformats.org/officeDocument/2006/relationships/hyperlink" Target="https://lk.regmed.ru/Register/GetPDFfromDA?ID=1611660161" TargetMode="External"/><Relationship Id="rId108" Type="http://schemas.openxmlformats.org/officeDocument/2006/relationships/hyperlink" Target="https://grls.rosminzdrav.ru/InstrImg/2023/03/01/1491468/c8da2905-b80e-470c-adc7-c40c03707ddd.pdf" TargetMode="External"/><Relationship Id="rId129" Type="http://schemas.openxmlformats.org/officeDocument/2006/relationships/hyperlink" Target="mailto:savinova@vaccina.info" TargetMode="External"/><Relationship Id="rId54" Type="http://schemas.openxmlformats.org/officeDocument/2006/relationships/hyperlink" Target="https://grls.rosminzdrav.ru/InstrImg/2025/06/19/1518378/557245be-23d7-4913-9af3-4fa130d3c97f.pdf" TargetMode="External"/><Relationship Id="rId75" Type="http://schemas.openxmlformats.org/officeDocument/2006/relationships/hyperlink" Target="https://grls.rosminzdrav.ru/InstrImg/2017/4/26/1416345/%D0%A0_N002667_01%5B2012%5D_0.pdf" TargetMode="External"/><Relationship Id="rId96" Type="http://schemas.openxmlformats.org/officeDocument/2006/relationships/hyperlink" Target="mailto:savinova@vaccina.info" TargetMode="External"/><Relationship Id="rId140" Type="http://schemas.openxmlformats.org/officeDocument/2006/relationships/hyperlink" Target="mailto:savinova@vaccina.info" TargetMode="External"/><Relationship Id="rId161" Type="http://schemas.openxmlformats.org/officeDocument/2006/relationships/hyperlink" Target="https://grls.rosminzdrav.ru/InstrImg/2020/06/11/1206428/53252686-7415-4f30-bdba-632b434439f9.pdf" TargetMode="External"/><Relationship Id="rId182" Type="http://schemas.openxmlformats.org/officeDocument/2006/relationships/hyperlink" Target="https://grls.rosminzdrav.ru/InstrImg/2024/12/09/1511749/a4738d52-4ff6-4599-a566-530f55491e76.pdf" TargetMode="External"/><Relationship Id="rId6" Type="http://schemas.openxmlformats.org/officeDocument/2006/relationships/hyperlink" Target="mailto:savinova@vaccina.info" TargetMode="External"/><Relationship Id="rId23" Type="http://schemas.openxmlformats.org/officeDocument/2006/relationships/hyperlink" Target="https://lk.regmed.ru/Register/GetPDFfromDA?ID=1607490831" TargetMode="External"/><Relationship Id="rId119" Type="http://schemas.openxmlformats.org/officeDocument/2006/relationships/hyperlink" Target="https://lk.regmed.ru/Register/GetPDFfromDA?ID=1545562701" TargetMode="External"/><Relationship Id="rId44" Type="http://schemas.openxmlformats.org/officeDocument/2006/relationships/hyperlink" Target="https://grls.rosminzdrav.ru/InstrImg/2026/02/10/1526281/07a2f661-6334-4894-8117-0ad7563ba4ef.pdf" TargetMode="External"/><Relationship Id="rId65" Type="http://schemas.openxmlformats.org/officeDocument/2006/relationships/hyperlink" Target="https://grls.rosminzdrav.ru/InstrImg/2025/07/25/1519625/ca601e77-829c-48a9-b9b5-204e5b86aa88.pdf" TargetMode="External"/><Relationship Id="rId86" Type="http://schemas.openxmlformats.org/officeDocument/2006/relationships/hyperlink" Target="https://lk.regmed.ru/Register/GetPDFfromDA?ID=1626767261" TargetMode="External"/><Relationship Id="rId130" Type="http://schemas.openxmlformats.org/officeDocument/2006/relationships/hyperlink" Target="https://grls.rosminzdrav.ru/InstrImg/2019/8/14/1445562/%D0%9F_N013657_01%5B2009%5D_0.pdf" TargetMode="External"/><Relationship Id="rId151" Type="http://schemas.openxmlformats.org/officeDocument/2006/relationships/hyperlink" Target="https://lk.regmed.ru/Register/GetPDFfromDA?ID=1501926911" TargetMode="External"/><Relationship Id="rId172" Type="http://schemas.openxmlformats.org/officeDocument/2006/relationships/hyperlink" Target="https://grls.rosminzdrav.ru/InstrImg/2020/06/18/1452053/3993efd1-cdd7-4127-88ae-330ac7a6d1c1.pdf" TargetMode="External"/><Relationship Id="rId13" Type="http://schemas.openxmlformats.org/officeDocument/2006/relationships/hyperlink" Target="https://grls.rosminzdrav.ru/InstrImg/2025/12/04/1523945/374687b9-516b-4eb9-9e34-640e88c2e1e2.pdf" TargetMode="External"/><Relationship Id="rId18" Type="http://schemas.openxmlformats.org/officeDocument/2006/relationships/hyperlink" Target="mailto:savinova@vaccina.info" TargetMode="External"/><Relationship Id="rId39" Type="http://schemas.openxmlformats.org/officeDocument/2006/relationships/hyperlink" Target="https://grls.rosminzdrav.ru/InstrImg/2020/11/23/1413288/cb3a391e-05f5-41e6-9963-8f102193f7e0.pdf" TargetMode="External"/><Relationship Id="rId109" Type="http://schemas.openxmlformats.org/officeDocument/2006/relationships/hyperlink" Target="https://lk.regmed.ru/Register/GetPDFfromDA?ID=1641359721" TargetMode="External"/><Relationship Id="rId34" Type="http://schemas.openxmlformats.org/officeDocument/2006/relationships/hyperlink" Target="https://lk.regmed.ru/Register/GetPDFfromDA?ID=1575625191" TargetMode="External"/><Relationship Id="rId50" Type="http://schemas.openxmlformats.org/officeDocument/2006/relationships/hyperlink" Target="https://grls.rosminzdrav.ru/InstrImg/2025/12/30/1524922/f74ec015-a175-4792-8828-9d0c1f6547ab.pdf" TargetMode="External"/><Relationship Id="rId55" Type="http://schemas.openxmlformats.org/officeDocument/2006/relationships/hyperlink" Target="https://grls.rosminzdrav.ru/InstrImg/2022/09/20/1485497/d454a4ed-f278-470c-9ca3-82a7d582e3aa.pdf" TargetMode="External"/><Relationship Id="rId76" Type="http://schemas.openxmlformats.org/officeDocument/2006/relationships/hyperlink" Target="https://grls.rosminzdrav.ru/InstrImg/2021/1/19/1465274/%D0%9F_N012585_01%5B2014%5D_0.pdf" TargetMode="External"/><Relationship Id="rId97" Type="http://schemas.openxmlformats.org/officeDocument/2006/relationships/hyperlink" Target="https://grls.rosminzdrav.ru/InstrImg/2020/11/27/1463688/%D0%A0_N002481_01%5B2020%5D_0.pdf" TargetMode="External"/><Relationship Id="rId104" Type="http://schemas.openxmlformats.org/officeDocument/2006/relationships/hyperlink" Target="https://grls.rosminzdrav.ru/InstrImg/2025/06/20/1518412/cd0f3dff-5242-4a3d-b71e-22447afe0e73.pdf" TargetMode="External"/><Relationship Id="rId120" Type="http://schemas.openxmlformats.org/officeDocument/2006/relationships/hyperlink" Target="https://grls.rosminzdrav.ru/InstrImg/2020/12/02/1423524/629a6384-1db2-499f-afb1-e87dac723b9a.pdf" TargetMode="External"/><Relationship Id="rId125" Type="http://schemas.openxmlformats.org/officeDocument/2006/relationships/hyperlink" Target="https://grls.rosminzdrav.ru/InstrImg/2026/01/16/1525169/a5f21ff0-2d7c-4ab8-8025-1ccbc0cf7cc6.pdf" TargetMode="External"/><Relationship Id="rId141" Type="http://schemas.openxmlformats.org/officeDocument/2006/relationships/hyperlink" Target="https://lk.regmed.ru/Register/GetPDFfromDA?ID=1589687781" TargetMode="External"/><Relationship Id="rId146" Type="http://schemas.openxmlformats.org/officeDocument/2006/relationships/hyperlink" Target="https://lk.regmed.ru/Register/GetPDFfromDA?ID=1544404631" TargetMode="External"/><Relationship Id="rId167" Type="http://schemas.openxmlformats.org/officeDocument/2006/relationships/hyperlink" Target="https://grls.rosminzdrav.ru/InstrImg/2020/11/23/146563/3780d7de-b3a2-42ee-b652-ae7a04722a90.pdf" TargetMode="External"/><Relationship Id="rId188" Type="http://schemas.openxmlformats.org/officeDocument/2006/relationships/hyperlink" Target="https://grls.rosminzdrav.ru/InstrImg/2026/04/13/1528563/1136dc5f-fe53-46a4-ba36-20995e399a16.pdf" TargetMode="External"/><Relationship Id="rId7" Type="http://schemas.openxmlformats.org/officeDocument/2006/relationships/hyperlink" Target="https://lk.regmed.ru/Register/GetPDFfromDA?ID=1484709711" TargetMode="External"/><Relationship Id="rId71" Type="http://schemas.openxmlformats.org/officeDocument/2006/relationships/hyperlink" Target="https://lk.regmed.ru/Register/GetPDFfromDA?ID=1621077341" TargetMode="External"/><Relationship Id="rId92" Type="http://schemas.openxmlformats.org/officeDocument/2006/relationships/hyperlink" Target="https://grls.rosminzdrav.ru/InstrImg/2025/04/08/1515924/2cb5904f-0eb6-4463-9e6d-a2aa95a7192c.pdf" TargetMode="External"/><Relationship Id="rId162" Type="http://schemas.openxmlformats.org/officeDocument/2006/relationships/hyperlink" Target="https://grls.rosminzdrav.ru/InstrImg/2019/06/30/739/1fca1237-4a6a-4bdd-b176-7ef01c56c1bf.pdf" TargetMode="External"/><Relationship Id="rId183" Type="http://schemas.openxmlformats.org/officeDocument/2006/relationships/hyperlink" Target="https://grls.rosminzdrav.ru/InstrImg/2025/03/25/1515160/e4c206af-2701-4f99-a45f-09d998ef0935.pdf" TargetMode="External"/><Relationship Id="rId2" Type="http://schemas.openxmlformats.org/officeDocument/2006/relationships/hyperlink" Target="mailto:savinova@vaccina.info" TargetMode="External"/><Relationship Id="rId29" Type="http://schemas.openxmlformats.org/officeDocument/2006/relationships/hyperlink" Target="mailto:savinova@vaccina.info" TargetMode="External"/><Relationship Id="rId24" Type="http://schemas.openxmlformats.org/officeDocument/2006/relationships/hyperlink" Target="https://lk.regmed.ru/Register/GetPDFfromDA?ID=1607490831" TargetMode="External"/><Relationship Id="rId40" Type="http://schemas.openxmlformats.org/officeDocument/2006/relationships/hyperlink" Target="https://lk.regmed.ru/Register/GetPDFfromDA?ID=1512826451" TargetMode="External"/><Relationship Id="rId45" Type="http://schemas.openxmlformats.org/officeDocument/2006/relationships/hyperlink" Target="https://grls.rosminzdrav.ru/InstrImg/2021/12/14/1476333/f3799188-0d95-48db-a0ce-bb1396d44765.pdf" TargetMode="External"/><Relationship Id="rId66" Type="http://schemas.openxmlformats.org/officeDocument/2006/relationships/hyperlink" Target="https://grls.rosminzdrav.ru/InstrImg/2024/12/19/1512043/59e764b9-60fd-455d-b6fc-d0056460286e.pdf" TargetMode="External"/><Relationship Id="rId87" Type="http://schemas.openxmlformats.org/officeDocument/2006/relationships/hyperlink" Target="https://grls.rosminzdrav.ru/InstrImg/2021/10/22/1474770/84220d47-9ed2-44e3-a2d3-89170a0f96d8.pdf" TargetMode="External"/><Relationship Id="rId110" Type="http://schemas.openxmlformats.org/officeDocument/2006/relationships/hyperlink" Target="https://grls.rosminzdrav.ru/InstrImg/2020/11/27/1463649/%D0%9B%D0%9F-000499%5B2016%5D_0.pdf" TargetMode="External"/><Relationship Id="rId115" Type="http://schemas.openxmlformats.org/officeDocument/2006/relationships/hyperlink" Target="https://grls.rosminzdrav.ru/InstrImg/2022/09/09/1485745/6205a5ae-4bbb-42bf-84d2-93c4042be1cb.pdf" TargetMode="External"/><Relationship Id="rId131" Type="http://schemas.openxmlformats.org/officeDocument/2006/relationships/hyperlink" Target="https://grls.rosminzdrav.ru/InstrImg/2023/07/19/1495141/8a2ba9a0-eb39-4368-9a0d-f81451183bb0.pdf" TargetMode="External"/><Relationship Id="rId136" Type="http://schemas.openxmlformats.org/officeDocument/2006/relationships/hyperlink" Target="mailto:savinova@vaccina.info" TargetMode="External"/><Relationship Id="rId157" Type="http://schemas.openxmlformats.org/officeDocument/2006/relationships/hyperlink" Target="https://grls.rosminzdrav.ru/InstrImg/2019/10/17/1448631/%D0%9B%D0%9F-001290%5B2017%5D_0.pdf" TargetMode="External"/><Relationship Id="rId178" Type="http://schemas.openxmlformats.org/officeDocument/2006/relationships/hyperlink" Target="https://grls.rosminzdrav.ru/InstrImg/2025/06/16/1518163/105870c5-93ab-426a-9043-b14a77b3a9e1.pdf" TargetMode="External"/><Relationship Id="rId61" Type="http://schemas.openxmlformats.org/officeDocument/2006/relationships/hyperlink" Target="https://grls.rosminzdrav.ru/InstrImg/2021/1/12/1464953/%D0%9B%D0%9F-001412%5B2019%5D_0.pdf" TargetMode="External"/><Relationship Id="rId82" Type="http://schemas.openxmlformats.org/officeDocument/2006/relationships/hyperlink" Target="https://grls.rosminzdrav.ru/InstrImg/2025/03/28/1515433/7cb66dc6-27dc-4004-ae84-1159c993bc84.pdf" TargetMode="External"/><Relationship Id="rId152" Type="http://schemas.openxmlformats.org/officeDocument/2006/relationships/hyperlink" Target="https://grls.rosminzdrav.ru/InstrImg/2026/05/19/1529992/3e4bff0f-b904-49bd-8f8c-cf901c4749df.pdf" TargetMode="External"/><Relationship Id="rId173" Type="http://schemas.openxmlformats.org/officeDocument/2006/relationships/hyperlink" Target="https://grls.rosminzdrav.ru/InstrImg/2025/06/02/1517810/7b7b0a6f-2d36-481e-a964-4e8d04031cd7.pdf" TargetMode="External"/><Relationship Id="rId19" Type="http://schemas.openxmlformats.org/officeDocument/2006/relationships/hyperlink" Target="https://grls.rosminzdrav.ru/InstrImg/2018/7/19/1423955/%D0%A0_N002668_01%5B2012%5D_0.pdf" TargetMode="External"/><Relationship Id="rId14" Type="http://schemas.openxmlformats.org/officeDocument/2006/relationships/hyperlink" Target="https://grls.rosminzdrav.ru/InstrImg/2026/06/02/1530636/e301156c-c7d5-45d7-bf58-5346c270c493.pdf" TargetMode="External"/><Relationship Id="rId30" Type="http://schemas.openxmlformats.org/officeDocument/2006/relationships/hyperlink" Target="https://grls.rosminzdrav.ru/InstrImg/2019/8/6/1445331/%D0%9F_N011073%5B2016%5D_1.pdf" TargetMode="External"/><Relationship Id="rId35" Type="http://schemas.openxmlformats.org/officeDocument/2006/relationships/hyperlink" Target="https://grls.rosminzdrav.ru/InstrImg/2025/07/21/1519595/f7c8e9e3-baf4-4c2e-949f-a41b75a8ad7c.pdf" TargetMode="External"/><Relationship Id="rId56" Type="http://schemas.openxmlformats.org/officeDocument/2006/relationships/hyperlink" Target="https://lk.regmed.ru/Register/GetPDFfromDA?ID=1583272671" TargetMode="External"/><Relationship Id="rId77" Type="http://schemas.openxmlformats.org/officeDocument/2006/relationships/hyperlink" Target="https://grls.rosminzdrav.ru/InstrImg/2021/1/19/1465274/%D0%9F_N012585_01%5B2014%5D_0.pdf" TargetMode="External"/><Relationship Id="rId100" Type="http://schemas.openxmlformats.org/officeDocument/2006/relationships/hyperlink" Target="https://grls.rosminzdrav.ru/InstrImg/2026/02/06/1526184/204c2bdf-4b3b-45c5-b641-f7ce1ae753b3.pdf" TargetMode="External"/><Relationship Id="rId105" Type="http://schemas.openxmlformats.org/officeDocument/2006/relationships/hyperlink" Target="https://grls.rosminzdrav.ru/InstrImg/2022/07/01/1482554/5f33ae33-eaa6-4ca5-aed1-e39900dc85a6.pdf" TargetMode="External"/><Relationship Id="rId126" Type="http://schemas.openxmlformats.org/officeDocument/2006/relationships/hyperlink" Target="https://lk.regmed.ru/Register/GetPDFfromDA?ID=1574006211" TargetMode="External"/><Relationship Id="rId147" Type="http://schemas.openxmlformats.org/officeDocument/2006/relationships/hyperlink" Target="https://lk.regmed.ru/Register/GetPDFfromDA?ID=1501096611" TargetMode="External"/><Relationship Id="rId168" Type="http://schemas.openxmlformats.org/officeDocument/2006/relationships/hyperlink" Target="https://grls.rosminzdrav.ru/InstrImg/2025/02/28/1514525/002c6594-b19d-4b5a-a79c-60853ca8612c.pdf" TargetMode="External"/><Relationship Id="rId8" Type="http://schemas.openxmlformats.org/officeDocument/2006/relationships/hyperlink" Target="mailto:savinova@vaccina.info" TargetMode="External"/><Relationship Id="rId51" Type="http://schemas.openxmlformats.org/officeDocument/2006/relationships/hyperlink" Target="https://grls.rosminzdrav.ru/InstrImg/2020/10/15/1462300/%D0%A0_N001586_01%5B2007%5D_0.pdf" TargetMode="External"/><Relationship Id="rId72" Type="http://schemas.openxmlformats.org/officeDocument/2006/relationships/hyperlink" Target="https://grls.rosminzdrav.ru/InstrImg/2016/4/4/37565/%D0%9F_N015218_01%5B2009%5D_0.pdf" TargetMode="External"/><Relationship Id="rId93" Type="http://schemas.openxmlformats.org/officeDocument/2006/relationships/hyperlink" Target="https://grls.rosminzdrav.ru/InstrImg/2019/10/25/1448929/%D0%A0_N001273_01%5B2019%5D_0.pdf" TargetMode="External"/><Relationship Id="rId98" Type="http://schemas.openxmlformats.org/officeDocument/2006/relationships/hyperlink" Target="https://grls.rosminzdrav.ru/InstrImg/2025/02/06/1513573/c7fd0ba6-d018-4726-b9e2-1ae791edec76.pdf" TargetMode="External"/><Relationship Id="rId121" Type="http://schemas.openxmlformats.org/officeDocument/2006/relationships/hyperlink" Target="https://grls.rosminzdrav.ru/InstrImg/2019/06/29/1424317/a2b80c77-0857-4a1d-a948-36a987511e54.pdf" TargetMode="External"/><Relationship Id="rId142" Type="http://schemas.openxmlformats.org/officeDocument/2006/relationships/hyperlink" Target="https://grls.rosminzdrav.ru/InstrImg/2026/01/22/1525402/07c3adec-cd5e-49f6-9bc3-7a3e029cd98c.pdf" TargetMode="External"/><Relationship Id="rId163" Type="http://schemas.openxmlformats.org/officeDocument/2006/relationships/hyperlink" Target="https://grls.rosminzdrav.ru/InstrImg/2020/06/01/1422432/8314c8e6-25f4-4bd2-97f0-1a3b881e7dcb.pdf" TargetMode="External"/><Relationship Id="rId184" Type="http://schemas.openxmlformats.org/officeDocument/2006/relationships/hyperlink" Target="https://grls.rosminzdrav.ru/InstrImg/2025/03/14/1514899/44c72a47-2cd3-4a92-b136-0902c17fafb6.pdf" TargetMode="External"/><Relationship Id="rId189" Type="http://schemas.openxmlformats.org/officeDocument/2006/relationships/hyperlink" Target="https://grls.rosminzdrav.ru/InstrImg/2026/04/13/1528638/81dbfeae-d02c-4909-ae9d-1b3092cc89e9.pdf" TargetMode="External"/><Relationship Id="rId3" Type="http://schemas.openxmlformats.org/officeDocument/2006/relationships/hyperlink" Target="https://lk.regmed.ru/Register/GetPDFfromDA?ID=1597318981" TargetMode="External"/><Relationship Id="rId25" Type="http://schemas.openxmlformats.org/officeDocument/2006/relationships/hyperlink" Target="https://grls.rosminzdrav.ru/InstrImg/2021/10/06/1474149/9fb37d4d-6fc7-451d-ae8b-ff2258dcae40.pdf" TargetMode="External"/><Relationship Id="rId46" Type="http://schemas.openxmlformats.org/officeDocument/2006/relationships/hyperlink" Target="https://grls.rosminzdrav.ru/InstrImg/2026/03/05/1527284/4a34f8fb-090f-4a41-bab9-0d4194977316.pdf" TargetMode="External"/><Relationship Id="rId67" Type="http://schemas.openxmlformats.org/officeDocument/2006/relationships/hyperlink" Target="https://lk.regmed.ru/Register/GetPDFfromDA?ID=1649843881" TargetMode="External"/><Relationship Id="rId116" Type="http://schemas.openxmlformats.org/officeDocument/2006/relationships/hyperlink" Target="https://lk.regmed.ru/Register/GetPDFfromDA?ID=1512826451" TargetMode="External"/><Relationship Id="rId137" Type="http://schemas.openxmlformats.org/officeDocument/2006/relationships/hyperlink" Target="https://grls.rosminzdrav.ru/InstrImg/2023/02/09/1490961/74e94624-eabc-450e-bf32-2c1ddaca2be5.pdf" TargetMode="External"/><Relationship Id="rId158" Type="http://schemas.openxmlformats.org/officeDocument/2006/relationships/hyperlink" Target="https://grls.rosminzdrav.ru/InstrImg/2020/06/03/37799/c7a7977e-fea0-4451-80db-bfd751ccf3f6.pdf" TargetMode="External"/><Relationship Id="rId20" Type="http://schemas.openxmlformats.org/officeDocument/2006/relationships/hyperlink" Target="https://lk.regmed.ru/Register/GetPDFfromDA?ID=1592320751" TargetMode="External"/><Relationship Id="rId41" Type="http://schemas.openxmlformats.org/officeDocument/2006/relationships/hyperlink" Target="mailto:savinova@vaccina.info" TargetMode="External"/><Relationship Id="rId62" Type="http://schemas.openxmlformats.org/officeDocument/2006/relationships/hyperlink" Target="https://lk.regmed.ru/Register/GetPDFfromDA?ID=1509638211" TargetMode="External"/><Relationship Id="rId83" Type="http://schemas.openxmlformats.org/officeDocument/2006/relationships/hyperlink" Target="https://grls.rosminzdrav.ru/InstrImg/2025/06/10/1518039/2f088da7-8272-4666-bcb6-a2e0826808b5.pdf" TargetMode="External"/><Relationship Id="rId88" Type="http://schemas.openxmlformats.org/officeDocument/2006/relationships/hyperlink" Target="https://grls.rosminzdrav.ru/InstrImg/2021/07/22/86490/fa07de3f-3b07-40e8-b027-068e2a19359f.pdf" TargetMode="External"/><Relationship Id="rId111" Type="http://schemas.openxmlformats.org/officeDocument/2006/relationships/hyperlink" Target="https://grls.rosminzdrav.ru/InstrImg/2026/03/04/1527238/fe2adafe-5094-4da2-bbba-1a640a0ceb4e.pdf" TargetMode="External"/><Relationship Id="rId132" Type="http://schemas.openxmlformats.org/officeDocument/2006/relationships/hyperlink" Target="https://grls.rosminzdrav.ru/InstrImg/2020/4/29/1456610/%D0%9F_N013850_01%5B2014%5D_0.pdf" TargetMode="External"/><Relationship Id="rId153" Type="http://schemas.openxmlformats.org/officeDocument/2006/relationships/hyperlink" Target="https://grls.rosminzdrav.ru/InstrImg/2025/01/09/1512384/c6523a43-f889-4421-a55b-e3e8be3bdc34.pdf" TargetMode="External"/><Relationship Id="rId174" Type="http://schemas.openxmlformats.org/officeDocument/2006/relationships/hyperlink" Target="https://grls.rosminzdrav.ru/InstrImg/2025/03/25/1515266/f7896710-fb4c-49f0-9e20-d6272771ab13.pdf" TargetMode="External"/><Relationship Id="rId179" Type="http://schemas.openxmlformats.org/officeDocument/2006/relationships/hyperlink" Target="https://grls.rosminzdrav.ru/InstrImg/2025/07/09/1519029/0d8fd7ae-7b89-4160-9ecd-4b0646f6482f.pdf" TargetMode="External"/><Relationship Id="rId15" Type="http://schemas.openxmlformats.org/officeDocument/2006/relationships/hyperlink" Target="https://lk.regmed.ru/Register/GetPDFfromDA?ID=1601683231" TargetMode="External"/><Relationship Id="rId36" Type="http://schemas.openxmlformats.org/officeDocument/2006/relationships/hyperlink" Target="https://grls.rosminzdrav.ru/InstrImg/2022/03/24/1479420/3838bcfc-cc6a-448b-abf8-404668c05a34.pdf" TargetMode="External"/><Relationship Id="rId57" Type="http://schemas.openxmlformats.org/officeDocument/2006/relationships/hyperlink" Target="https://lk.regmed.ru/Register/GetPDFfromDA?ID=1581523381" TargetMode="External"/><Relationship Id="rId106" Type="http://schemas.openxmlformats.org/officeDocument/2006/relationships/hyperlink" Target="https://grls.rosminzdrav.ru/InstrImg/2026/01/22/1525392/c4730a97-f7f4-406f-954c-6a6bed44be35.pdf" TargetMode="External"/><Relationship Id="rId127" Type="http://schemas.openxmlformats.org/officeDocument/2006/relationships/hyperlink" Target="https://grls.rosminzdrav.ru/InstrImg/2023/07/13/1494926/d8440e50-44f6-4e4b-a50d-64608384e586.pdf" TargetMode="External"/><Relationship Id="rId10" Type="http://schemas.openxmlformats.org/officeDocument/2006/relationships/hyperlink" Target="https://grls.rosminzdrav.ru/InstrImg/2017/4/26/1416322/%D0%A0_N002666_01%5B2013%5D_0.pdf" TargetMode="External"/><Relationship Id="rId31" Type="http://schemas.openxmlformats.org/officeDocument/2006/relationships/hyperlink" Target="mailto:savinova@vaccina.info" TargetMode="External"/><Relationship Id="rId52" Type="http://schemas.openxmlformats.org/officeDocument/2006/relationships/hyperlink" Target="mailto:savinova@vaccina.info" TargetMode="External"/><Relationship Id="rId73" Type="http://schemas.openxmlformats.org/officeDocument/2006/relationships/hyperlink" Target="https://grls.rosminzdrav.ru/InstrImg/2024/12/05/1511721/ee78b171-6cf3-474c-9f58-0391a7a5b91f.pdf" TargetMode="External"/><Relationship Id="rId78" Type="http://schemas.openxmlformats.org/officeDocument/2006/relationships/hyperlink" Target="https://grls.rosminzdrav.ru/InstrImg/2025/09/15/1521458/990be5c7-4178-4812-a999-fd00eaeb3d60.pdf" TargetMode="External"/><Relationship Id="rId94" Type="http://schemas.openxmlformats.org/officeDocument/2006/relationships/hyperlink" Target="https://grls.rosminzdrav.ru/InstrImg/2020/08/24/86488/1ed689ab-55e8-4379-9b04-687068382c27.pdf" TargetMode="External"/><Relationship Id="rId99" Type="http://schemas.openxmlformats.org/officeDocument/2006/relationships/hyperlink" Target="https://grls.rosminzdrav.ru/InstrImg/2022/12/12/1489555/281290ac-8b7f-4930-a191-7eff9a7cb147.pdf" TargetMode="External"/><Relationship Id="rId101" Type="http://schemas.openxmlformats.org/officeDocument/2006/relationships/hyperlink" Target="https://grls.rosminzdrav.ru/InstrImg/2021/6/4/1469733/%D0%A0_N000661_01%5B2017%5D_0.pdf" TargetMode="External"/><Relationship Id="rId122" Type="http://schemas.openxmlformats.org/officeDocument/2006/relationships/hyperlink" Target="https://lk.regmed.ru/Register/GetPDFfromDA?ID=1497046991" TargetMode="External"/><Relationship Id="rId143" Type="http://schemas.openxmlformats.org/officeDocument/2006/relationships/hyperlink" Target="https://grls.rosminzdrav.ru/InstrImg/2025/10/30/1523008/59dd5156-957b-4de5-86c8-83d284b70f65.pdf" TargetMode="External"/><Relationship Id="rId148" Type="http://schemas.openxmlformats.org/officeDocument/2006/relationships/hyperlink" Target="https://lk.regmed.ru/Register/GetPDFfromDA?ID=1494836031" TargetMode="External"/><Relationship Id="rId164" Type="http://schemas.openxmlformats.org/officeDocument/2006/relationships/hyperlink" Target="https://grls.rosminzdrav.ru/InstrImg/2020/05/28/37407/eca15fe8-8706-4bd3-9148-1f54c5ab52ed.pdf" TargetMode="External"/><Relationship Id="rId169" Type="http://schemas.openxmlformats.org/officeDocument/2006/relationships/hyperlink" Target="https://grls.rosminzdrav.ru/InstrImg/2025/03/27/1515398/ec0df501-9186-4e20-ae68-c07f28302f7b.pdf" TargetMode="External"/><Relationship Id="rId185" Type="http://schemas.openxmlformats.org/officeDocument/2006/relationships/hyperlink" Target="https://grls.rosminzdrav.ru/InstrImg/2025/04/04/1515791/731944c3-c908-4ee4-8479-026ab476fc4b.pdf" TargetMode="External"/><Relationship Id="rId4" Type="http://schemas.openxmlformats.org/officeDocument/2006/relationships/hyperlink" Target="https://grls.rosminzdrav.ru/InstrImg/2025/05/19/1517351/3bec22d2-65bc-4a94-9482-413901e57760.pdf" TargetMode="External"/><Relationship Id="rId9" Type="http://schemas.openxmlformats.org/officeDocument/2006/relationships/hyperlink" Target="https://lk.regmed.ru/Register/GetPDFfromDA?ID=1587927891" TargetMode="External"/><Relationship Id="rId180" Type="http://schemas.openxmlformats.org/officeDocument/2006/relationships/hyperlink" Target="https://grls.rosminzdrav.ru/InstrImg/2025/12/30/1524963/862ae1b6-e8bc-417c-8173-0fa0ff6a6e52.pdf" TargetMode="External"/><Relationship Id="rId26" Type="http://schemas.openxmlformats.org/officeDocument/2006/relationships/hyperlink" Target="https://grls.rosminzdrav.ru/InstrImg/2021/10/06/1474147/01e6e663-0f1b-4047-bdc9-365d6ba31c8a.pdf" TargetMode="External"/><Relationship Id="rId47" Type="http://schemas.openxmlformats.org/officeDocument/2006/relationships/hyperlink" Target="https://lk.regmed.ru/Register/GetPDFfromDA?ID=1612604181" TargetMode="External"/><Relationship Id="rId68" Type="http://schemas.openxmlformats.org/officeDocument/2006/relationships/hyperlink" Target="https://grls.rosminzdrav.ru/InstrImg/2022/11/25/1488723/80c7b6fb-3d8f-4ee9-9610-da77ce371e71.pdf" TargetMode="External"/><Relationship Id="rId89" Type="http://schemas.openxmlformats.org/officeDocument/2006/relationships/hyperlink" Target="https://grls.rosminzdrav.ru/InstrImg/2020/06/13/86486/607fd14a-da55-42fe-8db7-52767fd34cc2.pdf" TargetMode="External"/><Relationship Id="rId112" Type="http://schemas.openxmlformats.org/officeDocument/2006/relationships/hyperlink" Target="https://grls.rosminzdrav.ru/InstrImg/2025/06/16/1518193/6df836e1-9750-4ca5-be05-590641b808ac.pdf" TargetMode="External"/><Relationship Id="rId133" Type="http://schemas.openxmlformats.org/officeDocument/2006/relationships/hyperlink" Target="https://grls.rosminzdrav.ru/InstrImg/2020/12/15/1464278/%D0%9F_N015829_01%5B2012%5D_0.pdf" TargetMode="External"/><Relationship Id="rId154" Type="http://schemas.openxmlformats.org/officeDocument/2006/relationships/hyperlink" Target="https://grls.rosminzdrav.ru/InstrImg/2023/11/15/1499083/aedb6c35-3db8-494a-a41e-8ffc737dc35b.pdf" TargetMode="External"/><Relationship Id="rId175" Type="http://schemas.openxmlformats.org/officeDocument/2006/relationships/hyperlink" Target="https://grls.rosminzdrav.ru/InstrImg/2019/6/10/1440397/%D0%9F_N014879_01-2003%5B2003%5D_0.pdf" TargetMode="External"/><Relationship Id="rId16" Type="http://schemas.openxmlformats.org/officeDocument/2006/relationships/hyperlink" Target="https://lk.regmed.ru/Register/GetPDFfromDA?ID=1605321651" TargetMode="External"/><Relationship Id="rId37" Type="http://schemas.openxmlformats.org/officeDocument/2006/relationships/hyperlink" Target="https://grls.rosminzdrav.ru/InstrImg/2023/01/09/1490224/e76560fa-e72e-49eb-8daf-91f3d1403e22.pdf" TargetMode="External"/><Relationship Id="rId58" Type="http://schemas.openxmlformats.org/officeDocument/2006/relationships/hyperlink" Target="https://lk.regmed.ru/Register/GetPDFfromDA?ID=1574028031" TargetMode="External"/><Relationship Id="rId79" Type="http://schemas.openxmlformats.org/officeDocument/2006/relationships/hyperlink" Target="https://grls.rosminzdrav.ru/InstrImg/2025/09/15/1521458/990be5c7-4178-4812-a999-fd00eaeb3d60.pdf" TargetMode="External"/><Relationship Id="rId102" Type="http://schemas.openxmlformats.org/officeDocument/2006/relationships/hyperlink" Target="https://grls.rosminzdrav.ru/InstrImg/2026/02/03/1525996/748a2896-887a-40f1-82c0-510ac345461d.pdf" TargetMode="External"/><Relationship Id="rId123" Type="http://schemas.openxmlformats.org/officeDocument/2006/relationships/hyperlink" Target="https://grls.rosminzdrav.ru/InstrImg/2025/06/02/1517806/3c9102ff-eafa-47bc-b83f-eb05cfac1092.pdf" TargetMode="External"/><Relationship Id="rId144" Type="http://schemas.openxmlformats.org/officeDocument/2006/relationships/hyperlink" Target="https://grls.rosminzdrav.ru/InstrImg/2020/06/16/1416543/cc00d61d-e7e3-4d66-bfd4-02dc184c0de6.pdf" TargetMode="External"/><Relationship Id="rId90" Type="http://schemas.openxmlformats.org/officeDocument/2006/relationships/hyperlink" Target="https://grls.rosminzdrav.ru/InstrImg/2021/7/6/1470535/%D0%9B%D0%A1%D0%A0-005759_08%5B2020%5D_0.pdf" TargetMode="External"/><Relationship Id="rId165" Type="http://schemas.openxmlformats.org/officeDocument/2006/relationships/hyperlink" Target="https://grls.rosminzdrav.ru/InstrImg/2020/11/20/1414272/ad633910-6fd8-473c-8c81-dc945f343f42.pdf" TargetMode="External"/><Relationship Id="rId186" Type="http://schemas.openxmlformats.org/officeDocument/2006/relationships/hyperlink" Target="https://grls.rosminzdrav.ru/InstrImg/2021/09/20/1473405/41395d1f-d6e8-41d5-88fe-a1a29b28be83.pdf" TargetMode="External"/><Relationship Id="rId27" Type="http://schemas.openxmlformats.org/officeDocument/2006/relationships/hyperlink" Target="https://grls.rosminzdrav.ru/InstrImg/2025/06/16/1518193/6df836e1-9750-4ca5-be05-590641b808ac.pdf" TargetMode="External"/><Relationship Id="rId48" Type="http://schemas.openxmlformats.org/officeDocument/2006/relationships/hyperlink" Target="https://grls.rosminzdrav.ru/InstrImg/2025/05/26/1517557/95b8d8b7-23f5-4e99-a4f7-efc667459b50.pdf" TargetMode="External"/><Relationship Id="rId69" Type="http://schemas.openxmlformats.org/officeDocument/2006/relationships/hyperlink" Target="https://grls.rosminzdrav.ru/InstrImg/2017/6/22/1417297/%D0%9B%D0%A1-001296%5B2012%5D_0.pdf" TargetMode="External"/><Relationship Id="rId113" Type="http://schemas.openxmlformats.org/officeDocument/2006/relationships/hyperlink" Target="https://lk.regmed.ru/Register/GetPDFfromDA?ID=1596978511" TargetMode="External"/><Relationship Id="rId134" Type="http://schemas.openxmlformats.org/officeDocument/2006/relationships/hyperlink" Target="https://grls.rosminzdrav.ru/InstrImg/2016/6/9/1308974/%D0%9B%D0%A1%D0%A0-003210_07%5B2018%5D_0.pdf" TargetMode="External"/><Relationship Id="rId80" Type="http://schemas.openxmlformats.org/officeDocument/2006/relationships/hyperlink" Target="https://lk.regmed.ru/Register/GetPDFfromDA?ID=1607784571" TargetMode="External"/><Relationship Id="rId155" Type="http://schemas.openxmlformats.org/officeDocument/2006/relationships/hyperlink" Target="https://grls.rosminzdrav.ru/InstrImg/2026/04/08/1528373/3fb2f386-4fb1-4866-bc9c-0268096bb4fc.pdf" TargetMode="External"/><Relationship Id="rId176" Type="http://schemas.openxmlformats.org/officeDocument/2006/relationships/hyperlink" Target="https://lk.regmed.ru/Register/GetPDFfromDA?ID=1621040001" TargetMode="External"/><Relationship Id="rId17" Type="http://schemas.openxmlformats.org/officeDocument/2006/relationships/hyperlink" Target="https://grls.rosminzdrav.ru/InstrImg/2024/12/16/1511954/43eafc3c-33ac-4e33-969c-259e9a175ebb.pdf" TargetMode="External"/><Relationship Id="rId38" Type="http://schemas.openxmlformats.org/officeDocument/2006/relationships/hyperlink" Target="https://grls.rosminzdrav.ru/InstrImg/2020/11/12/37422/bb3f3b49-b450-42cf-a999-bcc087b2eb05.pdf" TargetMode="External"/><Relationship Id="rId59" Type="http://schemas.openxmlformats.org/officeDocument/2006/relationships/hyperlink" Target="https://lk.regmed.ru/Register/GetPDFfromDA?ID=1594767771" TargetMode="External"/><Relationship Id="rId103" Type="http://schemas.openxmlformats.org/officeDocument/2006/relationships/hyperlink" Target="https://grls.rosminzdrav.ru/InstrImg/2022/10/26/1480925/bbce1055-ce8d-4cf1-8ce2-d5a008359d42.pdf" TargetMode="External"/><Relationship Id="rId124" Type="http://schemas.openxmlformats.org/officeDocument/2006/relationships/hyperlink" Target="https://grls.rosminzdrav.ru/InstrImg/2021/04/08/1467900/c382c9c7-0b55-4bb8-a3af-a3be999c3012.pdf" TargetMode="External"/><Relationship Id="rId70" Type="http://schemas.openxmlformats.org/officeDocument/2006/relationships/hyperlink" Target="https://grls.rosminzdrav.ru/InstrImg/2022/11/25/1488637/081df120-9112-42bd-a1fc-c7b9aa3e2987.pdf" TargetMode="External"/><Relationship Id="rId91" Type="http://schemas.openxmlformats.org/officeDocument/2006/relationships/hyperlink" Target="https://grls.rosminzdrav.ru/InstrImg/2020/06/08/86489/f8c71c84-d7eb-4cba-990a-8c9e218ca432.pdf" TargetMode="External"/><Relationship Id="rId145" Type="http://schemas.openxmlformats.org/officeDocument/2006/relationships/hyperlink" Target="https://lk.regmed.ru/Register/GetPDFfromDA?ID=1543829851" TargetMode="External"/><Relationship Id="rId166" Type="http://schemas.openxmlformats.org/officeDocument/2006/relationships/hyperlink" Target="https://grls.rosminzdrav.ru/InstrImg/2020/11/25/146561/742bfd83-5da9-4e9c-bbb5-b9de800c21fa.pdf" TargetMode="External"/><Relationship Id="rId187" Type="http://schemas.openxmlformats.org/officeDocument/2006/relationships/hyperlink" Target="https://grls.rosminzdrav.ru/InstrImg/2025/07/15/1519302/c7dac0d8-df0c-484e-99a0-d7b6422ab318.pdf" TargetMode="External"/><Relationship Id="rId1" Type="http://schemas.openxmlformats.org/officeDocument/2006/relationships/hyperlink" Target="https://lk.regmed.ru/Register/GetPDFfromDA?ID=1597322951" TargetMode="External"/><Relationship Id="rId28" Type="http://schemas.openxmlformats.org/officeDocument/2006/relationships/hyperlink" Target="https://grls.rosminzdrav.ru/InstrImg/2026/03/04/1527238/fe2adafe-5094-4da2-bbba-1a640a0ceb4e.pdf" TargetMode="External"/><Relationship Id="rId49" Type="http://schemas.openxmlformats.org/officeDocument/2006/relationships/hyperlink" Target="https://lk.regmed.ru/Register/GetPDFfromDA?ID=1581220991" TargetMode="External"/><Relationship Id="rId114" Type="http://schemas.openxmlformats.org/officeDocument/2006/relationships/hyperlink" Target="https://grls.rosminzdrav.ru/InstrImg/2023/04/13/1492490/163b41fd-d4cb-4d41-b651-49a0c6b9110f.pdf" TargetMode="External"/><Relationship Id="rId60" Type="http://schemas.openxmlformats.org/officeDocument/2006/relationships/hyperlink" Target="https://lk.regmed.ru/Register/GetPDFfromDA?ID=1544529771" TargetMode="External"/><Relationship Id="rId81" Type="http://schemas.openxmlformats.org/officeDocument/2006/relationships/hyperlink" Target="https://lk.regmed.ru/Register/GetPDFfromDA?ID=1609919901" TargetMode="External"/><Relationship Id="rId135" Type="http://schemas.openxmlformats.org/officeDocument/2006/relationships/hyperlink" Target="https://grls.rosminzdrav.ru/InstrImg/2020/12/18/1464410/%D0%9F_N014361_01%5B2020%5D_0.pdf" TargetMode="External"/><Relationship Id="rId156" Type="http://schemas.openxmlformats.org/officeDocument/2006/relationships/hyperlink" Target="https://grls.rosminzdrav.ru/InstrImg/2018/11/10/1426168/%D0%A0_N000460_01%5B2018%5D_0.pdf" TargetMode="External"/><Relationship Id="rId177" Type="http://schemas.openxmlformats.org/officeDocument/2006/relationships/hyperlink" Target="https://grls.rosminzdrav.ru/InstrImg/2025/06/20/1518413/41c4a162-9126-495b-93df-fc2894a8a11f.pdf"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lk.regmed.ru/Register/GetPDFfromDA?ID=1545562701" TargetMode="External"/><Relationship Id="rId21" Type="http://schemas.openxmlformats.org/officeDocument/2006/relationships/hyperlink" Target="https://grls.rosminzdrav.ru/InstrImg/2020/9/29/1461721/%D0%A0_N000461_01%5B2018%5D_0.pdf" TargetMode="External"/><Relationship Id="rId42" Type="http://schemas.openxmlformats.org/officeDocument/2006/relationships/hyperlink" Target="https://lk.regmed.ru/Register/GetPDFfromDA?ID=1523760571" TargetMode="External"/><Relationship Id="rId63" Type="http://schemas.openxmlformats.org/officeDocument/2006/relationships/hyperlink" Target="mailto:savinova@vaccina.info" TargetMode="External"/><Relationship Id="rId84" Type="http://schemas.openxmlformats.org/officeDocument/2006/relationships/hyperlink" Target="https://lk.regmed.ru/Register/GetPDFfromDA?ID=1626767261" TargetMode="External"/><Relationship Id="rId138" Type="http://schemas.openxmlformats.org/officeDocument/2006/relationships/hyperlink" Target="https://grls.rosminzdrav.ru/InstrImg/2023/03/14/1491812/20189f0f-07b3-427e-9a8a-d8006843c2d6.pdf" TargetMode="External"/><Relationship Id="rId159" Type="http://schemas.openxmlformats.org/officeDocument/2006/relationships/hyperlink" Target="https://grls.rosminzdrav.ru/InstrImg/2024/01/23/1501030/43ed9d31-44e7-403a-a977-d714a002b9c6.pdf" TargetMode="External"/><Relationship Id="rId170" Type="http://schemas.openxmlformats.org/officeDocument/2006/relationships/hyperlink" Target="https://lk.regmed.ru/Register/GetPDFfromDA?ID=1634791611" TargetMode="External"/><Relationship Id="rId107" Type="http://schemas.openxmlformats.org/officeDocument/2006/relationships/hyperlink" Target="mailto:savinova@vaccina.info" TargetMode="External"/><Relationship Id="rId11" Type="http://schemas.openxmlformats.org/officeDocument/2006/relationships/hyperlink" Target="https://grls.rosminzdrav.ru/InstrImg/2020/05/28/10700/9d141b34-47e7-48c8-9480-616cbbc792fc.pdf" TargetMode="External"/><Relationship Id="rId32" Type="http://schemas.openxmlformats.org/officeDocument/2006/relationships/hyperlink" Target="https://lk.regmed.ru/Register/GetPDFfromDA?ID=1611660161" TargetMode="External"/><Relationship Id="rId53" Type="http://schemas.openxmlformats.org/officeDocument/2006/relationships/hyperlink" Target="https://grls.rosminzdrav.ru/InstrImg/2025/06/19/1518378/557245be-23d7-4913-9af3-4fa130d3c97f.pdf" TargetMode="External"/><Relationship Id="rId74" Type="http://schemas.openxmlformats.org/officeDocument/2006/relationships/hyperlink" Target="mailto:savinova@vaccina.info" TargetMode="External"/><Relationship Id="rId128" Type="http://schemas.openxmlformats.org/officeDocument/2006/relationships/hyperlink" Target="https://grls.rosminzdrav.ru/InstrImg/2019/8/14/1445562/%D0%9F_N013657_01%5B2009%5D_0.pdf" TargetMode="External"/><Relationship Id="rId149" Type="http://schemas.openxmlformats.org/officeDocument/2006/relationships/hyperlink" Target="https://lk.regmed.ru/Register/GetPDFfromDA?ID=1448256521" TargetMode="External"/><Relationship Id="rId5" Type="http://schemas.openxmlformats.org/officeDocument/2006/relationships/hyperlink" Target="https://grls.rosminzdrav.ru/InstrImg/2025/06/02/1517794/d7367d9e-e745-46a7-b297-5a093bf3738a.pdf" TargetMode="External"/><Relationship Id="rId95" Type="http://schemas.openxmlformats.org/officeDocument/2006/relationships/hyperlink" Target="https://grls.rosminzdrav.ru/InstrImg/2020/11/27/1463688/%D0%A0_N002481_01%5B2020%5D_0.pdf" TargetMode="External"/><Relationship Id="rId160" Type="http://schemas.openxmlformats.org/officeDocument/2006/relationships/hyperlink" Target="https://grls.rosminzdrav.ru/InstrImg/2020/06/11/1206428/53252686-7415-4f30-bdba-632b434439f9.pdf" TargetMode="External"/><Relationship Id="rId181" Type="http://schemas.openxmlformats.org/officeDocument/2006/relationships/hyperlink" Target="https://grls.rosminzdrav.ru/InstrImg/2024/12/09/1511749/a4738d52-4ff6-4599-a566-530f55491e76.pdf" TargetMode="External"/><Relationship Id="rId22" Type="http://schemas.openxmlformats.org/officeDocument/2006/relationships/hyperlink" Target="https://grls.rosminzdrav.ru/InstrImg/2026/05/07/1529632/54e13522-5efa-4c8c-a9b0-7ea539b4f9d1.pdf" TargetMode="External"/><Relationship Id="rId43" Type="http://schemas.openxmlformats.org/officeDocument/2006/relationships/hyperlink" Target="https://grls.rosminzdrav.ru/InstrImg/2026/02/10/1526281/07a2f661-6334-4894-8117-0ad7563ba4ef.pdf" TargetMode="External"/><Relationship Id="rId64" Type="http://schemas.openxmlformats.org/officeDocument/2006/relationships/hyperlink" Target="https://grls.rosminzdrav.ru/InstrImg/2025/07/25/1519625/ca601e77-829c-48a9-b9b5-204e5b86aa88.pdf" TargetMode="External"/><Relationship Id="rId118" Type="http://schemas.openxmlformats.org/officeDocument/2006/relationships/hyperlink" Target="mailto:savinova@vaccina.info" TargetMode="External"/><Relationship Id="rId139" Type="http://schemas.openxmlformats.org/officeDocument/2006/relationships/hyperlink" Target="mailto:savinova@vaccina.info" TargetMode="External"/><Relationship Id="rId85" Type="http://schemas.openxmlformats.org/officeDocument/2006/relationships/hyperlink" Target="mailto:savinova@vaccina.info" TargetMode="External"/><Relationship Id="rId150" Type="http://schemas.openxmlformats.org/officeDocument/2006/relationships/hyperlink" Target="https://lk.regmed.ru/Register/GetPDFfromDA?ID=1501926911" TargetMode="External"/><Relationship Id="rId171" Type="http://schemas.openxmlformats.org/officeDocument/2006/relationships/hyperlink" Target="https://grls.rosminzdrav.ru/InstrImg/2020/06/18/1452053/3993efd1-cdd7-4127-88ae-330ac7a6d1c1.pdf" TargetMode="External"/><Relationship Id="rId12" Type="http://schemas.openxmlformats.org/officeDocument/2006/relationships/hyperlink" Target="https://grls.rosminzdrav.ru/InstrImg/2026/05/27/1530421/6bdc8421-6c08-4bf7-be7f-0ae5d96a478d.pdf" TargetMode="External"/><Relationship Id="rId33" Type="http://schemas.openxmlformats.org/officeDocument/2006/relationships/hyperlink" Target="https://lk.regmed.ru/Register/GetPDFfromDA?ID=1575625191" TargetMode="External"/><Relationship Id="rId108" Type="http://schemas.openxmlformats.org/officeDocument/2006/relationships/hyperlink" Target="https://lk.regmed.ru/Register/GetPDFfromDA?ID=1641359721" TargetMode="External"/><Relationship Id="rId129" Type="http://schemas.openxmlformats.org/officeDocument/2006/relationships/hyperlink" Target="mailto:savinova@vaccina.info" TargetMode="External"/><Relationship Id="rId54" Type="http://schemas.openxmlformats.org/officeDocument/2006/relationships/hyperlink" Target="https://grls.rosminzdrav.ru/InstrImg/2022/09/20/1485497/31812477-c020-47c0-9f2e-80268b27b29f.pdf" TargetMode="External"/><Relationship Id="rId75" Type="http://schemas.openxmlformats.org/officeDocument/2006/relationships/hyperlink" Target="https://grls.rosminzdrav.ru/InstrImg/2021/1/19/1465274/%D0%9F_N012585_01%5B2014%5D_0.pdf" TargetMode="External"/><Relationship Id="rId96" Type="http://schemas.openxmlformats.org/officeDocument/2006/relationships/hyperlink" Target="mailto:savinova@vaccina.info" TargetMode="External"/><Relationship Id="rId140" Type="http://schemas.openxmlformats.org/officeDocument/2006/relationships/hyperlink" Target="https://lk.regmed.ru/Register/GetPDFfromDA?ID=1589687781" TargetMode="External"/><Relationship Id="rId161" Type="http://schemas.openxmlformats.org/officeDocument/2006/relationships/hyperlink" Target="https://grls.rosminzdrav.ru/InstrImg/2019/06/30/739/1fca1237-4a6a-4bdd-b176-7ef01c56c1bf.pdf" TargetMode="External"/><Relationship Id="rId182" Type="http://schemas.openxmlformats.org/officeDocument/2006/relationships/hyperlink" Target="https://grls.rosminzdrav.ru/InstrImg/2025/03/25/1515160/e4c206af-2701-4f99-a45f-09d998ef0935.pdf" TargetMode="External"/><Relationship Id="rId6" Type="http://schemas.openxmlformats.org/officeDocument/2006/relationships/hyperlink" Target="https://lk.regmed.ru/Register/GetPDFfromDA?ID=1484709711" TargetMode="External"/><Relationship Id="rId23" Type="http://schemas.openxmlformats.org/officeDocument/2006/relationships/hyperlink" Target="https://lk.regmed.ru/Register/GetPDFfromDA?ID=1607490831" TargetMode="External"/><Relationship Id="rId119" Type="http://schemas.openxmlformats.org/officeDocument/2006/relationships/hyperlink" Target="https://grls.rosminzdrav.ru/InstrImg/2020/12/02/1423524/629a6384-1db2-499f-afb1-e87dac723b9a.pdf" TargetMode="External"/><Relationship Id="rId44" Type="http://schemas.openxmlformats.org/officeDocument/2006/relationships/hyperlink" Target="https://grls.rosminzdrav.ru/InstrImg/2021/12/14/1476333/f3799188-0d95-48db-a0ce-bb1396d44765.pdf" TargetMode="External"/><Relationship Id="rId65" Type="http://schemas.openxmlformats.org/officeDocument/2006/relationships/hyperlink" Target="https://grls.rosminzdrav.ru/InstrImg/2024/12/19/1512043/59e764b9-60fd-455d-b6fc-d0056460286e.pdf" TargetMode="External"/><Relationship Id="rId86" Type="http://schemas.openxmlformats.org/officeDocument/2006/relationships/hyperlink" Target="https://grls.rosminzdrav.ru/InstrImg/2021/10/22/1474770/84220d47-9ed2-44e3-a2d3-89170a0f96d8.pdf" TargetMode="External"/><Relationship Id="rId130" Type="http://schemas.openxmlformats.org/officeDocument/2006/relationships/hyperlink" Target="https://grls.rosminzdrav.ru/InstrImg/2023/07/19/1495141/8a2ba9a0-eb39-4368-9a0d-f81451183bb0.pdf" TargetMode="External"/><Relationship Id="rId151" Type="http://schemas.openxmlformats.org/officeDocument/2006/relationships/hyperlink" Target="https://grls.rosminzdrav.ru/InstrImg/2026/05/19/1529992/3e4bff0f-b904-49bd-8f8c-cf901c4749df.pdf" TargetMode="External"/><Relationship Id="rId172" Type="http://schemas.openxmlformats.org/officeDocument/2006/relationships/hyperlink" Target="https://grls.rosminzdrav.ru/InstrImg/2025/06/02/1517810/7b7b0a6f-2d36-481e-a964-4e8d04031cd7.pdf" TargetMode="External"/><Relationship Id="rId13" Type="http://schemas.openxmlformats.org/officeDocument/2006/relationships/hyperlink" Target="https://grls.rosminzdrav.ru/InstrImg/2025/12/04/1523945/374687b9-516b-4eb9-9e34-640e88c2e1e2.pdf" TargetMode="External"/><Relationship Id="rId18" Type="http://schemas.openxmlformats.org/officeDocument/2006/relationships/hyperlink" Target="https://grls.rosminzdrav.ru/InstrImg/2018/7/19/1423955/%D0%A0_N002668_01%5B2012%5D_0.pdf" TargetMode="External"/><Relationship Id="rId39" Type="http://schemas.openxmlformats.org/officeDocument/2006/relationships/hyperlink" Target="https://lk.regmed.ru/Register/GetPDFfromDA?ID=1512826451" TargetMode="External"/><Relationship Id="rId109" Type="http://schemas.openxmlformats.org/officeDocument/2006/relationships/hyperlink" Target="https://grls.rosminzdrav.ru/InstrImg/2020/11/27/1463649/%D0%9B%D0%9F-000499%5B2016%5D_0.pdf" TargetMode="External"/><Relationship Id="rId34" Type="http://schemas.openxmlformats.org/officeDocument/2006/relationships/hyperlink" Target="https://grls.rosminzdrav.ru/InstrImg/2025/07/21/1519595/f7c8e9e3-baf4-4c2e-949f-a41b75a8ad7c.pdf" TargetMode="External"/><Relationship Id="rId50" Type="http://schemas.openxmlformats.org/officeDocument/2006/relationships/hyperlink" Target="https://grls.rosminzdrav.ru/InstrImg/2020/10/15/1462300/%D0%A0_N001586_01%5B2007%5D_0.pdf" TargetMode="External"/><Relationship Id="rId55" Type="http://schemas.openxmlformats.org/officeDocument/2006/relationships/hyperlink" Target="https://lk.regmed.ru/Register/GetPDFfromDA?ID=1583272671" TargetMode="External"/><Relationship Id="rId76" Type="http://schemas.openxmlformats.org/officeDocument/2006/relationships/hyperlink" Target="https://grls.rosminzdrav.ru/InstrImg/2021/1/19/1465274/%D0%9F_N012585_01%5B2014%5D_0.pdf" TargetMode="External"/><Relationship Id="rId97" Type="http://schemas.openxmlformats.org/officeDocument/2006/relationships/hyperlink" Target="https://grls.rosminzdrav.ru/InstrImg/2025/02/06/1513573/c7fd0ba6-d018-4726-b9e2-1ae791edec76.pdf" TargetMode="External"/><Relationship Id="rId104" Type="http://schemas.openxmlformats.org/officeDocument/2006/relationships/hyperlink" Target="https://grls.rosminzdrav.ru/InstrImg/2022/07/01/1482554/5f33ae33-eaa6-4ca5-aed1-e39900dc85a6.pdf" TargetMode="External"/><Relationship Id="rId120" Type="http://schemas.openxmlformats.org/officeDocument/2006/relationships/hyperlink" Target="https://grls.rosminzdrav.ru/InstrImg/2019/06/29/1424317/a2b80c77-0857-4a1d-a948-36a987511e54.pdf" TargetMode="External"/><Relationship Id="rId125" Type="http://schemas.openxmlformats.org/officeDocument/2006/relationships/hyperlink" Target="https://lk.regmed.ru/Register/GetPDFfromDA?ID=1574006211" TargetMode="External"/><Relationship Id="rId141" Type="http://schemas.openxmlformats.org/officeDocument/2006/relationships/hyperlink" Target="https://grls.rosminzdrav.ru/InstrImg/2026/01/22/1525402/07c3adec-cd5e-49f6-9bc3-7a3e029cd98c.pdf" TargetMode="External"/><Relationship Id="rId146" Type="http://schemas.openxmlformats.org/officeDocument/2006/relationships/hyperlink" Target="https://lk.regmed.ru/Register/GetPDFfromDA?ID=1501096611" TargetMode="External"/><Relationship Id="rId167" Type="http://schemas.openxmlformats.org/officeDocument/2006/relationships/hyperlink" Target="https://grls.rosminzdrav.ru/InstrImg/2025/02/28/1514525/002c6594-b19d-4b5a-a79c-60853ca8612c.pdf" TargetMode="External"/><Relationship Id="rId188" Type="http://schemas.openxmlformats.org/officeDocument/2006/relationships/hyperlink" Target="https://grls.rosminzdrav.ru/InstrImg/2026/04/13/1528638/81dbfeae-d02c-4909-ae9d-1b3092cc89e9.pdf" TargetMode="External"/><Relationship Id="rId7" Type="http://schemas.openxmlformats.org/officeDocument/2006/relationships/hyperlink" Target="mailto:savinova@vaccina.info" TargetMode="External"/><Relationship Id="rId71" Type="http://schemas.openxmlformats.org/officeDocument/2006/relationships/hyperlink" Target="https://grls.rosminzdrav.ru/InstrImg/2016/4/4/37565/%D0%9F_N015218_01%5B2009%5D_0.pdf" TargetMode="External"/><Relationship Id="rId92" Type="http://schemas.openxmlformats.org/officeDocument/2006/relationships/hyperlink" Target="https://grls.rosminzdrav.ru/InstrImg/2019/10/25/1448929/%D0%A0_N001273_01%5B2019%5D_0.pdf" TargetMode="External"/><Relationship Id="rId162" Type="http://schemas.openxmlformats.org/officeDocument/2006/relationships/hyperlink" Target="https://grls.rosminzdrav.ru/InstrImg/2020/06/01/1422432/8314c8e6-25f4-4bd2-97f0-1a3b881e7dcb.pdf" TargetMode="External"/><Relationship Id="rId183" Type="http://schemas.openxmlformats.org/officeDocument/2006/relationships/hyperlink" Target="https://grls.rosminzdrav.ru/InstrImg/2025/03/14/1514899/44c72a47-2cd3-4a92-b136-0902c17fafb6.pdf" TargetMode="External"/><Relationship Id="rId2" Type="http://schemas.openxmlformats.org/officeDocument/2006/relationships/hyperlink" Target="mailto:savinova@vaccina.info" TargetMode="External"/><Relationship Id="rId29" Type="http://schemas.openxmlformats.org/officeDocument/2006/relationships/hyperlink" Target="https://grls.rosminzdrav.ru/InstrImg/2019/8/6/1445331/%D0%9F_N011073%5B2016%5D_1.pdf" TargetMode="External"/><Relationship Id="rId24" Type="http://schemas.openxmlformats.org/officeDocument/2006/relationships/hyperlink" Target="https://lk.regmed.ru/Register/GetPDFfromDA?ID=1607490831" TargetMode="External"/><Relationship Id="rId40" Type="http://schemas.openxmlformats.org/officeDocument/2006/relationships/hyperlink" Target="https://lk.regmed.ru/Register/GetPDFfromDA?ID=1633580161" TargetMode="External"/><Relationship Id="rId45" Type="http://schemas.openxmlformats.org/officeDocument/2006/relationships/hyperlink" Target="https://grls.rosminzdrav.ru/InstrImg/2026/03/05/1527284/4a34f8fb-090f-4a41-bab9-0d4194977316.pdf" TargetMode="External"/><Relationship Id="rId66" Type="http://schemas.openxmlformats.org/officeDocument/2006/relationships/hyperlink" Target="https://lk.regmed.ru/Register/GetPDFfromDA?ID=1649843881" TargetMode="External"/><Relationship Id="rId87" Type="http://schemas.openxmlformats.org/officeDocument/2006/relationships/hyperlink" Target="https://grls.rosminzdrav.ru/InstrImg/2021/07/22/86490/fa07de3f-3b07-40e8-b027-068e2a19359f.pdf" TargetMode="External"/><Relationship Id="rId110" Type="http://schemas.openxmlformats.org/officeDocument/2006/relationships/hyperlink" Target="https://grls.rosminzdrav.ru/InstrImg/2026/03/04/1527238/fe2adafe-5094-4da2-bbba-1a640a0ceb4e.pdf" TargetMode="External"/><Relationship Id="rId115" Type="http://schemas.openxmlformats.org/officeDocument/2006/relationships/hyperlink" Target="https://lk.regmed.ru/Register/GetPDFfromDA?ID=1512826451" TargetMode="External"/><Relationship Id="rId131" Type="http://schemas.openxmlformats.org/officeDocument/2006/relationships/hyperlink" Target="https://grls.rosminzdrav.ru/InstrImg/2020/4/29/1456610/%D0%9F_N013850_01%5B2014%5D_0.pdf" TargetMode="External"/><Relationship Id="rId136" Type="http://schemas.openxmlformats.org/officeDocument/2006/relationships/hyperlink" Target="https://grls.rosminzdrav.ru/InstrImg/2023/02/09/1490961/74e94624-eabc-450e-bf32-2c1ddaca2be5.pdf" TargetMode="External"/><Relationship Id="rId157" Type="http://schemas.openxmlformats.org/officeDocument/2006/relationships/hyperlink" Target="https://grls.rosminzdrav.ru/InstrImg/2020/06/03/37799/c7a7977e-fea0-4451-80db-bfd751ccf3f6.pdf" TargetMode="External"/><Relationship Id="rId178" Type="http://schemas.openxmlformats.org/officeDocument/2006/relationships/hyperlink" Target="https://grls.rosminzdrav.ru/InstrImg/2025/07/09/1519029/0d8fd7ae-7b89-4160-9ecd-4b0646f6482f.pdf" TargetMode="External"/><Relationship Id="rId61" Type="http://schemas.openxmlformats.org/officeDocument/2006/relationships/hyperlink" Target="https://lk.regmed.ru/Register/GetPDFfromDA?ID=1509638211" TargetMode="External"/><Relationship Id="rId82" Type="http://schemas.openxmlformats.org/officeDocument/2006/relationships/hyperlink" Target="https://grls.rosminzdrav.ru/InstrImg/2025/06/10/1518039/2f088da7-8272-4666-bcb6-a2e0826808b5.pdf" TargetMode="External"/><Relationship Id="rId152" Type="http://schemas.openxmlformats.org/officeDocument/2006/relationships/hyperlink" Target="https://grls.rosminzdrav.ru/InstrImg/2025/01/09/1512384/c6523a43-f889-4421-a55b-e3e8be3bdc34.pdf" TargetMode="External"/><Relationship Id="rId173" Type="http://schemas.openxmlformats.org/officeDocument/2006/relationships/hyperlink" Target="https://grls.rosminzdrav.ru/InstrImg/2025/03/25/1515266/f7896710-fb4c-49f0-9e20-d6272771ab13.pdf" TargetMode="External"/><Relationship Id="rId19" Type="http://schemas.openxmlformats.org/officeDocument/2006/relationships/hyperlink" Target="mailto:savinova@vaccina.info" TargetMode="External"/><Relationship Id="rId14" Type="http://schemas.openxmlformats.org/officeDocument/2006/relationships/hyperlink" Target="https://grls.rosminzdrav.ru/InstrImg/2026/06/02/1530636/e301156c-c7d5-45d7-bf58-5346c270c493.pdf" TargetMode="External"/><Relationship Id="rId30" Type="http://schemas.openxmlformats.org/officeDocument/2006/relationships/hyperlink" Target="mailto:savinova@vaccina.info" TargetMode="External"/><Relationship Id="rId35" Type="http://schemas.openxmlformats.org/officeDocument/2006/relationships/hyperlink" Target="https://grls.rosminzdrav.ru/InstrImg/2022/03/24/1479420/3838bcfc-cc6a-448b-abf8-404668c05a34.pdf" TargetMode="External"/><Relationship Id="rId56" Type="http://schemas.openxmlformats.org/officeDocument/2006/relationships/hyperlink" Target="https://lk.regmed.ru/Register/GetPDFfromDA?ID=1581523381" TargetMode="External"/><Relationship Id="rId77" Type="http://schemas.openxmlformats.org/officeDocument/2006/relationships/hyperlink" Target="https://grls.rosminzdrav.ru/InstrImg/2025/09/15/1521458/990be5c7-4178-4812-a999-fd00eaeb3d60.pdf" TargetMode="External"/><Relationship Id="rId100" Type="http://schemas.openxmlformats.org/officeDocument/2006/relationships/hyperlink" Target="https://grls.rosminzdrav.ru/InstrImg/2021/6/4/1469733/%D0%A0_N000661_01%5B2017%5D_0.pdf" TargetMode="External"/><Relationship Id="rId105" Type="http://schemas.openxmlformats.org/officeDocument/2006/relationships/hyperlink" Target="https://grls.rosminzdrav.ru/InstrImg/2026/01/22/1525392/c4730a97-f7f4-406f-954c-6a6bed44be35.pdf" TargetMode="External"/><Relationship Id="rId126" Type="http://schemas.openxmlformats.org/officeDocument/2006/relationships/hyperlink" Target="https://grls.rosminzdrav.ru/InstrImg/2023/07/13/1494926/d8440e50-44f6-4e4b-a50d-64608384e586.pdf" TargetMode="External"/><Relationship Id="rId147" Type="http://schemas.openxmlformats.org/officeDocument/2006/relationships/hyperlink" Target="https://lk.regmed.ru/Register/GetPDFfromDA?ID=1494836031" TargetMode="External"/><Relationship Id="rId168" Type="http://schemas.openxmlformats.org/officeDocument/2006/relationships/hyperlink" Target="https://grls.rosminzdrav.ru/InstrImg/2025/03/27/1515398/ec0df501-9186-4e20-ae68-c07f28302f7b.pdf" TargetMode="External"/><Relationship Id="rId8" Type="http://schemas.openxmlformats.org/officeDocument/2006/relationships/hyperlink" Target="https://lk.regmed.ru/Register/GetPDFfromDA?ID=1587927891" TargetMode="External"/><Relationship Id="rId51" Type="http://schemas.openxmlformats.org/officeDocument/2006/relationships/hyperlink" Target="https://lk.regmed.ru/Register/GetPDFfromDA?ID=1597558391" TargetMode="External"/><Relationship Id="rId72" Type="http://schemas.openxmlformats.org/officeDocument/2006/relationships/hyperlink" Target="https://grls.rosminzdrav.ru/InstrImg/2024/12/05/1511721/ee78b171-6cf3-474c-9f58-0391a7a5b91f.pdf" TargetMode="External"/><Relationship Id="rId93" Type="http://schemas.openxmlformats.org/officeDocument/2006/relationships/hyperlink" Target="https://grls.rosminzdrav.ru/InstrImg/2020/08/24/86488/1ed689ab-55e8-4379-9b04-687068382c27.pdf" TargetMode="External"/><Relationship Id="rId98" Type="http://schemas.openxmlformats.org/officeDocument/2006/relationships/hyperlink" Target="https://grls.rosminzdrav.ru/InstrImg/2022/12/12/1489555/281290ac-8b7f-4930-a191-7eff9a7cb147.pdf" TargetMode="External"/><Relationship Id="rId121" Type="http://schemas.openxmlformats.org/officeDocument/2006/relationships/hyperlink" Target="https://lk.regmed.ru/Register/GetPDFfromDA?ID=1497046991" TargetMode="External"/><Relationship Id="rId142" Type="http://schemas.openxmlformats.org/officeDocument/2006/relationships/hyperlink" Target="https://grls.rosminzdrav.ru/InstrImg/2025/10/30/1523008/59dd5156-957b-4de5-86c8-83d284b70f65.pdf" TargetMode="External"/><Relationship Id="rId163" Type="http://schemas.openxmlformats.org/officeDocument/2006/relationships/hyperlink" Target="https://grls.rosminzdrav.ru/InstrImg/2020/05/28/37407/eca15fe8-8706-4bd3-9148-1f54c5ab52ed.pdf" TargetMode="External"/><Relationship Id="rId184" Type="http://schemas.openxmlformats.org/officeDocument/2006/relationships/hyperlink" Target="https://grls.rosminzdrav.ru/InstrImg/2025/04/04/1515791/731944c3-c908-4ee4-8479-026ab476fc4b.pdf" TargetMode="External"/><Relationship Id="rId3" Type="http://schemas.openxmlformats.org/officeDocument/2006/relationships/hyperlink" Target="https://lk.regmed.ru/Register/GetPDFfromDA?ID=1597318981" TargetMode="External"/><Relationship Id="rId25" Type="http://schemas.openxmlformats.org/officeDocument/2006/relationships/hyperlink" Target="https://grls.rosminzdrav.ru/InstrImg/2021/10/06/1474149/9fb37d4d-6fc7-451d-ae8b-ff2258dcae40.pdf" TargetMode="External"/><Relationship Id="rId46" Type="http://schemas.openxmlformats.org/officeDocument/2006/relationships/hyperlink" Target="https://lk.regmed.ru/Register/GetPDFfromDA?ID=1612604181" TargetMode="External"/><Relationship Id="rId67" Type="http://schemas.openxmlformats.org/officeDocument/2006/relationships/hyperlink" Target="https://grls.rosminzdrav.ru/InstrImg/2022/11/25/1488723/80c7b6fb-3d8f-4ee9-9610-da77ce371e71.pdf" TargetMode="External"/><Relationship Id="rId116" Type="http://schemas.openxmlformats.org/officeDocument/2006/relationships/hyperlink" Target="https://grls.rosminzdrav.ru/InstrImg/2025/04/07/1515838/1b86346c-ace0-4de8-a757-2d3e7e4604e4.pdf" TargetMode="External"/><Relationship Id="rId137" Type="http://schemas.openxmlformats.org/officeDocument/2006/relationships/hyperlink" Target="https://lk.regmed.ru/Register/GetPDFfromDA?ID=1558408561" TargetMode="External"/><Relationship Id="rId158" Type="http://schemas.openxmlformats.org/officeDocument/2006/relationships/hyperlink" Target="https://grls.rosminzdrav.ru/InstrImg/2025/12/30/1524963/862ae1b6-e8bc-417c-8173-0fa0ff6a6e52.pdf" TargetMode="External"/><Relationship Id="rId20" Type="http://schemas.openxmlformats.org/officeDocument/2006/relationships/hyperlink" Target="https://lk.regmed.ru/Register/GetPDFfromDA?ID=1592320751" TargetMode="External"/><Relationship Id="rId41" Type="http://schemas.openxmlformats.org/officeDocument/2006/relationships/hyperlink" Target="mailto:savinova@vaccina.info" TargetMode="External"/><Relationship Id="rId62" Type="http://schemas.openxmlformats.org/officeDocument/2006/relationships/hyperlink" Target="https://grls.rosminzdrav.ru/InstrImg/2022/07/11/1482961/91a975c9-b5b0-4f4e-8827-f5683ed7c461.pdf" TargetMode="External"/><Relationship Id="rId83" Type="http://schemas.openxmlformats.org/officeDocument/2006/relationships/hyperlink" Target="https://grls.rosminzdrav.ru/InstrImg/2024/01/11/1500686/a4e8c4ef-1a75-4265-b493-987635facdbe.pdf" TargetMode="External"/><Relationship Id="rId88" Type="http://schemas.openxmlformats.org/officeDocument/2006/relationships/hyperlink" Target="https://grls.rosminzdrav.ru/InstrImg/2020/06/13/86486/607fd14a-da55-42fe-8db7-52767fd34cc2.pdf" TargetMode="External"/><Relationship Id="rId111" Type="http://schemas.openxmlformats.org/officeDocument/2006/relationships/hyperlink" Target="https://grls.rosminzdrav.ru/InstrImg/2025/06/16/1518193/6df836e1-9750-4ca5-be05-590641b808ac.pdf" TargetMode="External"/><Relationship Id="rId132" Type="http://schemas.openxmlformats.org/officeDocument/2006/relationships/hyperlink" Target="https://grls.rosminzdrav.ru/InstrImg/2020/12/15/1464278/%D0%9F_N015829_01%5B2012%5D_0.pdf" TargetMode="External"/><Relationship Id="rId153" Type="http://schemas.openxmlformats.org/officeDocument/2006/relationships/hyperlink" Target="https://grls.rosminzdrav.ru/InstrImg/2023/11/15/1499083/aedb6c35-3db8-494a-a41e-8ffc737dc35b.pdf" TargetMode="External"/><Relationship Id="rId174" Type="http://schemas.openxmlformats.org/officeDocument/2006/relationships/hyperlink" Target="https://grls.rosminzdrav.ru/InstrImg/2019/6/10/1440397/%D0%9F_N014879_01-2003%5B2003%5D_0.pdf" TargetMode="External"/><Relationship Id="rId179" Type="http://schemas.openxmlformats.org/officeDocument/2006/relationships/hyperlink" Target="https://grls.rosminzdrav.ru/InstrImg/2025/12/30/1524963/862ae1b6-e8bc-417c-8173-0fa0ff6a6e52.pdf" TargetMode="External"/><Relationship Id="rId15" Type="http://schemas.openxmlformats.org/officeDocument/2006/relationships/hyperlink" Target="https://lk.regmed.ru/Register/GetPDFfromDA?ID=1601683231" TargetMode="External"/><Relationship Id="rId36" Type="http://schemas.openxmlformats.org/officeDocument/2006/relationships/hyperlink" Target="https://grls.rosminzdrav.ru/InstrImg/2023/01/09/1490224/e76560fa-e72e-49eb-8daf-91f3d1403e22.pdf" TargetMode="External"/><Relationship Id="rId57" Type="http://schemas.openxmlformats.org/officeDocument/2006/relationships/hyperlink" Target="https://lk.regmed.ru/Register/GetPDFfromDA?ID=1574028031" TargetMode="External"/><Relationship Id="rId106" Type="http://schemas.openxmlformats.org/officeDocument/2006/relationships/hyperlink" Target="https://grls.rosminzdrav.ru/InstrImg/2023/03/01/1491468/c8da2905-b80e-470c-adc7-c40c03707ddd.pdf" TargetMode="External"/><Relationship Id="rId127" Type="http://schemas.openxmlformats.org/officeDocument/2006/relationships/hyperlink" Target="https://grls.rosminzdrav.ru/InstrImg/2019/8/15/1445618/%D0%9F_N015312_01%5B2010%5D_0.pdf" TargetMode="External"/><Relationship Id="rId10" Type="http://schemas.openxmlformats.org/officeDocument/2006/relationships/hyperlink" Target="https://grls.rosminzdrav.ru/InstrImg/2017/4/26/1416322/%D0%A0_N002666_01%5B2013%5D_0.pdf" TargetMode="External"/><Relationship Id="rId31" Type="http://schemas.openxmlformats.org/officeDocument/2006/relationships/hyperlink" Target="https://grls.rosminzdrav.ru/InstrImg/2019/8/6/1445331/%D0%9F_N011073%5B2016%5D_1.pdf" TargetMode="External"/><Relationship Id="rId52" Type="http://schemas.openxmlformats.org/officeDocument/2006/relationships/hyperlink" Target="mailto:savinova@vaccina.info" TargetMode="External"/><Relationship Id="rId73" Type="http://schemas.openxmlformats.org/officeDocument/2006/relationships/hyperlink" Target="https://grls.rosminzdrav.ru/InstrImg/2017/4/26/1416345/%D0%A0_N002667_01%5B2012%5D_0.pdf" TargetMode="External"/><Relationship Id="rId78" Type="http://schemas.openxmlformats.org/officeDocument/2006/relationships/hyperlink" Target="https://grls.rosminzdrav.ru/InstrImg/2025/09/15/1521458/990be5c7-4178-4812-a999-fd00eaeb3d60.pdf" TargetMode="External"/><Relationship Id="rId94" Type="http://schemas.openxmlformats.org/officeDocument/2006/relationships/hyperlink" Target="https://grls.rosminzdrav.ru/InstrImg/2021/09/20/1473405/41395d1f-d6e8-41d5-88fe-a1a29b28be83.pdf" TargetMode="External"/><Relationship Id="rId99" Type="http://schemas.openxmlformats.org/officeDocument/2006/relationships/hyperlink" Target="https://grls.rosminzdrav.ru/InstrImg/2026/02/06/1526184/204c2bdf-4b3b-45c5-b641-f7ce1ae753b3.pdf" TargetMode="External"/><Relationship Id="rId101" Type="http://schemas.openxmlformats.org/officeDocument/2006/relationships/hyperlink" Target="https://grls.rosminzdrav.ru/InstrImg/2026/02/03/1525996/748a2896-887a-40f1-82c0-510ac345461d.pdf" TargetMode="External"/><Relationship Id="rId122" Type="http://schemas.openxmlformats.org/officeDocument/2006/relationships/hyperlink" Target="https://grls.rosminzdrav.ru/InstrImg/2025/06/02/1517806/3c9102ff-eafa-47bc-b83f-eb05cfac1092.pdf" TargetMode="External"/><Relationship Id="rId143" Type="http://schemas.openxmlformats.org/officeDocument/2006/relationships/hyperlink" Target="https://grls.rosminzdrav.ru/InstrImg/2020/06/16/1416543/cc00d61d-e7e3-4d66-bfd4-02dc184c0de6.pdf" TargetMode="External"/><Relationship Id="rId148" Type="http://schemas.openxmlformats.org/officeDocument/2006/relationships/hyperlink" Target="https://lk.regmed.ru/Register/GetPDFfromDA?ID=1485438071" TargetMode="External"/><Relationship Id="rId164" Type="http://schemas.openxmlformats.org/officeDocument/2006/relationships/hyperlink" Target="https://grls.rosminzdrav.ru/InstrImg/2020/11/20/1414272/ad633910-6fd8-473c-8c81-dc945f343f42.pdf" TargetMode="External"/><Relationship Id="rId169" Type="http://schemas.openxmlformats.org/officeDocument/2006/relationships/hyperlink" Target="https://grls.rosminzdrav.ru/InstrImg/2020/11/25/140879/f4484511-f351-42f9-8a7a-85a995f31517.pdf" TargetMode="External"/><Relationship Id="rId185" Type="http://schemas.openxmlformats.org/officeDocument/2006/relationships/hyperlink" Target="https://grls.rosminzdrav.ru/InstrImg/2021/09/20/1473405/41395d1f-d6e8-41d5-88fe-a1a29b28be83.pdf" TargetMode="External"/><Relationship Id="rId4" Type="http://schemas.openxmlformats.org/officeDocument/2006/relationships/hyperlink" Target="https://grls.rosminzdrav.ru/InstrImg/2025/05/19/1517351/3bec22d2-65bc-4a94-9482-413901e57760.pdf" TargetMode="External"/><Relationship Id="rId9" Type="http://schemas.openxmlformats.org/officeDocument/2006/relationships/hyperlink" Target="mailto:savinova@vaccina.info" TargetMode="External"/><Relationship Id="rId180" Type="http://schemas.openxmlformats.org/officeDocument/2006/relationships/hyperlink" Target="https://lk.regmed.ru/Register/GetPDFfromDA?ID=1607301531" TargetMode="External"/><Relationship Id="rId26" Type="http://schemas.openxmlformats.org/officeDocument/2006/relationships/hyperlink" Target="https://grls.rosminzdrav.ru/InstrImg/2021/10/06/1474147/01e6e663-0f1b-4047-bdc9-365d6ba31c8a.pdf" TargetMode="External"/><Relationship Id="rId47" Type="http://schemas.openxmlformats.org/officeDocument/2006/relationships/hyperlink" Target="https://grls.rosminzdrav.ru/InstrImg/2025/05/26/1517557/95b8d8b7-23f5-4e99-a4f7-efc667459b50.pdf" TargetMode="External"/><Relationship Id="rId68" Type="http://schemas.openxmlformats.org/officeDocument/2006/relationships/hyperlink" Target="https://grls.rosminzdrav.ru/InstrImg/2017/6/22/1417297/%D0%9B%D0%A1-001296%5B2012%5D_0.pdf" TargetMode="External"/><Relationship Id="rId89" Type="http://schemas.openxmlformats.org/officeDocument/2006/relationships/hyperlink" Target="https://grls.rosminzdrav.ru/InstrImg/2021/7/6/1470535/%D0%9B%D0%A1%D0%A0-005759_08%5B2020%5D_0.pdf" TargetMode="External"/><Relationship Id="rId112" Type="http://schemas.openxmlformats.org/officeDocument/2006/relationships/hyperlink" Target="https://lk.regmed.ru/Register/GetPDFfromDA?ID=1596978511" TargetMode="External"/><Relationship Id="rId133" Type="http://schemas.openxmlformats.org/officeDocument/2006/relationships/hyperlink" Target="https://grls.rosminzdrav.ru/InstrImg/2016/6/9/1308974/%D0%9B%D0%A1%D0%A0-003210_07%5B2018%5D_0.pdf" TargetMode="External"/><Relationship Id="rId154" Type="http://schemas.openxmlformats.org/officeDocument/2006/relationships/hyperlink" Target="https://grls.rosminzdrav.ru/InstrImg/2026/04/08/1528373/3fb2f386-4fb1-4866-bc9c-0268096bb4fc.pdf" TargetMode="External"/><Relationship Id="rId175" Type="http://schemas.openxmlformats.org/officeDocument/2006/relationships/hyperlink" Target="https://lk.regmed.ru/Register/GetPDFfromDA?ID=1621040001" TargetMode="External"/><Relationship Id="rId16" Type="http://schemas.openxmlformats.org/officeDocument/2006/relationships/hyperlink" Target="https://lk.regmed.ru/Register/GetPDFfromDA?ID=1605321651" TargetMode="External"/><Relationship Id="rId37" Type="http://schemas.openxmlformats.org/officeDocument/2006/relationships/hyperlink" Target="https://grls.rosminzdrav.ru/InstrImg/2020/11/12/37422/bb3f3b49-b450-42cf-a999-bcc087b2eb05.pdf" TargetMode="External"/><Relationship Id="rId58" Type="http://schemas.openxmlformats.org/officeDocument/2006/relationships/hyperlink" Target="https://lk.regmed.ru/Register/GetPDFfromDA?ID=1594767771" TargetMode="External"/><Relationship Id="rId79" Type="http://schemas.openxmlformats.org/officeDocument/2006/relationships/hyperlink" Target="https://lk.regmed.ru/Register/GetPDFfromDA?ID=1607784571" TargetMode="External"/><Relationship Id="rId102" Type="http://schemas.openxmlformats.org/officeDocument/2006/relationships/hyperlink" Target="https://grls.rosminzdrav.ru/InstrImg/2022/10/26/1480925/bbce1055-ce8d-4cf1-8ce2-d5a008359d42.pdf" TargetMode="External"/><Relationship Id="rId123" Type="http://schemas.openxmlformats.org/officeDocument/2006/relationships/hyperlink" Target="https://grls.rosminzdrav.ru/InstrImg/2021/04/08/1467900/c382c9c7-0b55-4bb8-a3af-a3be999c3012.pdf" TargetMode="External"/><Relationship Id="rId144" Type="http://schemas.openxmlformats.org/officeDocument/2006/relationships/hyperlink" Target="https://lk.regmed.ru/Register/GetPDFfromDA?ID=1543829851" TargetMode="External"/><Relationship Id="rId90" Type="http://schemas.openxmlformats.org/officeDocument/2006/relationships/hyperlink" Target="https://grls.rosminzdrav.ru/InstrImg/2020/06/08/86489/f8c71c84-d7eb-4cba-990a-8c9e218ca432.pdf" TargetMode="External"/><Relationship Id="rId165" Type="http://schemas.openxmlformats.org/officeDocument/2006/relationships/hyperlink" Target="https://grls.rosminzdrav.ru/InstrImg/2020/11/25/146561/742bfd83-5da9-4e9c-bbb5-b9de800c21fa.pdf" TargetMode="External"/><Relationship Id="rId186" Type="http://schemas.openxmlformats.org/officeDocument/2006/relationships/hyperlink" Target="https://grls.rosminzdrav.ru/InstrImg/2025/07/15/1519302/c7dac0d8-df0c-484e-99a0-d7b6422ab318.pdf" TargetMode="External"/><Relationship Id="rId27" Type="http://schemas.openxmlformats.org/officeDocument/2006/relationships/hyperlink" Target="https://grls.rosminzdrav.ru/InstrImg/2025/06/16/1518193/6df836e1-9750-4ca5-be05-590641b808ac.pdf" TargetMode="External"/><Relationship Id="rId48" Type="http://schemas.openxmlformats.org/officeDocument/2006/relationships/hyperlink" Target="https://lk.regmed.ru/Register/GetPDFfromDA?ID=1581220991" TargetMode="External"/><Relationship Id="rId69" Type="http://schemas.openxmlformats.org/officeDocument/2006/relationships/hyperlink" Target="https://grls.rosminzdrav.ru/InstrImg/2022/11/25/1488637/081df120-9112-42bd-a1fc-c7b9aa3e2987.pdf" TargetMode="External"/><Relationship Id="rId113" Type="http://schemas.openxmlformats.org/officeDocument/2006/relationships/hyperlink" Target="https://grls.rosminzdrav.ru/InstrImg/2023/04/13/1492490/163b41fd-d4cb-4d41-b651-49a0c6b9110f.pdf" TargetMode="External"/><Relationship Id="rId134" Type="http://schemas.openxmlformats.org/officeDocument/2006/relationships/hyperlink" Target="mailto:savinova@vaccina.info" TargetMode="External"/><Relationship Id="rId80" Type="http://schemas.openxmlformats.org/officeDocument/2006/relationships/hyperlink" Target="https://lk.regmed.ru/Register/GetPDFfromDA?ID=1609919901" TargetMode="External"/><Relationship Id="rId155" Type="http://schemas.openxmlformats.org/officeDocument/2006/relationships/hyperlink" Target="https://grls.rosminzdrav.ru/InstrImg/2018/11/10/1426168/%D0%A0_N000460_01%5B2018%5D_0.pdf" TargetMode="External"/><Relationship Id="rId176" Type="http://schemas.openxmlformats.org/officeDocument/2006/relationships/hyperlink" Target="https://grls.rosminzdrav.ru/InstrImg/2025/06/20/1518413/41c4a162-9126-495b-93df-fc2894a8a11f.pdf" TargetMode="External"/><Relationship Id="rId17" Type="http://schemas.openxmlformats.org/officeDocument/2006/relationships/hyperlink" Target="https://grls.rosminzdrav.ru/InstrImg/2024/12/16/1511954/43eafc3c-33ac-4e33-969c-259e9a175ebb.pdf" TargetMode="External"/><Relationship Id="rId38" Type="http://schemas.openxmlformats.org/officeDocument/2006/relationships/hyperlink" Target="https://grls.rosminzdrav.ru/InstrImg/2020/11/23/1413288/cb3a391e-05f5-41e6-9963-8f102193f7e0.pdf" TargetMode="External"/><Relationship Id="rId59" Type="http://schemas.openxmlformats.org/officeDocument/2006/relationships/hyperlink" Target="https://lk.regmed.ru/Register/GetPDFfromDA?ID=1544529771" TargetMode="External"/><Relationship Id="rId103" Type="http://schemas.openxmlformats.org/officeDocument/2006/relationships/hyperlink" Target="https://grls.rosminzdrav.ru/InstrImg/2025/06/20/1518412/cd0f3dff-5242-4a3d-b71e-22447afe0e73.pdf" TargetMode="External"/><Relationship Id="rId124" Type="http://schemas.openxmlformats.org/officeDocument/2006/relationships/hyperlink" Target="https://grls.rosminzdrav.ru/InstrImg/2026/01/16/1525169/a5f21ff0-2d7c-4ab8-8025-1ccbc0cf7cc6.pdf" TargetMode="External"/><Relationship Id="rId70" Type="http://schemas.openxmlformats.org/officeDocument/2006/relationships/hyperlink" Target="https://lk.regmed.ru/Register/GetPDFfromDA?ID=1621077341" TargetMode="External"/><Relationship Id="rId91" Type="http://schemas.openxmlformats.org/officeDocument/2006/relationships/hyperlink" Target="https://grls.rosminzdrav.ru/InstrImg/2025/04/08/1515924/2cb5904f-0eb6-4463-9e6d-a2aa95a7192c.pdf" TargetMode="External"/><Relationship Id="rId145" Type="http://schemas.openxmlformats.org/officeDocument/2006/relationships/hyperlink" Target="https://lk.regmed.ru/Register/GetPDFfromDA?ID=1544404631" TargetMode="External"/><Relationship Id="rId166" Type="http://schemas.openxmlformats.org/officeDocument/2006/relationships/hyperlink" Target="https://grls.rosminzdrav.ru/InstrImg/2020/11/23/146563/3780d7de-b3a2-42ee-b652-ae7a04722a90.pdf" TargetMode="External"/><Relationship Id="rId187" Type="http://schemas.openxmlformats.org/officeDocument/2006/relationships/hyperlink" Target="https://grls.rosminzdrav.ru/InstrImg/2026/04/13/1528563/1136dc5f-fe53-46a4-ba36-20995e399a16.pdf" TargetMode="External"/><Relationship Id="rId1" Type="http://schemas.openxmlformats.org/officeDocument/2006/relationships/hyperlink" Target="https://lk.regmed.ru/Register/GetPDFfromDA?ID=1597322951" TargetMode="External"/><Relationship Id="rId28" Type="http://schemas.openxmlformats.org/officeDocument/2006/relationships/hyperlink" Target="https://grls.rosminzdrav.ru/InstrImg/2026/03/04/1527238/fe2adafe-5094-4da2-bbba-1a640a0ceb4e.pdf" TargetMode="External"/><Relationship Id="rId49" Type="http://schemas.openxmlformats.org/officeDocument/2006/relationships/hyperlink" Target="https://grls.rosminzdrav.ru/InstrImg/2025/12/30/1524922/f74ec015-a175-4792-8828-9d0c1f6547ab.pdf" TargetMode="External"/><Relationship Id="rId114" Type="http://schemas.openxmlformats.org/officeDocument/2006/relationships/hyperlink" Target="https://grls.rosminzdrav.ru/InstrImg/2022/09/09/1485745/6205a5ae-4bbb-42bf-84d2-93c4042be1cb.pdf" TargetMode="External"/><Relationship Id="rId60" Type="http://schemas.openxmlformats.org/officeDocument/2006/relationships/hyperlink" Target="https://grls.rosminzdrav.ru/InstrImg/2021/1/12/1464953/%D0%9B%D0%9F-001412%5B2019%5D_0.pdf" TargetMode="External"/><Relationship Id="rId81" Type="http://schemas.openxmlformats.org/officeDocument/2006/relationships/hyperlink" Target="https://grls.rosminzdrav.ru/InstrImg/2025/03/28/1515433/7cb66dc6-27dc-4004-ae84-1159c993bc84.pdf" TargetMode="External"/><Relationship Id="rId135" Type="http://schemas.openxmlformats.org/officeDocument/2006/relationships/hyperlink" Target="https://grls.rosminzdrav.ru/InstrImg/2020/12/18/1464410/%D0%9F_N014361_01%5B2020%5D_0.pdf" TargetMode="External"/><Relationship Id="rId156" Type="http://schemas.openxmlformats.org/officeDocument/2006/relationships/hyperlink" Target="https://grls.rosminzdrav.ru/InstrImg/2019/10/17/1448631/%D0%9B%D0%9F-001290%5B2017%5D_0.pdf" TargetMode="External"/><Relationship Id="rId177" Type="http://schemas.openxmlformats.org/officeDocument/2006/relationships/hyperlink" Target="https://grls.rosminzdrav.ru/InstrImg/2025/06/16/1518163/105870c5-93ab-426a-9043-b14a77b3a9e1.pdf"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grls.rosminzdrav.ru/InstrImg/2024/01/19/1501170/14f78b66-569c-4bfe-8b30-ff63439a2434.pdf" TargetMode="External"/><Relationship Id="rId21" Type="http://schemas.openxmlformats.org/officeDocument/2006/relationships/hyperlink" Target="https://grls.rosminzdrav.ru/InstrImg/2024/10/09/1509268/65b9c02a-b2dc-4aaa-90b8-4d39a6b13948.pdf" TargetMode="External"/><Relationship Id="rId42" Type="http://schemas.openxmlformats.org/officeDocument/2006/relationships/hyperlink" Target="mailto:savinova@vaccina.info" TargetMode="External"/><Relationship Id="rId63" Type="http://schemas.openxmlformats.org/officeDocument/2006/relationships/hyperlink" Target="https://grls.rosminzdrav.ru/InstrImg/2025/07/25/1519625/ca601e77-829c-48a9-b9b5-204e5b86aa88.pdf" TargetMode="External"/><Relationship Id="rId84" Type="http://schemas.openxmlformats.org/officeDocument/2006/relationships/hyperlink" Target="https://grls.rosminzdrav.ru/InstrImg/2024/10/15/1509551/1a898738-6a53-4ed9-91c3-69012260bf5e.pdf" TargetMode="External"/><Relationship Id="rId138" Type="http://schemas.openxmlformats.org/officeDocument/2006/relationships/hyperlink" Target="https://grls.rosminzdrav.ru/InstrImg/2023/03/14/1491812/185a1106-6649-4596-af55-b6b4c88e9969.pdf" TargetMode="External"/><Relationship Id="rId159" Type="http://schemas.openxmlformats.org/officeDocument/2006/relationships/hyperlink" Target="https://grls.rosminzdrav.ru/InstrImg/2024/01/23/1501030/43ed9d31-44e7-403a-a977-d714a002b9c6.pdf" TargetMode="External"/><Relationship Id="rId170" Type="http://schemas.openxmlformats.org/officeDocument/2006/relationships/hyperlink" Target="https://grls.rosminzdrav.ru/InstrImg/2024/11/12/1510570/30498232-70f4-43ae-bc27-e391c89b19fc.pdf" TargetMode="External"/><Relationship Id="rId107" Type="http://schemas.openxmlformats.org/officeDocument/2006/relationships/hyperlink" Target="https://grls.rosminzdrav.ru/InstrImg/2024/11/29/1511440/a7df9117-6412-4ad4-81a2-998d2ad320c3.pdf" TargetMode="External"/><Relationship Id="rId11" Type="http://schemas.openxmlformats.org/officeDocument/2006/relationships/hyperlink" Target="https://grls.rosminzdrav.ru/InstrImg/2020/05/28/10700/9d141b34-47e7-48c8-9480-616cbbc792fc.pdf" TargetMode="External"/><Relationship Id="rId32" Type="http://schemas.openxmlformats.org/officeDocument/2006/relationships/hyperlink" Target="https://grls.rosminzdrav.ru/InstrImg/2024/12/17/1512020/2a864a9a-4d20-4872-b696-45be6795479c.pdf" TargetMode="External"/><Relationship Id="rId53" Type="http://schemas.openxmlformats.org/officeDocument/2006/relationships/hyperlink" Target="mailto:savinova@vaccina.info" TargetMode="External"/><Relationship Id="rId74" Type="http://schemas.openxmlformats.org/officeDocument/2006/relationships/hyperlink" Target="https://grls.rosminzdrav.ru/InstrImg/2021/1/19/1465274/%D0%9F_N012585_01%5B2014%5D_0.pdf" TargetMode="External"/><Relationship Id="rId128" Type="http://schemas.openxmlformats.org/officeDocument/2006/relationships/hyperlink" Target="https://grls.rosminzdrav.ru/InstrImg/2019/8/14/1445562/%D0%9F_N013657_01%5B2009%5D_0.pdf" TargetMode="External"/><Relationship Id="rId149" Type="http://schemas.openxmlformats.org/officeDocument/2006/relationships/hyperlink" Target="https://grls.rosminzdrav.ru/InstrImg/2023/02/06/1490994/ce58d78b-8090-4070-9a74-71165b1e2e38.pdf" TargetMode="External"/><Relationship Id="rId5" Type="http://schemas.openxmlformats.org/officeDocument/2006/relationships/hyperlink" Target="https://grls.rosminzdrav.ru/InstrImg/2025/06/02/1517794/d7367d9e-e745-46a7-b297-5a093bf3738a.pdf" TargetMode="External"/><Relationship Id="rId95" Type="http://schemas.openxmlformats.org/officeDocument/2006/relationships/hyperlink" Target="https://grls.rosminzdrav.ru/InstrImg/2020/11/27/1463688/%D0%A0_N002481_01%5B2020%5D_0.pdf" TargetMode="External"/><Relationship Id="rId160" Type="http://schemas.openxmlformats.org/officeDocument/2006/relationships/hyperlink" Target="https://grls.rosminzdrav.ru/InstrImg/2020/06/11/1206428/53252686-7415-4f30-bdba-632b434439f9.pdf" TargetMode="External"/><Relationship Id="rId181" Type="http://schemas.openxmlformats.org/officeDocument/2006/relationships/hyperlink" Target="https://grls.rosminzdrav.ru/InstrImg/2024/12/09/1511749/a4738d52-4ff6-4599-a566-530f55491e76.pdf" TargetMode="External"/><Relationship Id="rId22" Type="http://schemas.openxmlformats.org/officeDocument/2006/relationships/hyperlink" Target="https://grls.rosminzdrav.ru/InstrImg/2026/05/07/1529632/54e13522-5efa-4c8c-a9b0-7ea539b4f9d1.pdf" TargetMode="External"/><Relationship Id="rId43" Type="http://schemas.openxmlformats.org/officeDocument/2006/relationships/hyperlink" Target="https://grls.rosminzdrav.ru/InstrImg/2026/02/10/1526281/07a2f661-6334-4894-8117-0ad7563ba4ef.pdf" TargetMode="External"/><Relationship Id="rId64" Type="http://schemas.openxmlformats.org/officeDocument/2006/relationships/hyperlink" Target="mailto:savinova@vaccina.info" TargetMode="External"/><Relationship Id="rId118" Type="http://schemas.openxmlformats.org/officeDocument/2006/relationships/hyperlink" Target="https://grls.rosminzdrav.ru/InstrImg/2020/12/02/1423524/629a6384-1db2-499f-afb1-e87dac723b9a.pdf" TargetMode="External"/><Relationship Id="rId139" Type="http://schemas.openxmlformats.org/officeDocument/2006/relationships/hyperlink" Target="mailto:savinova@vaccina.info" TargetMode="External"/><Relationship Id="rId85" Type="http://schemas.openxmlformats.org/officeDocument/2006/relationships/hyperlink" Target="https://grls.rosminzdrav.ru/InstrImg/2021/10/22/1474770/84220d47-9ed2-44e3-a2d3-89170a0f96d8.pdf" TargetMode="External"/><Relationship Id="rId150" Type="http://schemas.openxmlformats.org/officeDocument/2006/relationships/hyperlink" Target="https://grls.rosminzdrav.ru/InstrImg/2023/08/17/1496293/a8893a4d-70e3-43dc-bc8a-446baf05ffc0.pdf" TargetMode="External"/><Relationship Id="rId171" Type="http://schemas.openxmlformats.org/officeDocument/2006/relationships/hyperlink" Target="https://grls.rosminzdrav.ru/InstrImg/2020/06/18/1452053/3993efd1-cdd7-4127-88ae-330ac7a6d1c1.pdf" TargetMode="External"/><Relationship Id="rId12" Type="http://schemas.openxmlformats.org/officeDocument/2006/relationships/hyperlink" Target="https://grls.rosminzdrav.ru/InstrImg/2026/05/27/1530421/6bdc8421-6c08-4bf7-be7f-0ae5d96a478d.pdf" TargetMode="External"/><Relationship Id="rId33" Type="http://schemas.openxmlformats.org/officeDocument/2006/relationships/hyperlink" Target="https://grls.rosminzdrav.ru/InstrImg/2024/05/06/1504148/f9e7d2a4-783f-443b-a62e-29078cfb7066.pdf" TargetMode="External"/><Relationship Id="rId108" Type="http://schemas.openxmlformats.org/officeDocument/2006/relationships/hyperlink" Target="mailto:savinova@vaccina.info" TargetMode="External"/><Relationship Id="rId129" Type="http://schemas.openxmlformats.org/officeDocument/2006/relationships/hyperlink" Target="https://grls.rosminzdrav.ru/InstrImg/2023/07/19/1495141/6279c1ae-20cf-4801-9f4a-bb9a68168b63.pdf" TargetMode="External"/><Relationship Id="rId54" Type="http://schemas.openxmlformats.org/officeDocument/2006/relationships/hyperlink" Target="https://grls.rosminzdrav.ru/InstrImg/2022/09/20/1485497/d454a4ed-f278-470c-9ca3-82a7d582e3aa.pdf" TargetMode="External"/><Relationship Id="rId75" Type="http://schemas.openxmlformats.org/officeDocument/2006/relationships/hyperlink" Target="mailto:savinova@vaccina.info" TargetMode="External"/><Relationship Id="rId96" Type="http://schemas.openxmlformats.org/officeDocument/2006/relationships/hyperlink" Target="https://grls.rosminzdrav.ru/InstrImg/2025/02/06/1513573/c7fd0ba6-d018-4726-b9e2-1ae791edec76.pdf" TargetMode="External"/><Relationship Id="rId140" Type="http://schemas.openxmlformats.org/officeDocument/2006/relationships/hyperlink" Target="https://grls.rosminzdrav.ru/InstrImg/2024/06/17/1505907/c78a0ec4-01f8-4da4-b2a0-954814a9748c.pdf" TargetMode="External"/><Relationship Id="rId161" Type="http://schemas.openxmlformats.org/officeDocument/2006/relationships/hyperlink" Target="https://grls.rosminzdrav.ru/InstrImg/2019/06/30/739/1fca1237-4a6a-4bdd-b176-7ef01c56c1bf.pdf" TargetMode="External"/><Relationship Id="rId182" Type="http://schemas.openxmlformats.org/officeDocument/2006/relationships/hyperlink" Target="https://grls.rosminzdrav.ru/InstrImg/2025/03/25/1515160/e4c206af-2701-4f99-a45f-09d998ef0935.pdf" TargetMode="External"/><Relationship Id="rId6" Type="http://schemas.openxmlformats.org/officeDocument/2006/relationships/hyperlink" Target="https://grls.rosminzdrav.ru/InstrImg/2024/04/26/1504040/c8eb3c33-845e-4af2-aeb5-f70dcdb3f339.pdf" TargetMode="External"/><Relationship Id="rId23" Type="http://schemas.openxmlformats.org/officeDocument/2006/relationships/hyperlink" Target="https://grls.rosminzdrav.ru/InstrImg/2024/08/15/1507980/8d222b22-41b7-4c91-91d7-df538cb9c42c.pdf" TargetMode="External"/><Relationship Id="rId119" Type="http://schemas.openxmlformats.org/officeDocument/2006/relationships/hyperlink" Target="mailto:savinova@vaccina.info" TargetMode="External"/><Relationship Id="rId44" Type="http://schemas.openxmlformats.org/officeDocument/2006/relationships/hyperlink" Target="https://grls.rosminzdrav.ru/InstrImg/2021/12/14/1476333/f3799188-0d95-48db-a0ce-bb1396d44765.pdf" TargetMode="External"/><Relationship Id="rId65" Type="http://schemas.openxmlformats.org/officeDocument/2006/relationships/hyperlink" Target="https://grls.rosminzdrav.ru/InstrImg/2024/12/19/1512043/59e764b9-60fd-455d-b6fc-d0056460286e.pdf" TargetMode="External"/><Relationship Id="rId86" Type="http://schemas.openxmlformats.org/officeDocument/2006/relationships/hyperlink" Target="mailto:savinova@vaccina.info" TargetMode="External"/><Relationship Id="rId130" Type="http://schemas.openxmlformats.org/officeDocument/2006/relationships/hyperlink" Target="mailto:savinova@vaccina.info" TargetMode="External"/><Relationship Id="rId151" Type="http://schemas.openxmlformats.org/officeDocument/2006/relationships/hyperlink" Target="https://grls.rosminzdrav.ru/InstrImg/2026/05/19/1529992/3e4bff0f-b904-49bd-8f8c-cf901c4749df.pdf" TargetMode="External"/><Relationship Id="rId172" Type="http://schemas.openxmlformats.org/officeDocument/2006/relationships/hyperlink" Target="https://grls.rosminzdrav.ru/InstrImg/2025/06/02/1517810/7b7b0a6f-2d36-481e-a964-4e8d04031cd7.pdf" TargetMode="External"/><Relationship Id="rId13" Type="http://schemas.openxmlformats.org/officeDocument/2006/relationships/hyperlink" Target="https://grls.rosminzdrav.ru/InstrImg/2025/12/04/1523945/374687b9-516b-4eb9-9e34-640e88c2e1e2.pdf" TargetMode="External"/><Relationship Id="rId18" Type="http://schemas.openxmlformats.org/officeDocument/2006/relationships/hyperlink" Target="https://grls.rosminzdrav.ru/InstrImg/2018/7/19/1423955/%D0%A0_N002668_01%5B2012%5D_0.pdf" TargetMode="External"/><Relationship Id="rId39" Type="http://schemas.openxmlformats.org/officeDocument/2006/relationships/hyperlink" Target="https://grls.rosminzdrav.ru/InstrImg/2025/05/06/1510260/3226bda3-b919-4e7c-8c50-869db628161b.pdf" TargetMode="External"/><Relationship Id="rId109" Type="http://schemas.openxmlformats.org/officeDocument/2006/relationships/hyperlink" Target="https://grls.rosminzdrav.ru/InstrImg/2020/11/27/1463649/%D0%9B%D0%9F-000499%5B2016%5D_0.pdf" TargetMode="External"/><Relationship Id="rId34" Type="http://schemas.openxmlformats.org/officeDocument/2006/relationships/hyperlink" Target="https://grls.rosminzdrav.ru/InstrImg/2025/07/21/1519595/f7c8e9e3-baf4-4c2e-949f-a41b75a8ad7c.pdf" TargetMode="External"/><Relationship Id="rId50" Type="http://schemas.openxmlformats.org/officeDocument/2006/relationships/hyperlink" Target="https://grls.rosminzdrav.ru/InstrImg/2020/10/15/1462300/%D0%A0_N001586_01%5B2007%5D_0.pdf" TargetMode="External"/><Relationship Id="rId55" Type="http://schemas.openxmlformats.org/officeDocument/2006/relationships/hyperlink" Target="https://grls.rosminzdrav.ru/InstrImg/2024/05/23/1504773/609a8a1f-c770-47fc-a98c-75cf5640e7e7.pdf" TargetMode="External"/><Relationship Id="rId76" Type="http://schemas.openxmlformats.org/officeDocument/2006/relationships/hyperlink" Target="https://grls.rosminzdrav.ru/InstrImg/2021/1/19/1465274/%D0%9F_N012585_01%5B2014%5D_0.pdf" TargetMode="External"/><Relationship Id="rId97" Type="http://schemas.openxmlformats.org/officeDocument/2006/relationships/hyperlink" Target="mailto:savinova@vaccina.info" TargetMode="External"/><Relationship Id="rId104" Type="http://schemas.openxmlformats.org/officeDocument/2006/relationships/hyperlink" Target="https://grls.rosminzdrav.ru/InstrImg/2022/07/01/1482554/85877900-4857-49d0-8559-cf446fe8cfa7.pdf" TargetMode="External"/><Relationship Id="rId120" Type="http://schemas.openxmlformats.org/officeDocument/2006/relationships/hyperlink" Target="https://grls.rosminzdrav.ru/InstrImg/2019/06/29/1424317/a2b80c77-0857-4a1d-a948-36a987511e54.pdf" TargetMode="External"/><Relationship Id="rId125" Type="http://schemas.openxmlformats.org/officeDocument/2006/relationships/hyperlink" Target="https://grls.rosminzdrav.ru/InstrImg/2024/04/26/1504005/d1870595-28f7-44b7-bb39-ad5bc2268f78.pdf" TargetMode="External"/><Relationship Id="rId141" Type="http://schemas.openxmlformats.org/officeDocument/2006/relationships/hyperlink" Target="https://grls.rosminzdrav.ru/InstrImg/2026/01/22/1525402/07c3adec-cd5e-49f6-9bc3-7a3e029cd98c.pdf" TargetMode="External"/><Relationship Id="rId146" Type="http://schemas.openxmlformats.org/officeDocument/2006/relationships/hyperlink" Target="https://grls.rosminzdrav.ru/InstrImg/2024/10/10/1495965/c34940c7-6489-4f00-aa71-1d8d65873e99.pdf" TargetMode="External"/><Relationship Id="rId167" Type="http://schemas.openxmlformats.org/officeDocument/2006/relationships/hyperlink" Target="https://grls.rosminzdrav.ru/InstrImg/2025/02/28/1514525/002c6594-b19d-4b5a-a79c-60853ca8612c.pdf" TargetMode="External"/><Relationship Id="rId188" Type="http://schemas.openxmlformats.org/officeDocument/2006/relationships/hyperlink" Target="https://grls.rosminzdrav.ru/InstrImg/2026/04/13/1528638/81dbfeae-d02c-4909-ae9d-1b3092cc89e9.pdf" TargetMode="External"/><Relationship Id="rId7" Type="http://schemas.openxmlformats.org/officeDocument/2006/relationships/hyperlink" Target="mailto:savinova@vaccina.info" TargetMode="External"/><Relationship Id="rId71" Type="http://schemas.openxmlformats.org/officeDocument/2006/relationships/hyperlink" Target="https://grls.rosminzdrav.ru/InstrImg/2016/4/4/37565/%D0%9F_N015218_01%5B2009%5D_0.pdf" TargetMode="External"/><Relationship Id="rId92" Type="http://schemas.openxmlformats.org/officeDocument/2006/relationships/hyperlink" Target="https://grls.rosminzdrav.ru/InstrImg/2019/10/25/1448929/%D0%A0_N001273_01%5B2019%5D_0.pdf" TargetMode="External"/><Relationship Id="rId162" Type="http://schemas.openxmlformats.org/officeDocument/2006/relationships/hyperlink" Target="https://grls.rosminzdrav.ru/InstrImg/2020/06/01/1422432/8314c8e6-25f4-4bd2-97f0-1a3b881e7dcb.pdf" TargetMode="External"/><Relationship Id="rId183" Type="http://schemas.openxmlformats.org/officeDocument/2006/relationships/hyperlink" Target="https://grls.rosminzdrav.ru/InstrImg/2025/03/14/1514899/44c72a47-2cd3-4a92-b136-0902c17fafb6.pdf" TargetMode="External"/><Relationship Id="rId2" Type="http://schemas.openxmlformats.org/officeDocument/2006/relationships/hyperlink" Target="mailto:savinova@vaccina.info" TargetMode="External"/><Relationship Id="rId29" Type="http://schemas.openxmlformats.org/officeDocument/2006/relationships/hyperlink" Target="https://grls.rosminzdrav.ru/InstrImg/2019/8/6/1445331/%D0%9F_N011073%5B2014%5D_0.pdf" TargetMode="External"/><Relationship Id="rId24" Type="http://schemas.openxmlformats.org/officeDocument/2006/relationships/hyperlink" Target="https://grls.rosminzdrav.ru/InstrImg/2024/08/15/1507980/8d222b22-41b7-4c91-91d7-df538cb9c42c.pdf" TargetMode="External"/><Relationship Id="rId40" Type="http://schemas.openxmlformats.org/officeDocument/2006/relationships/hyperlink" Target="https://grls.rosminzdrav.ru/InstrImg/2024/11/08/1510402/a0b91d84-8dc8-4b0b-9293-7245326bb57d.pdf" TargetMode="External"/><Relationship Id="rId45" Type="http://schemas.openxmlformats.org/officeDocument/2006/relationships/hyperlink" Target="https://grls.rosminzdrav.ru/InstrImg/2026/03/05/1527284/4a34f8fb-090f-4a41-bab9-0d4194977316.pdf" TargetMode="External"/><Relationship Id="rId66" Type="http://schemas.openxmlformats.org/officeDocument/2006/relationships/hyperlink" Target="https://grls.rosminzdrav.ru/InstrImg/2024/12/19/1512111/eb092f80-f74e-4698-a788-b219b85710ef.pdf" TargetMode="External"/><Relationship Id="rId87" Type="http://schemas.openxmlformats.org/officeDocument/2006/relationships/hyperlink" Target="https://grls.rosminzdrav.ru/InstrImg/2021/07/22/86490/fa07de3f-3b07-40e8-b027-068e2a19359f.pdf" TargetMode="External"/><Relationship Id="rId110" Type="http://schemas.openxmlformats.org/officeDocument/2006/relationships/hyperlink" Target="https://grls.rosminzdrav.ru/InstrImg/2026/03/04/1527238/fe2adafe-5094-4da2-bbba-1a640a0ceb4e.pdf" TargetMode="External"/><Relationship Id="rId115" Type="http://schemas.openxmlformats.org/officeDocument/2006/relationships/hyperlink" Target="https://grls.rosminzdrav.ru/InstrImg/2025/05/06/1510260/3226bda3-b919-4e7c-8c50-869db628161b.pdf" TargetMode="External"/><Relationship Id="rId131" Type="http://schemas.openxmlformats.org/officeDocument/2006/relationships/hyperlink" Target="https://grls.rosminzdrav.ru/InstrImg/2020/4/29/1456610/%D0%9F_N013850_01%5B2014%5D_0.pdf" TargetMode="External"/><Relationship Id="rId136" Type="http://schemas.openxmlformats.org/officeDocument/2006/relationships/hyperlink" Target="https://grls.rosminzdrav.ru/InstrImg/2023/02/09/1490961/74e94624-eabc-450e-bf32-2c1ddaca2be5.pdf" TargetMode="External"/><Relationship Id="rId157" Type="http://schemas.openxmlformats.org/officeDocument/2006/relationships/hyperlink" Target="https://grls.rosminzdrav.ru/InstrImg/2020/06/03/37799/c7a7977e-fea0-4451-80db-bfd751ccf3f6.pdf" TargetMode="External"/><Relationship Id="rId178" Type="http://schemas.openxmlformats.org/officeDocument/2006/relationships/hyperlink" Target="https://grls.rosminzdrav.ru/InstrImg/2025/07/09/1519029/0d8fd7ae-7b89-4160-9ecd-4b0646f6482f.pdf" TargetMode="External"/><Relationship Id="rId61" Type="http://schemas.openxmlformats.org/officeDocument/2006/relationships/hyperlink" Target="https://grls.rosminzdrav.ru/InstrImg/2023/09/12/1497054/2bbe6e62-f63e-4bf6-a4cf-9559c0e35dfb.pdf" TargetMode="External"/><Relationship Id="rId82" Type="http://schemas.openxmlformats.org/officeDocument/2006/relationships/hyperlink" Target="https://grls.rosminzdrav.ru/InstrImg/2025/06/10/1518039/2f088da7-8272-4666-bcb6-a2e0826808b5.pdf" TargetMode="External"/><Relationship Id="rId152" Type="http://schemas.openxmlformats.org/officeDocument/2006/relationships/hyperlink" Target="https://grls.rosminzdrav.ru/InstrImg/2024/02/12/1501815/32f958db-a12b-4c41-9b5b-e1707a1b19ee.pdf" TargetMode="External"/><Relationship Id="rId173" Type="http://schemas.openxmlformats.org/officeDocument/2006/relationships/hyperlink" Target="https://grls.rosminzdrav.ru/InstrImg/2025/03/25/1515266/f7896710-fb4c-49f0-9e20-d6272771ab13.pdf" TargetMode="External"/><Relationship Id="rId19" Type="http://schemas.openxmlformats.org/officeDocument/2006/relationships/hyperlink" Target="https://grls.rosminzdrav.ru/InstrImg/2024/06/26/1506257/5ced0007-6f34-412c-9709-b1f6af04e5f6.pdf" TargetMode="External"/><Relationship Id="rId14" Type="http://schemas.openxmlformats.org/officeDocument/2006/relationships/hyperlink" Target="https://grls.rosminzdrav.ru/InstrImg/2026/06/02/1530636/e301156c-c7d5-45d7-bf58-5346c270c493.pdf" TargetMode="External"/><Relationship Id="rId30" Type="http://schemas.openxmlformats.org/officeDocument/2006/relationships/hyperlink" Target="https://grls.rosminzdrav.ru/InstrImg/2019/8/6/1445331/%D0%9F_N011073%5B2014%5D_0.pdf" TargetMode="External"/><Relationship Id="rId35" Type="http://schemas.openxmlformats.org/officeDocument/2006/relationships/hyperlink" Target="https://grls.rosminzdrav.ru/InstrImg/2022/03/24/1479420/567f4c1a-9b51-46b3-aa9d-6be72c91e48b.pdf" TargetMode="External"/><Relationship Id="rId56" Type="http://schemas.openxmlformats.org/officeDocument/2006/relationships/hyperlink" Target="https://grls.rosminzdrav.ru/InstrImg/2025/10/17/1504574/7154e58a-7f87-42a0-a46d-7bf589291e39.pdf" TargetMode="External"/><Relationship Id="rId77" Type="http://schemas.openxmlformats.org/officeDocument/2006/relationships/hyperlink" Target="https://grls.rosminzdrav.ru/InstrImg/2025/09/15/1521458/990be5c7-4178-4812-a999-fd00eaeb3d60.pdf" TargetMode="External"/><Relationship Id="rId100" Type="http://schemas.openxmlformats.org/officeDocument/2006/relationships/hyperlink" Target="https://grls.rosminzdrav.ru/InstrImg/2021/6/4/1469733/%D0%A0_N000661_01%5B2017%5D_0.pdf" TargetMode="External"/><Relationship Id="rId105" Type="http://schemas.openxmlformats.org/officeDocument/2006/relationships/hyperlink" Target="https://grls.rosminzdrav.ru/InstrImg/2026/01/22/1525392/c4730a97-f7f4-406f-954c-6a6bed44be35.pdf" TargetMode="External"/><Relationship Id="rId126" Type="http://schemas.openxmlformats.org/officeDocument/2006/relationships/hyperlink" Target="https://grls.rosminzdrav.ru/InstrImg/2023/07/13/1494926/d8440e50-44f6-4e4b-a50d-64608384e586.pdf" TargetMode="External"/><Relationship Id="rId147" Type="http://schemas.openxmlformats.org/officeDocument/2006/relationships/hyperlink" Target="https://grls.rosminzdrav.ru/InstrImg/2023/07/19/1495264/b9145336-501d-4fcb-b640-d0208471de88.pdf" TargetMode="External"/><Relationship Id="rId168" Type="http://schemas.openxmlformats.org/officeDocument/2006/relationships/hyperlink" Target="https://grls.rosminzdrav.ru/InstrImg/2025/03/27/1515398/ec0df501-9186-4e20-ae68-c07f28302f7b.pdf" TargetMode="External"/><Relationship Id="rId8" Type="http://schemas.openxmlformats.org/officeDocument/2006/relationships/hyperlink" Target="https://grls.rosminzdrav.ru/InstrImg/2024/06/11/1505783/fc76a782-eb1a-468c-a748-3f0e4fe0cd09.pdf" TargetMode="External"/><Relationship Id="rId51" Type="http://schemas.openxmlformats.org/officeDocument/2006/relationships/hyperlink" Target="https://grls.rosminzdrav.ru/InstrImg/2024/07/19/1506924/5cc0ebcd-92ff-417f-bdfe-dd8bd9bc1c0b.pdf" TargetMode="External"/><Relationship Id="rId72" Type="http://schemas.openxmlformats.org/officeDocument/2006/relationships/hyperlink" Target="https://grls.rosminzdrav.ru/InstrImg/2024/12/05/1511721/ee78b171-6cf3-474c-9f58-0391a7a5b91f.pdf" TargetMode="External"/><Relationship Id="rId93" Type="http://schemas.openxmlformats.org/officeDocument/2006/relationships/hyperlink" Target="https://grls.rosminzdrav.ru/InstrImg/2020/08/24/86488/1ed689ab-55e8-4379-9b04-687068382c27.pdf" TargetMode="External"/><Relationship Id="rId98" Type="http://schemas.openxmlformats.org/officeDocument/2006/relationships/hyperlink" Target="https://grls.rosminzdrav.ru/InstrImg/2022/12/12/1489555/281290ac-8b7f-4930-a191-7eff9a7cb147.pdf" TargetMode="External"/><Relationship Id="rId121" Type="http://schemas.openxmlformats.org/officeDocument/2006/relationships/hyperlink" Target="https://grls.rosminzdrav.ru/InstrImg/2023/11/14/1499137/0d066a1a-0b64-4c36-8b80-ed504d3f7fe0.pdf" TargetMode="External"/><Relationship Id="rId142" Type="http://schemas.openxmlformats.org/officeDocument/2006/relationships/hyperlink" Target="https://grls.rosminzdrav.ru/InstrImg/2025/10/30/1523008/59dd5156-957b-4de5-86c8-83d284b70f65.pdf" TargetMode="External"/><Relationship Id="rId163" Type="http://schemas.openxmlformats.org/officeDocument/2006/relationships/hyperlink" Target="https://grls.rosminzdrav.ru/InstrImg/2020/05/28/37407/eca15fe8-8706-4bd3-9148-1f54c5ab52ed.pdf" TargetMode="External"/><Relationship Id="rId184" Type="http://schemas.openxmlformats.org/officeDocument/2006/relationships/hyperlink" Target="https://grls.rosminzdrav.ru/InstrImg/2025/04/04/1515791/731944c3-c908-4ee4-8479-026ab476fc4b.pdf" TargetMode="External"/><Relationship Id="rId3" Type="http://schemas.openxmlformats.org/officeDocument/2006/relationships/hyperlink" Target="https://grls.rosminzdrav.ru/InstrImg/2024/07/22/1506933/80d8215a-ed41-4eea-aa3e-718b4060dc85.pdf" TargetMode="External"/><Relationship Id="rId25" Type="http://schemas.openxmlformats.org/officeDocument/2006/relationships/hyperlink" Target="https://grls.rosminzdrav.ru/InstrImg/2021/10/06/1474149/b0b90cab-c4b4-46cc-966d-af929ca7275c.pdf" TargetMode="External"/><Relationship Id="rId46" Type="http://schemas.openxmlformats.org/officeDocument/2006/relationships/hyperlink" Target="https://grls.rosminzdrav.ru/InstrImg/2024/10/18/1509959/c662564d-f927-489b-910f-61c762d2cbd7.pdf" TargetMode="External"/><Relationship Id="rId67" Type="http://schemas.openxmlformats.org/officeDocument/2006/relationships/hyperlink" Target="https://grls.rosminzdrav.ru/InstrImg/2022/11/25/1488723/80c7b6fb-3d8f-4ee9-9610-da77ce371e71.pdf" TargetMode="External"/><Relationship Id="rId116" Type="http://schemas.openxmlformats.org/officeDocument/2006/relationships/hyperlink" Target="https://grls.rosminzdrav.ru/InstrImg/2025/04/07/1515838/1b86346c-ace0-4de8-a757-2d3e7e4604e4.pdf" TargetMode="External"/><Relationship Id="rId137" Type="http://schemas.openxmlformats.org/officeDocument/2006/relationships/hyperlink" Target="https://grls.rosminzdrav.ru/InstrImg/2024/03/05/1502513/2f9ab427-55f1-498e-aafd-eabedbaee219.pdf" TargetMode="External"/><Relationship Id="rId158" Type="http://schemas.openxmlformats.org/officeDocument/2006/relationships/hyperlink" Target="https://grls.rosminzdrav.ru/InstrImg/2025/12/30/1524963/862ae1b6-e8bc-417c-8173-0fa0ff6a6e52.pdf" TargetMode="External"/><Relationship Id="rId20" Type="http://schemas.openxmlformats.org/officeDocument/2006/relationships/hyperlink" Target="mailto:savinova@vaccina.info" TargetMode="External"/><Relationship Id="rId41" Type="http://schemas.openxmlformats.org/officeDocument/2006/relationships/hyperlink" Target="https://grls.rosminzdrav.ru/InstrImg/2023/11/03/1498860/e40e979e-c456-4cd1-abd9-439878d7e6e0.pdf" TargetMode="External"/><Relationship Id="rId62" Type="http://schemas.openxmlformats.org/officeDocument/2006/relationships/hyperlink" Target="https://grls.rosminzdrav.ru/InstrImg/2022/07/11/1482961/bd6fe224-8595-4d96-862b-ce5eb5a6fbf4.pdf" TargetMode="External"/><Relationship Id="rId83" Type="http://schemas.openxmlformats.org/officeDocument/2006/relationships/hyperlink" Target="https://grls.rosminzdrav.ru/InstrImg/2022/11/30/1489210/e0b55ee6-f6b6-4a34-8719-972e455bb957.pdf" TargetMode="External"/><Relationship Id="rId88" Type="http://schemas.openxmlformats.org/officeDocument/2006/relationships/hyperlink" Target="https://grls.rosminzdrav.ru/InstrImg/2020/06/13/86486/607fd14a-da55-42fe-8db7-52767fd34cc2.pdf" TargetMode="External"/><Relationship Id="rId111" Type="http://schemas.openxmlformats.org/officeDocument/2006/relationships/hyperlink" Target="https://grls.rosminzdrav.ru/InstrImg/2025/06/16/1518193/6df836e1-9750-4ca5-be05-590641b808ac.pdf" TargetMode="External"/><Relationship Id="rId132" Type="http://schemas.openxmlformats.org/officeDocument/2006/relationships/hyperlink" Target="https://grls.rosminzdrav.ru/InstrImg/2020/12/15/1464278/%D0%9F_N015829_01%5B2017%5D_6.pdf" TargetMode="External"/><Relationship Id="rId153" Type="http://schemas.openxmlformats.org/officeDocument/2006/relationships/hyperlink" Target="https://grls.rosminzdrav.ru/InstrImg/2023/11/15/1499083/aedb6c35-3db8-494a-a41e-8ffc737dc35b.pdf" TargetMode="External"/><Relationship Id="rId174" Type="http://schemas.openxmlformats.org/officeDocument/2006/relationships/hyperlink" Target="https://grls.rosminzdrav.ru/InstrImg/2019/6/10/1440397/%D0%9F_N014879_01-2003%5B2003%5D_0.pdf" TargetMode="External"/><Relationship Id="rId179" Type="http://schemas.openxmlformats.org/officeDocument/2006/relationships/hyperlink" Target="https://grls.rosminzdrav.ru/InstrImg/2025/12/30/1524963/862ae1b6-e8bc-417c-8173-0fa0ff6a6e52.pdf" TargetMode="External"/><Relationship Id="rId15" Type="http://schemas.openxmlformats.org/officeDocument/2006/relationships/hyperlink" Target="https://grls.rosminzdrav.ru/InstrImg/2024/07/31/1507315/766d25c1-1588-432d-8847-d7879b5f35ca.pdf" TargetMode="External"/><Relationship Id="rId36" Type="http://schemas.openxmlformats.org/officeDocument/2006/relationships/hyperlink" Target="https://grls.rosminzdrav.ru/InstrImg/2023/01/09/1490224/e76560fa-e72e-49eb-8daf-91f3d1403e22.pdf" TargetMode="External"/><Relationship Id="rId57" Type="http://schemas.openxmlformats.org/officeDocument/2006/relationships/hyperlink" Target="https://grls.rosminzdrav.ru/InstrImg/2025/04/10/1504025/4213c7bf-831f-4e93-865a-64154eae8592.pdf" TargetMode="External"/><Relationship Id="rId106" Type="http://schemas.openxmlformats.org/officeDocument/2006/relationships/hyperlink" Target="https://grls.rosminzdrav.ru/InstrImg/2023/03/01/1491468/c8da2905-b80e-470c-adc7-c40c03707ddd.pdf" TargetMode="External"/><Relationship Id="rId127" Type="http://schemas.openxmlformats.org/officeDocument/2006/relationships/hyperlink" Target="https://grls.rosminzdrav.ru/InstrImg/2019/8/15/1445618/%D0%9F_N015312_01%5B2010%5D_0.pdf" TargetMode="External"/><Relationship Id="rId10" Type="http://schemas.openxmlformats.org/officeDocument/2006/relationships/hyperlink" Target="https://grls.rosminzdrav.ru/InstrImg/2017/4/26/1416322/%D0%A0_N002666_01%5B2013%5D_0.pdf" TargetMode="External"/><Relationship Id="rId31" Type="http://schemas.openxmlformats.org/officeDocument/2006/relationships/hyperlink" Target="mailto:savinova@vaccina.info" TargetMode="External"/><Relationship Id="rId52" Type="http://schemas.openxmlformats.org/officeDocument/2006/relationships/hyperlink" Target="https://grls.rosminzdrav.ru/InstrImg/2025/06/19/1518378/557245be-23d7-4913-9af3-4fa130d3c97f.pdf" TargetMode="External"/><Relationship Id="rId73" Type="http://schemas.openxmlformats.org/officeDocument/2006/relationships/hyperlink" Target="https://grls.rosminzdrav.ru/InstrImg/2017/4/26/1416345/%D0%A0_N002667_01%5B2012%5D_0.pdf" TargetMode="External"/><Relationship Id="rId78" Type="http://schemas.openxmlformats.org/officeDocument/2006/relationships/hyperlink" Target="https://grls.rosminzdrav.ru/InstrImg/2025/09/15/1521458/990be5c7-4178-4812-a999-fd00eaeb3d60.pdf" TargetMode="External"/><Relationship Id="rId94" Type="http://schemas.openxmlformats.org/officeDocument/2006/relationships/hyperlink" Target="https://grls.rosminzdrav.ru/InstrImg/2021/09/20/1473405/41395d1f-d6e8-41d5-88fe-a1a29b28be83.pdf" TargetMode="External"/><Relationship Id="rId99" Type="http://schemas.openxmlformats.org/officeDocument/2006/relationships/hyperlink" Target="https://grls.rosminzdrav.ru/InstrImg/2026/02/06/1526184/204c2bdf-4b3b-45c5-b641-f7ce1ae753b3.pdf" TargetMode="External"/><Relationship Id="rId101" Type="http://schemas.openxmlformats.org/officeDocument/2006/relationships/hyperlink" Target="https://grls.rosminzdrav.ru/InstrImg/2026/02/03/1525996/748a2896-887a-40f1-82c0-510ac345461d.pdf" TargetMode="External"/><Relationship Id="rId122" Type="http://schemas.openxmlformats.org/officeDocument/2006/relationships/hyperlink" Target="https://grls.rosminzdrav.ru/InstrImg/2025/06/02/1517806/3c9102ff-eafa-47bc-b83f-eb05cfac1092.pdf" TargetMode="External"/><Relationship Id="rId143" Type="http://schemas.openxmlformats.org/officeDocument/2006/relationships/hyperlink" Target="https://grls.rosminzdrav.ru/InstrImg/2020/06/16/1416543/cc00d61d-e7e3-4d66-bfd4-02dc184c0de6.pdf" TargetMode="External"/><Relationship Id="rId148" Type="http://schemas.openxmlformats.org/officeDocument/2006/relationships/hyperlink" Target="https://grls.rosminzdrav.ru/InstrImg/2023/06/13/1494264/eeb87308-b11b-431c-949e-8c4c675f0057.pdf" TargetMode="External"/><Relationship Id="rId164" Type="http://schemas.openxmlformats.org/officeDocument/2006/relationships/hyperlink" Target="https://grls.rosminzdrav.ru/InstrImg/2020/11/20/1414272/ad633910-6fd8-473c-8c81-dc945f343f42.pdf" TargetMode="External"/><Relationship Id="rId169" Type="http://schemas.openxmlformats.org/officeDocument/2006/relationships/hyperlink" Target="https://grls.rosminzdrav.ru/InstrImg/2020/11/25/140879/f4484511-f351-42f9-8a7a-85a995f31517.pdf" TargetMode="External"/><Relationship Id="rId185" Type="http://schemas.openxmlformats.org/officeDocument/2006/relationships/hyperlink" Target="https://grls.rosminzdrav.ru/InstrImg/2021/09/20/1473405/41395d1f-d6e8-41d5-88fe-a1a29b28be83.pdf" TargetMode="External"/><Relationship Id="rId4" Type="http://schemas.openxmlformats.org/officeDocument/2006/relationships/hyperlink" Target="https://grls.rosminzdrav.ru/InstrImg/2025/05/19/1517351/3bec22d2-65bc-4a94-9482-413901e57760.pdf" TargetMode="External"/><Relationship Id="rId9" Type="http://schemas.openxmlformats.org/officeDocument/2006/relationships/hyperlink" Target="mailto:savinova@vaccina.info" TargetMode="External"/><Relationship Id="rId180" Type="http://schemas.openxmlformats.org/officeDocument/2006/relationships/hyperlink" Target="https://grls.rosminzdrav.ru/InstrImg/2024/08/14/1507898/db0136d1-e26f-4e9e-9e19-b5bbe79e1c9c.pdf" TargetMode="External"/><Relationship Id="rId26" Type="http://schemas.openxmlformats.org/officeDocument/2006/relationships/hyperlink" Target="https://grls.rosminzdrav.ru/InstrImg/2021/10/06/1474147/01e6e663-0f1b-4047-bdc9-365d6ba31c8a.pdf" TargetMode="External"/><Relationship Id="rId47" Type="http://schemas.openxmlformats.org/officeDocument/2006/relationships/hyperlink" Target="https://grls.rosminzdrav.ru/InstrImg/2025/05/26/1517557/95b8d8b7-23f5-4e99-a4f7-efc667459b50.pdf" TargetMode="External"/><Relationship Id="rId68" Type="http://schemas.openxmlformats.org/officeDocument/2006/relationships/hyperlink" Target="https://grls.rosminzdrav.ru/InstrImg/2017/6/22/1417297/%D0%9B%D0%A1-001296%5B2012%5D_0.pdf" TargetMode="External"/><Relationship Id="rId89" Type="http://schemas.openxmlformats.org/officeDocument/2006/relationships/hyperlink" Target="https://grls.rosminzdrav.ru/InstrImg/2021/7/6/1470535/%D0%9B%D0%A1%D0%A0-005759_08%5B2020%5D_0.pdf" TargetMode="External"/><Relationship Id="rId112" Type="http://schemas.openxmlformats.org/officeDocument/2006/relationships/hyperlink" Target="https://grls.rosminzdrav.ru/InstrImg/2024/07/16/1506734/9116be71-6c07-426a-8ff9-48e79a74f109.pdf" TargetMode="External"/><Relationship Id="rId133" Type="http://schemas.openxmlformats.org/officeDocument/2006/relationships/hyperlink" Target="mailto:savinova@vaccina.info" TargetMode="External"/><Relationship Id="rId154" Type="http://schemas.openxmlformats.org/officeDocument/2006/relationships/hyperlink" Target="https://grls.rosminzdrav.ru/InstrImg/2026/04/08/1528373/3fb2f386-4fb1-4866-bc9c-0268096bb4fc.pdf" TargetMode="External"/><Relationship Id="rId175" Type="http://schemas.openxmlformats.org/officeDocument/2006/relationships/hyperlink" Target="https://grls.rosminzdrav.ru/InstrImg/2024/09/30/1509113/77c4bff0-a3f7-4713-8f46-c0fd6519847f.pdf" TargetMode="External"/><Relationship Id="rId16" Type="http://schemas.openxmlformats.org/officeDocument/2006/relationships/hyperlink" Target="https://grls.rosminzdrav.ru/InstrImg/2024/08/12/1507772/3256d497-6448-48ab-a45d-8d9537a5cf72.pdf" TargetMode="External"/><Relationship Id="rId37" Type="http://schemas.openxmlformats.org/officeDocument/2006/relationships/hyperlink" Target="https://grls.rosminzdrav.ru/InstrImg/2020/11/12/37422/bb3f3b49-b450-42cf-a999-bcc087b2eb05.pdf" TargetMode="External"/><Relationship Id="rId58" Type="http://schemas.openxmlformats.org/officeDocument/2006/relationships/hyperlink" Target="https://grls.rosminzdrav.ru/InstrImg/2024/07/03/1506398/bc519198-0065-401b-bdb6-2870fdd2b38b.pdf" TargetMode="External"/><Relationship Id="rId79" Type="http://schemas.openxmlformats.org/officeDocument/2006/relationships/hyperlink" Target="https://grls.rosminzdrav.ru/InstrImg/2024/08/16/1508014/5da724a9-973e-4af7-ad8f-b948fdbe4484.pdf" TargetMode="External"/><Relationship Id="rId102" Type="http://schemas.openxmlformats.org/officeDocument/2006/relationships/hyperlink" Target="https://grls.rosminzdrav.ru/InstrImg/2022/10/26/1480925/bbce1055-ce8d-4cf1-8ce2-d5a008359d42.pdf" TargetMode="External"/><Relationship Id="rId123" Type="http://schemas.openxmlformats.org/officeDocument/2006/relationships/hyperlink" Target="https://grls.rosminzdrav.ru/InstrImg/2021/04/08/1467900/d0178e58-88a3-4898-ae92-f04c7d69cf57.pdf" TargetMode="External"/><Relationship Id="rId144" Type="http://schemas.openxmlformats.org/officeDocument/2006/relationships/hyperlink" Target="https://grls.rosminzdrav.ru/InstrImg/2024/01/16/1500861/e47bff21-9b8c-4a34-9916-735867695d02.pdf" TargetMode="External"/><Relationship Id="rId90" Type="http://schemas.openxmlformats.org/officeDocument/2006/relationships/hyperlink" Target="https://grls.rosminzdrav.ru/InstrImg/2020/06/08/86489/f8c71c84-d7eb-4cba-990a-8c9e218ca432.pdf" TargetMode="External"/><Relationship Id="rId165" Type="http://schemas.openxmlformats.org/officeDocument/2006/relationships/hyperlink" Target="https://grls.rosminzdrav.ru/InstrImg/2020/11/25/146561/742bfd83-5da9-4e9c-bbb5-b9de800c21fa.pdf" TargetMode="External"/><Relationship Id="rId186" Type="http://schemas.openxmlformats.org/officeDocument/2006/relationships/hyperlink" Target="https://grls.rosminzdrav.ru/InstrImg/2025/07/15/1519302/c7dac0d8-df0c-484e-99a0-d7b6422ab318.pdf" TargetMode="External"/><Relationship Id="rId27" Type="http://schemas.openxmlformats.org/officeDocument/2006/relationships/hyperlink" Target="https://grls.rosminzdrav.ru/InstrImg/2025/06/16/1518193/6df836e1-9750-4ca5-be05-590641b808ac.pdf" TargetMode="External"/><Relationship Id="rId48" Type="http://schemas.openxmlformats.org/officeDocument/2006/relationships/hyperlink" Target="https://grls.rosminzdrav.ru/InstrImg/2024/05/16/1504527/855b9f93-a273-4ca6-a45b-4f8dd66bd17d.pdf" TargetMode="External"/><Relationship Id="rId69" Type="http://schemas.openxmlformats.org/officeDocument/2006/relationships/hyperlink" Target="https://grls.rosminzdrav.ru/InstrImg/2022/11/25/1488637/c97cdf1c-9f19-49af-853a-b664873cc8fb.pdf" TargetMode="External"/><Relationship Id="rId113" Type="http://schemas.openxmlformats.org/officeDocument/2006/relationships/hyperlink" Target="https://grls.rosminzdrav.ru/InstrImg/2023/04/13/1492490/b02b0c0a-7a26-4b3a-8e0b-7f5d8e8e4ef1.pdf" TargetMode="External"/><Relationship Id="rId134" Type="http://schemas.openxmlformats.org/officeDocument/2006/relationships/hyperlink" Target="https://grls.rosminzdrav.ru/InstrImg/2016/6/9/1308974/%D0%9B%D0%A1%D0%A0-003210_07%5B2018%5D_0.pdf" TargetMode="External"/><Relationship Id="rId80" Type="http://schemas.openxmlformats.org/officeDocument/2006/relationships/hyperlink" Target="https://grls.rosminzdrav.ru/InstrImg/2024/08/26/1508239/28d94c1f-946f-48d3-9708-cc6d7df231fc.pdf" TargetMode="External"/><Relationship Id="rId155" Type="http://schemas.openxmlformats.org/officeDocument/2006/relationships/hyperlink" Target="https://grls.rosminzdrav.ru/InstrImg/2018/11/10/1426168/%D0%A0_N000460_01%5B2018%5D_0.pdf" TargetMode="External"/><Relationship Id="rId176" Type="http://schemas.openxmlformats.org/officeDocument/2006/relationships/hyperlink" Target="https://grls.rosminzdrav.ru/InstrImg/2025/06/20/1518413/41c4a162-9126-495b-93df-fc2894a8a11f.pdf" TargetMode="External"/><Relationship Id="rId17" Type="http://schemas.openxmlformats.org/officeDocument/2006/relationships/hyperlink" Target="https://grls.rosminzdrav.ru/InstrImg/2024/12/16/1511954/43eafc3c-33ac-4e33-969c-259e9a175ebb.pdf" TargetMode="External"/><Relationship Id="rId38" Type="http://schemas.openxmlformats.org/officeDocument/2006/relationships/hyperlink" Target="https://grls.rosminzdrav.ru/InstrImg/2020/11/23/1413288/1b595bd5-6fb2-48d5-83c0-6dd6281b5f0f.pdf" TargetMode="External"/><Relationship Id="rId59" Type="http://schemas.openxmlformats.org/officeDocument/2006/relationships/hyperlink" Target="https://grls.rosminzdrav.ru/InstrImg/2024/01/18/1500987/32f92d37-c82c-4804-8028-d7628056f1f5.pdf" TargetMode="External"/><Relationship Id="rId103" Type="http://schemas.openxmlformats.org/officeDocument/2006/relationships/hyperlink" Target="https://grls.rosminzdrav.ru/InstrImg/2025/06/20/1518412/cd0f3dff-5242-4a3d-b71e-22447afe0e73.pdf" TargetMode="External"/><Relationship Id="rId124" Type="http://schemas.openxmlformats.org/officeDocument/2006/relationships/hyperlink" Target="https://grls.rosminzdrav.ru/InstrImg/2026/01/16/1525169/a5f21ff0-2d7c-4ab8-8025-1ccbc0cf7cc6.pdf" TargetMode="External"/><Relationship Id="rId70" Type="http://schemas.openxmlformats.org/officeDocument/2006/relationships/hyperlink" Target="https://grls.rosminzdrav.ru/InstrImg/2024/09/30/1509162/166a6ebe-876b-446c-851f-ece0d4da1ad9.pdf" TargetMode="External"/><Relationship Id="rId91" Type="http://schemas.openxmlformats.org/officeDocument/2006/relationships/hyperlink" Target="https://grls.rosminzdrav.ru/InstrImg/2025/04/08/1515924/2cb5904f-0eb6-4463-9e6d-a2aa95a7192c.pdf" TargetMode="External"/><Relationship Id="rId145" Type="http://schemas.openxmlformats.org/officeDocument/2006/relationships/hyperlink" Target="https://grls.rosminzdrav.ru/InstrImg/2024/01/16/1500845/f3aed6e9-b67f-4ab3-8b75-a59249c9cf67.pdf" TargetMode="External"/><Relationship Id="rId166" Type="http://schemas.openxmlformats.org/officeDocument/2006/relationships/hyperlink" Target="https://grls.rosminzdrav.ru/InstrImg/2020/11/23/146563/15b7229f-0643-4cc6-991c-49f83901eb37.pdf" TargetMode="External"/><Relationship Id="rId187" Type="http://schemas.openxmlformats.org/officeDocument/2006/relationships/hyperlink" Target="https://grls.rosminzdrav.ru/InstrImg/2026/04/13/1528563/1136dc5f-fe53-46a4-ba36-20995e399a16.pdf" TargetMode="External"/><Relationship Id="rId1" Type="http://schemas.openxmlformats.org/officeDocument/2006/relationships/hyperlink" Target="https://grls.rosminzdrav.ru/InstrImg/2024/07/22/1506963/e3ee888d-af33-4b32-88c3-937587aac4f5.pdf" TargetMode="External"/><Relationship Id="rId28" Type="http://schemas.openxmlformats.org/officeDocument/2006/relationships/hyperlink" Target="https://grls.rosminzdrav.ru/InstrImg/2026/03/04/1527238/fe2adafe-5094-4da2-bbba-1a640a0ceb4e.pdf" TargetMode="External"/><Relationship Id="rId49" Type="http://schemas.openxmlformats.org/officeDocument/2006/relationships/hyperlink" Target="https://grls.rosminzdrav.ru/InstrImg/2025/12/30/1524922/f74ec015-a175-4792-8828-9d0c1f6547ab.pdf" TargetMode="External"/><Relationship Id="rId114" Type="http://schemas.openxmlformats.org/officeDocument/2006/relationships/hyperlink" Target="https://grls.rosminzdrav.ru/InstrImg/2022/09/09/1485745/6205a5ae-4bbb-42bf-84d2-93c4042be1cb.pdf" TargetMode="External"/><Relationship Id="rId60" Type="http://schemas.openxmlformats.org/officeDocument/2006/relationships/hyperlink" Target="https://grls.rosminzdrav.ru/InstrImg/2021/1/12/1464953/%D0%9B%D0%9F-001412%5B2019%5D_0.pdf" TargetMode="External"/><Relationship Id="rId81" Type="http://schemas.openxmlformats.org/officeDocument/2006/relationships/hyperlink" Target="https://grls.rosminzdrav.ru/InstrImg/2025/03/28/1515433/7cb66dc6-27dc-4004-ae84-1159c993bc84.pdf" TargetMode="External"/><Relationship Id="rId135" Type="http://schemas.openxmlformats.org/officeDocument/2006/relationships/hyperlink" Target="https://grls.rosminzdrav.ru/InstrImg/2020/12/18/1464410/%D0%9F_N014361_01%5B2020%5D_0.pdf" TargetMode="External"/><Relationship Id="rId156" Type="http://schemas.openxmlformats.org/officeDocument/2006/relationships/hyperlink" Target="https://grls.rosminzdrav.ru/InstrImg/2019/10/17/1448631/%D0%9B%D0%9F-001290%5B2017%5D_0.pdf" TargetMode="External"/><Relationship Id="rId177" Type="http://schemas.openxmlformats.org/officeDocument/2006/relationships/hyperlink" Target="https://grls.rosminzdrav.ru/InstrImg/2025/06/16/1518163/105870c5-93ab-426a-9043-b14a77b3a9e1.pdf"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grls.rosminzdrav.ru/InstrImg/2022/11/21/1488014/8a2ba9a0-eb39-4368-9a0d-f81451183bb0.pdf" TargetMode="External"/><Relationship Id="rId21" Type="http://schemas.openxmlformats.org/officeDocument/2006/relationships/hyperlink" Target="https://lk.regmed.ru/Register/GetPDFfromDA?ID=1607490831" TargetMode="External"/><Relationship Id="rId42" Type="http://schemas.openxmlformats.org/officeDocument/2006/relationships/hyperlink" Target="https://grls.rosminzdrav.ru/InstrImg/2025/05/26/1517557/95b8d8b7-23f5-4e99-a4f7-efc667459b50.pdf" TargetMode="External"/><Relationship Id="rId63" Type="http://schemas.openxmlformats.org/officeDocument/2006/relationships/hyperlink" Target="https://lk.regmed.ru/Register/GetPDFfromDA?ID=1621077341" TargetMode="External"/><Relationship Id="rId84" Type="http://schemas.openxmlformats.org/officeDocument/2006/relationships/hyperlink" Target="https://grls.rosminzdrav.ru/InstrImg/2020/08/24/86488/1ed689ab-55e8-4379-9b04-687068382c27.pdf" TargetMode="External"/><Relationship Id="rId138" Type="http://schemas.openxmlformats.org/officeDocument/2006/relationships/hyperlink" Target="https://grls.rosminzdrav.ru/InstrImg/2023/11/15/1499083/aedb6c35-3db8-494a-a41e-8ffc737dc35b.pdf" TargetMode="External"/><Relationship Id="rId159" Type="http://schemas.openxmlformats.org/officeDocument/2006/relationships/hyperlink" Target="https://grls.rosminzdrav.ru/InstrImg/2019/6/10/1440397/%D0%9F_N014879_01-2003%5B2003%5D_0.pdf" TargetMode="External"/><Relationship Id="rId170" Type="http://schemas.openxmlformats.org/officeDocument/2006/relationships/hyperlink" Target="https://grls.rosminzdrav.ru/InstrImg/2021/09/20/1473405/41395d1f-d6e8-41d5-88fe-a1a29b28be83.pdf" TargetMode="External"/><Relationship Id="rId107" Type="http://schemas.openxmlformats.org/officeDocument/2006/relationships/hyperlink" Target="https://grls.rosminzdrav.ru/InstrImg/2020/12/02/1423524/629a6384-1db2-499f-afb1-e87dac723b9a.pdf" TargetMode="External"/><Relationship Id="rId11" Type="http://schemas.openxmlformats.org/officeDocument/2006/relationships/hyperlink" Target="https://grls.rosminzdrav.ru/InstrImg/2025/12/04/1523945/374687b9-516b-4eb9-9e34-640e88c2e1e2.pdf" TargetMode="External"/><Relationship Id="rId32" Type="http://schemas.openxmlformats.org/officeDocument/2006/relationships/hyperlink" Target="https://grls.rosminzdrav.ru/InstrImg/2023/01/09/1490224/e76560fa-e72e-49eb-8daf-91f3d1403e22.pdf" TargetMode="External"/><Relationship Id="rId53" Type="http://schemas.openxmlformats.org/officeDocument/2006/relationships/hyperlink" Target="https://lk.regmed.ru/Register/GetPDFfromDA?ID=1544529771" TargetMode="External"/><Relationship Id="rId74" Type="http://schemas.openxmlformats.org/officeDocument/2006/relationships/hyperlink" Target="https://grls.rosminzdrav.ru/InstrImg/2025/06/10/1518039/2f088da7-8272-4666-bcb6-a2e0826808b5.pdf" TargetMode="External"/><Relationship Id="rId128" Type="http://schemas.openxmlformats.org/officeDocument/2006/relationships/hyperlink" Target="https://grls.rosminzdrav.ru/InstrImg/2020/06/16/1416543/cc00d61d-e7e3-4d66-bfd4-02dc184c0de6.pdf" TargetMode="External"/><Relationship Id="rId149" Type="http://schemas.openxmlformats.org/officeDocument/2006/relationships/hyperlink" Target="https://grls.rosminzdrav.ru/InstrImg/2020/11/20/1414272/ad633910-6fd8-473c-8c81-dc945f343f42.pdf" TargetMode="External"/><Relationship Id="rId5" Type="http://schemas.openxmlformats.org/officeDocument/2006/relationships/hyperlink" Target="https://lk.regmed.ru/Register/GetPDFfromDA?ID=1484709711" TargetMode="External"/><Relationship Id="rId95" Type="http://schemas.openxmlformats.org/officeDocument/2006/relationships/hyperlink" Target="https://grls.rosminzdrav.ru/InstrImg/2026/01/22/1525392/c4730a97-f7f4-406f-954c-6a6bed44be35.pdf" TargetMode="External"/><Relationship Id="rId160" Type="http://schemas.openxmlformats.org/officeDocument/2006/relationships/hyperlink" Target="https://lk.regmed.ru/Register/GetPDFfromDA?ID=1621040001" TargetMode="External"/><Relationship Id="rId22" Type="http://schemas.openxmlformats.org/officeDocument/2006/relationships/hyperlink" Target="https://grls.rosminzdrav.ru/InstrImg/2021/10/06/1474149/9fb37d4d-6fc7-451d-ae8b-ff2258dcae40.pdf" TargetMode="External"/><Relationship Id="rId43" Type="http://schemas.openxmlformats.org/officeDocument/2006/relationships/hyperlink" Target="https://lk.regmed.ru/Register/GetPDFfromDA?ID=1581220991" TargetMode="External"/><Relationship Id="rId64" Type="http://schemas.openxmlformats.org/officeDocument/2006/relationships/hyperlink" Target="https://grls.rosminzdrav.ru/InstrImg/2016/4/4/37565/%D0%9F_N015218_01%5B2009%5D_0.pdf" TargetMode="External"/><Relationship Id="rId118" Type="http://schemas.openxmlformats.org/officeDocument/2006/relationships/hyperlink" Target="https://grls.rosminzdrav.ru/InstrImg/2020/4/29/1456610/%D0%9F_N013850_01%5B2014%5D_0.pdf" TargetMode="External"/><Relationship Id="rId139" Type="http://schemas.openxmlformats.org/officeDocument/2006/relationships/hyperlink" Target="https://grls.rosminzdrav.ru/InstrImg/2026/04/08/1528373/3fb2f386-4fb1-4866-bc9c-0268096bb4fc.pdf" TargetMode="External"/><Relationship Id="rId85" Type="http://schemas.openxmlformats.org/officeDocument/2006/relationships/hyperlink" Target="https://grls.rosminzdrav.ru/InstrImg/2021/09/20/1473405/41395d1f-d6e8-41d5-88fe-a1a29b28be83.pdf" TargetMode="External"/><Relationship Id="rId150" Type="http://schemas.openxmlformats.org/officeDocument/2006/relationships/hyperlink" Target="https://grls.rosminzdrav.ru/InstrImg/2020/11/25/146561/742bfd83-5da9-4e9c-bbb5-b9de800c21fa.pdf" TargetMode="External"/><Relationship Id="rId171" Type="http://schemas.openxmlformats.org/officeDocument/2006/relationships/hyperlink" Target="https://grls.rosminzdrav.ru/InstrImg/2025/07/15/1519302/c7dac0d8-df0c-484e-99a0-d7b6422ab318.pdf" TargetMode="External"/><Relationship Id="rId12" Type="http://schemas.openxmlformats.org/officeDocument/2006/relationships/hyperlink" Target="https://grls.rosminzdrav.ru/InstrImg/2026/06/02/1530636/e301156c-c7d5-45d7-bf58-5346c270c493.pdf" TargetMode="External"/><Relationship Id="rId33" Type="http://schemas.openxmlformats.org/officeDocument/2006/relationships/hyperlink" Target="https://grls.rosminzdrav.ru/InstrImg/2020/11/12/37422/bb3f3b49-b450-42cf-a999-bcc087b2eb05.pdf" TargetMode="External"/><Relationship Id="rId108" Type="http://schemas.openxmlformats.org/officeDocument/2006/relationships/hyperlink" Target="https://grls.rosminzdrav.ru/InstrImg/2019/06/29/1424317/a2b80c77-0857-4a1d-a948-36a987511e54.pdf" TargetMode="External"/><Relationship Id="rId129" Type="http://schemas.openxmlformats.org/officeDocument/2006/relationships/hyperlink" Target="https://lk.regmed.ru/Register/GetPDFfromDA?ID=1543829851" TargetMode="External"/><Relationship Id="rId54" Type="http://schemas.openxmlformats.org/officeDocument/2006/relationships/hyperlink" Target="https://grls.rosminzdrav.ru/InstrImg/2021/1/12/1464953/%D0%9B%D0%9F-001412%5B2019%5D_0.pdf" TargetMode="External"/><Relationship Id="rId75" Type="http://schemas.openxmlformats.org/officeDocument/2006/relationships/hyperlink" Target="https://grls.rosminzdrav.ru/InstrImg/2022/03/30/1479615/e0b55ee6-f6b6-4a34-8719-972e455bb957.pdf" TargetMode="External"/><Relationship Id="rId96" Type="http://schemas.openxmlformats.org/officeDocument/2006/relationships/hyperlink" Target="https://grls.rosminzdrav.ru/InstrImg/2022/10/03/1487483/694362c9-a313-47c6-ae62-e3f825ace5a7.pdf" TargetMode="External"/><Relationship Id="rId140" Type="http://schemas.openxmlformats.org/officeDocument/2006/relationships/hyperlink" Target="https://grls.rosminzdrav.ru/InstrImg/2018/11/10/1426168/%D0%A0_N000460_01%5B2018%5D_0.pdf" TargetMode="External"/><Relationship Id="rId161" Type="http://schemas.openxmlformats.org/officeDocument/2006/relationships/hyperlink" Target="https://grls.rosminzdrav.ru/InstrImg/2025/06/20/1518413/41c4a162-9126-495b-93df-fc2894a8a11f.pdf" TargetMode="External"/><Relationship Id="rId1" Type="http://schemas.openxmlformats.org/officeDocument/2006/relationships/hyperlink" Target="https://lk.regmed.ru/Register/GetPDFfromDA?ID=1597322951" TargetMode="External"/><Relationship Id="rId6" Type="http://schemas.openxmlformats.org/officeDocument/2006/relationships/hyperlink" Target="https://lk.regmed.ru/Register/GetPDFfromDA?ID=1587927891" TargetMode="External"/><Relationship Id="rId23" Type="http://schemas.openxmlformats.org/officeDocument/2006/relationships/hyperlink" Target="https://grls.rosminzdrav.ru/InstrImg/2021/10/06/1474147/01e6e663-0f1b-4047-bdc9-365d6ba31c8a.pdf" TargetMode="External"/><Relationship Id="rId28" Type="http://schemas.openxmlformats.org/officeDocument/2006/relationships/hyperlink" Target="https://lk.regmed.ru/Register/GetPDFfromDA?ID=1611660161" TargetMode="External"/><Relationship Id="rId49" Type="http://schemas.openxmlformats.org/officeDocument/2006/relationships/hyperlink" Target="https://lk.regmed.ru/Register/GetPDFfromDA?ID=1583272671" TargetMode="External"/><Relationship Id="rId114" Type="http://schemas.openxmlformats.org/officeDocument/2006/relationships/hyperlink" Target="https://grls.rosminzdrav.ru/InstrImg/2023/04/17/1492662/d8440e50-44f6-4e4b-a50d-64608384e586.pdf" TargetMode="External"/><Relationship Id="rId119" Type="http://schemas.openxmlformats.org/officeDocument/2006/relationships/hyperlink" Target="https://grls.rosminzdrav.ru/InstrImg/2020/12/15/1464278/%D0%9F_N015829_01%5B2012%5D_0.pdf" TargetMode="External"/><Relationship Id="rId44" Type="http://schemas.openxmlformats.org/officeDocument/2006/relationships/hyperlink" Target="https://grls.rosminzdrav.ru/InstrImg/2025/12/30/1524922/f74ec015-a175-4792-8828-9d0c1f6547ab.pdf" TargetMode="External"/><Relationship Id="rId60" Type="http://schemas.openxmlformats.org/officeDocument/2006/relationships/hyperlink" Target="https://grls.rosminzdrav.ru/InstrImg/2022/11/25/1488723/80c7b6fb-3d8f-4ee9-9610-da77ce371e71.pdf" TargetMode="External"/><Relationship Id="rId65" Type="http://schemas.openxmlformats.org/officeDocument/2006/relationships/hyperlink" Target="https://grls.rosminzdrav.ru/InstrImg/2024/12/05/1511721/ee78b171-6cf3-474c-9f58-0391a7a5b91f.pdf" TargetMode="External"/><Relationship Id="rId81" Type="http://schemas.openxmlformats.org/officeDocument/2006/relationships/hyperlink" Target="https://grls.rosminzdrav.ru/InstrImg/2020/06/08/86489/f8c71c84-d7eb-4cba-990a-8c9e218ca432.pdf" TargetMode="External"/><Relationship Id="rId86" Type="http://schemas.openxmlformats.org/officeDocument/2006/relationships/hyperlink" Target="https://grls.rosminzdrav.ru/InstrImg/2020/11/27/1463688/%D0%A0_N002481_01%5B2020%5D_0.pdf" TargetMode="External"/><Relationship Id="rId130" Type="http://schemas.openxmlformats.org/officeDocument/2006/relationships/hyperlink" Target="https://lk.regmed.ru/Register/GetPDFfromDA?ID=1544404631" TargetMode="External"/><Relationship Id="rId135" Type="http://schemas.openxmlformats.org/officeDocument/2006/relationships/hyperlink" Target="https://lk.regmed.ru/Register/GetPDFfromDA?ID=1501926911" TargetMode="External"/><Relationship Id="rId151" Type="http://schemas.openxmlformats.org/officeDocument/2006/relationships/hyperlink" Target="https://grls.rosminzdrav.ru/InstrImg/2020/11/23/146563/3780d7de-b3a2-42ee-b652-ae7a04722a90.pdf" TargetMode="External"/><Relationship Id="rId156" Type="http://schemas.openxmlformats.org/officeDocument/2006/relationships/hyperlink" Target="https://grls.rosminzdrav.ru/InstrImg/2020/06/18/1452053/3993efd1-cdd7-4127-88ae-330ac7a6d1c1.pdf" TargetMode="External"/><Relationship Id="rId172" Type="http://schemas.openxmlformats.org/officeDocument/2006/relationships/hyperlink" Target="https://grls.rosminzdrav.ru/InstrImg/2026/04/13/1528563/1136dc5f-fe53-46a4-ba36-20995e399a16.pdf" TargetMode="External"/><Relationship Id="rId13" Type="http://schemas.openxmlformats.org/officeDocument/2006/relationships/hyperlink" Target="https://lk.regmed.ru/Register/GetPDFfromDA?ID=1601683231" TargetMode="External"/><Relationship Id="rId18" Type="http://schemas.openxmlformats.org/officeDocument/2006/relationships/hyperlink" Target="https://grls.rosminzdrav.ru/InstrImg/2020/9/29/1461721/%D0%A0_N000461_01%5B2018%5D_0.pdf" TargetMode="External"/><Relationship Id="rId39" Type="http://schemas.openxmlformats.org/officeDocument/2006/relationships/hyperlink" Target="https://grls.rosminzdrav.ru/InstrImg/2021/12/14/1476333/6ec3965b-4239-4718-add0-ce5ef822b7c4.pdf" TargetMode="External"/><Relationship Id="rId109" Type="http://schemas.openxmlformats.org/officeDocument/2006/relationships/hyperlink" Target="https://lk.regmed.ru/Register/GetPDFfromDA?ID=1497046991" TargetMode="External"/><Relationship Id="rId34" Type="http://schemas.openxmlformats.org/officeDocument/2006/relationships/hyperlink" Target="https://grls.rosminzdrav.ru/InstrImg/2020/11/23/1413288/cb3a391e-05f5-41e6-9963-8f102193f7e0.pdf" TargetMode="External"/><Relationship Id="rId50" Type="http://schemas.openxmlformats.org/officeDocument/2006/relationships/hyperlink" Target="https://lk.regmed.ru/Register/GetPDFfromDA?ID=1583272671" TargetMode="External"/><Relationship Id="rId55" Type="http://schemas.openxmlformats.org/officeDocument/2006/relationships/hyperlink" Target="https://lk.regmed.ru/Register/GetPDFfromDA?ID=1509638211" TargetMode="External"/><Relationship Id="rId76" Type="http://schemas.openxmlformats.org/officeDocument/2006/relationships/hyperlink" Target="https://lk.regmed.ru/Register/GetPDFfromDA?ID=1626767261" TargetMode="External"/><Relationship Id="rId97" Type="http://schemas.openxmlformats.org/officeDocument/2006/relationships/hyperlink" Target="https://lk.regmed.ru/Register/GetPDFfromDA?ID=1641359721" TargetMode="External"/><Relationship Id="rId104" Type="http://schemas.openxmlformats.org/officeDocument/2006/relationships/hyperlink" Target="https://lk.regmed.ru/Register/GetPDFfromDA?ID=1512826451" TargetMode="External"/><Relationship Id="rId120" Type="http://schemas.openxmlformats.org/officeDocument/2006/relationships/hyperlink" Target="https://grls.rosminzdrav.ru/InstrImg/2016/6/9/1308974/%D0%9B%D0%A1%D0%A0-003210_07%5B2018%5D_0.pdf" TargetMode="External"/><Relationship Id="rId125" Type="http://schemas.openxmlformats.org/officeDocument/2006/relationships/hyperlink" Target="https://lk.regmed.ru/Register/GetPDFfromDA?ID=1589687781" TargetMode="External"/><Relationship Id="rId141" Type="http://schemas.openxmlformats.org/officeDocument/2006/relationships/hyperlink" Target="https://grls.rosminzdrav.ru/InstrImg/2019/10/17/1448631/%D0%9B%D0%9F-001290%5B2017%5D_0.pdf" TargetMode="External"/><Relationship Id="rId146" Type="http://schemas.openxmlformats.org/officeDocument/2006/relationships/hyperlink" Target="https://grls.rosminzdrav.ru/InstrImg/2019/06/30/739/1fca1237-4a6a-4bdd-b176-7ef01c56c1bf.pdf" TargetMode="External"/><Relationship Id="rId167" Type="http://schemas.openxmlformats.org/officeDocument/2006/relationships/hyperlink" Target="https://grls.rosminzdrav.ru/InstrImg/2025/03/25/1515160/e4c206af-2701-4f99-a45f-09d998ef0935.pdf" TargetMode="External"/><Relationship Id="rId7" Type="http://schemas.openxmlformats.org/officeDocument/2006/relationships/hyperlink" Target="https://grls.rosminzdrav.ru/InstrImg/2017/4/26/1416322/%D0%A0_N002666_01%5B2013%5D_0.pdf" TargetMode="External"/><Relationship Id="rId71" Type="http://schemas.openxmlformats.org/officeDocument/2006/relationships/hyperlink" Target="https://lk.regmed.ru/Register/GetPDFfromDA?ID=1607784571" TargetMode="External"/><Relationship Id="rId92" Type="http://schemas.openxmlformats.org/officeDocument/2006/relationships/hyperlink" Target="https://grls.rosminzdrav.ru/InstrImg/2022/10/26/1488382/d3310d71-dc13-4eb4-a37b-97a6f6b392bc.pdf" TargetMode="External"/><Relationship Id="rId162" Type="http://schemas.openxmlformats.org/officeDocument/2006/relationships/hyperlink" Target="https://grls.rosminzdrav.ru/InstrImg/2025/06/16/1518163/105870c5-93ab-426a-9043-b14a77b3a9e1.pdf" TargetMode="External"/><Relationship Id="rId2" Type="http://schemas.openxmlformats.org/officeDocument/2006/relationships/hyperlink" Target="https://lk.regmed.ru/Register/GetPDFfromDA?ID=1597318981" TargetMode="External"/><Relationship Id="rId29" Type="http://schemas.openxmlformats.org/officeDocument/2006/relationships/hyperlink" Target="https://lk.regmed.ru/Register/GetPDFfromDA?ID=1575625191" TargetMode="External"/><Relationship Id="rId24" Type="http://schemas.openxmlformats.org/officeDocument/2006/relationships/hyperlink" Target="https://grls.rosminzdrav.ru/InstrImg/2025/06/16/1518193/6df836e1-9750-4ca5-be05-590641b808ac.pdf" TargetMode="External"/><Relationship Id="rId40" Type="http://schemas.openxmlformats.org/officeDocument/2006/relationships/hyperlink" Target="https://grls.rosminzdrav.ru/InstrImg/2026/03/05/1527284/4a34f8fb-090f-4a41-bab9-0d4194977316.pdf" TargetMode="External"/><Relationship Id="rId45" Type="http://schemas.openxmlformats.org/officeDocument/2006/relationships/hyperlink" Target="https://grls.rosminzdrav.ru/InstrImg/2020/10/15/1462300/%D0%A0_N001586_01%5B2007%5D_0.pdf" TargetMode="External"/><Relationship Id="rId66" Type="http://schemas.openxmlformats.org/officeDocument/2006/relationships/hyperlink" Target="https://grls.rosminzdrav.ru/InstrImg/2017/4/26/1416345/%D0%A0_N002667_01%5B2012%5D_0.pdf" TargetMode="External"/><Relationship Id="rId87" Type="http://schemas.openxmlformats.org/officeDocument/2006/relationships/hyperlink" Target="https://grls.rosminzdrav.ru/InstrImg/2025/02/06/1513573/c7fd0ba6-d018-4726-b9e2-1ae791edec76.pdf" TargetMode="External"/><Relationship Id="rId110" Type="http://schemas.openxmlformats.org/officeDocument/2006/relationships/hyperlink" Target="https://grls.rosminzdrav.ru/InstrImg/2025/06/02/1517806/3c9102ff-eafa-47bc-b83f-eb05cfac1092.pdf" TargetMode="External"/><Relationship Id="rId115" Type="http://schemas.openxmlformats.org/officeDocument/2006/relationships/hyperlink" Target="https://grls.rosminzdrav.ru/InstrImg/2019/8/15/1445618/%D0%9F_N015312_01%5B2010%5D_0.pdf" TargetMode="External"/><Relationship Id="rId131" Type="http://schemas.openxmlformats.org/officeDocument/2006/relationships/hyperlink" Target="https://lk.regmed.ru/Register/GetPDFfromDA?ID=1501096611" TargetMode="External"/><Relationship Id="rId136" Type="http://schemas.openxmlformats.org/officeDocument/2006/relationships/hyperlink" Target="https://grls.rosminzdrav.ru/InstrImg/2026/05/19/1529992/3e4bff0f-b904-49bd-8f8c-cf901c4749df.pdf" TargetMode="External"/><Relationship Id="rId157" Type="http://schemas.openxmlformats.org/officeDocument/2006/relationships/hyperlink" Target="https://grls.rosminzdrav.ru/InstrImg/2025/06/02/1517810/7b7b0a6f-2d36-481e-a964-4e8d04031cd7.pdf" TargetMode="External"/><Relationship Id="rId61" Type="http://schemas.openxmlformats.org/officeDocument/2006/relationships/hyperlink" Target="https://grls.rosminzdrav.ru/InstrImg/2017/6/22/1417297/%D0%9B%D0%A1-001296%5B2012%5D_0.pdf" TargetMode="External"/><Relationship Id="rId82" Type="http://schemas.openxmlformats.org/officeDocument/2006/relationships/hyperlink" Target="https://grls.rosminzdrav.ru/InstrImg/2025/04/08/1515924/2cb5904f-0eb6-4463-9e6d-a2aa95a7192c.pdf" TargetMode="External"/><Relationship Id="rId152" Type="http://schemas.openxmlformats.org/officeDocument/2006/relationships/hyperlink" Target="https://grls.rosminzdrav.ru/InstrImg/2025/02/28/1514525/002c6594-b19d-4b5a-a79c-60853ca8612c.pdf" TargetMode="External"/><Relationship Id="rId173" Type="http://schemas.openxmlformats.org/officeDocument/2006/relationships/hyperlink" Target="https://grls.rosminzdrav.ru/InstrImg/2026/04/13/1528638/81dbfeae-d02c-4909-ae9d-1b3092cc89e9.pdf" TargetMode="External"/><Relationship Id="rId19" Type="http://schemas.openxmlformats.org/officeDocument/2006/relationships/hyperlink" Target="https://grls.rosminzdrav.ru/InstrImg/2026/05/07/1529632/54e13522-5efa-4c8c-a9b0-7ea539b4f9d1.pdf" TargetMode="External"/><Relationship Id="rId14" Type="http://schemas.openxmlformats.org/officeDocument/2006/relationships/hyperlink" Target="https://lk.regmed.ru/Register/GetPDFfromDA?ID=1605321651" TargetMode="External"/><Relationship Id="rId30" Type="http://schemas.openxmlformats.org/officeDocument/2006/relationships/hyperlink" Target="https://grls.rosminzdrav.ru/InstrImg/2025/07/21/1519595/f7c8e9e3-baf4-4c2e-949f-a41b75a8ad7c.pdf" TargetMode="External"/><Relationship Id="rId35" Type="http://schemas.openxmlformats.org/officeDocument/2006/relationships/hyperlink" Target="https://lk.regmed.ru/Register/GetPDFfromDA?ID=1512826451" TargetMode="External"/><Relationship Id="rId56" Type="http://schemas.openxmlformats.org/officeDocument/2006/relationships/hyperlink" Target="https://grls.rosminzdrav.ru/InstrImg/2022/03/11/1478822/91a975c9-b5b0-4f4e-8827-f5683ed7c461.pdf" TargetMode="External"/><Relationship Id="rId77" Type="http://schemas.openxmlformats.org/officeDocument/2006/relationships/hyperlink" Target="https://grls.rosminzdrav.ru/InstrImg/2021/10/22/1474770/84220d47-9ed2-44e3-a2d3-89170a0f96d8.pdf" TargetMode="External"/><Relationship Id="rId100" Type="http://schemas.openxmlformats.org/officeDocument/2006/relationships/hyperlink" Target="https://grls.rosminzdrav.ru/InstrImg/2025/06/16/1518193/6df836e1-9750-4ca5-be05-590641b808ac.pdf" TargetMode="External"/><Relationship Id="rId105" Type="http://schemas.openxmlformats.org/officeDocument/2006/relationships/hyperlink" Target="https://grls.rosminzdrav.ru/InstrImg/2025/04/07/1515838/1b86346c-ace0-4de8-a757-2d3e7e4604e4.pdf" TargetMode="External"/><Relationship Id="rId126" Type="http://schemas.openxmlformats.org/officeDocument/2006/relationships/hyperlink" Target="https://grls.rosminzdrav.ru/InstrImg/2026/01/22/1525402/07c3adec-cd5e-49f6-9bc3-7a3e029cd98c.pdf" TargetMode="External"/><Relationship Id="rId147" Type="http://schemas.openxmlformats.org/officeDocument/2006/relationships/hyperlink" Target="https://grls.rosminzdrav.ru/InstrImg/2020/06/01/1422432/8314c8e6-25f4-4bd2-97f0-1a3b881e7dcb.pdf" TargetMode="External"/><Relationship Id="rId168" Type="http://schemas.openxmlformats.org/officeDocument/2006/relationships/hyperlink" Target="https://grls.rosminzdrav.ru/InstrImg/2025/03/14/1514899/44c72a47-2cd3-4a92-b136-0902c17fafb6.pdf" TargetMode="External"/><Relationship Id="rId8" Type="http://schemas.openxmlformats.org/officeDocument/2006/relationships/hyperlink" Target="https://grls.rosminzdrav.ru/InstrImg/2020/05/28/10700/9d141b34-47e7-48c8-9480-616cbbc792fc.pdf" TargetMode="External"/><Relationship Id="rId51" Type="http://schemas.openxmlformats.org/officeDocument/2006/relationships/hyperlink" Target="https://lk.regmed.ru/Register/GetPDFfromDA?ID=1574028031" TargetMode="External"/><Relationship Id="rId72" Type="http://schemas.openxmlformats.org/officeDocument/2006/relationships/hyperlink" Target="https://lk.regmed.ru/Register/GetPDFfromDA?ID=1609919901" TargetMode="External"/><Relationship Id="rId93" Type="http://schemas.openxmlformats.org/officeDocument/2006/relationships/hyperlink" Target="https://grls.rosminzdrav.ru/InstrImg/2025/06/20/1518412/cd0f3dff-5242-4a3d-b71e-22447afe0e73.pdf" TargetMode="External"/><Relationship Id="rId98" Type="http://schemas.openxmlformats.org/officeDocument/2006/relationships/hyperlink" Target="https://grls.rosminzdrav.ru/InstrImg/2020/11/27/1463649/%D0%9B%D0%9F-000499%5B2016%5D_0.pdf" TargetMode="External"/><Relationship Id="rId121" Type="http://schemas.openxmlformats.org/officeDocument/2006/relationships/hyperlink" Target="https://grls.rosminzdrav.ru/InstrImg/2020/12/18/1464410/%D0%9F_N014361_01%5B2020%5D_0.pdf" TargetMode="External"/><Relationship Id="rId142" Type="http://schemas.openxmlformats.org/officeDocument/2006/relationships/hyperlink" Target="https://grls.rosminzdrav.ru/InstrImg/2020/06/03/37799/c7a7977e-fea0-4451-80db-bfd751ccf3f6.pdf" TargetMode="External"/><Relationship Id="rId163" Type="http://schemas.openxmlformats.org/officeDocument/2006/relationships/hyperlink" Target="https://grls.rosminzdrav.ru/InstrImg/2025/07/09/1519029/0d8fd7ae-7b89-4160-9ecd-4b0646f6482f.pdf" TargetMode="External"/><Relationship Id="rId3" Type="http://schemas.openxmlformats.org/officeDocument/2006/relationships/hyperlink" Target="https://grls.rosminzdrav.ru/InstrImg/2025/05/19/1517351/3bec22d2-65bc-4a94-9482-413901e57760.pdf" TargetMode="External"/><Relationship Id="rId25" Type="http://schemas.openxmlformats.org/officeDocument/2006/relationships/hyperlink" Target="https://grls.rosminzdrav.ru/InstrImg/2026/03/04/1527238/fe2adafe-5094-4da2-bbba-1a640a0ceb4e.pdf" TargetMode="External"/><Relationship Id="rId46" Type="http://schemas.openxmlformats.org/officeDocument/2006/relationships/hyperlink" Target="https://lk.regmed.ru/Register/GetPDFfromDA?ID=1597558391" TargetMode="External"/><Relationship Id="rId67" Type="http://schemas.openxmlformats.org/officeDocument/2006/relationships/hyperlink" Target="https://grls.rosminzdrav.ru/InstrImg/2021/1/19/1465274/%D0%9F_N012585_01%5B2014%5D_0.pdf" TargetMode="External"/><Relationship Id="rId116" Type="http://schemas.openxmlformats.org/officeDocument/2006/relationships/hyperlink" Target="https://grls.rosminzdrav.ru/InstrImg/2019/8/14/1445562/%D0%9F_N013657_01%5B2009%5D_0.pdf" TargetMode="External"/><Relationship Id="rId137" Type="http://schemas.openxmlformats.org/officeDocument/2006/relationships/hyperlink" Target="https://grls.rosminzdrav.ru/InstrImg/2024/02/12/1501815/32f958db-a12b-4c41-9b5b-e1707a1b19ee.pdf" TargetMode="External"/><Relationship Id="rId158" Type="http://schemas.openxmlformats.org/officeDocument/2006/relationships/hyperlink" Target="https://grls.rosminzdrav.ru/InstrImg/2025/03/25/1515266/f7896710-fb4c-49f0-9e20-d6272771ab13.pdf" TargetMode="External"/><Relationship Id="rId20" Type="http://schemas.openxmlformats.org/officeDocument/2006/relationships/hyperlink" Target="https://lk.regmed.ru/Register/GetPDFfromDA?ID=1607490831" TargetMode="External"/><Relationship Id="rId41" Type="http://schemas.openxmlformats.org/officeDocument/2006/relationships/hyperlink" Target="https://lk.regmed.ru/Register/GetPDFfromDA?ID=1612604181" TargetMode="External"/><Relationship Id="rId62" Type="http://schemas.openxmlformats.org/officeDocument/2006/relationships/hyperlink" Target="https://grls.rosminzdrav.ru/InstrImg/2021/11/10/1475366/c97cdf1c-9f19-49af-853a-b664873cc8fb.pdf" TargetMode="External"/><Relationship Id="rId83" Type="http://schemas.openxmlformats.org/officeDocument/2006/relationships/hyperlink" Target="https://grls.rosminzdrav.ru/InstrImg/2019/10/25/1448929/%D0%A0_N001273_01%5B2019%5D_0.pdf" TargetMode="External"/><Relationship Id="rId88" Type="http://schemas.openxmlformats.org/officeDocument/2006/relationships/hyperlink" Target="https://grls.rosminzdrav.ru/InstrImg/2022/07/21/1483204/281290ac-8b7f-4930-a191-7eff9a7cb147.pdf" TargetMode="External"/><Relationship Id="rId111" Type="http://schemas.openxmlformats.org/officeDocument/2006/relationships/hyperlink" Target="https://grls.rosminzdrav.ru/InstrImg/2021/1/14/1465042/%D0%9F_N015888_01%5B2015%5D_5.pdf" TargetMode="External"/><Relationship Id="rId132" Type="http://schemas.openxmlformats.org/officeDocument/2006/relationships/hyperlink" Target="https://lk.regmed.ru/Register/GetPDFfromDA?ID=1494836031" TargetMode="External"/><Relationship Id="rId153" Type="http://schemas.openxmlformats.org/officeDocument/2006/relationships/hyperlink" Target="https://grls.rosminzdrav.ru/InstrImg/2025/03/27/1515398/ec0df501-9186-4e20-ae68-c07f28302f7b.pdf" TargetMode="External"/><Relationship Id="rId15" Type="http://schemas.openxmlformats.org/officeDocument/2006/relationships/hyperlink" Target="https://grls.rosminzdrav.ru/InstrImg/2024/12/16/1511954/43eafc3c-33ac-4e33-969c-259e9a175ebb.pdf" TargetMode="External"/><Relationship Id="rId36" Type="http://schemas.openxmlformats.org/officeDocument/2006/relationships/hyperlink" Target="https://lk.regmed.ru/Register/GetPDFfromDA?ID=1633580161" TargetMode="External"/><Relationship Id="rId57" Type="http://schemas.openxmlformats.org/officeDocument/2006/relationships/hyperlink" Target="https://grls.rosminzdrav.ru/InstrImg/2025/07/25/1519625/ca601e77-829c-48a9-b9b5-204e5b86aa88.pdf" TargetMode="External"/><Relationship Id="rId106" Type="http://schemas.openxmlformats.org/officeDocument/2006/relationships/hyperlink" Target="https://lk.regmed.ru/Register/GetPDFfromDA?ID=1545562701" TargetMode="External"/><Relationship Id="rId127" Type="http://schemas.openxmlformats.org/officeDocument/2006/relationships/hyperlink" Target="https://grls.rosminzdrav.ru/InstrImg/2025/10/30/1523008/59dd5156-957b-4de5-86c8-83d284b70f65.pdf" TargetMode="External"/><Relationship Id="rId10" Type="http://schemas.openxmlformats.org/officeDocument/2006/relationships/hyperlink" Target="https://grls.rosminzdrav.ru/InstrImg/2022/11/09/1487873/6bf8f068-876a-4fd5-9c66-cb3ecf8ae914.pdf" TargetMode="External"/><Relationship Id="rId31" Type="http://schemas.openxmlformats.org/officeDocument/2006/relationships/hyperlink" Target="https://grls.rosminzdrav.ru/InstrImg/2022/03/24/1479420/3838bcfc-cc6a-448b-abf8-404668c05a34.pdf" TargetMode="External"/><Relationship Id="rId52" Type="http://schemas.openxmlformats.org/officeDocument/2006/relationships/hyperlink" Target="https://lk.regmed.ru/Register/GetPDFfromDA?ID=1594767771" TargetMode="External"/><Relationship Id="rId73" Type="http://schemas.openxmlformats.org/officeDocument/2006/relationships/hyperlink" Target="https://grls.rosminzdrav.ru/InstrImg/2025/03/28/1515433/7cb66dc6-27dc-4004-ae84-1159c993bc84.pdf" TargetMode="External"/><Relationship Id="rId78" Type="http://schemas.openxmlformats.org/officeDocument/2006/relationships/hyperlink" Target="https://grls.rosminzdrav.ru/InstrImg/2021/07/22/86490/fa07de3f-3b07-40e8-b027-068e2a19359f.pdf" TargetMode="External"/><Relationship Id="rId94" Type="http://schemas.openxmlformats.org/officeDocument/2006/relationships/hyperlink" Target="https://grls.rosminzdrav.ru/InstrImg/2022/07/01/1482554/5f33ae33-eaa6-4ca5-aed1-e39900dc85a6.pdf" TargetMode="External"/><Relationship Id="rId99" Type="http://schemas.openxmlformats.org/officeDocument/2006/relationships/hyperlink" Target="https://grls.rosminzdrav.ru/InstrImg/2026/03/04/1527238/fe2adafe-5094-4da2-bbba-1a640a0ceb4e.pdf" TargetMode="External"/><Relationship Id="rId101" Type="http://schemas.openxmlformats.org/officeDocument/2006/relationships/hyperlink" Target="https://lk.regmed.ru/Register/GetPDFfromDA?ID=1596978511" TargetMode="External"/><Relationship Id="rId122" Type="http://schemas.openxmlformats.org/officeDocument/2006/relationships/hyperlink" Target="https://grls.rosminzdrav.ru/InstrImg/2023/02/09/1490961/74e94624-eabc-450e-bf32-2c1ddaca2be5.pdf" TargetMode="External"/><Relationship Id="rId143" Type="http://schemas.openxmlformats.org/officeDocument/2006/relationships/hyperlink" Target="https://grls.rosminzdrav.ru/InstrImg/2025/12/30/1524963/862ae1b6-e8bc-417c-8173-0fa0ff6a6e52.pdf" TargetMode="External"/><Relationship Id="rId148" Type="http://schemas.openxmlformats.org/officeDocument/2006/relationships/hyperlink" Target="https://grls.rosminzdrav.ru/InstrImg/2020/05/28/37407/eca15fe8-8706-4bd3-9148-1f54c5ab52ed.pdf" TargetMode="External"/><Relationship Id="rId164" Type="http://schemas.openxmlformats.org/officeDocument/2006/relationships/hyperlink" Target="https://grls.rosminzdrav.ru/InstrImg/2025/12/30/1524963/862ae1b6-e8bc-417c-8173-0fa0ff6a6e52.pdf" TargetMode="External"/><Relationship Id="rId169" Type="http://schemas.openxmlformats.org/officeDocument/2006/relationships/hyperlink" Target="https://grls.rosminzdrav.ru/InstrImg/2025/04/04/1515791/731944c3-c908-4ee4-8479-026ab476fc4b.pdf" TargetMode="External"/><Relationship Id="rId4" Type="http://schemas.openxmlformats.org/officeDocument/2006/relationships/hyperlink" Target="https://grls.rosminzdrav.ru/InstrImg/2025/06/02/1517794/d7367d9e-e745-46a7-b297-5a093bf3738a.pdf" TargetMode="External"/><Relationship Id="rId9" Type="http://schemas.openxmlformats.org/officeDocument/2006/relationships/hyperlink" Target="https://grls.rosminzdrav.ru/InstrImg/2026/05/27/1530421/6bdc8421-6c08-4bf7-be7f-0ae5d96a478d.pdf" TargetMode="External"/><Relationship Id="rId26" Type="http://schemas.openxmlformats.org/officeDocument/2006/relationships/hyperlink" Target="https://grls.rosminzdrav.ru/InstrImg/2019/8/6/1445331/%D0%9F_N011073%5B2016%5D_1.pdf" TargetMode="External"/><Relationship Id="rId47" Type="http://schemas.openxmlformats.org/officeDocument/2006/relationships/hyperlink" Target="https://grls.rosminzdrav.ru/InstrImg/2025/06/19/1518378/557245be-23d7-4913-9af3-4fa130d3c97f.pdf" TargetMode="External"/><Relationship Id="rId68" Type="http://schemas.openxmlformats.org/officeDocument/2006/relationships/hyperlink" Target="https://grls.rosminzdrav.ru/InstrImg/2021/1/19/1465274/%D0%9F_N012585_01%5B2014%5D_0.pdf" TargetMode="External"/><Relationship Id="rId89" Type="http://schemas.openxmlformats.org/officeDocument/2006/relationships/hyperlink" Target="https://grls.rosminzdrav.ru/InstrImg/2026/02/06/1526184/204c2bdf-4b3b-45c5-b641-f7ce1ae753b3.pdf" TargetMode="External"/><Relationship Id="rId112" Type="http://schemas.openxmlformats.org/officeDocument/2006/relationships/hyperlink" Target="https://grls.rosminzdrav.ru/InstrImg/2026/01/16/1525169/a5f21ff0-2d7c-4ab8-8025-1ccbc0cf7cc6.pdf" TargetMode="External"/><Relationship Id="rId133" Type="http://schemas.openxmlformats.org/officeDocument/2006/relationships/hyperlink" Target="https://lk.regmed.ru/Register/GetPDFfromDA?ID=1485438071" TargetMode="External"/><Relationship Id="rId154" Type="http://schemas.openxmlformats.org/officeDocument/2006/relationships/hyperlink" Target="https://grls.rosminzdrav.ru/InstrImg/2020/11/25/140879/f4484511-f351-42f9-8a7a-85a995f31517.pdf" TargetMode="External"/><Relationship Id="rId16" Type="http://schemas.openxmlformats.org/officeDocument/2006/relationships/hyperlink" Target="https://grls.rosminzdrav.ru/InstrImg/2018/7/19/1423955/%D0%A0_N002668_01%5B2012%5D_0.pdf" TargetMode="External"/><Relationship Id="rId37" Type="http://schemas.openxmlformats.org/officeDocument/2006/relationships/hyperlink" Target="https://lk.regmed.ru/Register/GetPDFfromDA?ID=1523760571" TargetMode="External"/><Relationship Id="rId58" Type="http://schemas.openxmlformats.org/officeDocument/2006/relationships/hyperlink" Target="https://grls.rosminzdrav.ru/InstrImg/2024/12/19/1512043/59e764b9-60fd-455d-b6fc-d0056460286e.pdf" TargetMode="External"/><Relationship Id="rId79" Type="http://schemas.openxmlformats.org/officeDocument/2006/relationships/hyperlink" Target="https://grls.rosminzdrav.ru/InstrImg/2020/06/13/86486/607fd14a-da55-42fe-8db7-52767fd34cc2.pdf" TargetMode="External"/><Relationship Id="rId102" Type="http://schemas.openxmlformats.org/officeDocument/2006/relationships/hyperlink" Target="https://grls.rosminzdrav.ru/InstrImg/2023/04/13/1492490/b02b0c0a-7a26-4b3a-8e0b-7f5d8e8e4ef1.pdf" TargetMode="External"/><Relationship Id="rId123" Type="http://schemas.openxmlformats.org/officeDocument/2006/relationships/hyperlink" Target="https://lk.regmed.ru/Register/GetPDFfromDA?ID=1558408561" TargetMode="External"/><Relationship Id="rId144" Type="http://schemas.openxmlformats.org/officeDocument/2006/relationships/hyperlink" Target="https://grls.rosminzdrav.ru/InstrImg/2024/01/23/1501030/43ed9d31-44e7-403a-a977-d714a002b9c6.pdf" TargetMode="External"/><Relationship Id="rId90" Type="http://schemas.openxmlformats.org/officeDocument/2006/relationships/hyperlink" Target="https://grls.rosminzdrav.ru/InstrImg/2021/6/4/1469733/%D0%A0_N000661_01%5B2017%5D_0.pdf" TargetMode="External"/><Relationship Id="rId165" Type="http://schemas.openxmlformats.org/officeDocument/2006/relationships/hyperlink" Target="https://lk.regmed.ru/Register/GetPDFfromDA?ID=1607301531" TargetMode="External"/><Relationship Id="rId27" Type="http://schemas.openxmlformats.org/officeDocument/2006/relationships/hyperlink" Target="https://grls.rosminzdrav.ru/InstrImg/2019/8/6/1445331/%D0%9F_N011073%5B2016%5D_1.pdf" TargetMode="External"/><Relationship Id="rId48" Type="http://schemas.openxmlformats.org/officeDocument/2006/relationships/hyperlink" Target="https://grls.rosminzdrav.ru/InstrImg/2022/02/17/1478020/d454a4ed-f278-470c-9ca3-82a7d582e3aa.pdf" TargetMode="External"/><Relationship Id="rId69" Type="http://schemas.openxmlformats.org/officeDocument/2006/relationships/hyperlink" Target="https://grls.rosminzdrav.ru/InstrImg/2025/09/15/1521458/990be5c7-4178-4812-a999-fd00eaeb3d60.pdf" TargetMode="External"/><Relationship Id="rId113" Type="http://schemas.openxmlformats.org/officeDocument/2006/relationships/hyperlink" Target="https://lk.regmed.ru/Register/GetPDFfromDA?ID=1574006211" TargetMode="External"/><Relationship Id="rId134" Type="http://schemas.openxmlformats.org/officeDocument/2006/relationships/hyperlink" Target="https://lk.regmed.ru/Register/GetPDFfromDA?ID=1448256521" TargetMode="External"/><Relationship Id="rId80" Type="http://schemas.openxmlformats.org/officeDocument/2006/relationships/hyperlink" Target="https://grls.rosminzdrav.ru/InstrImg/2021/7/6/1470535/%D0%9B%D0%A1%D0%A0-005759_08%5B2020%5D_0.pdf" TargetMode="External"/><Relationship Id="rId155" Type="http://schemas.openxmlformats.org/officeDocument/2006/relationships/hyperlink" Target="https://lk.regmed.ru/Register/GetPDFfromDA?ID=1634791611" TargetMode="External"/><Relationship Id="rId17" Type="http://schemas.openxmlformats.org/officeDocument/2006/relationships/hyperlink" Target="https://lk.regmed.ru/Register/GetPDFfromDA?ID=1592320751" TargetMode="External"/><Relationship Id="rId38" Type="http://schemas.openxmlformats.org/officeDocument/2006/relationships/hyperlink" Target="https://grls.rosminzdrav.ru/InstrImg/2026/02/10/1526281/07a2f661-6334-4894-8117-0ad7563ba4ef.pdf" TargetMode="External"/><Relationship Id="rId59" Type="http://schemas.openxmlformats.org/officeDocument/2006/relationships/hyperlink" Target="https://lk.regmed.ru/Register/GetPDFfromDA?ID=1649843881" TargetMode="External"/><Relationship Id="rId103" Type="http://schemas.openxmlformats.org/officeDocument/2006/relationships/hyperlink" Target="https://grls.rosminzdrav.ru/InstrImg/2022/09/09/1485745/6205a5ae-4bbb-42bf-84d2-93c4042be1cb.pdf" TargetMode="External"/><Relationship Id="rId124" Type="http://schemas.openxmlformats.org/officeDocument/2006/relationships/hyperlink" Target="https://grls.rosminzdrav.ru/InstrImg/2023/03/14/1491812/20189f0f-07b3-427e-9a8a-d8006843c2d6.pdf" TargetMode="External"/><Relationship Id="rId70" Type="http://schemas.openxmlformats.org/officeDocument/2006/relationships/hyperlink" Target="https://grls.rosminzdrav.ru/InstrImg/2025/09/15/1521458/990be5c7-4178-4812-a999-fd00eaeb3d60.pdf" TargetMode="External"/><Relationship Id="rId91" Type="http://schemas.openxmlformats.org/officeDocument/2006/relationships/hyperlink" Target="https://grls.rosminzdrav.ru/InstrImg/2026/02/03/1525996/748a2896-887a-40f1-82c0-510ac345461d.pdf" TargetMode="External"/><Relationship Id="rId145" Type="http://schemas.openxmlformats.org/officeDocument/2006/relationships/hyperlink" Target="https://grls.rosminzdrav.ru/InstrImg/2020/06/11/1206428/53252686-7415-4f30-bdba-632b434439f9.pdf" TargetMode="External"/><Relationship Id="rId166" Type="http://schemas.openxmlformats.org/officeDocument/2006/relationships/hyperlink" Target="https://grls.rosminzdrav.ru/InstrImg/2024/12/09/1511749/a4738d52-4ff6-4599-a566-530f55491e76.pdf"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grls.rosminzdrav.ru/InstrImg/2020/4/29/1456610/%D0%9F_N013850_01%5B2014%5D_0.pdf" TargetMode="External"/><Relationship Id="rId21" Type="http://schemas.openxmlformats.org/officeDocument/2006/relationships/hyperlink" Target="https://grls.rosminzdrav.ru/InstrImg/2021/10/06/1474149/b0b90cab-c4b4-46cc-966d-af929ca7275c.pdf" TargetMode="External"/><Relationship Id="rId42" Type="http://schemas.openxmlformats.org/officeDocument/2006/relationships/hyperlink" Target="https://lk.regmed.ru/Register/GetPDFfromDA?ID=1581220991" TargetMode="External"/><Relationship Id="rId63" Type="http://schemas.openxmlformats.org/officeDocument/2006/relationships/hyperlink" Target="https://grls.rosminzdrav.ru/InstrImg/2016/4/4/37565/%D0%9F_N015218_01%5B2009%5D_0.pdf" TargetMode="External"/><Relationship Id="rId84" Type="http://schemas.openxmlformats.org/officeDocument/2006/relationships/hyperlink" Target="https://grls.rosminzdrav.ru/InstrImg/2021/09/20/1473405/41395d1f-d6e8-41d5-88fe-a1a29b28be83.pdf" TargetMode="External"/><Relationship Id="rId138" Type="http://schemas.openxmlformats.org/officeDocument/2006/relationships/hyperlink" Target="https://grls.rosminzdrav.ru/InstrImg/2026/04/08/1528373/3fb2f386-4fb1-4866-bc9c-0268096bb4fc.pdf" TargetMode="External"/><Relationship Id="rId159" Type="http://schemas.openxmlformats.org/officeDocument/2006/relationships/hyperlink" Target="https://lk.regmed.ru/Register/GetPDFfromDA?ID=1621040001" TargetMode="External"/><Relationship Id="rId170" Type="http://schemas.openxmlformats.org/officeDocument/2006/relationships/hyperlink" Target="https://grls.rosminzdrav.ru/InstrImg/2025/07/15/1519302/c7dac0d8-df0c-484e-99a0-d7b6422ab318.pdf" TargetMode="External"/><Relationship Id="rId107" Type="http://schemas.openxmlformats.org/officeDocument/2006/relationships/hyperlink" Target="https://grls.rosminzdrav.ru/InstrImg/2019/06/29/1424317/a2b80c77-0857-4a1d-a948-36a987511e54.pdf" TargetMode="External"/><Relationship Id="rId11" Type="http://schemas.openxmlformats.org/officeDocument/2006/relationships/hyperlink" Target="https://grls.rosminzdrav.ru/InstrImg/2026/06/02/1530636/e301156c-c7d5-45d7-bf58-5346c270c493.pdf" TargetMode="External"/><Relationship Id="rId32" Type="http://schemas.openxmlformats.org/officeDocument/2006/relationships/hyperlink" Target="https://grls.rosminzdrav.ru/Grls_View_v2.aspx?routingGuid=0ae550bc-37b4-4f2e-bbff-b1a71c00c505" TargetMode="External"/><Relationship Id="rId53" Type="http://schemas.openxmlformats.org/officeDocument/2006/relationships/hyperlink" Target="https://grls.rosminzdrav.ru/InstrImg/2021/1/12/1464953/%D0%9B%D0%9F-001412%5B2019%5D_0.pdf" TargetMode="External"/><Relationship Id="rId74" Type="http://schemas.openxmlformats.org/officeDocument/2006/relationships/hyperlink" Target="https://grls.rosminzdrav.ru/InstrImg/2022/03/30/1479615/e0b55ee6-f6b6-4a34-8719-972e455bb957.pdf" TargetMode="External"/><Relationship Id="rId128" Type="http://schemas.openxmlformats.org/officeDocument/2006/relationships/hyperlink" Target="https://lk.regmed.ru/Register/GetPDFfromDA?ID=1543829851" TargetMode="External"/><Relationship Id="rId149" Type="http://schemas.openxmlformats.org/officeDocument/2006/relationships/hyperlink" Target="https://grls.rosminzdrav.ru/InstrImg/2020/11/25/146561/742bfd83-5da9-4e9c-bbb5-b9de800c21fa.pdf" TargetMode="External"/><Relationship Id="rId5" Type="http://schemas.openxmlformats.org/officeDocument/2006/relationships/hyperlink" Target="https://lk.regmed.ru/Register/GetPDFfromDA?ID=1484709711" TargetMode="External"/><Relationship Id="rId95" Type="http://schemas.openxmlformats.org/officeDocument/2006/relationships/hyperlink" Target="https://grls.rosminzdrav.ru/InstrImg/2022/10/03/1487483/bd25b337-3c1e-48bd-b408-3b4d8fdca5a3.pdf" TargetMode="External"/><Relationship Id="rId160" Type="http://schemas.openxmlformats.org/officeDocument/2006/relationships/hyperlink" Target="https://grls.rosminzdrav.ru/InstrImg/2025/06/20/1518413/41c4a162-9126-495b-93df-fc2894a8a11f.pdf" TargetMode="External"/><Relationship Id="rId22" Type="http://schemas.openxmlformats.org/officeDocument/2006/relationships/hyperlink" Target="https://grls.rosminzdrav.ru/InstrImg/2021/10/06/1474147/01e6e663-0f1b-4047-bdc9-365d6ba31c8a.pdf" TargetMode="External"/><Relationship Id="rId43" Type="http://schemas.openxmlformats.org/officeDocument/2006/relationships/hyperlink" Target="https://grls.rosminzdrav.ru/InstrImg/2025/12/30/1524922/f74ec015-a175-4792-8828-9d0c1f6547ab.pdf" TargetMode="External"/><Relationship Id="rId64" Type="http://schemas.openxmlformats.org/officeDocument/2006/relationships/hyperlink" Target="https://grls.rosminzdrav.ru/InstrImg/2024/12/05/1511721/ee78b171-6cf3-474c-9f58-0391a7a5b91f.pdf" TargetMode="External"/><Relationship Id="rId118" Type="http://schemas.openxmlformats.org/officeDocument/2006/relationships/hyperlink" Target="https://grls.rosminzdrav.ru/InstrImg/2020/12/15/1464278/%D0%9F_N015829_01%5B2012%5D_0.pdf" TargetMode="External"/><Relationship Id="rId139" Type="http://schemas.openxmlformats.org/officeDocument/2006/relationships/hyperlink" Target="https://grls.rosminzdrav.ru/InstrImg/2018/11/10/1426168/%D0%A0_N000460_01%5B2018%5D_0.pdf" TargetMode="External"/><Relationship Id="rId85" Type="http://schemas.openxmlformats.org/officeDocument/2006/relationships/hyperlink" Target="https://grls.rosminzdrav.ru/InstrImg/2020/11/27/1463688/%D0%A0_N002481_01%5B2020%5D_0.pdf" TargetMode="External"/><Relationship Id="rId150" Type="http://schemas.openxmlformats.org/officeDocument/2006/relationships/hyperlink" Target="https://grls.rosminzdrav.ru/InstrImg/2020/11/23/146563/3780d7de-b3a2-42ee-b652-ae7a04722a90.pdf" TargetMode="External"/><Relationship Id="rId171" Type="http://schemas.openxmlformats.org/officeDocument/2006/relationships/hyperlink" Target="https://grls.rosminzdrav.ru/InstrImg/2026/04/13/1528563/1136dc5f-fe53-46a4-ba36-20995e399a16.pdf" TargetMode="External"/><Relationship Id="rId12" Type="http://schemas.openxmlformats.org/officeDocument/2006/relationships/hyperlink" Target="https://lk.regmed.ru/Register/GetPDFfromDA?ID=1601683231" TargetMode="External"/><Relationship Id="rId33" Type="http://schemas.openxmlformats.org/officeDocument/2006/relationships/hyperlink" Target="https://grls.rosminzdrav.ru/InstrImg/2020/11/23/1413288/cb3a391e-05f5-41e6-9963-8f102193f7e0.pdf" TargetMode="External"/><Relationship Id="rId108" Type="http://schemas.openxmlformats.org/officeDocument/2006/relationships/hyperlink" Target="https://lk.regmed.ru/Register/GetPDFfromDA?ID=1497046991" TargetMode="External"/><Relationship Id="rId129" Type="http://schemas.openxmlformats.org/officeDocument/2006/relationships/hyperlink" Target="https://lk.regmed.ru/Register/GetPDFfromDA?ID=1544404631" TargetMode="External"/><Relationship Id="rId54" Type="http://schemas.openxmlformats.org/officeDocument/2006/relationships/hyperlink" Target="https://lk.regmed.ru/Register/GetPDFfromDA?ID=1509638211" TargetMode="External"/><Relationship Id="rId70" Type="http://schemas.openxmlformats.org/officeDocument/2006/relationships/hyperlink" Target="https://lk.regmed.ru/Register/GetPDFfromDA?ID=1607784571" TargetMode="External"/><Relationship Id="rId75" Type="http://schemas.openxmlformats.org/officeDocument/2006/relationships/hyperlink" Target="https://lk.regmed.ru/Register/GetPDFfromDA?ID=1626767261" TargetMode="External"/><Relationship Id="rId91" Type="http://schemas.openxmlformats.org/officeDocument/2006/relationships/hyperlink" Target="https://grls.rosminzdrav.ru/InstrImg/2022/10/26/1488382/d3310d71-dc13-4eb4-a37b-97a6f6b392bc.pdf" TargetMode="External"/><Relationship Id="rId96" Type="http://schemas.openxmlformats.org/officeDocument/2006/relationships/hyperlink" Target="https://lk.regmed.ru/Register/GetPDFfromDA?ID=1641359721" TargetMode="External"/><Relationship Id="rId140" Type="http://schemas.openxmlformats.org/officeDocument/2006/relationships/hyperlink" Target="https://grls.rosminzdrav.ru/InstrImg/2019/10/17/1448631/%D0%9B%D0%9F-001290%5B2017%5D_0.pdf" TargetMode="External"/><Relationship Id="rId145" Type="http://schemas.openxmlformats.org/officeDocument/2006/relationships/hyperlink" Target="https://grls.rosminzdrav.ru/InstrImg/2019/06/30/739/1fca1237-4a6a-4bdd-b176-7ef01c56c1bf.pdf" TargetMode="External"/><Relationship Id="rId161" Type="http://schemas.openxmlformats.org/officeDocument/2006/relationships/hyperlink" Target="https://grls.rosminzdrav.ru/InstrImg/2025/06/16/1518163/105870c5-93ab-426a-9043-b14a77b3a9e1.pdf" TargetMode="External"/><Relationship Id="rId166" Type="http://schemas.openxmlformats.org/officeDocument/2006/relationships/hyperlink" Target="https://grls.rosminzdrav.ru/InstrImg/2025/03/25/1515160/e4c206af-2701-4f99-a45f-09d998ef0935.pdf" TargetMode="External"/><Relationship Id="rId1" Type="http://schemas.openxmlformats.org/officeDocument/2006/relationships/hyperlink" Target="https://lk.regmed.ru/Register/GetPDFfromDA?ID=1597322951" TargetMode="External"/><Relationship Id="rId6" Type="http://schemas.openxmlformats.org/officeDocument/2006/relationships/hyperlink" Target="https://lk.regmed.ru/Register/GetPDFfromDA?ID=1587927891" TargetMode="External"/><Relationship Id="rId23" Type="http://schemas.openxmlformats.org/officeDocument/2006/relationships/hyperlink" Target="https://grls.rosminzdrav.ru/InstrImg/2025/06/16/1518193/6df836e1-9750-4ca5-be05-590641b808ac.pdf" TargetMode="External"/><Relationship Id="rId28" Type="http://schemas.openxmlformats.org/officeDocument/2006/relationships/hyperlink" Target="https://lk.regmed.ru/Register/GetPDFfromDA?ID=1575625191" TargetMode="External"/><Relationship Id="rId49" Type="http://schemas.openxmlformats.org/officeDocument/2006/relationships/hyperlink" Target="https://lk.regmed.ru/Register/GetPDFfromDA?ID=1581523381" TargetMode="External"/><Relationship Id="rId114" Type="http://schemas.openxmlformats.org/officeDocument/2006/relationships/hyperlink" Target="https://grls.rosminzdrav.ru/InstrImg/2019/8/15/1445618/%D0%9F_N015312_01%5B2013%5D_3.pdf" TargetMode="External"/><Relationship Id="rId119" Type="http://schemas.openxmlformats.org/officeDocument/2006/relationships/hyperlink" Target="https://grls.rosminzdrav.ru/InstrImg/2016/6/9/1308974/%D0%9B%D0%A1%D0%A0-003210_07%5B2018%5D_0.pdf" TargetMode="External"/><Relationship Id="rId44" Type="http://schemas.openxmlformats.org/officeDocument/2006/relationships/hyperlink" Target="https://grls.rosminzdrav.ru/InstrImg/2020/10/15/1462300/%D0%A0_N001586_01%5B2007%5D_0.pdf" TargetMode="External"/><Relationship Id="rId60" Type="http://schemas.openxmlformats.org/officeDocument/2006/relationships/hyperlink" Target="https://grls.rosminzdrav.ru/InstrImg/2017/6/22/1417297/%D0%9B%D0%A1-001296%5B2012%5D_0.pdf" TargetMode="External"/><Relationship Id="rId65" Type="http://schemas.openxmlformats.org/officeDocument/2006/relationships/hyperlink" Target="https://grls.rosminzdrav.ru/InstrImg/2017/4/26/1416345/%D0%A0_N002667_01%5B2012%5D_0.pdf" TargetMode="External"/><Relationship Id="rId81" Type="http://schemas.openxmlformats.org/officeDocument/2006/relationships/hyperlink" Target="https://grls.rosminzdrav.ru/InstrImg/2025/04/08/1515924/2cb5904f-0eb6-4463-9e6d-a2aa95a7192c.pdf" TargetMode="External"/><Relationship Id="rId86" Type="http://schemas.openxmlformats.org/officeDocument/2006/relationships/hyperlink" Target="https://grls.rosminzdrav.ru/InstrImg/2025/02/06/1513573/c7fd0ba6-d018-4726-b9e2-1ae791edec76.pdf" TargetMode="External"/><Relationship Id="rId130" Type="http://schemas.openxmlformats.org/officeDocument/2006/relationships/hyperlink" Target="https://lk.regmed.ru/Register/GetPDFfromDA?ID=1501096611" TargetMode="External"/><Relationship Id="rId135" Type="http://schemas.openxmlformats.org/officeDocument/2006/relationships/hyperlink" Target="https://grls.rosminzdrav.ru/InstrImg/2026/05/19/1529992/3e4bff0f-b904-49bd-8f8c-cf901c4749df.pdf" TargetMode="External"/><Relationship Id="rId151" Type="http://schemas.openxmlformats.org/officeDocument/2006/relationships/hyperlink" Target="https://grls.rosminzdrav.ru/InstrImg/2025/02/28/1514525/002c6594-b19d-4b5a-a79c-60853ca8612c.pdf" TargetMode="External"/><Relationship Id="rId156" Type="http://schemas.openxmlformats.org/officeDocument/2006/relationships/hyperlink" Target="https://grls.rosminzdrav.ru/InstrImg/2025/06/02/1517810/7b7b0a6f-2d36-481e-a964-4e8d04031cd7.pdf" TargetMode="External"/><Relationship Id="rId172" Type="http://schemas.openxmlformats.org/officeDocument/2006/relationships/hyperlink" Target="https://grls.rosminzdrav.ru/InstrImg/2026/04/13/1528638/81dbfeae-d02c-4909-ae9d-1b3092cc89e9.pdf" TargetMode="External"/><Relationship Id="rId13" Type="http://schemas.openxmlformats.org/officeDocument/2006/relationships/hyperlink" Target="https://lk.regmed.ru/Register/GetPDFfromDA?ID=1605321651" TargetMode="External"/><Relationship Id="rId18" Type="http://schemas.openxmlformats.org/officeDocument/2006/relationships/hyperlink" Target="https://grls.rosminzdrav.ru/InstrImg/2026/05/07/1529632/54e13522-5efa-4c8c-a9b0-7ea539b4f9d1.pdf" TargetMode="External"/><Relationship Id="rId39" Type="http://schemas.openxmlformats.org/officeDocument/2006/relationships/hyperlink" Target="https://grls.rosminzdrav.ru/InstrImg/2026/03/05/1527284/4a34f8fb-090f-4a41-bab9-0d4194977316.pdf" TargetMode="External"/><Relationship Id="rId109" Type="http://schemas.openxmlformats.org/officeDocument/2006/relationships/hyperlink" Target="https://grls.rosminzdrav.ru/InstrImg/2025/06/02/1517806/3c9102ff-eafa-47bc-b83f-eb05cfac1092.pdf" TargetMode="External"/><Relationship Id="rId34" Type="http://schemas.openxmlformats.org/officeDocument/2006/relationships/hyperlink" Target="https://lk.regmed.ru/Register/GetPDFfromDA?ID=1512826451" TargetMode="External"/><Relationship Id="rId50" Type="http://schemas.openxmlformats.org/officeDocument/2006/relationships/hyperlink" Target="https://lk.regmed.ru/Register/GetPDFfromDA?ID=1574028031" TargetMode="External"/><Relationship Id="rId55" Type="http://schemas.openxmlformats.org/officeDocument/2006/relationships/hyperlink" Target="https://grls.rosminzdrav.ru/InstrImg/2022/03/11/1478822/91a975c9-b5b0-4f4e-8827-f5683ed7c461.pdf" TargetMode="External"/><Relationship Id="rId76" Type="http://schemas.openxmlformats.org/officeDocument/2006/relationships/hyperlink" Target="https://grls.rosminzdrav.ru/InstrImg/2021/10/22/1474770/84220d47-9ed2-44e3-a2d3-89170a0f96d8.pdf" TargetMode="External"/><Relationship Id="rId97" Type="http://schemas.openxmlformats.org/officeDocument/2006/relationships/hyperlink" Target="https://grls.rosminzdrav.ru/InstrImg/2020/11/27/1463649/%D0%9B%D0%9F-000499%5B2016%5D_0.pdf" TargetMode="External"/><Relationship Id="rId104" Type="http://schemas.openxmlformats.org/officeDocument/2006/relationships/hyperlink" Target="https://grls.rosminzdrav.ru/InstrImg/2025/04/07/1515838/1b86346c-ace0-4de8-a757-2d3e7e4604e4.pdf" TargetMode="External"/><Relationship Id="rId120" Type="http://schemas.openxmlformats.org/officeDocument/2006/relationships/hyperlink" Target="https://grls.rosminzdrav.ru/InstrImg/2020/12/18/1464410/%D0%9F_N014361_01%5B2020%5D_0.pdf" TargetMode="External"/><Relationship Id="rId125" Type="http://schemas.openxmlformats.org/officeDocument/2006/relationships/hyperlink" Target="https://grls.rosminzdrav.ru/InstrImg/2026/01/22/1525402/07c3adec-cd5e-49f6-9bc3-7a3e029cd98c.pdf" TargetMode="External"/><Relationship Id="rId141" Type="http://schemas.openxmlformats.org/officeDocument/2006/relationships/hyperlink" Target="https://grls.rosminzdrav.ru/InstrImg/2020/06/03/37799/c7a7977e-fea0-4451-80db-bfd751ccf3f6.pdf" TargetMode="External"/><Relationship Id="rId146" Type="http://schemas.openxmlformats.org/officeDocument/2006/relationships/hyperlink" Target="https://grls.rosminzdrav.ru/InstrImg/2020/06/01/1422432/8314c8e6-25f4-4bd2-97f0-1a3b881e7dcb.pdf" TargetMode="External"/><Relationship Id="rId167" Type="http://schemas.openxmlformats.org/officeDocument/2006/relationships/hyperlink" Target="https://grls.rosminzdrav.ru/InstrImg/2025/03/14/1514899/44c72a47-2cd3-4a92-b136-0902c17fafb6.pdf" TargetMode="External"/><Relationship Id="rId7" Type="http://schemas.openxmlformats.org/officeDocument/2006/relationships/hyperlink" Target="https://grls.rosminzdrav.ru/InstrImg/2017/4/26/1416322/%D0%A0_N002666_01%5B2013%5D_0.pdf" TargetMode="External"/><Relationship Id="rId71" Type="http://schemas.openxmlformats.org/officeDocument/2006/relationships/hyperlink" Target="https://lk.regmed.ru/Register/GetPDFfromDA?ID=1609919901" TargetMode="External"/><Relationship Id="rId92" Type="http://schemas.openxmlformats.org/officeDocument/2006/relationships/hyperlink" Target="https://grls.rosminzdrav.ru/InstrImg/2025/06/20/1518412/cd0f3dff-5242-4a3d-b71e-22447afe0e73.pdf" TargetMode="External"/><Relationship Id="rId162" Type="http://schemas.openxmlformats.org/officeDocument/2006/relationships/hyperlink" Target="https://grls.rosminzdrav.ru/InstrImg/2025/07/09/1519029/0d8fd7ae-7b89-4160-9ecd-4b0646f6482f.pdf" TargetMode="External"/><Relationship Id="rId2" Type="http://schemas.openxmlformats.org/officeDocument/2006/relationships/hyperlink" Target="https://lk.regmed.ru/Register/GetPDFfromDA?ID=1597318981" TargetMode="External"/><Relationship Id="rId29" Type="http://schemas.openxmlformats.org/officeDocument/2006/relationships/hyperlink" Target="https://grls.rosminzdrav.ru/InstrImg/2025/07/21/1519595/f7c8e9e3-baf4-4c2e-949f-a41b75a8ad7c.pdf" TargetMode="External"/><Relationship Id="rId24" Type="http://schemas.openxmlformats.org/officeDocument/2006/relationships/hyperlink" Target="https://grls.rosminzdrav.ru/InstrImg/2026/03/04/1527238/fe2adafe-5094-4da2-bbba-1a640a0ceb4e.pdf" TargetMode="External"/><Relationship Id="rId40" Type="http://schemas.openxmlformats.org/officeDocument/2006/relationships/hyperlink" Target="https://lk.regmed.ru/Register/GetPDFfromDA?ID=1612604181" TargetMode="External"/><Relationship Id="rId45" Type="http://schemas.openxmlformats.org/officeDocument/2006/relationships/hyperlink" Target="https://lk.regmed.ru/Register/GetPDFfromDA?ID=1597558391" TargetMode="External"/><Relationship Id="rId66" Type="http://schemas.openxmlformats.org/officeDocument/2006/relationships/hyperlink" Target="https://grls.rosminzdrav.ru/InstrImg/2021/1/19/1465274/%D0%9F_N012585_01%5B2014%5D_0.pdf" TargetMode="External"/><Relationship Id="rId87" Type="http://schemas.openxmlformats.org/officeDocument/2006/relationships/hyperlink" Target="https://grls.rosminzdrav.ru/InstrImg/2022/07/21/1483204/281290ac-8b7f-4930-a191-7eff9a7cb147.pdf" TargetMode="External"/><Relationship Id="rId110" Type="http://schemas.openxmlformats.org/officeDocument/2006/relationships/hyperlink" Target="https://grls.rosminzdrav.ru/InstrImg/2021/1/14/1465042/%D0%9F_N015888_01%5B2015%5D_4.pdf" TargetMode="External"/><Relationship Id="rId115" Type="http://schemas.openxmlformats.org/officeDocument/2006/relationships/hyperlink" Target="https://grls.rosminzdrav.ru/InstrImg/2019/8/14/1445562/%D0%9F_N013657_01%5B2013%5D_5.pdf" TargetMode="External"/><Relationship Id="rId131" Type="http://schemas.openxmlformats.org/officeDocument/2006/relationships/hyperlink" Target="https://lk.regmed.ru/Register/GetPDFfromDA?ID=1494836031" TargetMode="External"/><Relationship Id="rId136" Type="http://schemas.openxmlformats.org/officeDocument/2006/relationships/hyperlink" Target="https://grls.rosminzdrav.ru/InstrImg/2024/02/12/1501815/32f958db-a12b-4c41-9b5b-e1707a1b19ee.pdf" TargetMode="External"/><Relationship Id="rId157" Type="http://schemas.openxmlformats.org/officeDocument/2006/relationships/hyperlink" Target="https://grls.rosminzdrav.ru/InstrImg/2025/03/25/1515266/f7896710-fb4c-49f0-9e20-d6272771ab13.pdf" TargetMode="External"/><Relationship Id="rId61" Type="http://schemas.openxmlformats.org/officeDocument/2006/relationships/hyperlink" Target="https://grls.rosminzdrav.ru/InstrImg/2021/11/10/1475366/c97cdf1c-9f19-49af-853a-b664873cc8fb.pdf" TargetMode="External"/><Relationship Id="rId82" Type="http://schemas.openxmlformats.org/officeDocument/2006/relationships/hyperlink" Target="https://grls.rosminzdrav.ru/InstrImg/2019/10/25/1448929/%D0%A0_N001273_01%5B2019%5D_0.pdf" TargetMode="External"/><Relationship Id="rId152" Type="http://schemas.openxmlformats.org/officeDocument/2006/relationships/hyperlink" Target="https://grls.rosminzdrav.ru/InstrImg/2025/03/27/1515398/ec0df501-9186-4e20-ae68-c07f28302f7b.pdf" TargetMode="External"/><Relationship Id="rId19" Type="http://schemas.openxmlformats.org/officeDocument/2006/relationships/hyperlink" Target="https://lk.regmed.ru/Register/GetPDFfromDA?ID=1607490831" TargetMode="External"/><Relationship Id="rId14" Type="http://schemas.openxmlformats.org/officeDocument/2006/relationships/hyperlink" Target="https://grls.rosminzdrav.ru/InstrImg/2024/12/16/1511954/43eafc3c-33ac-4e33-969c-259e9a175ebb.pdf" TargetMode="External"/><Relationship Id="rId30" Type="http://schemas.openxmlformats.org/officeDocument/2006/relationships/hyperlink" Target="https://grls.rosminzdrav.ru/InstrImg/2022/03/24/1479420/3838bcfc-cc6a-448b-abf8-404668c05a34.pdf" TargetMode="External"/><Relationship Id="rId35" Type="http://schemas.openxmlformats.org/officeDocument/2006/relationships/hyperlink" Target="https://lk.regmed.ru/Register/GetPDFfromDA?ID=1633580161" TargetMode="External"/><Relationship Id="rId56" Type="http://schemas.openxmlformats.org/officeDocument/2006/relationships/hyperlink" Target="https://grls.rosminzdrav.ru/InstrImg/2025/07/25/1519625/ca601e77-829c-48a9-b9b5-204e5b86aa88.pdf" TargetMode="External"/><Relationship Id="rId77" Type="http://schemas.openxmlformats.org/officeDocument/2006/relationships/hyperlink" Target="https://grls.rosminzdrav.ru/InstrImg/2021/07/22/86490/fa07de3f-3b07-40e8-b027-068e2a19359f.pdf" TargetMode="External"/><Relationship Id="rId100" Type="http://schemas.openxmlformats.org/officeDocument/2006/relationships/hyperlink" Target="https://lk.regmed.ru/Register/GetPDFfromDA?ID=1596978511" TargetMode="External"/><Relationship Id="rId105" Type="http://schemas.openxmlformats.org/officeDocument/2006/relationships/hyperlink" Target="https://lk.regmed.ru/Register/GetPDFfromDA?ID=1545562701" TargetMode="External"/><Relationship Id="rId126" Type="http://schemas.openxmlformats.org/officeDocument/2006/relationships/hyperlink" Target="https://grls.rosminzdrav.ru/InstrImg/2025/10/30/1523008/59dd5156-957b-4de5-86c8-83d284b70f65.pdf" TargetMode="External"/><Relationship Id="rId147" Type="http://schemas.openxmlformats.org/officeDocument/2006/relationships/hyperlink" Target="https://grls.rosminzdrav.ru/InstrImg/2020/05/28/37407/eca15fe8-8706-4bd3-9148-1f54c5ab52ed.pdf" TargetMode="External"/><Relationship Id="rId168" Type="http://schemas.openxmlformats.org/officeDocument/2006/relationships/hyperlink" Target="https://grls.rosminzdrav.ru/InstrImg/2025/04/04/1515791/731944c3-c908-4ee4-8479-026ab476fc4b.pdf" TargetMode="External"/><Relationship Id="rId8" Type="http://schemas.openxmlformats.org/officeDocument/2006/relationships/hyperlink" Target="https://grls.rosminzdrav.ru/InstrImg/2020/05/28/10700/9d141b34-47e7-48c8-9480-616cbbc792fc.pdf" TargetMode="External"/><Relationship Id="rId51" Type="http://schemas.openxmlformats.org/officeDocument/2006/relationships/hyperlink" Target="https://lk.regmed.ru/Register/GetPDFfromDA?ID=1594767771" TargetMode="External"/><Relationship Id="rId72" Type="http://schemas.openxmlformats.org/officeDocument/2006/relationships/hyperlink" Target="https://grls.rosminzdrav.ru/InstrImg/2025/03/28/1515433/7cb66dc6-27dc-4004-ae84-1159c993bc84.pdf" TargetMode="External"/><Relationship Id="rId93" Type="http://schemas.openxmlformats.org/officeDocument/2006/relationships/hyperlink" Target="https://grls.rosminzdrav.ru/InstrImg/2022/07/01/1482554/5f33ae33-eaa6-4ca5-aed1-e39900dc85a6.pdf" TargetMode="External"/><Relationship Id="rId98" Type="http://schemas.openxmlformats.org/officeDocument/2006/relationships/hyperlink" Target="https://grls.rosminzdrav.ru/InstrImg/2026/03/04/1527238/fe2adafe-5094-4da2-bbba-1a640a0ceb4e.pdf" TargetMode="External"/><Relationship Id="rId121" Type="http://schemas.openxmlformats.org/officeDocument/2006/relationships/hyperlink" Target="https://grls.rosminzdrav.ru/InstrImg/2023/02/09/1490961/74e94624-eabc-450e-bf32-2c1ddaca2be5.pdf" TargetMode="External"/><Relationship Id="rId142" Type="http://schemas.openxmlformats.org/officeDocument/2006/relationships/hyperlink" Target="https://grls.rosminzdrav.ru/InstrImg/2025/12/30/1524963/862ae1b6-e8bc-417c-8173-0fa0ff6a6e52.pdf" TargetMode="External"/><Relationship Id="rId163" Type="http://schemas.openxmlformats.org/officeDocument/2006/relationships/hyperlink" Target="https://grls.rosminzdrav.ru/InstrImg/2025/12/30/1524963/862ae1b6-e8bc-417c-8173-0fa0ff6a6e52.pdf" TargetMode="External"/><Relationship Id="rId3" Type="http://schemas.openxmlformats.org/officeDocument/2006/relationships/hyperlink" Target="https://grls.rosminzdrav.ru/InstrImg/2025/05/19/1517351/3bec22d2-65bc-4a94-9482-413901e57760.pdf" TargetMode="External"/><Relationship Id="rId25" Type="http://schemas.openxmlformats.org/officeDocument/2006/relationships/hyperlink" Target="https://grls.rosminzdrav.ru/InstrImg/2019/8/6/1445331/%D0%9F_N011073%5B2014%5D_0.pdf" TargetMode="External"/><Relationship Id="rId46" Type="http://schemas.openxmlformats.org/officeDocument/2006/relationships/hyperlink" Target="https://grls.rosminzdrav.ru/InstrImg/2025/06/19/1518378/557245be-23d7-4913-9af3-4fa130d3c97f.pdf" TargetMode="External"/><Relationship Id="rId67" Type="http://schemas.openxmlformats.org/officeDocument/2006/relationships/hyperlink" Target="https://grls.rosminzdrav.ru/InstrImg/2021/1/19/1465274/%D0%9F_N012585_01%5B2014%5D_0.pdf" TargetMode="External"/><Relationship Id="rId116" Type="http://schemas.openxmlformats.org/officeDocument/2006/relationships/hyperlink" Target="https://grls.rosminzdrav.ru/InstrImg/2022/11/21/1488014/8a2ba9a0-eb39-4368-9a0d-f81451183bb0.pdf" TargetMode="External"/><Relationship Id="rId137" Type="http://schemas.openxmlformats.org/officeDocument/2006/relationships/hyperlink" Target="https://grls.rosminzdrav.ru/InstrImg/2023/11/15/1499083/aedb6c35-3db8-494a-a41e-8ffc737dc35b.pdf" TargetMode="External"/><Relationship Id="rId158" Type="http://schemas.openxmlformats.org/officeDocument/2006/relationships/hyperlink" Target="https://grls.rosminzdrav.ru/InstrImg/2019/6/10/1440397/%D0%9F_N014879_01-2003%5B2003%5D_0.pdf" TargetMode="External"/><Relationship Id="rId20" Type="http://schemas.openxmlformats.org/officeDocument/2006/relationships/hyperlink" Target="https://lk.regmed.ru/Register/GetPDFfromDA?ID=1607490831" TargetMode="External"/><Relationship Id="rId41" Type="http://schemas.openxmlformats.org/officeDocument/2006/relationships/hyperlink" Target="https://grls.rosminzdrav.ru/InstrImg/2025/05/26/1517557/95b8d8b7-23f5-4e99-a4f7-efc667459b50.pdf" TargetMode="External"/><Relationship Id="rId62" Type="http://schemas.openxmlformats.org/officeDocument/2006/relationships/hyperlink" Target="https://lk.regmed.ru/Register/GetPDFfromDA?ID=1621077341" TargetMode="External"/><Relationship Id="rId83" Type="http://schemas.openxmlformats.org/officeDocument/2006/relationships/hyperlink" Target="https://grls.rosminzdrav.ru/InstrImg/2020/08/24/86488/1ed689ab-55e8-4379-9b04-687068382c27.pdf" TargetMode="External"/><Relationship Id="rId88" Type="http://schemas.openxmlformats.org/officeDocument/2006/relationships/hyperlink" Target="https://grls.rosminzdrav.ru/InstrImg/2026/02/06/1526184/204c2bdf-4b3b-45c5-b641-f7ce1ae753b3.pdf" TargetMode="External"/><Relationship Id="rId111" Type="http://schemas.openxmlformats.org/officeDocument/2006/relationships/hyperlink" Target="https://grls.rosminzdrav.ru/InstrImg/2026/01/16/1525169/a5f21ff0-2d7c-4ab8-8025-1ccbc0cf7cc6.pdf" TargetMode="External"/><Relationship Id="rId132" Type="http://schemas.openxmlformats.org/officeDocument/2006/relationships/hyperlink" Target="https://lk.regmed.ru/Register/GetPDFfromDA?ID=1485438071" TargetMode="External"/><Relationship Id="rId153" Type="http://schemas.openxmlformats.org/officeDocument/2006/relationships/hyperlink" Target="https://grls.rosminzdrav.ru/InstrImg/2020/11/25/140879/f4484511-f351-42f9-8a7a-85a995f31517.pdf" TargetMode="External"/><Relationship Id="rId15" Type="http://schemas.openxmlformats.org/officeDocument/2006/relationships/hyperlink" Target="https://grls.rosminzdrav.ru/InstrImg/2018/7/19/1423955/%D0%A0_N002668_01%5B2012%5D_0.pdf" TargetMode="External"/><Relationship Id="rId36" Type="http://schemas.openxmlformats.org/officeDocument/2006/relationships/hyperlink" Target="https://lk.regmed.ru/Register/GetPDFfromDA?ID=1523760571" TargetMode="External"/><Relationship Id="rId57" Type="http://schemas.openxmlformats.org/officeDocument/2006/relationships/hyperlink" Target="https://grls.rosminzdrav.ru/InstrImg/2024/12/19/1512043/59e764b9-60fd-455d-b6fc-d0056460286e.pdf" TargetMode="External"/><Relationship Id="rId106" Type="http://schemas.openxmlformats.org/officeDocument/2006/relationships/hyperlink" Target="https://grls.rosminzdrav.ru/InstrImg/2020/12/02/1423524/629a6384-1db2-499f-afb1-e87dac723b9a.pdf" TargetMode="External"/><Relationship Id="rId127" Type="http://schemas.openxmlformats.org/officeDocument/2006/relationships/hyperlink" Target="https://grls.rosminzdrav.ru/InstrImg/2020/06/16/1416543/cc00d61d-e7e3-4d66-bfd4-02dc184c0de6.pdf" TargetMode="External"/><Relationship Id="rId10" Type="http://schemas.openxmlformats.org/officeDocument/2006/relationships/hyperlink" Target="https://grls.rosminzdrav.ru/InstrImg/2025/12/04/1523945/374687b9-516b-4eb9-9e34-640e88c2e1e2.pdf" TargetMode="External"/><Relationship Id="rId31" Type="http://schemas.openxmlformats.org/officeDocument/2006/relationships/hyperlink" Target="https://grls.rosminzdrav.ru/InstrImg/2023/01/09/1490224/e76560fa-e72e-49eb-8daf-91f3d1403e22.pdf" TargetMode="External"/><Relationship Id="rId52" Type="http://schemas.openxmlformats.org/officeDocument/2006/relationships/hyperlink" Target="https://lk.regmed.ru/Register/GetPDFfromDA?ID=1544529771" TargetMode="External"/><Relationship Id="rId73" Type="http://schemas.openxmlformats.org/officeDocument/2006/relationships/hyperlink" Target="https://grls.rosminzdrav.ru/InstrImg/2025/06/10/1518039/2f088da7-8272-4666-bcb6-a2e0826808b5.pdf" TargetMode="External"/><Relationship Id="rId78" Type="http://schemas.openxmlformats.org/officeDocument/2006/relationships/hyperlink" Target="https://grls.rosminzdrav.ru/InstrImg/2020/06/13/86486/607fd14a-da55-42fe-8db7-52767fd34cc2.pdf" TargetMode="External"/><Relationship Id="rId94" Type="http://schemas.openxmlformats.org/officeDocument/2006/relationships/hyperlink" Target="https://grls.rosminzdrav.ru/InstrImg/2026/01/22/1525392/c4730a97-f7f4-406f-954c-6a6bed44be35.pdf" TargetMode="External"/><Relationship Id="rId99" Type="http://schemas.openxmlformats.org/officeDocument/2006/relationships/hyperlink" Target="https://grls.rosminzdrav.ru/InstrImg/2025/06/16/1518193/6df836e1-9750-4ca5-be05-590641b808ac.pdf" TargetMode="External"/><Relationship Id="rId101" Type="http://schemas.openxmlformats.org/officeDocument/2006/relationships/hyperlink" Target="https://grls.rosminzdrav.ru/InstrImg/2023/04/13/1492490/b02b0c0a-7a26-4b3a-8e0b-7f5d8e8e4ef1.pdf" TargetMode="External"/><Relationship Id="rId122" Type="http://schemas.openxmlformats.org/officeDocument/2006/relationships/hyperlink" Target="https://lk.regmed.ru/Register/GetPDFfromDA?ID=1558408561" TargetMode="External"/><Relationship Id="rId143" Type="http://schemas.openxmlformats.org/officeDocument/2006/relationships/hyperlink" Target="https://grls.rosminzdrav.ru/InstrImg/2024/01/23/1501030/43ed9d31-44e7-403a-a977-d714a002b9c6.pdf" TargetMode="External"/><Relationship Id="rId148" Type="http://schemas.openxmlformats.org/officeDocument/2006/relationships/hyperlink" Target="https://grls.rosminzdrav.ru/InstrImg/2020/11/20/1414272/ad633910-6fd8-473c-8c81-dc945f343f42.pdf" TargetMode="External"/><Relationship Id="rId164" Type="http://schemas.openxmlformats.org/officeDocument/2006/relationships/hyperlink" Target="https://lk.regmed.ru/Register/GetPDFfromDA?ID=1607301531" TargetMode="External"/><Relationship Id="rId169" Type="http://schemas.openxmlformats.org/officeDocument/2006/relationships/hyperlink" Target="https://grls.rosminzdrav.ru/InstrImg/2021/09/20/1473405/41395d1f-d6e8-41d5-88fe-a1a29b28be83.pdf" TargetMode="External"/><Relationship Id="rId4" Type="http://schemas.openxmlformats.org/officeDocument/2006/relationships/hyperlink" Target="https://grls.rosminzdrav.ru/InstrImg/2025/06/02/1517794/d7367d9e-e745-46a7-b297-5a093bf3738a.pdf" TargetMode="External"/><Relationship Id="rId9" Type="http://schemas.openxmlformats.org/officeDocument/2006/relationships/hyperlink" Target="https://grls.rosminzdrav.ru/InstrImg/2026/05/27/1530421/6bdc8421-6c08-4bf7-be7f-0ae5d96a478d.pdf" TargetMode="External"/><Relationship Id="rId26" Type="http://schemas.openxmlformats.org/officeDocument/2006/relationships/hyperlink" Target="https://grls.rosminzdrav.ru/InstrImg/2019/8/6/1445331/%D0%9F_N011073%5B2014%5D_0.pdf" TargetMode="External"/><Relationship Id="rId47" Type="http://schemas.openxmlformats.org/officeDocument/2006/relationships/hyperlink" Target="https://grls.rosminzdrav.ru/InstrImg/2022/02/17/1478020/d454a4ed-f278-470c-9ca3-82a7d582e3aa.pdf" TargetMode="External"/><Relationship Id="rId68" Type="http://schemas.openxmlformats.org/officeDocument/2006/relationships/hyperlink" Target="https://grls.rosminzdrav.ru/InstrImg/2025/09/15/1521458/990be5c7-4178-4812-a999-fd00eaeb3d60.pdf" TargetMode="External"/><Relationship Id="rId89" Type="http://schemas.openxmlformats.org/officeDocument/2006/relationships/hyperlink" Target="https://grls.rosminzdrav.ru/InstrImg/2021/6/4/1469733/%D0%A0_N000661_01%5B2017%5D_0.pdf" TargetMode="External"/><Relationship Id="rId112" Type="http://schemas.openxmlformats.org/officeDocument/2006/relationships/hyperlink" Target="https://lk.regmed.ru/Register/GetPDFfromDA?ID=1574006211" TargetMode="External"/><Relationship Id="rId133" Type="http://schemas.openxmlformats.org/officeDocument/2006/relationships/hyperlink" Target="https://lk.regmed.ru/Register/GetPDFfromDA?ID=1448256521" TargetMode="External"/><Relationship Id="rId154" Type="http://schemas.openxmlformats.org/officeDocument/2006/relationships/hyperlink" Target="https://lk.regmed.ru/Register/GetPDFfromDA?ID=1634791611" TargetMode="External"/><Relationship Id="rId16" Type="http://schemas.openxmlformats.org/officeDocument/2006/relationships/hyperlink" Target="https://lk.regmed.ru/Register/GetPDFfromDA?ID=1592320751" TargetMode="External"/><Relationship Id="rId37" Type="http://schemas.openxmlformats.org/officeDocument/2006/relationships/hyperlink" Target="https://grls.rosminzdrav.ru/InstrImg/2026/02/10/1526281/07a2f661-6334-4894-8117-0ad7563ba4ef.pdf" TargetMode="External"/><Relationship Id="rId58" Type="http://schemas.openxmlformats.org/officeDocument/2006/relationships/hyperlink" Target="https://lk.regmed.ru/Register/GetPDFfromDA?ID=1649843881" TargetMode="External"/><Relationship Id="rId79" Type="http://schemas.openxmlformats.org/officeDocument/2006/relationships/hyperlink" Target="https://grls.rosminzdrav.ru/InstrImg/2021/7/6/1470535/%D0%9B%D0%A1%D0%A0-005759_08%5B2020%5D_0.pdf" TargetMode="External"/><Relationship Id="rId102" Type="http://schemas.openxmlformats.org/officeDocument/2006/relationships/hyperlink" Target="https://grls.rosminzdrav.ru/InstrImg/2022/09/09/1485745/6205a5ae-4bbb-42bf-84d2-93c4042be1cb.pdf" TargetMode="External"/><Relationship Id="rId123" Type="http://schemas.openxmlformats.org/officeDocument/2006/relationships/hyperlink" Target="https://grls.rosminzdrav.ru/InstrImg/2023/03/14/1491812/20189f0f-07b3-427e-9a8a-d8006843c2d6.pdf" TargetMode="External"/><Relationship Id="rId144" Type="http://schemas.openxmlformats.org/officeDocument/2006/relationships/hyperlink" Target="https://grls.rosminzdrav.ru/InstrImg/2020/06/11/1206428/53252686-7415-4f30-bdba-632b434439f9.pdf" TargetMode="External"/><Relationship Id="rId90" Type="http://schemas.openxmlformats.org/officeDocument/2006/relationships/hyperlink" Target="https://grls.rosminzdrav.ru/InstrImg/2026/02/03/1525996/748a2896-887a-40f1-82c0-510ac345461d.pdf" TargetMode="External"/><Relationship Id="rId165" Type="http://schemas.openxmlformats.org/officeDocument/2006/relationships/hyperlink" Target="https://grls.rosminzdrav.ru/InstrImg/2024/12/09/1511749/a4738d52-4ff6-4599-a566-530f55491e76.pdf" TargetMode="External"/><Relationship Id="rId27" Type="http://schemas.openxmlformats.org/officeDocument/2006/relationships/hyperlink" Target="https://lk.regmed.ru/Register/GetPDFfromDA?ID=1611660161" TargetMode="External"/><Relationship Id="rId48" Type="http://schemas.openxmlformats.org/officeDocument/2006/relationships/hyperlink" Target="https://lk.regmed.ru/Register/GetPDFfromDA?ID=1583272671" TargetMode="External"/><Relationship Id="rId69" Type="http://schemas.openxmlformats.org/officeDocument/2006/relationships/hyperlink" Target="https://grls.rosminzdrav.ru/InstrImg/2025/09/15/1521458/990be5c7-4178-4812-a999-fd00eaeb3d60.pdf" TargetMode="External"/><Relationship Id="rId113" Type="http://schemas.openxmlformats.org/officeDocument/2006/relationships/hyperlink" Target="https://grls.rosminzdrav.ru/InstrImg/2023/04/17/1492662/d8440e50-44f6-4e4b-a50d-64608384e586.pdf" TargetMode="External"/><Relationship Id="rId134" Type="http://schemas.openxmlformats.org/officeDocument/2006/relationships/hyperlink" Target="https://lk.regmed.ru/Register/GetPDFfromDA?ID=1501926911" TargetMode="External"/><Relationship Id="rId80" Type="http://schemas.openxmlformats.org/officeDocument/2006/relationships/hyperlink" Target="https://grls.rosminzdrav.ru/InstrImg/2020/06/08/86489/f8c71c84-d7eb-4cba-990a-8c9e218ca432.pdf" TargetMode="External"/><Relationship Id="rId155" Type="http://schemas.openxmlformats.org/officeDocument/2006/relationships/hyperlink" Target="https://grls.rosminzdrav.ru/InstrImg/2020/06/18/1452053/3993efd1-cdd7-4127-88ae-330ac7a6d1c1.pdf" TargetMode="External"/><Relationship Id="rId17" Type="http://schemas.openxmlformats.org/officeDocument/2006/relationships/hyperlink" Target="https://grls.rosminzdrav.ru/InstrImg/2020/9/29/1461721/%D0%A0_N000461_01%5B2018%5D_0.pdf" TargetMode="External"/><Relationship Id="rId38" Type="http://schemas.openxmlformats.org/officeDocument/2006/relationships/hyperlink" Target="https://grls.rosminzdrav.ru/InstrImg/2021/12/14/1476333/f3799188-0d95-48db-a0ce-bb1396d44765.pdf" TargetMode="External"/><Relationship Id="rId59" Type="http://schemas.openxmlformats.org/officeDocument/2006/relationships/hyperlink" Target="https://grls.rosminzdrav.ru/InstrImg/2022/11/25/1488723/80c7b6fb-3d8f-4ee9-9610-da77ce371e71.pdf" TargetMode="External"/><Relationship Id="rId103" Type="http://schemas.openxmlformats.org/officeDocument/2006/relationships/hyperlink" Target="https://lk.regmed.ru/Register/GetPDFfromDA?ID=1512826451" TargetMode="External"/><Relationship Id="rId124" Type="http://schemas.openxmlformats.org/officeDocument/2006/relationships/hyperlink" Target="https://lk.regmed.ru/Register/GetPDFfromDA?ID=1589687781"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grls.rosminzdrav.ru/InstrImg/2020/4/29/1456610/%D0%9F_N013850_01%5B2017%5D_3.pdf" TargetMode="External"/><Relationship Id="rId21" Type="http://schemas.openxmlformats.org/officeDocument/2006/relationships/hyperlink" Target="https://grls.rosminzdrav.ru/InstrImg/2021/10/06/1474149/9fb37d4d-6fc7-451d-ae8b-ff2258dcae40.pdf" TargetMode="External"/><Relationship Id="rId42" Type="http://schemas.openxmlformats.org/officeDocument/2006/relationships/hyperlink" Target="https://lk.regmed.ru/Register/GetPDFfromDA?ID=1581220991" TargetMode="External"/><Relationship Id="rId63" Type="http://schemas.openxmlformats.org/officeDocument/2006/relationships/hyperlink" Target="https://grls.rosminzdrav.ru/InstrImg/2016/4/4/37565/%D0%9F_N015218_01%5B2009%5D_0.pdf" TargetMode="External"/><Relationship Id="rId84" Type="http://schemas.openxmlformats.org/officeDocument/2006/relationships/hyperlink" Target="https://grls.rosminzdrav.ru/InstrImg/2021/09/20/1473405/41395d1f-d6e8-41d5-88fe-a1a29b28be83.pdf" TargetMode="External"/><Relationship Id="rId138" Type="http://schemas.openxmlformats.org/officeDocument/2006/relationships/hyperlink" Target="https://grls.rosminzdrav.ru/InstrImg/2026/04/08/1528373/3fb2f386-4fb1-4866-bc9c-0268096bb4fc.pdf" TargetMode="External"/><Relationship Id="rId159" Type="http://schemas.openxmlformats.org/officeDocument/2006/relationships/hyperlink" Target="https://lk.regmed.ru/Register/GetPDFfromDA?ID=1621040001" TargetMode="External"/><Relationship Id="rId170" Type="http://schemas.openxmlformats.org/officeDocument/2006/relationships/hyperlink" Target="https://grls.rosminzdrav.ru/InstrImg/2025/07/15/1519302/c7dac0d8-df0c-484e-99a0-d7b6422ab318.pdf" TargetMode="External"/><Relationship Id="rId107" Type="http://schemas.openxmlformats.org/officeDocument/2006/relationships/hyperlink" Target="https://grls.rosminzdrav.ru/InstrImg/2019/06/29/1424317/a2b80c77-0857-4a1d-a948-36a987511e54.pdf" TargetMode="External"/><Relationship Id="rId11" Type="http://schemas.openxmlformats.org/officeDocument/2006/relationships/hyperlink" Target="https://grls.rosminzdrav.ru/InstrImg/2026/06/02/1530636/e301156c-c7d5-45d7-bf58-5346c270c493.pdf" TargetMode="External"/><Relationship Id="rId32" Type="http://schemas.openxmlformats.org/officeDocument/2006/relationships/hyperlink" Target="https://grls.rosminzdrav.ru/Grls_View_v2.aspx?routingGuid=0ae550bc-37b4-4f2e-bbff-b1a71c00c505" TargetMode="External"/><Relationship Id="rId53" Type="http://schemas.openxmlformats.org/officeDocument/2006/relationships/hyperlink" Target="https://grls.rosminzdrav.ru/InstrImg/2021/1/12/1464953/%D0%9B%D0%9F-001412%5B2019%5D_0.pdf" TargetMode="External"/><Relationship Id="rId74" Type="http://schemas.openxmlformats.org/officeDocument/2006/relationships/hyperlink" Target="https://grls.rosminzdrav.ru/InstrImg/2022/03/30/1479615/e0b55ee6-f6b6-4a34-8719-972e455bb957.pdf" TargetMode="External"/><Relationship Id="rId128" Type="http://schemas.openxmlformats.org/officeDocument/2006/relationships/hyperlink" Target="https://lk.regmed.ru/Register/GetPDFfromDA?ID=1543829851" TargetMode="External"/><Relationship Id="rId149" Type="http://schemas.openxmlformats.org/officeDocument/2006/relationships/hyperlink" Target="https://grls.rosminzdrav.ru/InstrImg/2020/11/25/146561/742bfd83-5da9-4e9c-bbb5-b9de800c21fa.pdf" TargetMode="External"/><Relationship Id="rId5" Type="http://schemas.openxmlformats.org/officeDocument/2006/relationships/hyperlink" Target="https://lk.regmed.ru/Register/GetPDFfromDA?ID=1484709711" TargetMode="External"/><Relationship Id="rId95" Type="http://schemas.openxmlformats.org/officeDocument/2006/relationships/hyperlink" Target="https://grls.rosminzdrav.ru/InstrImg/2022/10/03/1487483/694362c9-a313-47c6-ae62-e3f825ace5a7.pdf" TargetMode="External"/><Relationship Id="rId160" Type="http://schemas.openxmlformats.org/officeDocument/2006/relationships/hyperlink" Target="https://grls.rosminzdrav.ru/InstrImg/2025/06/20/1518413/41c4a162-9126-495b-93df-fc2894a8a11f.pdf" TargetMode="External"/><Relationship Id="rId22" Type="http://schemas.openxmlformats.org/officeDocument/2006/relationships/hyperlink" Target="https://grls.rosminzdrav.ru/InstrImg/2021/10/06/1474147/01e6e663-0f1b-4047-bdc9-365d6ba31c8a.pdf" TargetMode="External"/><Relationship Id="rId43" Type="http://schemas.openxmlformats.org/officeDocument/2006/relationships/hyperlink" Target="https://grls.rosminzdrav.ru/InstrImg/2025/12/30/1524922/f74ec015-a175-4792-8828-9d0c1f6547ab.pdf" TargetMode="External"/><Relationship Id="rId64" Type="http://schemas.openxmlformats.org/officeDocument/2006/relationships/hyperlink" Target="https://grls.rosminzdrav.ru/InstrImg/2024/12/05/1511721/ee78b171-6cf3-474c-9f58-0391a7a5b91f.pdf" TargetMode="External"/><Relationship Id="rId118" Type="http://schemas.openxmlformats.org/officeDocument/2006/relationships/hyperlink" Target="https://grls.rosminzdrav.ru/InstrImg/2020/12/15/1464278/%D0%9F_N015829_01%5B2019%5D_7.pdf" TargetMode="External"/><Relationship Id="rId139" Type="http://schemas.openxmlformats.org/officeDocument/2006/relationships/hyperlink" Target="https://grls.rosminzdrav.ru/InstrImg/2018/11/10/1426168/%D0%A0_N000460_01%5B2018%5D_0.pdf" TargetMode="External"/><Relationship Id="rId85" Type="http://schemas.openxmlformats.org/officeDocument/2006/relationships/hyperlink" Target="https://grls.rosminzdrav.ru/InstrImg/2020/11/27/1463688/%D0%A0_N002481_01%5B2020%5D_0.pdf" TargetMode="External"/><Relationship Id="rId150" Type="http://schemas.openxmlformats.org/officeDocument/2006/relationships/hyperlink" Target="https://grls.rosminzdrav.ru/InstrImg/2020/11/23/146563/3780d7de-b3a2-42ee-b652-ae7a04722a90.pdf" TargetMode="External"/><Relationship Id="rId171" Type="http://schemas.openxmlformats.org/officeDocument/2006/relationships/hyperlink" Target="https://grls.rosminzdrav.ru/InstrImg/2026/04/13/1528563/1136dc5f-fe53-46a4-ba36-20995e399a16.pdf" TargetMode="External"/><Relationship Id="rId12" Type="http://schemas.openxmlformats.org/officeDocument/2006/relationships/hyperlink" Target="https://lk.regmed.ru/Register/GetPDFfromDA?ID=1601683231" TargetMode="External"/><Relationship Id="rId33" Type="http://schemas.openxmlformats.org/officeDocument/2006/relationships/hyperlink" Target="https://grls.rosminzdrav.ru/InstrImg/2020/11/23/1413288/cb3a391e-05f5-41e6-9963-8f102193f7e0.pdf" TargetMode="External"/><Relationship Id="rId108" Type="http://schemas.openxmlformats.org/officeDocument/2006/relationships/hyperlink" Target="https://lk.regmed.ru/Register/GetPDFfromDA?ID=1497046991" TargetMode="External"/><Relationship Id="rId129" Type="http://schemas.openxmlformats.org/officeDocument/2006/relationships/hyperlink" Target="https://lk.regmed.ru/Register/GetPDFfromDA?ID=1544404631" TargetMode="External"/><Relationship Id="rId54" Type="http://schemas.openxmlformats.org/officeDocument/2006/relationships/hyperlink" Target="https://lk.regmed.ru/Register/GetPDFfromDA?ID=1509638211" TargetMode="External"/><Relationship Id="rId70" Type="http://schemas.openxmlformats.org/officeDocument/2006/relationships/hyperlink" Target="https://lk.regmed.ru/Register/GetPDFfromDA?ID=1607784571" TargetMode="External"/><Relationship Id="rId75" Type="http://schemas.openxmlformats.org/officeDocument/2006/relationships/hyperlink" Target="https://lk.regmed.ru/Register/GetPDFfromDA?ID=1626767261" TargetMode="External"/><Relationship Id="rId91" Type="http://schemas.openxmlformats.org/officeDocument/2006/relationships/hyperlink" Target="https://grls.rosminzdrav.ru/InstrImg/2022/10/26/1488382/d3310d71-dc13-4eb4-a37b-97a6f6b392bc.pdf" TargetMode="External"/><Relationship Id="rId96" Type="http://schemas.openxmlformats.org/officeDocument/2006/relationships/hyperlink" Target="https://lk.regmed.ru/Register/GetPDFfromDA?ID=1641359721" TargetMode="External"/><Relationship Id="rId140" Type="http://schemas.openxmlformats.org/officeDocument/2006/relationships/hyperlink" Target="https://grls.rosminzdrav.ru/InstrImg/2019/10/17/1448631/%D0%9B%D0%9F-001290%5B2017%5D_0.pdf" TargetMode="External"/><Relationship Id="rId145" Type="http://schemas.openxmlformats.org/officeDocument/2006/relationships/hyperlink" Target="https://grls.rosminzdrav.ru/InstrImg/2019/06/30/739/1fca1237-4a6a-4bdd-b176-7ef01c56c1bf.pdf" TargetMode="External"/><Relationship Id="rId161" Type="http://schemas.openxmlformats.org/officeDocument/2006/relationships/hyperlink" Target="https://grls.rosminzdrav.ru/InstrImg/2025/06/16/1518163/105870c5-93ab-426a-9043-b14a77b3a9e1.pdf" TargetMode="External"/><Relationship Id="rId166" Type="http://schemas.openxmlformats.org/officeDocument/2006/relationships/hyperlink" Target="https://grls.rosminzdrav.ru/InstrImg/2025/03/25/1515160/e4c206af-2701-4f99-a45f-09d998ef0935.pdf" TargetMode="External"/><Relationship Id="rId1" Type="http://schemas.openxmlformats.org/officeDocument/2006/relationships/hyperlink" Target="https://lk.regmed.ru/Register/GetPDFfromDA?ID=1597322951" TargetMode="External"/><Relationship Id="rId6" Type="http://schemas.openxmlformats.org/officeDocument/2006/relationships/hyperlink" Target="https://lk.regmed.ru/Register/GetPDFfromDA?ID=1587927891" TargetMode="External"/><Relationship Id="rId23" Type="http://schemas.openxmlformats.org/officeDocument/2006/relationships/hyperlink" Target="https://grls.rosminzdrav.ru/InstrImg/2025/06/16/1518193/6df836e1-9750-4ca5-be05-590641b808ac.pdf" TargetMode="External"/><Relationship Id="rId28" Type="http://schemas.openxmlformats.org/officeDocument/2006/relationships/hyperlink" Target="https://lk.regmed.ru/Register/GetPDFfromDA?ID=1575625191" TargetMode="External"/><Relationship Id="rId49" Type="http://schemas.openxmlformats.org/officeDocument/2006/relationships/hyperlink" Target="https://lk.regmed.ru/Register/GetPDFfromDA?ID=1581523381" TargetMode="External"/><Relationship Id="rId114" Type="http://schemas.openxmlformats.org/officeDocument/2006/relationships/hyperlink" Target="https://grls.rosminzdrav.ru/InstrImg/2019/8/15/1445618/%D0%9F_N015312_01%5B2010%5D_0.pdf" TargetMode="External"/><Relationship Id="rId119" Type="http://schemas.openxmlformats.org/officeDocument/2006/relationships/hyperlink" Target="https://grls.rosminzdrav.ru/InstrImg/2016/6/9/1308974/%D0%9B%D0%A1%D0%A0-003210_07%5B2018%5D_0.pdf" TargetMode="External"/><Relationship Id="rId44" Type="http://schemas.openxmlformats.org/officeDocument/2006/relationships/hyperlink" Target="https://grls.rosminzdrav.ru/InstrImg/2020/10/15/1462300/%D0%A0_N001586_01%5B2007%5D_0.pdf" TargetMode="External"/><Relationship Id="rId60" Type="http://schemas.openxmlformats.org/officeDocument/2006/relationships/hyperlink" Target="https://grls.rosminzdrav.ru/InstrImg/2017/6/22/1417297/%D0%9B%D0%A1-001296%5B2012%5D_0.pdf" TargetMode="External"/><Relationship Id="rId65" Type="http://schemas.openxmlformats.org/officeDocument/2006/relationships/hyperlink" Target="https://grls.rosminzdrav.ru/InstrImg/2017/4/26/1416345/%D0%A0_N002667_01%5B2012%5D_0.pdf" TargetMode="External"/><Relationship Id="rId81" Type="http://schemas.openxmlformats.org/officeDocument/2006/relationships/hyperlink" Target="https://grls.rosminzdrav.ru/InstrImg/2025/04/08/1515924/2cb5904f-0eb6-4463-9e6d-a2aa95a7192c.pdf" TargetMode="External"/><Relationship Id="rId86" Type="http://schemas.openxmlformats.org/officeDocument/2006/relationships/hyperlink" Target="https://grls.rosminzdrav.ru/InstrImg/2025/02/06/1513573/c7fd0ba6-d018-4726-b9e2-1ae791edec76.pdf" TargetMode="External"/><Relationship Id="rId130" Type="http://schemas.openxmlformats.org/officeDocument/2006/relationships/hyperlink" Target="https://lk.regmed.ru/Register/GetPDFfromDA?ID=1501096611" TargetMode="External"/><Relationship Id="rId135" Type="http://schemas.openxmlformats.org/officeDocument/2006/relationships/hyperlink" Target="https://grls.rosminzdrav.ru/InstrImg/2026/05/19/1529992/3e4bff0f-b904-49bd-8f8c-cf901c4749df.pdf" TargetMode="External"/><Relationship Id="rId151" Type="http://schemas.openxmlformats.org/officeDocument/2006/relationships/hyperlink" Target="https://grls.rosminzdrav.ru/InstrImg/2025/02/28/1514525/002c6594-b19d-4b5a-a79c-60853ca8612c.pdf" TargetMode="External"/><Relationship Id="rId156" Type="http://schemas.openxmlformats.org/officeDocument/2006/relationships/hyperlink" Target="https://grls.rosminzdrav.ru/InstrImg/2025/06/02/1517810/7b7b0a6f-2d36-481e-a964-4e8d04031cd7.pdf" TargetMode="External"/><Relationship Id="rId172" Type="http://schemas.openxmlformats.org/officeDocument/2006/relationships/hyperlink" Target="https://grls.rosminzdrav.ru/InstrImg/2026/04/13/1528638/81dbfeae-d02c-4909-ae9d-1b3092cc89e9.pdf" TargetMode="External"/><Relationship Id="rId13" Type="http://schemas.openxmlformats.org/officeDocument/2006/relationships/hyperlink" Target="https://lk.regmed.ru/Register/GetPDFfromDA?ID=1605321651" TargetMode="External"/><Relationship Id="rId18" Type="http://schemas.openxmlformats.org/officeDocument/2006/relationships/hyperlink" Target="https://grls.rosminzdrav.ru/InstrImg/2026/05/07/1529632/54e13522-5efa-4c8c-a9b0-7ea539b4f9d1.pdf" TargetMode="External"/><Relationship Id="rId39" Type="http://schemas.openxmlformats.org/officeDocument/2006/relationships/hyperlink" Target="https://grls.rosminzdrav.ru/InstrImg/2026/03/05/1527284/4a34f8fb-090f-4a41-bab9-0d4194977316.pdf" TargetMode="External"/><Relationship Id="rId109" Type="http://schemas.openxmlformats.org/officeDocument/2006/relationships/hyperlink" Target="https://grls.rosminzdrav.ru/InstrImg/2025/06/02/1517806/3c9102ff-eafa-47bc-b83f-eb05cfac1092.pdf" TargetMode="External"/><Relationship Id="rId34" Type="http://schemas.openxmlformats.org/officeDocument/2006/relationships/hyperlink" Target="https://lk.regmed.ru/Register/GetPDFfromDA?ID=1512826451" TargetMode="External"/><Relationship Id="rId50" Type="http://schemas.openxmlformats.org/officeDocument/2006/relationships/hyperlink" Target="https://lk.regmed.ru/Register/GetPDFfromDA?ID=1574028031" TargetMode="External"/><Relationship Id="rId55" Type="http://schemas.openxmlformats.org/officeDocument/2006/relationships/hyperlink" Target="https://grls.rosminzdrav.ru/InstrImg/2022/03/11/1478822/91a975c9-b5b0-4f4e-8827-f5683ed7c461.pdf" TargetMode="External"/><Relationship Id="rId76" Type="http://schemas.openxmlformats.org/officeDocument/2006/relationships/hyperlink" Target="https://grls.rosminzdrav.ru/InstrImg/2021/10/22/1474770/84220d47-9ed2-44e3-a2d3-89170a0f96d8.pdf" TargetMode="External"/><Relationship Id="rId97" Type="http://schemas.openxmlformats.org/officeDocument/2006/relationships/hyperlink" Target="https://grls.rosminzdrav.ru/InstrImg/2020/11/27/1463649/%D0%9B%D0%9F-000499%5B2016%5D_0.pdf" TargetMode="External"/><Relationship Id="rId104" Type="http://schemas.openxmlformats.org/officeDocument/2006/relationships/hyperlink" Target="https://grls.rosminzdrav.ru/InstrImg/2025/04/07/1515838/1b86346c-ace0-4de8-a757-2d3e7e4604e4.pdf" TargetMode="External"/><Relationship Id="rId120" Type="http://schemas.openxmlformats.org/officeDocument/2006/relationships/hyperlink" Target="https://grls.rosminzdrav.ru/InstrImg/2020/12/18/1464410/%D0%9F_N014361_01%5B2020%5D_0.pdf" TargetMode="External"/><Relationship Id="rId125" Type="http://schemas.openxmlformats.org/officeDocument/2006/relationships/hyperlink" Target="https://grls.rosminzdrav.ru/InstrImg/2026/01/22/1525402/07c3adec-cd5e-49f6-9bc3-7a3e029cd98c.pdf" TargetMode="External"/><Relationship Id="rId141" Type="http://schemas.openxmlformats.org/officeDocument/2006/relationships/hyperlink" Target="https://grls.rosminzdrav.ru/InstrImg/2020/06/03/37799/c7a7977e-fea0-4451-80db-bfd751ccf3f6.pdf" TargetMode="External"/><Relationship Id="rId146" Type="http://schemas.openxmlformats.org/officeDocument/2006/relationships/hyperlink" Target="https://grls.rosminzdrav.ru/InstrImg/2020/06/01/1422432/8314c8e6-25f4-4bd2-97f0-1a3b881e7dcb.pdf" TargetMode="External"/><Relationship Id="rId167" Type="http://schemas.openxmlformats.org/officeDocument/2006/relationships/hyperlink" Target="https://grls.rosminzdrav.ru/InstrImg/2025/03/14/1514899/44c72a47-2cd3-4a92-b136-0902c17fafb6.pdf" TargetMode="External"/><Relationship Id="rId7" Type="http://schemas.openxmlformats.org/officeDocument/2006/relationships/hyperlink" Target="https://grls.rosminzdrav.ru/InstrImg/2017/4/26/1416322/%D0%A0_N002666_01%5B2013%5D_0.pdf" TargetMode="External"/><Relationship Id="rId71" Type="http://schemas.openxmlformats.org/officeDocument/2006/relationships/hyperlink" Target="https://lk.regmed.ru/Register/GetPDFfromDA?ID=1609919901" TargetMode="External"/><Relationship Id="rId92" Type="http://schemas.openxmlformats.org/officeDocument/2006/relationships/hyperlink" Target="https://grls.rosminzdrav.ru/InstrImg/2025/06/20/1518412/cd0f3dff-5242-4a3d-b71e-22447afe0e73.pdf" TargetMode="External"/><Relationship Id="rId162" Type="http://schemas.openxmlformats.org/officeDocument/2006/relationships/hyperlink" Target="https://grls.rosminzdrav.ru/InstrImg/2025/07/09/1519029/0d8fd7ae-7b89-4160-9ecd-4b0646f6482f.pdf" TargetMode="External"/><Relationship Id="rId2" Type="http://schemas.openxmlformats.org/officeDocument/2006/relationships/hyperlink" Target="https://lk.regmed.ru/Register/GetPDFfromDA?ID=1597318981" TargetMode="External"/><Relationship Id="rId29" Type="http://schemas.openxmlformats.org/officeDocument/2006/relationships/hyperlink" Target="https://grls.rosminzdrav.ru/InstrImg/2025/07/21/1519595/f7c8e9e3-baf4-4c2e-949f-a41b75a8ad7c.pdf" TargetMode="External"/><Relationship Id="rId24" Type="http://schemas.openxmlformats.org/officeDocument/2006/relationships/hyperlink" Target="https://grls.rosminzdrav.ru/InstrImg/2026/03/04/1527238/fe2adafe-5094-4da2-bbba-1a640a0ceb4e.pdf" TargetMode="External"/><Relationship Id="rId40" Type="http://schemas.openxmlformats.org/officeDocument/2006/relationships/hyperlink" Target="https://lk.regmed.ru/Register/GetPDFfromDA?ID=1612604181" TargetMode="External"/><Relationship Id="rId45" Type="http://schemas.openxmlformats.org/officeDocument/2006/relationships/hyperlink" Target="https://lk.regmed.ru/Register/GetPDFfromDA?ID=1597558391" TargetMode="External"/><Relationship Id="rId66" Type="http://schemas.openxmlformats.org/officeDocument/2006/relationships/hyperlink" Target="https://grls.rosminzdrav.ru/InstrImg/2021/1/19/1465274/%D0%9F_N012585_01%5B2014%5D_0.pdf" TargetMode="External"/><Relationship Id="rId87" Type="http://schemas.openxmlformats.org/officeDocument/2006/relationships/hyperlink" Target="https://grls.rosminzdrav.ru/InstrImg/2022/07/21/1483204/281290ac-8b7f-4930-a191-7eff9a7cb147.pdf" TargetMode="External"/><Relationship Id="rId110" Type="http://schemas.openxmlformats.org/officeDocument/2006/relationships/hyperlink" Target="https://grls.rosminzdrav.ru/InstrImg/2021/1/14/1465042/%D0%9F_N015888_01%5B2018%5D_6.pdf" TargetMode="External"/><Relationship Id="rId115" Type="http://schemas.openxmlformats.org/officeDocument/2006/relationships/hyperlink" Target="https://grls.rosminzdrav.ru/InstrImg/2019/8/14/1445562/%D0%9F_N013657_01%5B2009%5D_0.pdf" TargetMode="External"/><Relationship Id="rId131" Type="http://schemas.openxmlformats.org/officeDocument/2006/relationships/hyperlink" Target="https://lk.regmed.ru/Register/GetPDFfromDA?ID=1494836031" TargetMode="External"/><Relationship Id="rId136" Type="http://schemas.openxmlformats.org/officeDocument/2006/relationships/hyperlink" Target="https://grls.rosminzdrav.ru/InstrImg/2024/02/12/1501815/32f958db-a12b-4c41-9b5b-e1707a1b19ee.pdf" TargetMode="External"/><Relationship Id="rId157" Type="http://schemas.openxmlformats.org/officeDocument/2006/relationships/hyperlink" Target="https://grls.rosminzdrav.ru/InstrImg/2025/03/25/1515266/f7896710-fb4c-49f0-9e20-d6272771ab13.pdf" TargetMode="External"/><Relationship Id="rId61" Type="http://schemas.openxmlformats.org/officeDocument/2006/relationships/hyperlink" Target="https://grls.rosminzdrav.ru/InstrImg/2021/11/10/1475366/c97cdf1c-9f19-49af-853a-b664873cc8fb.pdf" TargetMode="External"/><Relationship Id="rId82" Type="http://schemas.openxmlformats.org/officeDocument/2006/relationships/hyperlink" Target="https://grls.rosminzdrav.ru/InstrImg/2019/10/25/1448929/%D0%A0_N001273_01%5B2019%5D_0.pdf" TargetMode="External"/><Relationship Id="rId152" Type="http://schemas.openxmlformats.org/officeDocument/2006/relationships/hyperlink" Target="https://grls.rosminzdrav.ru/InstrImg/2025/03/27/1515398/ec0df501-9186-4e20-ae68-c07f28302f7b.pdf" TargetMode="External"/><Relationship Id="rId19" Type="http://schemas.openxmlformats.org/officeDocument/2006/relationships/hyperlink" Target="https://lk.regmed.ru/Register/GetPDFfromDA?ID=1607490831" TargetMode="External"/><Relationship Id="rId14" Type="http://schemas.openxmlformats.org/officeDocument/2006/relationships/hyperlink" Target="https://grls.rosminzdrav.ru/InstrImg/2024/12/16/1511954/43eafc3c-33ac-4e33-969c-259e9a175ebb.pdf" TargetMode="External"/><Relationship Id="rId30" Type="http://schemas.openxmlformats.org/officeDocument/2006/relationships/hyperlink" Target="https://grls.rosminzdrav.ru/InstrImg/2022/03/24/1479420/3838bcfc-cc6a-448b-abf8-404668c05a34.pdf" TargetMode="External"/><Relationship Id="rId35" Type="http://schemas.openxmlformats.org/officeDocument/2006/relationships/hyperlink" Target="https://lk.regmed.ru/Register/GetPDFfromDA?ID=1633580161" TargetMode="External"/><Relationship Id="rId56" Type="http://schemas.openxmlformats.org/officeDocument/2006/relationships/hyperlink" Target="https://grls.rosminzdrav.ru/InstrImg/2025/07/25/1519625/ca601e77-829c-48a9-b9b5-204e5b86aa88.pdf" TargetMode="External"/><Relationship Id="rId77" Type="http://schemas.openxmlformats.org/officeDocument/2006/relationships/hyperlink" Target="https://grls.rosminzdrav.ru/InstrImg/2021/07/22/86490/fa07de3f-3b07-40e8-b027-068e2a19359f.pdf" TargetMode="External"/><Relationship Id="rId100" Type="http://schemas.openxmlformats.org/officeDocument/2006/relationships/hyperlink" Target="https://lk.regmed.ru/Register/GetPDFfromDA?ID=1596978511" TargetMode="External"/><Relationship Id="rId105" Type="http://schemas.openxmlformats.org/officeDocument/2006/relationships/hyperlink" Target="https://lk.regmed.ru/Register/GetPDFfromDA?ID=1545562701" TargetMode="External"/><Relationship Id="rId126" Type="http://schemas.openxmlformats.org/officeDocument/2006/relationships/hyperlink" Target="https://grls.rosminzdrav.ru/InstrImg/2025/10/30/1523008/59dd5156-957b-4de5-86c8-83d284b70f65.pdf" TargetMode="External"/><Relationship Id="rId147" Type="http://schemas.openxmlformats.org/officeDocument/2006/relationships/hyperlink" Target="https://grls.rosminzdrav.ru/InstrImg/2020/05/28/37407/eca15fe8-8706-4bd3-9148-1f54c5ab52ed.pdf" TargetMode="External"/><Relationship Id="rId168" Type="http://schemas.openxmlformats.org/officeDocument/2006/relationships/hyperlink" Target="https://grls.rosminzdrav.ru/InstrImg/2025/04/04/1515791/731944c3-c908-4ee4-8479-026ab476fc4b.pdf" TargetMode="External"/><Relationship Id="rId8" Type="http://schemas.openxmlformats.org/officeDocument/2006/relationships/hyperlink" Target="https://grls.rosminzdrav.ru/InstrImg/2020/05/28/10700/9d141b34-47e7-48c8-9480-616cbbc792fc.pdf" TargetMode="External"/><Relationship Id="rId51" Type="http://schemas.openxmlformats.org/officeDocument/2006/relationships/hyperlink" Target="https://lk.regmed.ru/Register/GetPDFfromDA?ID=1594767771" TargetMode="External"/><Relationship Id="rId72" Type="http://schemas.openxmlformats.org/officeDocument/2006/relationships/hyperlink" Target="https://grls.rosminzdrav.ru/InstrImg/2025/03/28/1515433/7cb66dc6-27dc-4004-ae84-1159c993bc84.pdf" TargetMode="External"/><Relationship Id="rId93" Type="http://schemas.openxmlformats.org/officeDocument/2006/relationships/hyperlink" Target="https://grls.rosminzdrav.ru/InstrImg/2022/07/01/1482554/85877900-4857-49d0-8559-cf446fe8cfa7.pdf" TargetMode="External"/><Relationship Id="rId98" Type="http://schemas.openxmlformats.org/officeDocument/2006/relationships/hyperlink" Target="https://grls.rosminzdrav.ru/InstrImg/2026/03/04/1527238/fe2adafe-5094-4da2-bbba-1a640a0ceb4e.pdf" TargetMode="External"/><Relationship Id="rId121" Type="http://schemas.openxmlformats.org/officeDocument/2006/relationships/hyperlink" Target="https://grls.rosminzdrav.ru/InstrImg/2023/02/09/1490961/74e94624-eabc-450e-bf32-2c1ddaca2be5.pdf" TargetMode="External"/><Relationship Id="rId142" Type="http://schemas.openxmlformats.org/officeDocument/2006/relationships/hyperlink" Target="https://grls.rosminzdrav.ru/InstrImg/2025/12/30/1524963/862ae1b6-e8bc-417c-8173-0fa0ff6a6e52.pdf" TargetMode="External"/><Relationship Id="rId163" Type="http://schemas.openxmlformats.org/officeDocument/2006/relationships/hyperlink" Target="https://grls.rosminzdrav.ru/InstrImg/2025/12/30/1524963/862ae1b6-e8bc-417c-8173-0fa0ff6a6e52.pdf" TargetMode="External"/><Relationship Id="rId3" Type="http://schemas.openxmlformats.org/officeDocument/2006/relationships/hyperlink" Target="https://grls.rosminzdrav.ru/InstrImg/2025/05/19/1517351/3bec22d2-65bc-4a94-9482-413901e57760.pdf" TargetMode="External"/><Relationship Id="rId25" Type="http://schemas.openxmlformats.org/officeDocument/2006/relationships/hyperlink" Target="https://grls.rosminzdrav.ru/InstrImg/2019/8/6/1445331/%D0%9F_N011073%5B2016%5D_1.pdf" TargetMode="External"/><Relationship Id="rId46" Type="http://schemas.openxmlformats.org/officeDocument/2006/relationships/hyperlink" Target="https://grls.rosminzdrav.ru/InstrImg/2025/06/19/1518378/557245be-23d7-4913-9af3-4fa130d3c97f.pdf" TargetMode="External"/><Relationship Id="rId67" Type="http://schemas.openxmlformats.org/officeDocument/2006/relationships/hyperlink" Target="https://grls.rosminzdrav.ru/InstrImg/2021/1/19/1465274/%D0%9F_N012585_01%5B2014%5D_0.pdf" TargetMode="External"/><Relationship Id="rId116" Type="http://schemas.openxmlformats.org/officeDocument/2006/relationships/hyperlink" Target="https://grls.rosminzdrav.ru/InstrImg/2023/09/15/1497116/23048125-cbe4-4d1f-a79f-87c8c4ae92e0.pdf" TargetMode="External"/><Relationship Id="rId137" Type="http://schemas.openxmlformats.org/officeDocument/2006/relationships/hyperlink" Target="https://grls.rosminzdrav.ru/InstrImg/2023/11/15/1499083/aedb6c35-3db8-494a-a41e-8ffc737dc35b.pdf" TargetMode="External"/><Relationship Id="rId158" Type="http://schemas.openxmlformats.org/officeDocument/2006/relationships/hyperlink" Target="https://grls.rosminzdrav.ru/InstrImg/2019/6/10/1440397/%D0%9F_N014879_01-2003%5B2003%5D_0.pdf" TargetMode="External"/><Relationship Id="rId20" Type="http://schemas.openxmlformats.org/officeDocument/2006/relationships/hyperlink" Target="https://lk.regmed.ru/Register/GetPDFfromDA?ID=1607490831" TargetMode="External"/><Relationship Id="rId41" Type="http://schemas.openxmlformats.org/officeDocument/2006/relationships/hyperlink" Target="https://grls.rosminzdrav.ru/InstrImg/2025/05/26/1517557/95b8d8b7-23f5-4e99-a4f7-efc667459b50.pdf" TargetMode="External"/><Relationship Id="rId62" Type="http://schemas.openxmlformats.org/officeDocument/2006/relationships/hyperlink" Target="https://lk.regmed.ru/Register/GetPDFfromDA?ID=1621077341" TargetMode="External"/><Relationship Id="rId83" Type="http://schemas.openxmlformats.org/officeDocument/2006/relationships/hyperlink" Target="https://grls.rosminzdrav.ru/InstrImg/2020/08/24/86488/1ed689ab-55e8-4379-9b04-687068382c27.pdf" TargetMode="External"/><Relationship Id="rId88" Type="http://schemas.openxmlformats.org/officeDocument/2006/relationships/hyperlink" Target="https://grls.rosminzdrav.ru/InstrImg/2026/02/06/1526184/204c2bdf-4b3b-45c5-b641-f7ce1ae753b3.pdf" TargetMode="External"/><Relationship Id="rId111" Type="http://schemas.openxmlformats.org/officeDocument/2006/relationships/hyperlink" Target="https://grls.rosminzdrav.ru/InstrImg/2026/01/16/1525169/a5f21ff0-2d7c-4ab8-8025-1ccbc0cf7cc6.pdf" TargetMode="External"/><Relationship Id="rId132" Type="http://schemas.openxmlformats.org/officeDocument/2006/relationships/hyperlink" Target="https://lk.regmed.ru/Register/GetPDFfromDA?ID=1485438071" TargetMode="External"/><Relationship Id="rId153" Type="http://schemas.openxmlformats.org/officeDocument/2006/relationships/hyperlink" Target="https://grls.rosminzdrav.ru/InstrImg/2020/11/25/140879/f4484511-f351-42f9-8a7a-85a995f31517.pdf" TargetMode="External"/><Relationship Id="rId15" Type="http://schemas.openxmlformats.org/officeDocument/2006/relationships/hyperlink" Target="https://grls.rosminzdrav.ru/InstrImg/2018/7/19/1423955/%D0%A0_N002668_01%5B2012%5D_0.pdf" TargetMode="External"/><Relationship Id="rId36" Type="http://schemas.openxmlformats.org/officeDocument/2006/relationships/hyperlink" Target="https://lk.regmed.ru/Register/GetPDFfromDA?ID=1523760571" TargetMode="External"/><Relationship Id="rId57" Type="http://schemas.openxmlformats.org/officeDocument/2006/relationships/hyperlink" Target="https://grls.rosminzdrav.ru/InstrImg/2024/12/19/1512043/59e764b9-60fd-455d-b6fc-d0056460286e.pdf" TargetMode="External"/><Relationship Id="rId106" Type="http://schemas.openxmlformats.org/officeDocument/2006/relationships/hyperlink" Target="https://grls.rosminzdrav.ru/InstrImg/2020/12/02/1423524/629a6384-1db2-499f-afb1-e87dac723b9a.pdf" TargetMode="External"/><Relationship Id="rId127" Type="http://schemas.openxmlformats.org/officeDocument/2006/relationships/hyperlink" Target="https://grls.rosminzdrav.ru/InstrImg/2020/06/16/1416543/cc00d61d-e7e3-4d66-bfd4-02dc184c0de6.pdf" TargetMode="External"/><Relationship Id="rId10" Type="http://schemas.openxmlformats.org/officeDocument/2006/relationships/hyperlink" Target="https://grls.rosminzdrav.ru/InstrImg/2025/12/04/1523945/374687b9-516b-4eb9-9e34-640e88c2e1e2.pdf" TargetMode="External"/><Relationship Id="rId31" Type="http://schemas.openxmlformats.org/officeDocument/2006/relationships/hyperlink" Target="https://grls.rosminzdrav.ru/InstrImg/2023/01/09/1490224/e76560fa-e72e-49eb-8daf-91f3d1403e22.pdf" TargetMode="External"/><Relationship Id="rId52" Type="http://schemas.openxmlformats.org/officeDocument/2006/relationships/hyperlink" Target="https://lk.regmed.ru/Register/GetPDFfromDA?ID=1544529771" TargetMode="External"/><Relationship Id="rId73" Type="http://schemas.openxmlformats.org/officeDocument/2006/relationships/hyperlink" Target="https://grls.rosminzdrav.ru/InstrImg/2025/06/10/1518039/2f088da7-8272-4666-bcb6-a2e0826808b5.pdf" TargetMode="External"/><Relationship Id="rId78" Type="http://schemas.openxmlformats.org/officeDocument/2006/relationships/hyperlink" Target="https://grls.rosminzdrav.ru/InstrImg/2020/06/13/86486/607fd14a-da55-42fe-8db7-52767fd34cc2.pdf" TargetMode="External"/><Relationship Id="rId94" Type="http://schemas.openxmlformats.org/officeDocument/2006/relationships/hyperlink" Target="https://grls.rosminzdrav.ru/InstrImg/2026/01/22/1525392/c4730a97-f7f4-406f-954c-6a6bed44be35.pdf" TargetMode="External"/><Relationship Id="rId99" Type="http://schemas.openxmlformats.org/officeDocument/2006/relationships/hyperlink" Target="https://grls.rosminzdrav.ru/InstrImg/2025/06/16/1518193/6df836e1-9750-4ca5-be05-590641b808ac.pdf" TargetMode="External"/><Relationship Id="rId101" Type="http://schemas.openxmlformats.org/officeDocument/2006/relationships/hyperlink" Target="https://grls.rosminzdrav.ru/InstrImg/2023/04/13/1492490/b02b0c0a-7a26-4b3a-8e0b-7f5d8e8e4ef1.pdf" TargetMode="External"/><Relationship Id="rId122" Type="http://schemas.openxmlformats.org/officeDocument/2006/relationships/hyperlink" Target="https://lk.regmed.ru/Register/GetPDFfromDA?ID=1558408561" TargetMode="External"/><Relationship Id="rId143" Type="http://schemas.openxmlformats.org/officeDocument/2006/relationships/hyperlink" Target="https://grls.rosminzdrav.ru/InstrImg/2024/01/23/1501030/43ed9d31-44e7-403a-a977-d714a002b9c6.pdf" TargetMode="External"/><Relationship Id="rId148" Type="http://schemas.openxmlformats.org/officeDocument/2006/relationships/hyperlink" Target="https://grls.rosminzdrav.ru/InstrImg/2020/11/20/1414272/ad633910-6fd8-473c-8c81-dc945f343f42.pdf" TargetMode="External"/><Relationship Id="rId164" Type="http://schemas.openxmlformats.org/officeDocument/2006/relationships/hyperlink" Target="https://lk.regmed.ru/Register/GetPDFfromDA?ID=1607301531" TargetMode="External"/><Relationship Id="rId169" Type="http://schemas.openxmlformats.org/officeDocument/2006/relationships/hyperlink" Target="https://grls.rosminzdrav.ru/InstrImg/2021/09/20/1473405/41395d1f-d6e8-41d5-88fe-a1a29b28be83.pdf" TargetMode="External"/><Relationship Id="rId4" Type="http://schemas.openxmlformats.org/officeDocument/2006/relationships/hyperlink" Target="https://grls.rosminzdrav.ru/InstrImg/2025/06/02/1517794/d7367d9e-e745-46a7-b297-5a093bf3738a.pdf" TargetMode="External"/><Relationship Id="rId9" Type="http://schemas.openxmlformats.org/officeDocument/2006/relationships/hyperlink" Target="https://grls.rosminzdrav.ru/InstrImg/2026/05/27/1530421/6bdc8421-6c08-4bf7-be7f-0ae5d96a478d.pdf" TargetMode="External"/><Relationship Id="rId26" Type="http://schemas.openxmlformats.org/officeDocument/2006/relationships/hyperlink" Target="https://grls.rosminzdrav.ru/InstrImg/2019/8/6/1445331/%D0%9F_N011073%5B2016%5D_1.pdf" TargetMode="External"/><Relationship Id="rId47" Type="http://schemas.openxmlformats.org/officeDocument/2006/relationships/hyperlink" Target="https://grls.rosminzdrav.ru/InstrImg/2022/02/17/1478020/31812477-c020-47c0-9f2e-80268b27b29f.pdf" TargetMode="External"/><Relationship Id="rId68" Type="http://schemas.openxmlformats.org/officeDocument/2006/relationships/hyperlink" Target="https://grls.rosminzdrav.ru/InstrImg/2025/09/15/1521458/990be5c7-4178-4812-a999-fd00eaeb3d60.pdf" TargetMode="External"/><Relationship Id="rId89" Type="http://schemas.openxmlformats.org/officeDocument/2006/relationships/hyperlink" Target="https://grls.rosminzdrav.ru/InstrImg/2021/6/4/1469733/%D0%A0_N000661_01%5B2017%5D_0.pdf" TargetMode="External"/><Relationship Id="rId112" Type="http://schemas.openxmlformats.org/officeDocument/2006/relationships/hyperlink" Target="https://lk.regmed.ru/Register/GetPDFfromDA?ID=1574006211" TargetMode="External"/><Relationship Id="rId133" Type="http://schemas.openxmlformats.org/officeDocument/2006/relationships/hyperlink" Target="https://lk.regmed.ru/Register/GetPDFfromDA?ID=1448256521" TargetMode="External"/><Relationship Id="rId154" Type="http://schemas.openxmlformats.org/officeDocument/2006/relationships/hyperlink" Target="https://lk.regmed.ru/Register/GetPDFfromDA?ID=1634791611" TargetMode="External"/><Relationship Id="rId16" Type="http://schemas.openxmlformats.org/officeDocument/2006/relationships/hyperlink" Target="https://lk.regmed.ru/Register/GetPDFfromDA?ID=1592320751" TargetMode="External"/><Relationship Id="rId37" Type="http://schemas.openxmlformats.org/officeDocument/2006/relationships/hyperlink" Target="https://grls.rosminzdrav.ru/InstrImg/2026/02/10/1526281/07a2f661-6334-4894-8117-0ad7563ba4ef.pdf" TargetMode="External"/><Relationship Id="rId58" Type="http://schemas.openxmlformats.org/officeDocument/2006/relationships/hyperlink" Target="https://lk.regmed.ru/Register/GetPDFfromDA?ID=1649843881" TargetMode="External"/><Relationship Id="rId79" Type="http://schemas.openxmlformats.org/officeDocument/2006/relationships/hyperlink" Target="https://grls.rosminzdrav.ru/InstrImg/2021/7/6/1470535/%D0%9B%D0%A1%D0%A0-005759_08%5B2020%5D_0.pdf" TargetMode="External"/><Relationship Id="rId102" Type="http://schemas.openxmlformats.org/officeDocument/2006/relationships/hyperlink" Target="https://grls.rosminzdrav.ru/InstrImg/2022/09/09/1485745/6205a5ae-4bbb-42bf-84d2-93c4042be1cb.pdf" TargetMode="External"/><Relationship Id="rId123" Type="http://schemas.openxmlformats.org/officeDocument/2006/relationships/hyperlink" Target="https://grls.rosminzdrav.ru/InstrImg/2023/03/14/1491812/0c472696-f193-406d-b88f-73cc81b45346.pdf" TargetMode="External"/><Relationship Id="rId144" Type="http://schemas.openxmlformats.org/officeDocument/2006/relationships/hyperlink" Target="https://grls.rosminzdrav.ru/InstrImg/2020/06/11/1206428/53252686-7415-4f30-bdba-632b434439f9.pdf" TargetMode="External"/><Relationship Id="rId90" Type="http://schemas.openxmlformats.org/officeDocument/2006/relationships/hyperlink" Target="https://grls.rosminzdrav.ru/InstrImg/2026/02/03/1525996/748a2896-887a-40f1-82c0-510ac345461d.pdf" TargetMode="External"/><Relationship Id="rId165" Type="http://schemas.openxmlformats.org/officeDocument/2006/relationships/hyperlink" Target="https://grls.rosminzdrav.ru/InstrImg/2024/12/09/1511749/a4738d52-4ff6-4599-a566-530f55491e76.pdf" TargetMode="External"/><Relationship Id="rId27" Type="http://schemas.openxmlformats.org/officeDocument/2006/relationships/hyperlink" Target="https://lk.regmed.ru/Register/GetPDFfromDA?ID=1611660161" TargetMode="External"/><Relationship Id="rId48" Type="http://schemas.openxmlformats.org/officeDocument/2006/relationships/hyperlink" Target="https://lk.regmed.ru/Register/GetPDFfromDA?ID=1583272671" TargetMode="External"/><Relationship Id="rId69" Type="http://schemas.openxmlformats.org/officeDocument/2006/relationships/hyperlink" Target="https://grls.rosminzdrav.ru/InstrImg/2025/09/15/1521458/990be5c7-4178-4812-a999-fd00eaeb3d60.pdf" TargetMode="External"/><Relationship Id="rId113" Type="http://schemas.openxmlformats.org/officeDocument/2006/relationships/hyperlink" Target="https://grls.rosminzdrav.ru/InstrImg/2023/04/17/1492662/d8440e50-44f6-4e4b-a50d-64608384e586.pdf" TargetMode="External"/><Relationship Id="rId134" Type="http://schemas.openxmlformats.org/officeDocument/2006/relationships/hyperlink" Target="https://lk.regmed.ru/Register/GetPDFfromDA?ID=1501926911" TargetMode="External"/><Relationship Id="rId80" Type="http://schemas.openxmlformats.org/officeDocument/2006/relationships/hyperlink" Target="https://grls.rosminzdrav.ru/InstrImg/2020/06/08/86489/f8c71c84-d7eb-4cba-990a-8c9e218ca432.pdf" TargetMode="External"/><Relationship Id="rId155" Type="http://schemas.openxmlformats.org/officeDocument/2006/relationships/hyperlink" Target="https://grls.rosminzdrav.ru/InstrImg/2020/06/18/1452053/3993efd1-cdd7-4127-88ae-330ac7a6d1c1.pdf" TargetMode="External"/><Relationship Id="rId17" Type="http://schemas.openxmlformats.org/officeDocument/2006/relationships/hyperlink" Target="https://grls.rosminzdrav.ru/InstrImg/2024/10/09/1509268/65b9c02a-b2dc-4aaa-90b8-4d39a6b13948.pdf" TargetMode="External"/><Relationship Id="rId38" Type="http://schemas.openxmlformats.org/officeDocument/2006/relationships/hyperlink" Target="https://grls.rosminzdrav.ru/InstrImg/2021/12/14/1476333/6ec3965b-4239-4718-add0-ce5ef822b7c4.pdf" TargetMode="External"/><Relationship Id="rId59" Type="http://schemas.openxmlformats.org/officeDocument/2006/relationships/hyperlink" Target="https://grls.rosminzdrav.ru/InstrImg/2022/11/25/1488723/80c7b6fb-3d8f-4ee9-9610-da77ce371e71.pdf" TargetMode="External"/><Relationship Id="rId103" Type="http://schemas.openxmlformats.org/officeDocument/2006/relationships/hyperlink" Target="https://lk.regmed.ru/Register/GetPDFfromDA?ID=1512826451" TargetMode="External"/><Relationship Id="rId124" Type="http://schemas.openxmlformats.org/officeDocument/2006/relationships/hyperlink" Target="https://lk.regmed.ru/Register/GetPDFfromDA?ID=1589687781"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drive.google.com/file/d/1blthajM2frGRHHmvDU2G_cLuTDORZR3T/view?usp=sharing" TargetMode="External"/><Relationship Id="rId18" Type="http://schemas.openxmlformats.org/officeDocument/2006/relationships/hyperlink" Target="https://drive.google.com/file/d/14qUJvIka1UebtVLEooiL6AkbjmsHqwpo/view?usp=sharing" TargetMode="External"/><Relationship Id="rId26" Type="http://schemas.openxmlformats.org/officeDocument/2006/relationships/hyperlink" Target="https://drive.google.com/file/d/19kMtBFImj2lFU0lNYK3TNVhbKobULRUM/view?usp=sharing" TargetMode="External"/><Relationship Id="rId3" Type="http://schemas.openxmlformats.org/officeDocument/2006/relationships/hyperlink" Target="https://drive.google.com/file/d/1SGDQirV3pQDNmDYradbbFKaUiPI8ShWa/view?usp=sharing" TargetMode="External"/><Relationship Id="rId21" Type="http://schemas.openxmlformats.org/officeDocument/2006/relationships/hyperlink" Target="https://drive.google.com/file/d/1CgNpABW9UBrdvR0Uqg0HtOJTdFL3EyZA/view?usp=sharing" TargetMode="External"/><Relationship Id="rId34" Type="http://schemas.openxmlformats.org/officeDocument/2006/relationships/hyperlink" Target="https://drive.google.com/file/d/1WApELkqKekfgA7XFV06iJsnZQkMVkU7D/view?usp=share_link" TargetMode="External"/><Relationship Id="rId7" Type="http://schemas.openxmlformats.org/officeDocument/2006/relationships/hyperlink" Target="https://drive.google.com/file/d/1zjEWOi_06Y8kMXjB6OkMmL7sN4T162J0/view?usp=sharing" TargetMode="External"/><Relationship Id="rId12" Type="http://schemas.openxmlformats.org/officeDocument/2006/relationships/hyperlink" Target="https://drive.google.com/file/d/14qUJvIka1UebtVLEooiL6AkbjmsHqwpo/view?usp=sharing" TargetMode="External"/><Relationship Id="rId17" Type="http://schemas.openxmlformats.org/officeDocument/2006/relationships/hyperlink" Target="https://drive.google.com/file/d/1P1MX19Fjh6G2fA-iSu-1dl9Um4Qr6cuY/view?usp=sharing" TargetMode="External"/><Relationship Id="rId25" Type="http://schemas.openxmlformats.org/officeDocument/2006/relationships/hyperlink" Target="https://drive.google.com/file/d/1WApELkqKekfgA7XFV06iJsnZQkMVkU7D/view?usp=share_link" TargetMode="External"/><Relationship Id="rId33" Type="http://schemas.openxmlformats.org/officeDocument/2006/relationships/hyperlink" Target="https://drive.google.com/file/d/1nx8SqY1MMyO2bNrGEVTxp80iM2DHootO/view?usp=sharing" TargetMode="External"/><Relationship Id="rId2" Type="http://schemas.openxmlformats.org/officeDocument/2006/relationships/hyperlink" Target="https://drive.google.com/file/d/1vYQ-IK0qMv-dsunZvKCijsYSRzhnxWm4/view?usp=sharing" TargetMode="External"/><Relationship Id="rId16" Type="http://schemas.openxmlformats.org/officeDocument/2006/relationships/hyperlink" Target="https://drive.google.com/file/d/14qUJvIka1UebtVLEooiL6AkbjmsHqwpo/view?usp=sharing" TargetMode="External"/><Relationship Id="rId20" Type="http://schemas.openxmlformats.org/officeDocument/2006/relationships/hyperlink" Target="https://drive.google.com/file/d/1nx8SqY1MMyO2bNrGEVTxp80iM2DHootO/view?usp=sharing" TargetMode="External"/><Relationship Id="rId29" Type="http://schemas.openxmlformats.org/officeDocument/2006/relationships/hyperlink" Target="https://drive.google.com/file/d/1WApELkqKekfgA7XFV06iJsnZQkMVkU7D/view?usp=share_link" TargetMode="External"/><Relationship Id="rId1" Type="http://schemas.openxmlformats.org/officeDocument/2006/relationships/hyperlink" Target="https://drive.google.com/file/d/1BEGV85TPwxY0BBNDBHxwhmPuCg95sotI/view?usp=sharing" TargetMode="External"/><Relationship Id="rId6" Type="http://schemas.openxmlformats.org/officeDocument/2006/relationships/hyperlink" Target="https://drive.google.com/file/d/1vYQ-IK0qMv-dsunZvKCijsYSRzhnxWm4/view?usp=sharing" TargetMode="External"/><Relationship Id="rId11" Type="http://schemas.openxmlformats.org/officeDocument/2006/relationships/hyperlink" Target="https://drive.google.com/file/d/1tcdlIs0bU-zr3s9l6xnkGIvl_rmQRUvo/view?usp=sharing" TargetMode="External"/><Relationship Id="rId24" Type="http://schemas.openxmlformats.org/officeDocument/2006/relationships/hyperlink" Target="https://drive.google.com/file/d/17mABfwFLnThbtCEpqArlecNt2nJT9xno/view?usp=sharing" TargetMode="External"/><Relationship Id="rId32" Type="http://schemas.openxmlformats.org/officeDocument/2006/relationships/hyperlink" Target="https://drive.google.com/file/d/1WApELkqKekfgA7XFV06iJsnZQkMVkU7D/view?usp=share_link" TargetMode="External"/><Relationship Id="rId5" Type="http://schemas.openxmlformats.org/officeDocument/2006/relationships/hyperlink" Target="https://drive.google.com/file/d/1ut3WKJEx5yGhlE2usxGxXZGfv4fa2-ln/view?usp=sharing" TargetMode="External"/><Relationship Id="rId15" Type="http://schemas.openxmlformats.org/officeDocument/2006/relationships/hyperlink" Target="https://drive.google.com/file/d/1IOqAXHGOyRhcNKnFKwLUb-MAx9yywgbG/view?usp=sharing" TargetMode="External"/><Relationship Id="rId23" Type="http://schemas.openxmlformats.org/officeDocument/2006/relationships/hyperlink" Target="https://drive.google.com/file/d/1WApELkqKekfgA7XFV06iJsnZQkMVkU7D/view?usp=share_link" TargetMode="External"/><Relationship Id="rId28" Type="http://schemas.openxmlformats.org/officeDocument/2006/relationships/hyperlink" Target="https://drive.google.com/file/d/1zjymkngl09HCZ7MjZM-SIBr54JfoffCo/view?usp=sharing" TargetMode="External"/><Relationship Id="rId10" Type="http://schemas.openxmlformats.org/officeDocument/2006/relationships/hyperlink" Target="https://drive.google.com/file/d/1vYQ-IK0qMv-dsunZvKCijsYSRzhnxWm4/view?usp=sharing" TargetMode="External"/><Relationship Id="rId19" Type="http://schemas.openxmlformats.org/officeDocument/2006/relationships/hyperlink" Target="https://drive.google.com/file/d/1RFjxvQCv_0oGcxzeKSzwOwod3qijaMsk/view?usp=sharing" TargetMode="External"/><Relationship Id="rId31" Type="http://schemas.openxmlformats.org/officeDocument/2006/relationships/hyperlink" Target="https://drive.google.com/file/d/14qUJvIka1UebtVLEooiL6AkbjmsHqwpo/view?usp=sharing" TargetMode="External"/><Relationship Id="rId4" Type="http://schemas.openxmlformats.org/officeDocument/2006/relationships/hyperlink" Target="https://drive.google.com/file/d/1wtr6_qOX6t9tXmxSdERoodLagZ1KWd_Z/view?usp=sharing" TargetMode="External"/><Relationship Id="rId9" Type="http://schemas.openxmlformats.org/officeDocument/2006/relationships/hyperlink" Target="https://drive.google.com/file/d/1ooKKB0y6C68OormjpADrn7U7uByylfjD/view?usp=share_link" TargetMode="External"/><Relationship Id="rId14" Type="http://schemas.openxmlformats.org/officeDocument/2006/relationships/hyperlink" Target="https://drive.google.com/file/d/14qUJvIka1UebtVLEooiL6AkbjmsHqwpo/view?usp=sharing" TargetMode="External"/><Relationship Id="rId22" Type="http://schemas.openxmlformats.org/officeDocument/2006/relationships/hyperlink" Target="https://drive.google.com/file/d/14qUJvIka1UebtVLEooiL6AkbjmsHqwpo/view?usp=sharing" TargetMode="External"/><Relationship Id="rId27" Type="http://schemas.openxmlformats.org/officeDocument/2006/relationships/hyperlink" Target="https://drive.google.com/file/d/1WApELkqKekfgA7XFV06iJsnZQkMVkU7D/view?usp=share_link" TargetMode="External"/><Relationship Id="rId30" Type="http://schemas.openxmlformats.org/officeDocument/2006/relationships/hyperlink" Target="https://drive.google.com/file/d/1zoMtelpRG8FtxwC_rQtKO5XcQL3JyWRT/view?usp=share_link" TargetMode="External"/><Relationship Id="rId35" Type="http://schemas.openxmlformats.org/officeDocument/2006/relationships/hyperlink" Target="https://drive.google.com/file/d/1WApELkqKekfgA7XFV06iJsnZQkMVkU7D/view?usp=share_link" TargetMode="External"/><Relationship Id="rId8" Type="http://schemas.openxmlformats.org/officeDocument/2006/relationships/hyperlink" Target="https://drive.google.com/file/d/1vYQ-IK0qMv-dsunZvKCijsYSRzhnxWm4/view?usp=sharing"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pediatriya-spb.ru/wp-content/uploads/%D0%9C%D0%B5%D1%82%D0%BE%D0%B4%D0%B8%D1%87%D0%B5%D1%81%D0%BA%D0%B8%D0%B5-%D1%80%D0%B5%D0%BA%D0%BE%D0%BC%D0%B5%D0%BD%D0%B4%D0%B0%D1%86%D0%B8%D0%B8-%D0%BF%D0%BE-%D0%B2%D0%B0%D0%BA%D1%86%D0%B8%D0%BD%D0%B0%D1%86%D0%B8%D0%B8-%D0%9C%D0%97-21.01.2022.pdf" TargetMode="External"/><Relationship Id="rId2" Type="http://schemas.openxmlformats.org/officeDocument/2006/relationships/hyperlink" Target="https://pediatriya-spb.ru/wp-content/uploads/%D0%9C%D0%B5%D1%82%D0%BE%D0%B4%D0%B8%D1%87%D0%B5%D1%81%D0%BA%D0%B8%D0%B5-%D1%80%D0%B5%D0%BA%D0%BE%D0%BC%D0%B5%D0%BD%D0%B4%D0%B0%D1%86%D0%B8%D0%B8-%D0%BF%D0%BE-%D0%B2%D0%B0%D0%BA%D1%86%D0%B8%D0%BD%D0%B0%D1%86%D0%B8%D0%B8-%D0%9C%D0%97-21.01.2022.pdf" TargetMode="External"/><Relationship Id="rId1" Type="http://schemas.openxmlformats.org/officeDocument/2006/relationships/hyperlink" Target="https://pediatriya-spb.ru/wp-content/uploads/%D0%9C%D0%B5%D1%82%D0%BE%D0%B4%D0%B8%D1%87%D0%B5%D1%81%D0%BA%D0%B8%D0%B5-%D1%80%D0%B5%D0%BA%D0%BE%D0%BC%D0%B5%D0%BD%D0%B4%D0%B0%D1%86%D0%B8%D0%B8-%D0%BF%D0%BE-%D0%B2%D0%B0%D0%BA%D1%86%D0%B8%D0%BD%D0%B0%D1%86%D0%B8%D0%B8-%D0%9C%D0%97-21.01.2022.pdf" TargetMode="External"/><Relationship Id="rId6" Type="http://schemas.openxmlformats.org/officeDocument/2006/relationships/hyperlink" Target="http://www.allergen.ru/docs/newsletter_whoping_cough_vaccination_march_2019.pdf" TargetMode="External"/><Relationship Id="rId5" Type="http://schemas.openxmlformats.org/officeDocument/2006/relationships/hyperlink" Target="http://www.allergen.ru/docs/newsletter_whoping_cough_vaccination_march_2019.pdf" TargetMode="External"/><Relationship Id="rId4" Type="http://schemas.openxmlformats.org/officeDocument/2006/relationships/hyperlink" Target="https://pediatriya-spb.ru/wp-content/uploads/%D0%9C%D0%B5%D1%82%D0%BE%D0%B4%D0%B8%D1%87%D0%B5%D1%81%D0%BA%D0%B8%D0%B5-%D1%80%D0%B5%D0%BA%D0%BE%D0%BC%D0%B5%D0%BD%D0%B4%D0%B0%D1%86%D0%B8%D0%B8-%D0%BF%D0%BE-%D0%B2%D0%B0%D0%BA%D1%86%D0%B8%D0%BD%D0%B0%D1%86%D0%B8%D0%B8-%D0%9C%D0%97-21.01.20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abSelected="1" workbookViewId="0">
      <pane xSplit="2" ySplit="1" topLeftCell="K32" activePane="bottomRight" state="frozen"/>
      <selection pane="topRight" activeCell="C1" sqref="C1"/>
      <selection pane="bottomLeft" activeCell="A2" sqref="A2"/>
      <selection pane="bottomRight" activeCell="A17" sqref="A17"/>
    </sheetView>
  </sheetViews>
  <sheetFormatPr defaultColWidth="12.6640625" defaultRowHeight="15.75" customHeight="1"/>
  <cols>
    <col min="2" max="2" width="19.44140625" customWidth="1"/>
    <col min="8" max="8" width="28.33203125" customWidth="1"/>
    <col min="9" max="9" width="27.44140625" customWidth="1"/>
  </cols>
  <sheetData>
    <row r="1" spans="1:26">
      <c r="A1" s="1" t="s">
        <v>0</v>
      </c>
      <c r="B1" s="1" t="s">
        <v>1</v>
      </c>
      <c r="C1" s="1" t="s">
        <v>2</v>
      </c>
      <c r="D1" s="1" t="s">
        <v>3</v>
      </c>
      <c r="E1" s="1" t="s">
        <v>4</v>
      </c>
      <c r="F1" s="2" t="s">
        <v>5</v>
      </c>
      <c r="G1" s="1" t="s">
        <v>6</v>
      </c>
      <c r="H1" s="2" t="s">
        <v>7</v>
      </c>
      <c r="I1" s="1" t="s">
        <v>8</v>
      </c>
      <c r="J1" s="2" t="s">
        <v>9</v>
      </c>
      <c r="K1" s="3" t="s">
        <v>10</v>
      </c>
      <c r="L1" s="3" t="s">
        <v>11</v>
      </c>
      <c r="M1" s="4" t="s">
        <v>12</v>
      </c>
      <c r="N1" s="4" t="s">
        <v>13</v>
      </c>
      <c r="O1" s="4" t="s">
        <v>14</v>
      </c>
      <c r="P1" s="4" t="s">
        <v>15</v>
      </c>
      <c r="Q1" s="5" t="s">
        <v>16</v>
      </c>
      <c r="R1" s="6"/>
      <c r="S1" s="6"/>
      <c r="T1" s="6"/>
      <c r="U1" s="6"/>
      <c r="V1" s="6"/>
      <c r="W1" s="6"/>
      <c r="X1" s="6"/>
      <c r="Y1" s="6"/>
      <c r="Z1" s="6"/>
    </row>
    <row r="2" spans="1:26">
      <c r="A2" s="7">
        <v>1</v>
      </c>
      <c r="B2" s="8" t="s">
        <v>17</v>
      </c>
      <c r="C2" s="9" t="s">
        <v>18</v>
      </c>
      <c r="D2" s="8" t="s">
        <v>19</v>
      </c>
      <c r="E2" s="8" t="s">
        <v>20</v>
      </c>
      <c r="F2" s="8" t="s">
        <v>21</v>
      </c>
      <c r="G2" s="8" t="s">
        <v>22</v>
      </c>
      <c r="H2" s="10" t="s">
        <v>23</v>
      </c>
      <c r="I2" s="10" t="s">
        <v>24</v>
      </c>
      <c r="J2" s="7">
        <f>0.05</f>
        <v>0.05</v>
      </c>
      <c r="K2" s="11">
        <v>44712</v>
      </c>
      <c r="L2" s="12">
        <v>45689</v>
      </c>
      <c r="M2" s="13" t="s">
        <v>25</v>
      </c>
      <c r="N2" s="9" t="s">
        <v>18</v>
      </c>
      <c r="O2" s="13" t="s">
        <v>25</v>
      </c>
      <c r="P2" s="9" t="s">
        <v>26</v>
      </c>
      <c r="Q2" s="14" t="s">
        <v>27</v>
      </c>
    </row>
    <row r="3" spans="1:26">
      <c r="A3" s="7">
        <v>2</v>
      </c>
      <c r="B3" s="8" t="s">
        <v>28</v>
      </c>
      <c r="C3" s="9" t="s">
        <v>29</v>
      </c>
      <c r="D3" s="8" t="s">
        <v>30</v>
      </c>
      <c r="E3" s="8" t="s">
        <v>31</v>
      </c>
      <c r="F3" s="8" t="s">
        <v>21</v>
      </c>
      <c r="G3" s="8" t="s">
        <v>22</v>
      </c>
      <c r="H3" s="10" t="s">
        <v>32</v>
      </c>
      <c r="I3" s="10" t="s">
        <v>33</v>
      </c>
      <c r="J3" s="7">
        <f>0.025</f>
        <v>2.5000000000000001E-2</v>
      </c>
      <c r="K3" s="11">
        <v>44712</v>
      </c>
      <c r="L3" s="12">
        <v>45689</v>
      </c>
      <c r="M3" s="13" t="s">
        <v>25</v>
      </c>
      <c r="N3" s="9" t="s">
        <v>29</v>
      </c>
      <c r="O3" s="13" t="s">
        <v>25</v>
      </c>
      <c r="P3" s="9" t="s">
        <v>34</v>
      </c>
      <c r="Q3" s="14" t="s">
        <v>35</v>
      </c>
    </row>
    <row r="4" spans="1:26">
      <c r="A4" s="7">
        <v>3</v>
      </c>
      <c r="B4" s="8" t="s">
        <v>36</v>
      </c>
      <c r="C4" s="15" t="s">
        <v>37</v>
      </c>
      <c r="D4" s="8" t="s">
        <v>38</v>
      </c>
      <c r="E4" s="8" t="s">
        <v>20</v>
      </c>
      <c r="F4" s="8" t="s">
        <v>39</v>
      </c>
      <c r="G4" s="8" t="s">
        <v>22</v>
      </c>
      <c r="H4" s="10" t="s">
        <v>23</v>
      </c>
      <c r="I4" s="10" t="s">
        <v>24</v>
      </c>
      <c r="J4" s="7">
        <f>0.05</f>
        <v>0.05</v>
      </c>
      <c r="K4" s="11">
        <v>44712</v>
      </c>
      <c r="L4" s="12">
        <v>45801</v>
      </c>
      <c r="M4" s="13" t="s">
        <v>25</v>
      </c>
      <c r="N4" s="9" t="s">
        <v>37</v>
      </c>
      <c r="O4" s="13" t="s">
        <v>25</v>
      </c>
      <c r="P4" s="9" t="s">
        <v>40</v>
      </c>
      <c r="Q4" s="14" t="s">
        <v>41</v>
      </c>
    </row>
    <row r="5" spans="1:26">
      <c r="A5" s="7">
        <v>4</v>
      </c>
      <c r="B5" s="8" t="s">
        <v>42</v>
      </c>
      <c r="C5" s="15" t="s">
        <v>43</v>
      </c>
      <c r="D5" s="8" t="s">
        <v>44</v>
      </c>
      <c r="E5" s="8" t="s">
        <v>31</v>
      </c>
      <c r="F5" s="8" t="s">
        <v>39</v>
      </c>
      <c r="G5" s="8" t="s">
        <v>22</v>
      </c>
      <c r="H5" s="10" t="s">
        <v>32</v>
      </c>
      <c r="I5" s="10" t="s">
        <v>33</v>
      </c>
      <c r="J5" s="7">
        <f>0.025</f>
        <v>2.5000000000000001E-2</v>
      </c>
      <c r="K5" s="11">
        <v>44712</v>
      </c>
      <c r="L5" s="12">
        <v>45818</v>
      </c>
      <c r="M5" s="13" t="s">
        <v>25</v>
      </c>
      <c r="N5" s="9" t="s">
        <v>43</v>
      </c>
      <c r="O5" s="13" t="s">
        <v>25</v>
      </c>
      <c r="P5" s="9" t="s">
        <v>45</v>
      </c>
      <c r="Q5" s="14" t="s">
        <v>46</v>
      </c>
    </row>
    <row r="6" spans="1:26">
      <c r="A6" s="7">
        <v>5</v>
      </c>
      <c r="B6" s="8" t="s">
        <v>47</v>
      </c>
      <c r="C6" s="9" t="s">
        <v>48</v>
      </c>
      <c r="D6" s="8" t="s">
        <v>49</v>
      </c>
      <c r="E6" s="8" t="s">
        <v>50</v>
      </c>
      <c r="F6" s="8" t="s">
        <v>51</v>
      </c>
      <c r="G6" s="16" t="s">
        <v>52</v>
      </c>
      <c r="H6" s="10" t="s">
        <v>53</v>
      </c>
      <c r="I6" s="10" t="s">
        <v>54</v>
      </c>
      <c r="J6" s="7">
        <f t="shared" ref="J6:J17" si="0">0.5</f>
        <v>0.5</v>
      </c>
      <c r="K6" s="11">
        <v>44712</v>
      </c>
      <c r="L6" s="12">
        <v>45689</v>
      </c>
      <c r="M6" s="13" t="s">
        <v>25</v>
      </c>
      <c r="N6" s="17" t="s">
        <v>55</v>
      </c>
      <c r="O6" s="13" t="s">
        <v>25</v>
      </c>
      <c r="P6" s="9" t="s">
        <v>48</v>
      </c>
      <c r="Q6" s="18" t="s">
        <v>56</v>
      </c>
    </row>
    <row r="7" spans="1:26">
      <c r="A7" s="7">
        <v>6</v>
      </c>
      <c r="B7" s="8" t="s">
        <v>57</v>
      </c>
      <c r="C7" s="9" t="s">
        <v>58</v>
      </c>
      <c r="D7" s="8" t="s">
        <v>59</v>
      </c>
      <c r="E7" s="8" t="s">
        <v>60</v>
      </c>
      <c r="F7" s="8" t="s">
        <v>21</v>
      </c>
      <c r="G7" s="8" t="s">
        <v>22</v>
      </c>
      <c r="H7" s="10" t="s">
        <v>61</v>
      </c>
      <c r="I7" s="10" t="s">
        <v>62</v>
      </c>
      <c r="J7" s="7">
        <f t="shared" si="0"/>
        <v>0.5</v>
      </c>
      <c r="K7" s="11">
        <v>44712</v>
      </c>
      <c r="L7" s="12">
        <v>45689</v>
      </c>
      <c r="M7" s="13" t="s">
        <v>25</v>
      </c>
      <c r="N7" s="9" t="s">
        <v>58</v>
      </c>
      <c r="O7" s="13" t="s">
        <v>25</v>
      </c>
      <c r="P7" s="9" t="s">
        <v>63</v>
      </c>
      <c r="Q7" s="14" t="s">
        <v>64</v>
      </c>
    </row>
    <row r="8" spans="1:26">
      <c r="A8" s="7">
        <v>7</v>
      </c>
      <c r="B8" s="8" t="s">
        <v>65</v>
      </c>
      <c r="C8" s="19" t="s">
        <v>66</v>
      </c>
      <c r="D8" s="8" t="s">
        <v>67</v>
      </c>
      <c r="E8" s="8" t="s">
        <v>60</v>
      </c>
      <c r="F8" s="8" t="s">
        <v>68</v>
      </c>
      <c r="G8" s="8" t="s">
        <v>22</v>
      </c>
      <c r="H8" s="10" t="s">
        <v>61</v>
      </c>
      <c r="I8" s="10" t="s">
        <v>62</v>
      </c>
      <c r="J8" s="7">
        <f t="shared" si="0"/>
        <v>0.5</v>
      </c>
      <c r="K8" s="11">
        <v>44712</v>
      </c>
      <c r="L8" s="11">
        <v>45079</v>
      </c>
      <c r="M8" s="17" t="s">
        <v>55</v>
      </c>
      <c r="N8" s="17" t="s">
        <v>55</v>
      </c>
      <c r="O8" s="17" t="s">
        <v>55</v>
      </c>
      <c r="P8" s="9" t="s">
        <v>66</v>
      </c>
      <c r="Q8" s="20"/>
    </row>
    <row r="9" spans="1:26">
      <c r="A9" s="7">
        <v>8</v>
      </c>
      <c r="B9" s="8" t="s">
        <v>69</v>
      </c>
      <c r="C9" s="19" t="s">
        <v>70</v>
      </c>
      <c r="D9" s="8" t="s">
        <v>71</v>
      </c>
      <c r="E9" s="8" t="s">
        <v>72</v>
      </c>
      <c r="F9" s="8" t="s">
        <v>73</v>
      </c>
      <c r="G9" s="16" t="s">
        <v>52</v>
      </c>
      <c r="H9" s="10"/>
      <c r="I9" s="10"/>
      <c r="J9" s="7">
        <f t="shared" si="0"/>
        <v>0.5</v>
      </c>
      <c r="K9" s="11">
        <v>44712</v>
      </c>
      <c r="L9" s="11">
        <v>44712</v>
      </c>
      <c r="M9" s="17" t="s">
        <v>55</v>
      </c>
      <c r="N9" s="17" t="s">
        <v>55</v>
      </c>
      <c r="O9" s="17" t="s">
        <v>55</v>
      </c>
      <c r="P9" s="9" t="s">
        <v>70</v>
      </c>
      <c r="Q9" s="20"/>
    </row>
    <row r="10" spans="1:26">
      <c r="A10" s="7">
        <v>9</v>
      </c>
      <c r="B10" s="8" t="s">
        <v>74</v>
      </c>
      <c r="C10" s="21" t="s">
        <v>75</v>
      </c>
      <c r="D10" s="8" t="s">
        <v>76</v>
      </c>
      <c r="E10" s="8" t="s">
        <v>77</v>
      </c>
      <c r="F10" s="8" t="s">
        <v>78</v>
      </c>
      <c r="G10" s="8" t="s">
        <v>22</v>
      </c>
      <c r="H10" s="10" t="s">
        <v>79</v>
      </c>
      <c r="I10" s="10" t="s">
        <v>80</v>
      </c>
      <c r="J10" s="7">
        <f t="shared" si="0"/>
        <v>0.5</v>
      </c>
      <c r="K10" s="11">
        <v>44712</v>
      </c>
      <c r="L10" s="12">
        <v>46204</v>
      </c>
      <c r="M10" s="22" t="s">
        <v>25</v>
      </c>
      <c r="N10" s="23" t="s">
        <v>75</v>
      </c>
      <c r="O10" s="22" t="s">
        <v>25</v>
      </c>
      <c r="P10" s="9" t="s">
        <v>81</v>
      </c>
      <c r="Q10" s="14" t="s">
        <v>82</v>
      </c>
    </row>
    <row r="11" spans="1:26">
      <c r="A11" s="7">
        <v>10</v>
      </c>
      <c r="B11" s="8" t="s">
        <v>83</v>
      </c>
      <c r="C11" s="9" t="s">
        <v>84</v>
      </c>
      <c r="D11" s="8" t="s">
        <v>85</v>
      </c>
      <c r="E11" s="8" t="s">
        <v>86</v>
      </c>
      <c r="F11" s="8" t="s">
        <v>51</v>
      </c>
      <c r="G11" s="8" t="s">
        <v>22</v>
      </c>
      <c r="H11" s="10" t="s">
        <v>87</v>
      </c>
      <c r="I11" s="10" t="s">
        <v>88</v>
      </c>
      <c r="J11" s="7">
        <f t="shared" si="0"/>
        <v>0.5</v>
      </c>
      <c r="K11" s="11">
        <v>44712</v>
      </c>
      <c r="L11" s="12">
        <v>46000</v>
      </c>
      <c r="M11" s="13" t="s">
        <v>25</v>
      </c>
      <c r="N11" s="9" t="s">
        <v>84</v>
      </c>
      <c r="O11" s="13" t="s">
        <v>25</v>
      </c>
      <c r="P11" s="9" t="s">
        <v>89</v>
      </c>
      <c r="Q11" s="14" t="s">
        <v>90</v>
      </c>
    </row>
    <row r="12" spans="1:26">
      <c r="A12" s="7">
        <v>11</v>
      </c>
      <c r="B12" s="8" t="s">
        <v>91</v>
      </c>
      <c r="C12" s="15" t="s">
        <v>92</v>
      </c>
      <c r="D12" s="8" t="s">
        <v>93</v>
      </c>
      <c r="E12" s="8" t="s">
        <v>94</v>
      </c>
      <c r="F12" s="8" t="s">
        <v>73</v>
      </c>
      <c r="G12" s="16" t="s">
        <v>52</v>
      </c>
      <c r="H12" s="10"/>
      <c r="I12" s="10"/>
      <c r="J12" s="7">
        <f t="shared" si="0"/>
        <v>0.5</v>
      </c>
      <c r="K12" s="11">
        <v>44712</v>
      </c>
      <c r="L12" s="12">
        <v>46188</v>
      </c>
      <c r="M12" s="17" t="s">
        <v>25</v>
      </c>
      <c r="N12" s="17" t="s">
        <v>55</v>
      </c>
      <c r="O12" s="17" t="s">
        <v>25</v>
      </c>
      <c r="P12" s="9" t="s">
        <v>92</v>
      </c>
      <c r="Q12" s="24" t="s">
        <v>95</v>
      </c>
    </row>
    <row r="13" spans="1:26">
      <c r="A13" s="7">
        <v>12</v>
      </c>
      <c r="B13" s="8" t="s">
        <v>96</v>
      </c>
      <c r="C13" s="25" t="s">
        <v>97</v>
      </c>
      <c r="D13" s="16" t="s">
        <v>98</v>
      </c>
      <c r="E13" s="8" t="s">
        <v>99</v>
      </c>
      <c r="F13" s="8" t="s">
        <v>21</v>
      </c>
      <c r="G13" s="8" t="s">
        <v>22</v>
      </c>
      <c r="H13" s="10"/>
      <c r="I13" s="10"/>
      <c r="J13" s="7">
        <f t="shared" si="0"/>
        <v>0.5</v>
      </c>
      <c r="K13" s="11">
        <v>44712</v>
      </c>
      <c r="L13" s="12">
        <v>45689</v>
      </c>
      <c r="M13" s="9" t="s">
        <v>100</v>
      </c>
      <c r="N13" s="9" t="s">
        <v>97</v>
      </c>
      <c r="O13" s="9" t="s">
        <v>101</v>
      </c>
      <c r="P13" s="9" t="s">
        <v>102</v>
      </c>
      <c r="Q13" s="14" t="s">
        <v>103</v>
      </c>
    </row>
    <row r="14" spans="1:26">
      <c r="A14" s="7">
        <v>13</v>
      </c>
      <c r="B14" s="8" t="s">
        <v>104</v>
      </c>
      <c r="C14" s="9" t="s">
        <v>105</v>
      </c>
      <c r="D14" s="16" t="s">
        <v>106</v>
      </c>
      <c r="E14" s="8" t="s">
        <v>107</v>
      </c>
      <c r="F14" s="8" t="s">
        <v>21</v>
      </c>
      <c r="G14" s="8" t="s">
        <v>22</v>
      </c>
      <c r="H14" s="10"/>
      <c r="I14" s="10"/>
      <c r="J14" s="7">
        <f t="shared" si="0"/>
        <v>0.5</v>
      </c>
      <c r="K14" s="11">
        <v>44712</v>
      </c>
      <c r="L14" s="12">
        <v>45689</v>
      </c>
      <c r="M14" s="9" t="s">
        <v>108</v>
      </c>
      <c r="N14" s="9" t="s">
        <v>105</v>
      </c>
      <c r="O14" s="9" t="s">
        <v>109</v>
      </c>
      <c r="P14" s="9" t="s">
        <v>110</v>
      </c>
      <c r="Q14" s="14" t="s">
        <v>111</v>
      </c>
    </row>
    <row r="15" spans="1:26">
      <c r="A15" s="7">
        <v>14</v>
      </c>
      <c r="B15" s="8" t="s">
        <v>112</v>
      </c>
      <c r="C15" s="9" t="s">
        <v>113</v>
      </c>
      <c r="D15" s="8" t="s">
        <v>114</v>
      </c>
      <c r="E15" s="8" t="s">
        <v>115</v>
      </c>
      <c r="F15" s="8" t="s">
        <v>21</v>
      </c>
      <c r="G15" s="8" t="s">
        <v>22</v>
      </c>
      <c r="H15" s="10"/>
      <c r="I15" s="10"/>
      <c r="J15" s="7">
        <f t="shared" si="0"/>
        <v>0.5</v>
      </c>
      <c r="K15" s="11">
        <v>44712</v>
      </c>
      <c r="L15" s="12">
        <v>45861</v>
      </c>
      <c r="M15" s="9" t="s">
        <v>116</v>
      </c>
      <c r="N15" s="9" t="s">
        <v>113</v>
      </c>
      <c r="O15" s="9" t="s">
        <v>117</v>
      </c>
      <c r="P15" s="9" t="s">
        <v>118</v>
      </c>
      <c r="Q15" s="14" t="s">
        <v>119</v>
      </c>
    </row>
    <row r="16" spans="1:26">
      <c r="A16" s="7">
        <v>15</v>
      </c>
      <c r="B16" s="8" t="s">
        <v>120</v>
      </c>
      <c r="C16" s="19" t="s">
        <v>121</v>
      </c>
      <c r="D16" s="8" t="s">
        <v>122</v>
      </c>
      <c r="E16" s="8" t="s">
        <v>123</v>
      </c>
      <c r="F16" s="8" t="s">
        <v>68</v>
      </c>
      <c r="G16" s="8" t="s">
        <v>22</v>
      </c>
      <c r="H16" s="10"/>
      <c r="I16" s="10"/>
      <c r="J16" s="7">
        <f t="shared" si="0"/>
        <v>0.5</v>
      </c>
      <c r="K16" s="11">
        <v>44712</v>
      </c>
      <c r="L16" s="11">
        <v>44712</v>
      </c>
      <c r="M16" s="17" t="s">
        <v>55</v>
      </c>
      <c r="N16" s="17" t="s">
        <v>55</v>
      </c>
      <c r="O16" s="17" t="s">
        <v>55</v>
      </c>
      <c r="P16" s="9" t="s">
        <v>124</v>
      </c>
      <c r="Q16" s="20"/>
    </row>
    <row r="17" spans="1:17">
      <c r="A17" s="7">
        <v>16</v>
      </c>
      <c r="B17" s="8" t="s">
        <v>125</v>
      </c>
      <c r="C17" s="9" t="s">
        <v>126</v>
      </c>
      <c r="D17" s="8" t="s">
        <v>127</v>
      </c>
      <c r="E17" s="8" t="s">
        <v>128</v>
      </c>
      <c r="F17" s="8" t="s">
        <v>129</v>
      </c>
      <c r="G17" s="8" t="s">
        <v>22</v>
      </c>
      <c r="H17" s="10" t="s">
        <v>130</v>
      </c>
      <c r="I17" s="10" t="s">
        <v>131</v>
      </c>
      <c r="J17" s="7">
        <f t="shared" si="0"/>
        <v>0.5</v>
      </c>
      <c r="K17" s="11">
        <v>44712</v>
      </c>
      <c r="L17" s="12">
        <v>45689</v>
      </c>
      <c r="M17" s="9" t="s">
        <v>132</v>
      </c>
      <c r="N17" s="9" t="s">
        <v>126</v>
      </c>
      <c r="O17" s="9" t="s">
        <v>133</v>
      </c>
      <c r="P17" s="26" t="s">
        <v>134</v>
      </c>
      <c r="Q17" s="14" t="s">
        <v>135</v>
      </c>
    </row>
    <row r="18" spans="1:17">
      <c r="A18" s="7">
        <v>17</v>
      </c>
      <c r="B18" s="8" t="s">
        <v>136</v>
      </c>
      <c r="C18" s="27" t="s">
        <v>137</v>
      </c>
      <c r="D18" s="8" t="s">
        <v>138</v>
      </c>
      <c r="E18" s="8" t="s">
        <v>139</v>
      </c>
      <c r="F18" s="8"/>
      <c r="G18" s="8" t="s">
        <v>22</v>
      </c>
      <c r="H18" s="10"/>
      <c r="I18" s="10"/>
      <c r="J18" s="7"/>
      <c r="K18" s="11">
        <v>44712</v>
      </c>
      <c r="L18" s="12">
        <v>45715</v>
      </c>
      <c r="M18" s="17" t="s">
        <v>55</v>
      </c>
      <c r="N18" s="17" t="s">
        <v>55</v>
      </c>
      <c r="O18" s="17" t="s">
        <v>55</v>
      </c>
      <c r="P18" s="9" t="s">
        <v>137</v>
      </c>
      <c r="Q18" s="18" t="s">
        <v>140</v>
      </c>
    </row>
    <row r="19" spans="1:17">
      <c r="A19" s="7">
        <v>18</v>
      </c>
      <c r="B19" s="8" t="s">
        <v>141</v>
      </c>
      <c r="C19" s="15" t="s">
        <v>142</v>
      </c>
      <c r="D19" s="8" t="s">
        <v>143</v>
      </c>
      <c r="E19" s="8" t="s">
        <v>144</v>
      </c>
      <c r="F19" s="8"/>
      <c r="G19" s="16" t="s">
        <v>52</v>
      </c>
      <c r="H19" s="28" t="s">
        <v>145</v>
      </c>
      <c r="I19" s="28" t="s">
        <v>146</v>
      </c>
      <c r="J19" s="7"/>
      <c r="K19" s="11">
        <v>44712</v>
      </c>
      <c r="L19" s="12">
        <v>46188</v>
      </c>
      <c r="M19" s="17" t="s">
        <v>25</v>
      </c>
      <c r="N19" s="17" t="s">
        <v>55</v>
      </c>
      <c r="O19" s="17" t="s">
        <v>25</v>
      </c>
      <c r="P19" s="9" t="s">
        <v>142</v>
      </c>
      <c r="Q19" s="14" t="s">
        <v>147</v>
      </c>
    </row>
    <row r="20" spans="1:17">
      <c r="A20" s="7">
        <v>19</v>
      </c>
      <c r="B20" s="8" t="s">
        <v>148</v>
      </c>
      <c r="C20" s="9" t="s">
        <v>149</v>
      </c>
      <c r="D20" s="8" t="s">
        <v>150</v>
      </c>
      <c r="E20" s="29" t="s">
        <v>151</v>
      </c>
      <c r="F20" s="8" t="s">
        <v>51</v>
      </c>
      <c r="G20" s="8" t="s">
        <v>22</v>
      </c>
      <c r="H20" s="10"/>
      <c r="I20" s="10"/>
      <c r="J20" s="7"/>
      <c r="K20" s="11">
        <v>44712</v>
      </c>
      <c r="L20" s="12">
        <v>45689</v>
      </c>
      <c r="M20" s="9" t="s">
        <v>152</v>
      </c>
      <c r="N20" s="9" t="s">
        <v>149</v>
      </c>
      <c r="O20" s="9" t="s">
        <v>153</v>
      </c>
      <c r="P20" s="9" t="s">
        <v>154</v>
      </c>
      <c r="Q20" s="14" t="s">
        <v>155</v>
      </c>
    </row>
    <row r="21" spans="1:17">
      <c r="A21" s="7">
        <v>20</v>
      </c>
      <c r="B21" s="8" t="s">
        <v>156</v>
      </c>
      <c r="C21" s="9" t="s">
        <v>149</v>
      </c>
      <c r="D21" s="8" t="s">
        <v>157</v>
      </c>
      <c r="E21" s="29" t="s">
        <v>151</v>
      </c>
      <c r="F21" s="8" t="s">
        <v>51</v>
      </c>
      <c r="G21" s="16" t="s">
        <v>52</v>
      </c>
      <c r="H21" s="10"/>
      <c r="I21" s="10"/>
      <c r="J21" s="7"/>
      <c r="K21" s="11">
        <v>44712</v>
      </c>
      <c r="L21" s="12">
        <v>45689</v>
      </c>
      <c r="M21" s="9" t="s">
        <v>152</v>
      </c>
      <c r="N21" s="9" t="s">
        <v>149</v>
      </c>
      <c r="O21" s="9" t="s">
        <v>153</v>
      </c>
      <c r="P21" s="9" t="s">
        <v>154</v>
      </c>
      <c r="Q21" s="14" t="s">
        <v>158</v>
      </c>
    </row>
    <row r="22" spans="1:17">
      <c r="A22" s="7">
        <v>21</v>
      </c>
      <c r="B22" s="8" t="s">
        <v>159</v>
      </c>
      <c r="C22" s="19" t="s">
        <v>160</v>
      </c>
      <c r="D22" s="8" t="s">
        <v>161</v>
      </c>
      <c r="E22" s="30" t="s">
        <v>162</v>
      </c>
      <c r="F22" s="8"/>
      <c r="G22" s="8" t="s">
        <v>52</v>
      </c>
      <c r="H22" s="10"/>
      <c r="I22" s="10"/>
      <c r="J22" s="7"/>
      <c r="K22" s="11">
        <v>44712</v>
      </c>
      <c r="L22" s="11">
        <v>44916</v>
      </c>
      <c r="M22" s="17" t="s">
        <v>55</v>
      </c>
      <c r="N22" s="17" t="s">
        <v>55</v>
      </c>
      <c r="O22" s="17" t="s">
        <v>55</v>
      </c>
      <c r="P22" s="9" t="s">
        <v>160</v>
      </c>
      <c r="Q22" s="31" t="s">
        <v>163</v>
      </c>
    </row>
    <row r="23" spans="1:17">
      <c r="A23" s="7">
        <v>22</v>
      </c>
      <c r="B23" s="8" t="s">
        <v>164</v>
      </c>
      <c r="C23" s="19" t="s">
        <v>165</v>
      </c>
      <c r="D23" s="8" t="s">
        <v>166</v>
      </c>
      <c r="E23" s="30" t="s">
        <v>167</v>
      </c>
      <c r="F23" s="8"/>
      <c r="G23" s="8" t="s">
        <v>52</v>
      </c>
      <c r="H23" s="10"/>
      <c r="I23" s="10"/>
      <c r="J23" s="7"/>
      <c r="K23" s="11">
        <v>44712</v>
      </c>
      <c r="L23" s="11">
        <v>44916</v>
      </c>
      <c r="M23" s="17" t="s">
        <v>55</v>
      </c>
      <c r="N23" s="17" t="s">
        <v>55</v>
      </c>
      <c r="O23" s="17" t="s">
        <v>55</v>
      </c>
      <c r="P23" s="9" t="s">
        <v>165</v>
      </c>
      <c r="Q23" s="31" t="s">
        <v>168</v>
      </c>
    </row>
    <row r="24" spans="1:17">
      <c r="A24" s="7">
        <v>23</v>
      </c>
      <c r="B24" s="8" t="s">
        <v>169</v>
      </c>
      <c r="C24" s="9" t="s">
        <v>170</v>
      </c>
      <c r="D24" s="8" t="s">
        <v>171</v>
      </c>
      <c r="E24" s="32" t="s">
        <v>172</v>
      </c>
      <c r="F24" s="8"/>
      <c r="G24" s="8" t="s">
        <v>22</v>
      </c>
      <c r="H24" s="10"/>
      <c r="I24" s="10"/>
      <c r="J24" s="7"/>
      <c r="K24" s="11">
        <v>44712</v>
      </c>
      <c r="L24" s="12">
        <v>45988</v>
      </c>
      <c r="M24" s="13" t="s">
        <v>25</v>
      </c>
      <c r="N24" s="13" t="s">
        <v>55</v>
      </c>
      <c r="O24" s="13" t="s">
        <v>25</v>
      </c>
      <c r="P24" s="9" t="s">
        <v>170</v>
      </c>
      <c r="Q24" s="14" t="s">
        <v>173</v>
      </c>
    </row>
    <row r="25" spans="1:17">
      <c r="A25" s="7">
        <v>24</v>
      </c>
      <c r="B25" s="8" t="s">
        <v>174</v>
      </c>
      <c r="C25" s="15" t="s">
        <v>175</v>
      </c>
      <c r="D25" s="8" t="s">
        <v>176</v>
      </c>
      <c r="E25" s="16" t="s">
        <v>177</v>
      </c>
      <c r="F25" s="8" t="s">
        <v>73</v>
      </c>
      <c r="G25" s="8" t="s">
        <v>22</v>
      </c>
      <c r="H25" s="10" t="s">
        <v>178</v>
      </c>
      <c r="I25" s="10" t="s">
        <v>179</v>
      </c>
      <c r="J25" s="7"/>
      <c r="K25" s="11">
        <v>44712</v>
      </c>
      <c r="L25" s="12">
        <v>46130</v>
      </c>
      <c r="M25" s="17" t="s">
        <v>25</v>
      </c>
      <c r="N25" s="17" t="s">
        <v>55</v>
      </c>
      <c r="O25" s="17" t="s">
        <v>55</v>
      </c>
      <c r="P25" s="9" t="s">
        <v>175</v>
      </c>
      <c r="Q25" s="24" t="s">
        <v>180</v>
      </c>
    </row>
    <row r="26" spans="1:17">
      <c r="A26" s="7">
        <v>25</v>
      </c>
      <c r="B26" s="8" t="s">
        <v>181</v>
      </c>
      <c r="C26" s="15" t="s">
        <v>182</v>
      </c>
      <c r="D26" s="8" t="s">
        <v>183</v>
      </c>
      <c r="E26" s="30" t="s">
        <v>184</v>
      </c>
      <c r="F26" s="8"/>
      <c r="G26" s="8" t="s">
        <v>52</v>
      </c>
      <c r="H26" s="10"/>
      <c r="I26" s="10"/>
      <c r="J26" s="7"/>
      <c r="K26" s="11">
        <v>44712</v>
      </c>
      <c r="L26" s="11">
        <v>44712</v>
      </c>
      <c r="M26" s="17" t="s">
        <v>55</v>
      </c>
      <c r="N26" s="17" t="s">
        <v>55</v>
      </c>
      <c r="O26" s="17" t="s">
        <v>55</v>
      </c>
      <c r="P26" s="9" t="s">
        <v>182</v>
      </c>
      <c r="Q26" s="24" t="s">
        <v>185</v>
      </c>
    </row>
    <row r="27" spans="1:17">
      <c r="A27" s="7">
        <v>26</v>
      </c>
      <c r="B27" s="8" t="s">
        <v>186</v>
      </c>
      <c r="C27" s="33" t="s">
        <v>182</v>
      </c>
      <c r="D27" s="8" t="s">
        <v>187</v>
      </c>
      <c r="E27" s="30" t="s">
        <v>184</v>
      </c>
      <c r="F27" s="8"/>
      <c r="G27" s="8" t="s">
        <v>52</v>
      </c>
      <c r="H27" s="10"/>
      <c r="I27" s="10"/>
      <c r="J27" s="7"/>
      <c r="K27" s="11">
        <v>44712</v>
      </c>
      <c r="L27" s="11">
        <v>44712</v>
      </c>
      <c r="M27" s="17" t="s">
        <v>55</v>
      </c>
      <c r="N27" s="17" t="s">
        <v>55</v>
      </c>
      <c r="O27" s="17" t="s">
        <v>55</v>
      </c>
      <c r="P27" s="9" t="s">
        <v>182</v>
      </c>
      <c r="Q27" s="31" t="s">
        <v>185</v>
      </c>
    </row>
    <row r="28" spans="1:17">
      <c r="A28" s="7">
        <v>27</v>
      </c>
      <c r="B28" s="8" t="s">
        <v>188</v>
      </c>
      <c r="C28" s="15" t="s">
        <v>189</v>
      </c>
      <c r="D28" s="8" t="s">
        <v>190</v>
      </c>
      <c r="E28" s="8" t="s">
        <v>191</v>
      </c>
      <c r="F28" s="8"/>
      <c r="G28" s="8" t="s">
        <v>22</v>
      </c>
      <c r="H28" s="10"/>
      <c r="I28" s="10"/>
      <c r="J28" s="7"/>
      <c r="K28" s="11">
        <v>44712</v>
      </c>
      <c r="L28" s="12">
        <v>45689</v>
      </c>
      <c r="M28" s="9" t="s">
        <v>192</v>
      </c>
      <c r="N28" s="9" t="s">
        <v>189</v>
      </c>
      <c r="O28" s="9" t="s">
        <v>193</v>
      </c>
      <c r="P28" s="9" t="s">
        <v>194</v>
      </c>
      <c r="Q28" s="14" t="s">
        <v>195</v>
      </c>
    </row>
    <row r="29" spans="1:17">
      <c r="A29" s="7">
        <v>28</v>
      </c>
      <c r="B29" s="8" t="s">
        <v>196</v>
      </c>
      <c r="C29" s="15" t="s">
        <v>197</v>
      </c>
      <c r="D29" s="8" t="s">
        <v>198</v>
      </c>
      <c r="E29" s="8" t="s">
        <v>199</v>
      </c>
      <c r="F29" s="8" t="s">
        <v>200</v>
      </c>
      <c r="G29" s="8" t="s">
        <v>22</v>
      </c>
      <c r="H29" s="10" t="s">
        <v>201</v>
      </c>
      <c r="I29" s="10" t="s">
        <v>202</v>
      </c>
      <c r="J29" s="7">
        <f t="shared" ref="J29:J30" si="1">0.5</f>
        <v>0.5</v>
      </c>
      <c r="K29" s="11">
        <v>44712</v>
      </c>
      <c r="L29" s="12">
        <v>45689</v>
      </c>
      <c r="M29" s="9" t="s">
        <v>203</v>
      </c>
      <c r="N29" s="13" t="s">
        <v>55</v>
      </c>
      <c r="O29" s="9" t="s">
        <v>204</v>
      </c>
      <c r="P29" s="9" t="s">
        <v>197</v>
      </c>
      <c r="Q29" s="14" t="s">
        <v>205</v>
      </c>
    </row>
    <row r="30" spans="1:17">
      <c r="A30" s="7">
        <v>29</v>
      </c>
      <c r="B30" s="8" t="s">
        <v>206</v>
      </c>
      <c r="C30" s="15" t="s">
        <v>207</v>
      </c>
      <c r="D30" s="8" t="s">
        <v>208</v>
      </c>
      <c r="E30" s="8" t="s">
        <v>209</v>
      </c>
      <c r="F30" s="8" t="s">
        <v>39</v>
      </c>
      <c r="G30" s="8" t="s">
        <v>22</v>
      </c>
      <c r="H30" s="10"/>
      <c r="I30" s="10"/>
      <c r="J30" s="7">
        <f t="shared" si="1"/>
        <v>0.5</v>
      </c>
      <c r="K30" s="11">
        <v>44712</v>
      </c>
      <c r="L30" s="12">
        <v>45923</v>
      </c>
      <c r="M30" s="9" t="s">
        <v>210</v>
      </c>
      <c r="N30" s="9" t="s">
        <v>207</v>
      </c>
      <c r="O30" s="9" t="s">
        <v>211</v>
      </c>
      <c r="P30" s="25" t="s">
        <v>212</v>
      </c>
      <c r="Q30" s="14" t="s">
        <v>213</v>
      </c>
    </row>
    <row r="31" spans="1:17">
      <c r="A31" s="7">
        <v>30</v>
      </c>
      <c r="B31" s="8" t="s">
        <v>214</v>
      </c>
      <c r="C31" s="19" t="s">
        <v>215</v>
      </c>
      <c r="D31" s="8" t="s">
        <v>216</v>
      </c>
      <c r="E31" s="30" t="s">
        <v>217</v>
      </c>
      <c r="F31" s="8"/>
      <c r="G31" s="8" t="s">
        <v>52</v>
      </c>
      <c r="H31" s="10"/>
      <c r="I31" s="10"/>
      <c r="J31" s="7"/>
      <c r="K31" s="11">
        <v>44712</v>
      </c>
      <c r="L31" s="11">
        <v>44712</v>
      </c>
      <c r="M31" s="17" t="s">
        <v>55</v>
      </c>
      <c r="N31" s="17" t="s">
        <v>55</v>
      </c>
      <c r="O31" s="17" t="s">
        <v>55</v>
      </c>
      <c r="P31" s="9" t="s">
        <v>215</v>
      </c>
      <c r="Q31" s="20"/>
    </row>
    <row r="32" spans="1:17">
      <c r="A32" s="7">
        <v>31</v>
      </c>
      <c r="B32" s="8" t="s">
        <v>218</v>
      </c>
      <c r="C32" s="15" t="s">
        <v>219</v>
      </c>
      <c r="D32" s="8" t="s">
        <v>220</v>
      </c>
      <c r="E32" s="8" t="s">
        <v>221</v>
      </c>
      <c r="F32" s="8" t="s">
        <v>222</v>
      </c>
      <c r="G32" s="8" t="s">
        <v>52</v>
      </c>
      <c r="H32" s="10"/>
      <c r="I32" s="10"/>
      <c r="J32" s="7">
        <f>0.5</f>
        <v>0.5</v>
      </c>
      <c r="K32" s="11">
        <v>44712</v>
      </c>
      <c r="L32" s="11">
        <v>45078</v>
      </c>
      <c r="M32" s="17" t="s">
        <v>55</v>
      </c>
      <c r="N32" s="17" t="s">
        <v>55</v>
      </c>
      <c r="O32" s="17" t="s">
        <v>55</v>
      </c>
      <c r="P32" s="9" t="s">
        <v>219</v>
      </c>
      <c r="Q32" s="14" t="s">
        <v>223</v>
      </c>
    </row>
    <row r="33" spans="1:17">
      <c r="A33" s="7">
        <v>32</v>
      </c>
      <c r="B33" s="8" t="s">
        <v>224</v>
      </c>
      <c r="C33" s="15" t="s">
        <v>225</v>
      </c>
      <c r="D33" s="8" t="s">
        <v>226</v>
      </c>
      <c r="E33" s="8" t="s">
        <v>227</v>
      </c>
      <c r="F33" s="8" t="s">
        <v>21</v>
      </c>
      <c r="G33" s="8" t="s">
        <v>52</v>
      </c>
      <c r="H33" s="10"/>
      <c r="I33" s="10"/>
      <c r="J33" s="8"/>
      <c r="K33" s="11">
        <v>44712</v>
      </c>
      <c r="L33" s="11">
        <v>44712</v>
      </c>
      <c r="M33" s="17" t="s">
        <v>55</v>
      </c>
      <c r="N33" s="17" t="s">
        <v>55</v>
      </c>
      <c r="O33" s="17" t="s">
        <v>55</v>
      </c>
      <c r="P33" s="13" t="s">
        <v>55</v>
      </c>
      <c r="Q33" s="24" t="s">
        <v>228</v>
      </c>
    </row>
    <row r="34" spans="1:17">
      <c r="A34" s="7">
        <v>33</v>
      </c>
      <c r="B34" s="8" t="s">
        <v>229</v>
      </c>
      <c r="C34" s="19" t="s">
        <v>230</v>
      </c>
      <c r="D34" s="8" t="s">
        <v>231</v>
      </c>
      <c r="E34" s="8" t="s">
        <v>232</v>
      </c>
      <c r="F34" s="8" t="s">
        <v>233</v>
      </c>
      <c r="G34" s="8" t="s">
        <v>52</v>
      </c>
      <c r="H34" s="10"/>
      <c r="I34" s="10"/>
      <c r="J34" s="8"/>
      <c r="K34" s="11">
        <v>44712</v>
      </c>
      <c r="L34" s="11">
        <v>44712</v>
      </c>
      <c r="M34" s="17" t="s">
        <v>55</v>
      </c>
      <c r="N34" s="17" t="s">
        <v>55</v>
      </c>
      <c r="O34" s="17" t="s">
        <v>55</v>
      </c>
      <c r="P34" s="9" t="s">
        <v>230</v>
      </c>
      <c r="Q34" s="20"/>
    </row>
    <row r="35" spans="1:17">
      <c r="A35" s="7">
        <v>34</v>
      </c>
      <c r="B35" s="8" t="s">
        <v>234</v>
      </c>
      <c r="C35" s="15" t="s">
        <v>235</v>
      </c>
      <c r="D35" s="8" t="s">
        <v>236</v>
      </c>
      <c r="E35" s="8" t="s">
        <v>237</v>
      </c>
      <c r="F35" s="8" t="s">
        <v>233</v>
      </c>
      <c r="G35" s="8" t="s">
        <v>22</v>
      </c>
      <c r="H35" s="10"/>
      <c r="I35" s="10"/>
      <c r="J35" s="8"/>
      <c r="K35" s="11">
        <v>44712</v>
      </c>
      <c r="L35" s="12">
        <v>45689</v>
      </c>
      <c r="M35" s="9" t="s">
        <v>238</v>
      </c>
      <c r="N35" s="25" t="s">
        <v>235</v>
      </c>
      <c r="O35" s="9" t="s">
        <v>239</v>
      </c>
      <c r="P35" s="9" t="s">
        <v>240</v>
      </c>
      <c r="Q35" s="14" t="s">
        <v>241</v>
      </c>
    </row>
    <row r="36" spans="1:17">
      <c r="A36" s="7">
        <v>35</v>
      </c>
      <c r="B36" s="8" t="s">
        <v>242</v>
      </c>
      <c r="C36" s="9" t="s">
        <v>243</v>
      </c>
      <c r="D36" s="8" t="s">
        <v>244</v>
      </c>
      <c r="E36" s="8" t="s">
        <v>245</v>
      </c>
      <c r="F36" s="8" t="s">
        <v>21</v>
      </c>
      <c r="G36" s="8" t="s">
        <v>22</v>
      </c>
      <c r="H36" s="10"/>
      <c r="I36" s="10"/>
      <c r="J36" s="8"/>
      <c r="K36" s="11">
        <v>44712</v>
      </c>
      <c r="L36" s="12">
        <v>45689</v>
      </c>
      <c r="M36" s="9" t="s">
        <v>246</v>
      </c>
      <c r="N36" s="9" t="s">
        <v>243</v>
      </c>
      <c r="O36" s="9" t="s">
        <v>247</v>
      </c>
      <c r="P36" s="9" t="s">
        <v>248</v>
      </c>
      <c r="Q36" s="14" t="s">
        <v>249</v>
      </c>
    </row>
    <row r="37" spans="1:17">
      <c r="A37" s="7">
        <v>36</v>
      </c>
      <c r="B37" s="8" t="s">
        <v>250</v>
      </c>
      <c r="C37" s="9" t="s">
        <v>251</v>
      </c>
      <c r="D37" s="8" t="s">
        <v>252</v>
      </c>
      <c r="E37" s="16" t="s">
        <v>253</v>
      </c>
      <c r="F37" s="8" t="s">
        <v>254</v>
      </c>
      <c r="G37" s="16" t="s">
        <v>52</v>
      </c>
      <c r="H37" s="10"/>
      <c r="I37" s="10"/>
      <c r="J37" s="8"/>
      <c r="K37" s="11">
        <v>44712</v>
      </c>
      <c r="L37" s="12">
        <v>45689</v>
      </c>
      <c r="M37" s="9" t="s">
        <v>255</v>
      </c>
      <c r="N37" s="9" t="s">
        <v>251</v>
      </c>
      <c r="O37" s="9" t="s">
        <v>256</v>
      </c>
      <c r="P37" s="9" t="s">
        <v>257</v>
      </c>
      <c r="Q37" s="14" t="s">
        <v>258</v>
      </c>
    </row>
    <row r="38" spans="1:17">
      <c r="A38" s="7">
        <v>37</v>
      </c>
      <c r="B38" s="8" t="s">
        <v>259</v>
      </c>
      <c r="C38" s="15" t="s">
        <v>260</v>
      </c>
      <c r="D38" s="8" t="s">
        <v>261</v>
      </c>
      <c r="E38" s="8" t="s">
        <v>262</v>
      </c>
      <c r="F38" s="8" t="s">
        <v>263</v>
      </c>
      <c r="G38" s="8" t="s">
        <v>22</v>
      </c>
      <c r="H38" s="10"/>
      <c r="I38" s="10"/>
      <c r="J38" s="8"/>
      <c r="K38" s="11">
        <v>44712</v>
      </c>
      <c r="L38" s="12">
        <v>46130</v>
      </c>
      <c r="M38" s="17" t="s">
        <v>55</v>
      </c>
      <c r="N38" s="9" t="s">
        <v>260</v>
      </c>
      <c r="O38" s="17" t="s">
        <v>55</v>
      </c>
      <c r="P38" s="9" t="s">
        <v>264</v>
      </c>
      <c r="Q38" s="14" t="s">
        <v>265</v>
      </c>
    </row>
    <row r="39" spans="1:17">
      <c r="A39" s="7">
        <v>38</v>
      </c>
      <c r="B39" s="8" t="s">
        <v>266</v>
      </c>
      <c r="C39" s="19" t="s">
        <v>267</v>
      </c>
      <c r="D39" s="8" t="s">
        <v>268</v>
      </c>
      <c r="E39" s="30" t="s">
        <v>269</v>
      </c>
      <c r="F39" s="8"/>
      <c r="G39" s="8" t="s">
        <v>52</v>
      </c>
      <c r="H39" s="10"/>
      <c r="I39" s="10"/>
      <c r="J39" s="8"/>
      <c r="K39" s="11">
        <v>44712</v>
      </c>
      <c r="L39" s="11">
        <v>45078</v>
      </c>
      <c r="M39" s="17" t="s">
        <v>55</v>
      </c>
      <c r="N39" s="17" t="s">
        <v>55</v>
      </c>
      <c r="O39" s="17" t="s">
        <v>55</v>
      </c>
      <c r="P39" s="9" t="s">
        <v>270</v>
      </c>
      <c r="Q39" s="31" t="s">
        <v>271</v>
      </c>
    </row>
    <row r="40" spans="1:17">
      <c r="A40" s="7">
        <v>39</v>
      </c>
      <c r="B40" s="8" t="s">
        <v>272</v>
      </c>
      <c r="C40" s="15" t="s">
        <v>273</v>
      </c>
      <c r="D40" s="8" t="s">
        <v>274</v>
      </c>
      <c r="E40" s="30" t="s">
        <v>275</v>
      </c>
      <c r="F40" s="8"/>
      <c r="G40" s="8" t="s">
        <v>22</v>
      </c>
      <c r="H40" s="10"/>
      <c r="I40" s="10"/>
      <c r="J40" s="8"/>
      <c r="K40" s="11">
        <v>44712</v>
      </c>
      <c r="L40" s="12">
        <v>46130</v>
      </c>
      <c r="M40" s="17" t="s">
        <v>25</v>
      </c>
      <c r="N40" s="9" t="s">
        <v>273</v>
      </c>
      <c r="O40" s="17" t="s">
        <v>25</v>
      </c>
      <c r="P40" s="9" t="s">
        <v>276</v>
      </c>
      <c r="Q40" s="14" t="s">
        <v>277</v>
      </c>
    </row>
    <row r="41" spans="1:17">
      <c r="A41" s="7">
        <v>40</v>
      </c>
      <c r="B41" s="8" t="s">
        <v>278</v>
      </c>
      <c r="C41" s="9" t="s">
        <v>279</v>
      </c>
      <c r="D41" s="8" t="s">
        <v>280</v>
      </c>
      <c r="E41" s="30" t="s">
        <v>281</v>
      </c>
      <c r="F41" s="8"/>
      <c r="G41" s="8" t="s">
        <v>22</v>
      </c>
      <c r="H41" s="10"/>
      <c r="I41" s="10"/>
      <c r="J41" s="8"/>
      <c r="K41" s="11">
        <v>44712</v>
      </c>
      <c r="L41" s="12">
        <v>45689</v>
      </c>
      <c r="M41" s="9" t="s">
        <v>282</v>
      </c>
      <c r="N41" s="9" t="s">
        <v>279</v>
      </c>
      <c r="O41" s="9" t="s">
        <v>283</v>
      </c>
      <c r="P41" s="9" t="s">
        <v>284</v>
      </c>
      <c r="Q41" s="14" t="s">
        <v>285</v>
      </c>
    </row>
    <row r="42" spans="1:17">
      <c r="A42" s="7">
        <v>41</v>
      </c>
      <c r="B42" s="8" t="s">
        <v>286</v>
      </c>
      <c r="C42" s="9" t="s">
        <v>287</v>
      </c>
      <c r="D42" s="8" t="s">
        <v>288</v>
      </c>
      <c r="E42" s="30" t="s">
        <v>289</v>
      </c>
      <c r="F42" s="8"/>
      <c r="G42" s="8" t="s">
        <v>22</v>
      </c>
      <c r="H42" s="10"/>
      <c r="I42" s="10"/>
      <c r="J42" s="8"/>
      <c r="K42" s="11">
        <v>44712</v>
      </c>
      <c r="L42" s="12">
        <v>45818</v>
      </c>
      <c r="M42" s="9" t="s">
        <v>290</v>
      </c>
      <c r="N42" s="9" t="s">
        <v>287</v>
      </c>
      <c r="O42" s="9" t="s">
        <v>291</v>
      </c>
      <c r="P42" s="9" t="s">
        <v>292</v>
      </c>
      <c r="Q42" s="14" t="s">
        <v>293</v>
      </c>
    </row>
    <row r="43" spans="1:17">
      <c r="A43" s="7">
        <v>42</v>
      </c>
      <c r="B43" s="8" t="s">
        <v>294</v>
      </c>
      <c r="C43" s="9" t="s">
        <v>295</v>
      </c>
      <c r="D43" s="8" t="s">
        <v>296</v>
      </c>
      <c r="E43" s="8" t="s">
        <v>297</v>
      </c>
      <c r="F43" s="8" t="s">
        <v>21</v>
      </c>
      <c r="G43" s="8" t="s">
        <v>22</v>
      </c>
      <c r="H43" s="10"/>
      <c r="I43" s="10"/>
      <c r="J43" s="8"/>
      <c r="K43" s="11">
        <v>44712</v>
      </c>
      <c r="L43" s="12">
        <v>45689</v>
      </c>
      <c r="M43" s="9" t="s">
        <v>298</v>
      </c>
      <c r="N43" s="17" t="s">
        <v>55</v>
      </c>
      <c r="O43" s="9" t="s">
        <v>299</v>
      </c>
      <c r="P43" s="9" t="s">
        <v>295</v>
      </c>
      <c r="Q43" s="14" t="s">
        <v>300</v>
      </c>
    </row>
    <row r="44" spans="1:17">
      <c r="A44" s="7">
        <v>43</v>
      </c>
      <c r="B44" s="8" t="s">
        <v>301</v>
      </c>
      <c r="C44" s="27" t="s">
        <v>302</v>
      </c>
      <c r="D44" s="8" t="s">
        <v>303</v>
      </c>
      <c r="E44" s="30" t="s">
        <v>304</v>
      </c>
      <c r="F44" s="8" t="s">
        <v>305</v>
      </c>
      <c r="G44" s="8" t="s">
        <v>52</v>
      </c>
      <c r="H44" s="10"/>
      <c r="I44" s="10"/>
      <c r="J44" s="8"/>
      <c r="K44" s="11">
        <v>44712</v>
      </c>
      <c r="L44" s="12">
        <v>46053</v>
      </c>
      <c r="M44" s="17" t="s">
        <v>25</v>
      </c>
      <c r="N44" s="17" t="s">
        <v>55</v>
      </c>
      <c r="O44" s="17" t="s">
        <v>25</v>
      </c>
      <c r="P44" s="25" t="s">
        <v>302</v>
      </c>
      <c r="Q44" s="14" t="s">
        <v>306</v>
      </c>
    </row>
    <row r="45" spans="1:17">
      <c r="A45" s="7">
        <v>44</v>
      </c>
      <c r="B45" s="8" t="s">
        <v>307</v>
      </c>
      <c r="C45" s="27" t="s">
        <v>308</v>
      </c>
      <c r="D45" s="8" t="s">
        <v>309</v>
      </c>
      <c r="E45" s="30" t="s">
        <v>297</v>
      </c>
      <c r="F45" s="8" t="s">
        <v>222</v>
      </c>
      <c r="G45" s="16" t="s">
        <v>22</v>
      </c>
      <c r="H45" s="10"/>
      <c r="I45" s="10"/>
      <c r="J45" s="8"/>
      <c r="K45" s="11">
        <v>44712</v>
      </c>
      <c r="L45" s="11">
        <v>44750</v>
      </c>
      <c r="M45" s="17" t="s">
        <v>55</v>
      </c>
      <c r="N45" s="17" t="s">
        <v>55</v>
      </c>
      <c r="O45" s="17" t="s">
        <v>55</v>
      </c>
      <c r="P45" s="34" t="s">
        <v>308</v>
      </c>
      <c r="Q45" s="35" t="s">
        <v>308</v>
      </c>
    </row>
    <row r="46" spans="1:17">
      <c r="A46" s="7">
        <v>45</v>
      </c>
      <c r="B46" s="8" t="s">
        <v>310</v>
      </c>
      <c r="C46" s="9" t="s">
        <v>311</v>
      </c>
      <c r="D46" s="8" t="s">
        <v>312</v>
      </c>
      <c r="E46" s="30" t="s">
        <v>313</v>
      </c>
      <c r="F46" s="8" t="s">
        <v>21</v>
      </c>
      <c r="G46" s="8" t="s">
        <v>22</v>
      </c>
      <c r="H46" s="10"/>
      <c r="I46" s="10"/>
      <c r="J46" s="8"/>
      <c r="K46" s="11">
        <v>44712</v>
      </c>
      <c r="L46" s="12">
        <v>45689</v>
      </c>
      <c r="M46" s="9" t="s">
        <v>314</v>
      </c>
      <c r="N46" s="17" t="s">
        <v>55</v>
      </c>
      <c r="O46" s="9" t="s">
        <v>315</v>
      </c>
      <c r="P46" s="9" t="s">
        <v>311</v>
      </c>
      <c r="Q46" s="14" t="s">
        <v>316</v>
      </c>
    </row>
    <row r="47" spans="1:17">
      <c r="A47" s="7">
        <v>46</v>
      </c>
      <c r="B47" s="8" t="s">
        <v>317</v>
      </c>
      <c r="C47" s="9" t="s">
        <v>318</v>
      </c>
      <c r="D47" s="8" t="s">
        <v>319</v>
      </c>
      <c r="E47" s="30" t="s">
        <v>320</v>
      </c>
      <c r="F47" s="8"/>
      <c r="G47" s="8" t="s">
        <v>22</v>
      </c>
      <c r="H47" s="28" t="s">
        <v>321</v>
      </c>
      <c r="I47" s="28" t="s">
        <v>322</v>
      </c>
      <c r="J47" s="8"/>
      <c r="K47" s="11">
        <v>44712</v>
      </c>
      <c r="L47" s="12">
        <v>45830</v>
      </c>
      <c r="M47" s="9" t="s">
        <v>323</v>
      </c>
      <c r="N47" s="9" t="s">
        <v>318</v>
      </c>
      <c r="O47" s="9" t="s">
        <v>324</v>
      </c>
      <c r="P47" s="9" t="s">
        <v>325</v>
      </c>
      <c r="Q47" s="14" t="s">
        <v>326</v>
      </c>
    </row>
    <row r="48" spans="1:17">
      <c r="A48" s="7">
        <v>47</v>
      </c>
      <c r="B48" s="8" t="s">
        <v>327</v>
      </c>
      <c r="C48" s="27" t="s">
        <v>328</v>
      </c>
      <c r="D48" s="8" t="s">
        <v>329</v>
      </c>
      <c r="E48" s="30" t="s">
        <v>330</v>
      </c>
      <c r="F48" s="8"/>
      <c r="G48" s="16" t="s">
        <v>52</v>
      </c>
      <c r="H48" s="10"/>
      <c r="I48" s="10"/>
      <c r="J48" s="8"/>
      <c r="K48" s="11">
        <v>44712</v>
      </c>
      <c r="L48" s="12">
        <v>45715</v>
      </c>
      <c r="M48" s="17" t="s">
        <v>55</v>
      </c>
      <c r="N48" s="17" t="s">
        <v>55</v>
      </c>
      <c r="O48" s="17" t="s">
        <v>55</v>
      </c>
      <c r="P48" s="9" t="s">
        <v>328</v>
      </c>
      <c r="Q48" s="14" t="s">
        <v>331</v>
      </c>
    </row>
    <row r="49" spans="1:17">
      <c r="A49" s="7">
        <v>48</v>
      </c>
      <c r="B49" s="8" t="s">
        <v>332</v>
      </c>
      <c r="C49" s="9" t="s">
        <v>333</v>
      </c>
      <c r="D49" s="8" t="s">
        <v>334</v>
      </c>
      <c r="E49" s="16" t="s">
        <v>335</v>
      </c>
      <c r="F49" s="8" t="s">
        <v>21</v>
      </c>
      <c r="G49" s="8" t="s">
        <v>22</v>
      </c>
      <c r="H49" s="10" t="s">
        <v>336</v>
      </c>
      <c r="I49" s="10" t="s">
        <v>337</v>
      </c>
      <c r="J49" s="8"/>
      <c r="K49" s="11">
        <v>44712</v>
      </c>
      <c r="L49" s="12">
        <v>45689</v>
      </c>
      <c r="M49" s="9" t="s">
        <v>338</v>
      </c>
      <c r="N49" s="17" t="s">
        <v>55</v>
      </c>
      <c r="O49" s="9" t="s">
        <v>339</v>
      </c>
      <c r="P49" s="9" t="s">
        <v>333</v>
      </c>
      <c r="Q49" s="14" t="s">
        <v>340</v>
      </c>
    </row>
    <row r="50" spans="1:17">
      <c r="A50" s="7">
        <v>49</v>
      </c>
      <c r="B50" s="8" t="s">
        <v>341</v>
      </c>
      <c r="C50" s="9" t="s">
        <v>342</v>
      </c>
      <c r="D50" s="16" t="s">
        <v>343</v>
      </c>
      <c r="E50" s="29" t="s">
        <v>344</v>
      </c>
      <c r="F50" s="8" t="s">
        <v>21</v>
      </c>
      <c r="G50" s="8" t="s">
        <v>52</v>
      </c>
      <c r="H50" s="10" t="s">
        <v>345</v>
      </c>
      <c r="I50" s="10" t="s">
        <v>346</v>
      </c>
      <c r="J50" s="7">
        <f>0.5</f>
        <v>0.5</v>
      </c>
      <c r="K50" s="11">
        <v>44712</v>
      </c>
      <c r="L50" s="12">
        <v>45689</v>
      </c>
      <c r="M50" s="9" t="s">
        <v>347</v>
      </c>
      <c r="N50" s="17" t="s">
        <v>55</v>
      </c>
      <c r="O50" s="9" t="s">
        <v>348</v>
      </c>
      <c r="P50" s="9" t="s">
        <v>342</v>
      </c>
      <c r="Q50" s="14" t="s">
        <v>349</v>
      </c>
    </row>
    <row r="51" spans="1:17">
      <c r="A51" s="7">
        <v>50</v>
      </c>
      <c r="B51" s="8" t="s">
        <v>350</v>
      </c>
      <c r="C51" s="9" t="s">
        <v>351</v>
      </c>
      <c r="D51" s="8" t="s">
        <v>352</v>
      </c>
      <c r="E51" s="30" t="s">
        <v>353</v>
      </c>
      <c r="F51" s="8" t="s">
        <v>129</v>
      </c>
      <c r="G51" s="8" t="s">
        <v>22</v>
      </c>
      <c r="H51" s="10" t="s">
        <v>354</v>
      </c>
      <c r="I51" s="10" t="s">
        <v>355</v>
      </c>
      <c r="J51" s="8"/>
      <c r="K51" s="11">
        <v>44712</v>
      </c>
      <c r="L51" s="12">
        <v>45689</v>
      </c>
      <c r="M51" s="9" t="s">
        <v>356</v>
      </c>
      <c r="N51" s="9" t="s">
        <v>351</v>
      </c>
      <c r="O51" s="9" t="s">
        <v>357</v>
      </c>
      <c r="P51" s="9" t="s">
        <v>358</v>
      </c>
      <c r="Q51" s="14" t="s">
        <v>359</v>
      </c>
    </row>
    <row r="52" spans="1:17">
      <c r="A52" s="7">
        <v>51</v>
      </c>
      <c r="B52" s="8" t="s">
        <v>360</v>
      </c>
      <c r="C52" s="9" t="s">
        <v>361</v>
      </c>
      <c r="D52" s="8" t="s">
        <v>362</v>
      </c>
      <c r="E52" s="30" t="s">
        <v>363</v>
      </c>
      <c r="F52" s="16" t="s">
        <v>21</v>
      </c>
      <c r="G52" s="8" t="s">
        <v>22</v>
      </c>
      <c r="H52" s="10"/>
      <c r="I52" s="10"/>
      <c r="J52" s="8"/>
      <c r="K52" s="11">
        <v>44712</v>
      </c>
      <c r="L52" s="12">
        <v>45689</v>
      </c>
      <c r="M52" s="9" t="s">
        <v>364</v>
      </c>
      <c r="N52" s="17" t="s">
        <v>55</v>
      </c>
      <c r="O52" s="9" t="s">
        <v>365</v>
      </c>
      <c r="P52" s="9" t="s">
        <v>361</v>
      </c>
      <c r="Q52" s="14" t="s">
        <v>366</v>
      </c>
    </row>
    <row r="53" spans="1:17">
      <c r="A53" s="7">
        <v>52</v>
      </c>
      <c r="B53" s="8" t="s">
        <v>367</v>
      </c>
      <c r="C53" s="9" t="s">
        <v>368</v>
      </c>
      <c r="D53" s="8" t="s">
        <v>369</v>
      </c>
      <c r="E53" s="30" t="s">
        <v>370</v>
      </c>
      <c r="F53" s="16" t="s">
        <v>371</v>
      </c>
      <c r="G53" s="8" t="s">
        <v>22</v>
      </c>
      <c r="H53" s="10"/>
      <c r="I53" s="10"/>
      <c r="J53" s="8"/>
      <c r="K53" s="11">
        <v>44712</v>
      </c>
      <c r="L53" s="12">
        <v>45689</v>
      </c>
      <c r="M53" s="9" t="s">
        <v>372</v>
      </c>
      <c r="N53" s="9" t="s">
        <v>368</v>
      </c>
      <c r="O53" s="9" t="s">
        <v>373</v>
      </c>
      <c r="P53" s="9" t="s">
        <v>374</v>
      </c>
      <c r="Q53" s="14" t="s">
        <v>375</v>
      </c>
    </row>
    <row r="54" spans="1:17">
      <c r="A54" s="7">
        <v>53</v>
      </c>
      <c r="B54" s="8" t="s">
        <v>376</v>
      </c>
      <c r="C54" s="15" t="s">
        <v>377</v>
      </c>
      <c r="D54" s="8" t="s">
        <v>378</v>
      </c>
      <c r="E54" s="30" t="s">
        <v>379</v>
      </c>
      <c r="F54" s="8"/>
      <c r="G54" s="16" t="s">
        <v>52</v>
      </c>
      <c r="H54" s="10"/>
      <c r="I54" s="10"/>
      <c r="J54" s="8"/>
      <c r="K54" s="11">
        <v>44712</v>
      </c>
      <c r="L54" s="12">
        <v>45715</v>
      </c>
      <c r="M54" s="17" t="s">
        <v>55</v>
      </c>
      <c r="N54" s="17" t="s">
        <v>55</v>
      </c>
      <c r="O54" s="17" t="s">
        <v>55</v>
      </c>
      <c r="P54" s="9" t="s">
        <v>377</v>
      </c>
      <c r="Q54" s="14" t="s">
        <v>380</v>
      </c>
    </row>
    <row r="55" spans="1:17">
      <c r="A55" s="7">
        <v>54</v>
      </c>
      <c r="B55" s="8" t="s">
        <v>381</v>
      </c>
      <c r="C55" s="9" t="s">
        <v>382</v>
      </c>
      <c r="D55" s="8" t="s">
        <v>383</v>
      </c>
      <c r="E55" s="8" t="s">
        <v>384</v>
      </c>
      <c r="F55" s="8" t="s">
        <v>385</v>
      </c>
      <c r="G55" s="8" t="s">
        <v>22</v>
      </c>
      <c r="H55" s="10"/>
      <c r="I55" s="10"/>
      <c r="J55" s="8"/>
      <c r="K55" s="11">
        <v>44712</v>
      </c>
      <c r="L55" s="12">
        <v>45689</v>
      </c>
      <c r="M55" s="9" t="s">
        <v>386</v>
      </c>
      <c r="N55" s="17" t="s">
        <v>55</v>
      </c>
      <c r="O55" s="9" t="s">
        <v>387</v>
      </c>
      <c r="P55" s="9" t="s">
        <v>382</v>
      </c>
      <c r="Q55" s="14" t="s">
        <v>388</v>
      </c>
    </row>
    <row r="56" spans="1:17">
      <c r="A56" s="7">
        <v>55</v>
      </c>
      <c r="B56" s="8" t="s">
        <v>389</v>
      </c>
      <c r="C56" s="19" t="s">
        <v>390</v>
      </c>
      <c r="D56" s="8" t="s">
        <v>391</v>
      </c>
      <c r="E56" s="30" t="s">
        <v>392</v>
      </c>
      <c r="F56" s="8"/>
      <c r="G56" s="8" t="s">
        <v>22</v>
      </c>
      <c r="H56" s="10"/>
      <c r="I56" s="10"/>
      <c r="J56" s="8"/>
      <c r="K56" s="11">
        <v>44712</v>
      </c>
      <c r="L56" s="11">
        <v>44944</v>
      </c>
      <c r="M56" s="17" t="s">
        <v>55</v>
      </c>
      <c r="N56" s="17" t="s">
        <v>55</v>
      </c>
      <c r="O56" s="17" t="s">
        <v>55</v>
      </c>
      <c r="P56" s="9" t="s">
        <v>390</v>
      </c>
      <c r="Q56" s="31" t="s">
        <v>393</v>
      </c>
    </row>
    <row r="57" spans="1:17">
      <c r="A57" s="7">
        <v>56</v>
      </c>
      <c r="B57" s="8" t="s">
        <v>394</v>
      </c>
      <c r="C57" s="15" t="s">
        <v>395</v>
      </c>
      <c r="D57" s="8" t="s">
        <v>396</v>
      </c>
      <c r="E57" s="30" t="s">
        <v>397</v>
      </c>
      <c r="F57" s="8"/>
      <c r="G57" s="8" t="s">
        <v>22</v>
      </c>
      <c r="H57" s="10"/>
      <c r="I57" s="10"/>
      <c r="J57" s="8"/>
      <c r="K57" s="11">
        <v>44712</v>
      </c>
      <c r="L57" s="12">
        <v>45988</v>
      </c>
      <c r="M57" s="17" t="s">
        <v>55</v>
      </c>
      <c r="N57" s="17" t="s">
        <v>55</v>
      </c>
      <c r="O57" s="17" t="s">
        <v>55</v>
      </c>
      <c r="P57" s="9" t="s">
        <v>395</v>
      </c>
      <c r="Q57" s="14" t="s">
        <v>398</v>
      </c>
    </row>
    <row r="58" spans="1:17">
      <c r="A58" s="7">
        <v>57</v>
      </c>
      <c r="B58" s="8" t="s">
        <v>399</v>
      </c>
      <c r="C58" s="15" t="s">
        <v>400</v>
      </c>
      <c r="D58" s="8" t="s">
        <v>401</v>
      </c>
      <c r="E58" s="30" t="s">
        <v>402</v>
      </c>
      <c r="F58" s="8"/>
      <c r="G58" s="8" t="s">
        <v>22</v>
      </c>
      <c r="H58" s="10"/>
      <c r="I58" s="10"/>
      <c r="J58" s="8"/>
      <c r="K58" s="11">
        <v>44712</v>
      </c>
      <c r="L58" s="12">
        <v>45715</v>
      </c>
      <c r="M58" s="17" t="s">
        <v>55</v>
      </c>
      <c r="N58" s="17" t="s">
        <v>55</v>
      </c>
      <c r="O58" s="17" t="s">
        <v>55</v>
      </c>
      <c r="P58" s="9" t="s">
        <v>400</v>
      </c>
      <c r="Q58" s="14" t="s">
        <v>403</v>
      </c>
    </row>
    <row r="59" spans="1:17">
      <c r="A59" s="7">
        <v>58</v>
      </c>
      <c r="B59" s="8" t="s">
        <v>404</v>
      </c>
      <c r="C59" s="15" t="s">
        <v>405</v>
      </c>
      <c r="D59" s="8" t="s">
        <v>406</v>
      </c>
      <c r="E59" s="30" t="s">
        <v>407</v>
      </c>
      <c r="F59" s="8"/>
      <c r="G59" s="8" t="s">
        <v>22</v>
      </c>
      <c r="H59" s="28" t="s">
        <v>408</v>
      </c>
      <c r="I59" s="28" t="s">
        <v>409</v>
      </c>
      <c r="J59" s="8"/>
      <c r="K59" s="11">
        <v>44712</v>
      </c>
      <c r="L59" s="12">
        <v>45689</v>
      </c>
      <c r="M59" s="9" t="s">
        <v>410</v>
      </c>
      <c r="N59" s="9" t="s">
        <v>405</v>
      </c>
      <c r="O59" s="33" t="s">
        <v>411</v>
      </c>
      <c r="P59" s="9" t="s">
        <v>412</v>
      </c>
      <c r="Q59" s="14" t="s">
        <v>413</v>
      </c>
    </row>
    <row r="60" spans="1:17">
      <c r="A60" s="7">
        <v>59</v>
      </c>
      <c r="B60" s="8" t="s">
        <v>414</v>
      </c>
      <c r="C60" s="15" t="s">
        <v>415</v>
      </c>
      <c r="D60" s="8" t="s">
        <v>416</v>
      </c>
      <c r="E60" s="30" t="s">
        <v>417</v>
      </c>
      <c r="F60" s="8"/>
      <c r="G60" s="8" t="s">
        <v>22</v>
      </c>
      <c r="H60" s="10"/>
      <c r="I60" s="10"/>
      <c r="J60" s="8"/>
      <c r="K60" s="11">
        <v>44712</v>
      </c>
      <c r="L60" s="12">
        <v>46188</v>
      </c>
      <c r="M60" s="17" t="s">
        <v>55</v>
      </c>
      <c r="N60" s="17" t="s">
        <v>55</v>
      </c>
      <c r="O60" s="17" t="s">
        <v>55</v>
      </c>
      <c r="P60" s="9" t="s">
        <v>415</v>
      </c>
      <c r="Q60" s="14" t="s">
        <v>418</v>
      </c>
    </row>
    <row r="61" spans="1:17">
      <c r="A61" s="7">
        <v>60</v>
      </c>
      <c r="B61" s="8" t="s">
        <v>419</v>
      </c>
      <c r="C61" s="15" t="s">
        <v>420</v>
      </c>
      <c r="D61" s="8" t="s">
        <v>421</v>
      </c>
      <c r="E61" s="30" t="s">
        <v>422</v>
      </c>
      <c r="F61" s="8"/>
      <c r="G61" s="16" t="s">
        <v>52</v>
      </c>
      <c r="H61" s="10"/>
      <c r="I61" s="10"/>
      <c r="J61" s="8"/>
      <c r="K61" s="11">
        <v>44712</v>
      </c>
      <c r="L61" s="11">
        <v>44748</v>
      </c>
      <c r="M61" s="17" t="s">
        <v>55</v>
      </c>
      <c r="N61" s="17" t="s">
        <v>55</v>
      </c>
      <c r="O61" s="17" t="s">
        <v>55</v>
      </c>
      <c r="P61" s="9" t="s">
        <v>420</v>
      </c>
      <c r="Q61" s="24" t="s">
        <v>423</v>
      </c>
    </row>
    <row r="62" spans="1:17">
      <c r="A62" s="7">
        <v>61</v>
      </c>
      <c r="B62" s="8" t="s">
        <v>424</v>
      </c>
      <c r="C62" s="15" t="s">
        <v>425</v>
      </c>
      <c r="D62" s="8" t="s">
        <v>426</v>
      </c>
      <c r="E62" s="8" t="s">
        <v>427</v>
      </c>
      <c r="F62" s="8"/>
      <c r="G62" s="16" t="s">
        <v>52</v>
      </c>
      <c r="H62" s="10"/>
      <c r="I62" s="10"/>
      <c r="J62" s="8"/>
      <c r="K62" s="11">
        <v>44712</v>
      </c>
      <c r="L62" s="11">
        <v>44787</v>
      </c>
      <c r="M62" s="17" t="s">
        <v>55</v>
      </c>
      <c r="N62" s="17" t="s">
        <v>55</v>
      </c>
      <c r="O62" s="17" t="s">
        <v>55</v>
      </c>
      <c r="P62" s="9" t="s">
        <v>425</v>
      </c>
      <c r="Q62" s="14" t="s">
        <v>428</v>
      </c>
    </row>
    <row r="63" spans="1:17">
      <c r="A63" s="7">
        <v>62</v>
      </c>
      <c r="B63" s="8" t="s">
        <v>429</v>
      </c>
      <c r="C63" s="9" t="s">
        <v>430</v>
      </c>
      <c r="D63" s="8" t="s">
        <v>431</v>
      </c>
      <c r="E63" s="16" t="s">
        <v>432</v>
      </c>
      <c r="F63" s="8" t="s">
        <v>21</v>
      </c>
      <c r="G63" s="8" t="s">
        <v>22</v>
      </c>
      <c r="H63" s="10"/>
      <c r="I63" s="10"/>
      <c r="J63" s="8"/>
      <c r="K63" s="11">
        <v>44712</v>
      </c>
      <c r="L63" s="12">
        <v>45689</v>
      </c>
      <c r="M63" s="9" t="s">
        <v>433</v>
      </c>
      <c r="N63" s="17" t="s">
        <v>55</v>
      </c>
      <c r="O63" s="25" t="s">
        <v>434</v>
      </c>
      <c r="P63" s="9" t="s">
        <v>430</v>
      </c>
      <c r="Q63" s="36" t="s">
        <v>435</v>
      </c>
    </row>
    <row r="64" spans="1:17">
      <c r="A64" s="7">
        <v>63</v>
      </c>
      <c r="B64" s="8" t="s">
        <v>436</v>
      </c>
      <c r="C64" s="19" t="s">
        <v>437</v>
      </c>
      <c r="D64" s="8" t="s">
        <v>438</v>
      </c>
      <c r="E64" s="30" t="s">
        <v>439</v>
      </c>
      <c r="F64" s="8" t="s">
        <v>305</v>
      </c>
      <c r="G64" s="8" t="s">
        <v>52</v>
      </c>
      <c r="H64" s="10"/>
      <c r="I64" s="10"/>
      <c r="J64" s="8"/>
      <c r="K64" s="11">
        <v>44712</v>
      </c>
      <c r="L64" s="11">
        <v>44750</v>
      </c>
      <c r="M64" s="17" t="s">
        <v>55</v>
      </c>
      <c r="N64" s="17" t="s">
        <v>55</v>
      </c>
      <c r="O64" s="17" t="s">
        <v>55</v>
      </c>
      <c r="P64" s="9" t="s">
        <v>437</v>
      </c>
      <c r="Q64" s="20"/>
    </row>
    <row r="65" spans="1:17">
      <c r="A65" s="7">
        <v>64</v>
      </c>
      <c r="B65" s="8" t="s">
        <v>440</v>
      </c>
      <c r="C65" s="15" t="s">
        <v>441</v>
      </c>
      <c r="D65" s="8" t="s">
        <v>442</v>
      </c>
      <c r="E65" s="30" t="s">
        <v>443</v>
      </c>
      <c r="F65" s="8"/>
      <c r="G65" s="8" t="s">
        <v>22</v>
      </c>
      <c r="H65" s="28" t="s">
        <v>444</v>
      </c>
      <c r="I65" s="28" t="s">
        <v>445</v>
      </c>
      <c r="J65" s="8"/>
      <c r="K65" s="11">
        <v>44712</v>
      </c>
      <c r="L65" s="12">
        <v>45689</v>
      </c>
      <c r="M65" s="13" t="s">
        <v>25</v>
      </c>
      <c r="N65" s="9" t="s">
        <v>441</v>
      </c>
      <c r="O65" s="13" t="s">
        <v>25</v>
      </c>
      <c r="P65" s="9" t="s">
        <v>446</v>
      </c>
      <c r="Q65" s="14" t="s">
        <v>447</v>
      </c>
    </row>
    <row r="66" spans="1:17">
      <c r="A66" s="7">
        <v>65</v>
      </c>
      <c r="B66" s="8" t="s">
        <v>448</v>
      </c>
      <c r="C66" s="19" t="s">
        <v>449</v>
      </c>
      <c r="D66" s="8" t="s">
        <v>450</v>
      </c>
      <c r="E66" s="30" t="s">
        <v>443</v>
      </c>
      <c r="F66" s="8"/>
      <c r="G66" s="8" t="s">
        <v>22</v>
      </c>
      <c r="H66" s="28"/>
      <c r="I66" s="10"/>
      <c r="J66" s="8"/>
      <c r="K66" s="11">
        <v>44712</v>
      </c>
      <c r="L66" s="11">
        <v>44750</v>
      </c>
      <c r="M66" s="17" t="s">
        <v>55</v>
      </c>
      <c r="N66" s="17" t="s">
        <v>55</v>
      </c>
      <c r="O66" s="17" t="s">
        <v>55</v>
      </c>
      <c r="P66" s="9" t="s">
        <v>449</v>
      </c>
      <c r="Q66" s="24" t="s">
        <v>451</v>
      </c>
    </row>
    <row r="67" spans="1:17">
      <c r="A67" s="7">
        <v>66</v>
      </c>
      <c r="B67" s="8" t="s">
        <v>452</v>
      </c>
      <c r="C67" s="19" t="s">
        <v>453</v>
      </c>
      <c r="D67" s="8" t="s">
        <v>454</v>
      </c>
      <c r="E67" s="8" t="s">
        <v>455</v>
      </c>
      <c r="F67" s="8"/>
      <c r="G67" s="8" t="s">
        <v>52</v>
      </c>
      <c r="H67" s="10"/>
      <c r="I67" s="10"/>
      <c r="J67" s="8"/>
      <c r="K67" s="11">
        <v>44712</v>
      </c>
      <c r="L67" s="11">
        <v>45079</v>
      </c>
      <c r="M67" s="17" t="s">
        <v>55</v>
      </c>
      <c r="N67" s="17" t="s">
        <v>55</v>
      </c>
      <c r="O67" s="17" t="s">
        <v>55</v>
      </c>
      <c r="P67" s="9" t="s">
        <v>453</v>
      </c>
      <c r="Q67" s="31" t="s">
        <v>456</v>
      </c>
    </row>
    <row r="68" spans="1:17">
      <c r="A68" s="7">
        <v>67</v>
      </c>
      <c r="B68" s="8" t="s">
        <v>457</v>
      </c>
      <c r="C68" s="19" t="s">
        <v>453</v>
      </c>
      <c r="D68" s="8" t="s">
        <v>458</v>
      </c>
      <c r="E68" s="8" t="s">
        <v>455</v>
      </c>
      <c r="F68" s="8"/>
      <c r="G68" s="8" t="s">
        <v>52</v>
      </c>
      <c r="H68" s="10"/>
      <c r="I68" s="10"/>
      <c r="J68" s="8"/>
      <c r="K68" s="11">
        <v>44712</v>
      </c>
      <c r="L68" s="11">
        <v>45079</v>
      </c>
      <c r="M68" s="17" t="s">
        <v>55</v>
      </c>
      <c r="N68" s="17" t="s">
        <v>55</v>
      </c>
      <c r="O68" s="17" t="s">
        <v>55</v>
      </c>
      <c r="P68" s="9" t="s">
        <v>453</v>
      </c>
      <c r="Q68" s="31" t="s">
        <v>456</v>
      </c>
    </row>
    <row r="69" spans="1:17">
      <c r="A69" s="7">
        <v>68</v>
      </c>
      <c r="B69" s="8" t="s">
        <v>459</v>
      </c>
      <c r="C69" s="15" t="s">
        <v>460</v>
      </c>
      <c r="D69" s="8" t="s">
        <v>461</v>
      </c>
      <c r="E69" s="30" t="s">
        <v>462</v>
      </c>
      <c r="F69" s="8"/>
      <c r="G69" s="8" t="s">
        <v>22</v>
      </c>
      <c r="H69" s="10"/>
      <c r="I69" s="10"/>
      <c r="J69" s="8"/>
      <c r="K69" s="11">
        <v>44712</v>
      </c>
      <c r="L69" s="12">
        <v>45988</v>
      </c>
      <c r="M69" s="13" t="s">
        <v>25</v>
      </c>
      <c r="N69" s="9" t="s">
        <v>460</v>
      </c>
      <c r="O69" s="37" t="s">
        <v>25</v>
      </c>
      <c r="P69" s="9" t="s">
        <v>463</v>
      </c>
      <c r="Q69" s="14" t="s">
        <v>464</v>
      </c>
    </row>
    <row r="70" spans="1:17">
      <c r="A70" s="7">
        <v>69</v>
      </c>
      <c r="B70" s="8" t="s">
        <v>465</v>
      </c>
      <c r="C70" s="15" t="s">
        <v>460</v>
      </c>
      <c r="D70" s="8" t="s">
        <v>466</v>
      </c>
      <c r="E70" s="30" t="s">
        <v>462</v>
      </c>
      <c r="F70" s="8"/>
      <c r="G70" s="8" t="s">
        <v>22</v>
      </c>
      <c r="H70" s="10"/>
      <c r="I70" s="10"/>
      <c r="J70" s="8"/>
      <c r="K70" s="11">
        <v>44712</v>
      </c>
      <c r="L70" s="12">
        <v>45988</v>
      </c>
      <c r="M70" s="13" t="s">
        <v>25</v>
      </c>
      <c r="N70" s="9" t="s">
        <v>460</v>
      </c>
      <c r="O70" s="13" t="s">
        <v>25</v>
      </c>
      <c r="P70" s="9" t="s">
        <v>463</v>
      </c>
      <c r="Q70" s="14" t="s">
        <v>467</v>
      </c>
    </row>
    <row r="71" spans="1:17">
      <c r="A71" s="7">
        <v>70</v>
      </c>
      <c r="B71" s="8" t="s">
        <v>468</v>
      </c>
      <c r="C71" s="9" t="s">
        <v>469</v>
      </c>
      <c r="D71" s="8" t="s">
        <v>470</v>
      </c>
      <c r="E71" s="30" t="s">
        <v>471</v>
      </c>
      <c r="F71" s="8"/>
      <c r="G71" s="8" t="s">
        <v>22</v>
      </c>
      <c r="H71" s="10"/>
      <c r="I71" s="10"/>
      <c r="J71" s="8"/>
      <c r="K71" s="11">
        <v>44712</v>
      </c>
      <c r="L71" s="12">
        <v>45689</v>
      </c>
      <c r="M71" s="9" t="s">
        <v>472</v>
      </c>
      <c r="N71" s="9" t="s">
        <v>469</v>
      </c>
      <c r="O71" s="9" t="s">
        <v>473</v>
      </c>
      <c r="P71" s="9" t="s">
        <v>474</v>
      </c>
      <c r="Q71" s="14" t="s">
        <v>475</v>
      </c>
    </row>
    <row r="72" spans="1:17">
      <c r="A72" s="7">
        <v>71</v>
      </c>
      <c r="B72" s="8" t="s">
        <v>476</v>
      </c>
      <c r="C72" s="9" t="s">
        <v>477</v>
      </c>
      <c r="D72" s="8" t="s">
        <v>478</v>
      </c>
      <c r="E72" s="30" t="s">
        <v>479</v>
      </c>
      <c r="F72" s="8"/>
      <c r="G72" s="8" t="s">
        <v>22</v>
      </c>
      <c r="H72" s="10"/>
      <c r="I72" s="10"/>
      <c r="J72" s="8"/>
      <c r="K72" s="11">
        <v>44712</v>
      </c>
      <c r="L72" s="12">
        <v>45689</v>
      </c>
      <c r="M72" s="9" t="s">
        <v>480</v>
      </c>
      <c r="N72" s="9" t="s">
        <v>477</v>
      </c>
      <c r="O72" s="9" t="s">
        <v>481</v>
      </c>
      <c r="P72" s="9" t="s">
        <v>482</v>
      </c>
      <c r="Q72" s="14" t="s">
        <v>483</v>
      </c>
    </row>
    <row r="73" spans="1:17">
      <c r="A73" s="7">
        <v>72</v>
      </c>
      <c r="B73" s="8" t="s">
        <v>484</v>
      </c>
      <c r="C73" s="15" t="s">
        <v>485</v>
      </c>
      <c r="D73" s="8" t="s">
        <v>486</v>
      </c>
      <c r="E73" s="30" t="s">
        <v>487</v>
      </c>
      <c r="F73" s="8"/>
      <c r="G73" s="8" t="s">
        <v>22</v>
      </c>
      <c r="H73" s="10"/>
      <c r="I73" s="10"/>
      <c r="J73" s="8"/>
      <c r="K73" s="11">
        <v>44712</v>
      </c>
      <c r="L73" s="12">
        <v>45750</v>
      </c>
      <c r="M73" s="9" t="s">
        <v>488</v>
      </c>
      <c r="N73" s="17" t="s">
        <v>55</v>
      </c>
      <c r="O73" s="9" t="s">
        <v>489</v>
      </c>
      <c r="P73" s="9" t="s">
        <v>485</v>
      </c>
      <c r="Q73" s="14" t="s">
        <v>490</v>
      </c>
    </row>
    <row r="74" spans="1:17">
      <c r="A74" s="7">
        <v>73</v>
      </c>
      <c r="B74" s="8" t="s">
        <v>491</v>
      </c>
      <c r="C74" s="15" t="s">
        <v>492</v>
      </c>
      <c r="D74" s="29" t="s">
        <v>493</v>
      </c>
      <c r="E74" s="30" t="s">
        <v>494</v>
      </c>
      <c r="F74" s="8"/>
      <c r="G74" s="8" t="s">
        <v>22</v>
      </c>
      <c r="H74" s="28" t="s">
        <v>495</v>
      </c>
      <c r="I74" s="28" t="s">
        <v>496</v>
      </c>
      <c r="J74" s="8"/>
      <c r="K74" s="11">
        <v>44712</v>
      </c>
      <c r="L74" s="12">
        <v>45830</v>
      </c>
      <c r="M74" s="9" t="s">
        <v>497</v>
      </c>
      <c r="N74" s="9" t="s">
        <v>492</v>
      </c>
      <c r="O74" s="9" t="s">
        <v>498</v>
      </c>
      <c r="P74" s="9" t="s">
        <v>499</v>
      </c>
      <c r="Q74" s="14" t="s">
        <v>500</v>
      </c>
    </row>
    <row r="75" spans="1:17">
      <c r="A75" s="7">
        <v>74</v>
      </c>
      <c r="B75" s="8" t="s">
        <v>501</v>
      </c>
      <c r="C75" s="15" t="s">
        <v>502</v>
      </c>
      <c r="D75" s="8" t="s">
        <v>503</v>
      </c>
      <c r="E75" s="30" t="s">
        <v>504</v>
      </c>
      <c r="F75" s="8"/>
      <c r="G75" s="8" t="s">
        <v>22</v>
      </c>
      <c r="H75" s="10" t="s">
        <v>505</v>
      </c>
      <c r="I75" s="10" t="s">
        <v>506</v>
      </c>
      <c r="J75" s="8"/>
      <c r="K75" s="11">
        <v>44712</v>
      </c>
      <c r="L75" s="11">
        <v>44807</v>
      </c>
      <c r="M75" s="17" t="s">
        <v>55</v>
      </c>
      <c r="N75" s="17" t="s">
        <v>55</v>
      </c>
      <c r="O75" s="17" t="s">
        <v>55</v>
      </c>
      <c r="P75" s="9" t="s">
        <v>502</v>
      </c>
      <c r="Q75" s="14" t="s">
        <v>507</v>
      </c>
    </row>
    <row r="76" spans="1:17">
      <c r="A76" s="7">
        <v>75</v>
      </c>
      <c r="B76" s="8" t="s">
        <v>508</v>
      </c>
      <c r="C76" s="15" t="s">
        <v>509</v>
      </c>
      <c r="D76" s="8" t="s">
        <v>510</v>
      </c>
      <c r="E76" s="30" t="s">
        <v>511</v>
      </c>
      <c r="F76" s="16" t="s">
        <v>21</v>
      </c>
      <c r="G76" s="8" t="s">
        <v>22</v>
      </c>
      <c r="H76" s="10" t="s">
        <v>512</v>
      </c>
      <c r="I76" s="10" t="s">
        <v>513</v>
      </c>
      <c r="J76" s="8"/>
      <c r="K76" s="11">
        <v>44712</v>
      </c>
      <c r="L76" s="12">
        <v>45689</v>
      </c>
      <c r="M76" s="9" t="s">
        <v>514</v>
      </c>
      <c r="N76" s="9" t="s">
        <v>509</v>
      </c>
      <c r="O76" s="9" t="s">
        <v>515</v>
      </c>
      <c r="P76" s="9" t="s">
        <v>516</v>
      </c>
      <c r="Q76" s="14" t="s">
        <v>517</v>
      </c>
    </row>
    <row r="77" spans="1:17">
      <c r="A77" s="7">
        <v>76</v>
      </c>
      <c r="B77" s="8" t="s">
        <v>518</v>
      </c>
      <c r="C77" s="15" t="s">
        <v>519</v>
      </c>
      <c r="D77" s="8" t="s">
        <v>520</v>
      </c>
      <c r="E77" s="30" t="s">
        <v>521</v>
      </c>
      <c r="F77" s="8"/>
      <c r="G77" s="8" t="s">
        <v>22</v>
      </c>
      <c r="H77" s="10"/>
      <c r="I77" s="10"/>
      <c r="J77" s="8"/>
      <c r="K77" s="11">
        <v>44712</v>
      </c>
      <c r="L77" s="11">
        <v>44803</v>
      </c>
      <c r="M77" s="17" t="s">
        <v>55</v>
      </c>
      <c r="N77" s="17" t="s">
        <v>55</v>
      </c>
      <c r="O77" s="17" t="s">
        <v>55</v>
      </c>
      <c r="P77" s="9" t="s">
        <v>519</v>
      </c>
      <c r="Q77" s="14" t="s">
        <v>522</v>
      </c>
    </row>
    <row r="78" spans="1:17">
      <c r="A78" s="7">
        <v>77</v>
      </c>
      <c r="B78" s="8" t="s">
        <v>523</v>
      </c>
      <c r="C78" s="19" t="s">
        <v>524</v>
      </c>
      <c r="D78" s="8" t="s">
        <v>525</v>
      </c>
      <c r="E78" s="30" t="s">
        <v>526</v>
      </c>
      <c r="F78" s="8"/>
      <c r="G78" s="8" t="s">
        <v>22</v>
      </c>
      <c r="H78" s="10"/>
      <c r="I78" s="10"/>
      <c r="J78" s="8"/>
      <c r="K78" s="11">
        <v>44712</v>
      </c>
      <c r="L78" s="11">
        <v>44803</v>
      </c>
      <c r="M78" s="17" t="s">
        <v>55</v>
      </c>
      <c r="N78" s="17" t="s">
        <v>55</v>
      </c>
      <c r="O78" s="17" t="s">
        <v>55</v>
      </c>
      <c r="P78" s="9" t="s">
        <v>524</v>
      </c>
      <c r="Q78" s="20"/>
    </row>
    <row r="79" spans="1:17">
      <c r="A79" s="7">
        <v>78</v>
      </c>
      <c r="B79" s="8" t="s">
        <v>527</v>
      </c>
      <c r="C79" s="19" t="s">
        <v>528</v>
      </c>
      <c r="D79" s="8" t="s">
        <v>529</v>
      </c>
      <c r="E79" s="30" t="s">
        <v>526</v>
      </c>
      <c r="F79" s="8"/>
      <c r="G79" s="8" t="s">
        <v>22</v>
      </c>
      <c r="H79" s="10"/>
      <c r="I79" s="10"/>
      <c r="J79" s="8"/>
      <c r="K79" s="11">
        <v>44712</v>
      </c>
      <c r="L79" s="11">
        <v>44803</v>
      </c>
      <c r="M79" s="17" t="s">
        <v>55</v>
      </c>
      <c r="N79" s="17" t="s">
        <v>55</v>
      </c>
      <c r="O79" s="17" t="s">
        <v>55</v>
      </c>
      <c r="P79" s="9" t="s">
        <v>530</v>
      </c>
      <c r="Q79" s="20"/>
    </row>
    <row r="80" spans="1:17">
      <c r="A80" s="7">
        <v>79</v>
      </c>
      <c r="B80" s="8" t="s">
        <v>531</v>
      </c>
      <c r="C80" s="19" t="s">
        <v>532</v>
      </c>
      <c r="D80" s="8" t="s">
        <v>533</v>
      </c>
      <c r="E80" s="30" t="s">
        <v>526</v>
      </c>
      <c r="F80" s="8"/>
      <c r="G80" s="8" t="s">
        <v>22</v>
      </c>
      <c r="H80" s="10"/>
      <c r="I80" s="10"/>
      <c r="J80" s="8"/>
      <c r="K80" s="11">
        <v>44712</v>
      </c>
      <c r="L80" s="11">
        <v>44803</v>
      </c>
      <c r="M80" s="17" t="s">
        <v>55</v>
      </c>
      <c r="N80" s="17" t="s">
        <v>55</v>
      </c>
      <c r="O80" s="17" t="s">
        <v>55</v>
      </c>
      <c r="P80" s="9" t="s">
        <v>532</v>
      </c>
      <c r="Q80" s="31" t="s">
        <v>534</v>
      </c>
    </row>
    <row r="81" spans="1:17">
      <c r="A81" s="7">
        <v>80</v>
      </c>
      <c r="B81" s="8" t="s">
        <v>535</v>
      </c>
      <c r="C81" s="19" t="s">
        <v>536</v>
      </c>
      <c r="D81" s="8" t="s">
        <v>537</v>
      </c>
      <c r="E81" s="30" t="s">
        <v>538</v>
      </c>
      <c r="F81" s="8"/>
      <c r="G81" s="8" t="s">
        <v>22</v>
      </c>
      <c r="H81" s="10"/>
      <c r="I81" s="10"/>
      <c r="J81" s="8"/>
      <c r="K81" s="11">
        <v>44712</v>
      </c>
      <c r="L81" s="11">
        <v>44803</v>
      </c>
      <c r="M81" s="17" t="s">
        <v>55</v>
      </c>
      <c r="N81" s="17" t="s">
        <v>55</v>
      </c>
      <c r="O81" s="17" t="s">
        <v>55</v>
      </c>
      <c r="P81" s="9" t="s">
        <v>539</v>
      </c>
      <c r="Q81" s="20"/>
    </row>
    <row r="82" spans="1:17">
      <c r="A82" s="7">
        <v>81</v>
      </c>
      <c r="B82" s="8" t="s">
        <v>540</v>
      </c>
      <c r="C82" s="15" t="s">
        <v>541</v>
      </c>
      <c r="D82" s="8" t="s">
        <v>542</v>
      </c>
      <c r="E82" s="30" t="s">
        <v>543</v>
      </c>
      <c r="F82" s="8"/>
      <c r="G82" s="8" t="s">
        <v>22</v>
      </c>
      <c r="H82" s="10"/>
      <c r="I82" s="10"/>
      <c r="J82" s="8"/>
      <c r="K82" s="11">
        <v>44712</v>
      </c>
      <c r="L82" s="12">
        <v>45798</v>
      </c>
      <c r="M82" s="9" t="s">
        <v>544</v>
      </c>
      <c r="N82" s="17" t="s">
        <v>55</v>
      </c>
      <c r="O82" s="9" t="s">
        <v>545</v>
      </c>
      <c r="P82" s="9" t="s">
        <v>541</v>
      </c>
      <c r="Q82" s="14" t="s">
        <v>546</v>
      </c>
    </row>
    <row r="83" spans="1:17">
      <c r="A83" s="7">
        <v>82</v>
      </c>
      <c r="B83" s="8" t="s">
        <v>547</v>
      </c>
      <c r="C83" s="19" t="s">
        <v>548</v>
      </c>
      <c r="D83" s="8" t="s">
        <v>549</v>
      </c>
      <c r="E83" s="30" t="s">
        <v>550</v>
      </c>
      <c r="F83" s="8"/>
      <c r="G83" s="8" t="s">
        <v>22</v>
      </c>
      <c r="H83" s="10" t="s">
        <v>551</v>
      </c>
      <c r="I83" s="10" t="s">
        <v>552</v>
      </c>
      <c r="J83" s="8"/>
      <c r="K83" s="11">
        <v>44712</v>
      </c>
      <c r="L83" s="11">
        <v>44807</v>
      </c>
      <c r="M83" s="17" t="s">
        <v>55</v>
      </c>
      <c r="N83" s="17" t="s">
        <v>55</v>
      </c>
      <c r="O83" s="17" t="s">
        <v>55</v>
      </c>
      <c r="P83" s="9" t="s">
        <v>548</v>
      </c>
      <c r="Q83" s="20"/>
    </row>
    <row r="84" spans="1:17">
      <c r="A84" s="7">
        <v>83</v>
      </c>
      <c r="B84" s="8" t="s">
        <v>553</v>
      </c>
      <c r="C84" s="19" t="s">
        <v>554</v>
      </c>
      <c r="D84" s="8" t="s">
        <v>555</v>
      </c>
      <c r="E84" s="30" t="s">
        <v>556</v>
      </c>
      <c r="F84" s="8"/>
      <c r="G84" s="8" t="s">
        <v>22</v>
      </c>
      <c r="H84" s="10" t="s">
        <v>557</v>
      </c>
      <c r="I84" s="10" t="s">
        <v>558</v>
      </c>
      <c r="J84" s="8"/>
      <c r="K84" s="11">
        <v>44712</v>
      </c>
      <c r="L84" s="11">
        <v>44807</v>
      </c>
      <c r="M84" s="17" t="s">
        <v>55</v>
      </c>
      <c r="N84" s="17" t="s">
        <v>55</v>
      </c>
      <c r="O84" s="17" t="s">
        <v>55</v>
      </c>
      <c r="P84" s="9" t="s">
        <v>554</v>
      </c>
      <c r="Q84" s="20"/>
    </row>
    <row r="85" spans="1:17">
      <c r="A85" s="7">
        <v>84</v>
      </c>
      <c r="B85" s="8" t="s">
        <v>559</v>
      </c>
      <c r="C85" s="19" t="s">
        <v>560</v>
      </c>
      <c r="D85" s="8" t="s">
        <v>561</v>
      </c>
      <c r="E85" s="30" t="s">
        <v>562</v>
      </c>
      <c r="F85" s="29" t="s">
        <v>563</v>
      </c>
      <c r="G85" s="8" t="s">
        <v>52</v>
      </c>
      <c r="H85" s="10" t="s">
        <v>564</v>
      </c>
      <c r="I85" s="10" t="s">
        <v>565</v>
      </c>
      <c r="J85" s="8"/>
      <c r="K85" s="11">
        <v>44712</v>
      </c>
      <c r="L85" s="11">
        <v>44807</v>
      </c>
      <c r="M85" s="17" t="s">
        <v>55</v>
      </c>
      <c r="N85" s="17" t="s">
        <v>55</v>
      </c>
      <c r="O85" s="17" t="s">
        <v>55</v>
      </c>
      <c r="P85" s="9" t="s">
        <v>560</v>
      </c>
      <c r="Q85" s="31" t="s">
        <v>566</v>
      </c>
    </row>
    <row r="86" spans="1:17">
      <c r="A86" s="7">
        <v>85</v>
      </c>
      <c r="B86" s="8" t="s">
        <v>567</v>
      </c>
      <c r="C86" s="19" t="s">
        <v>568</v>
      </c>
      <c r="D86" s="8" t="s">
        <v>569</v>
      </c>
      <c r="E86" s="30" t="s">
        <v>570</v>
      </c>
      <c r="F86" s="8"/>
      <c r="G86" s="8" t="s">
        <v>22</v>
      </c>
      <c r="H86" s="10" t="s">
        <v>571</v>
      </c>
      <c r="I86" s="10" t="s">
        <v>572</v>
      </c>
      <c r="J86" s="8"/>
      <c r="K86" s="11">
        <v>44712</v>
      </c>
      <c r="L86" s="11">
        <v>44808</v>
      </c>
      <c r="M86" s="17" t="s">
        <v>55</v>
      </c>
      <c r="N86" s="17" t="s">
        <v>55</v>
      </c>
      <c r="O86" s="17" t="s">
        <v>55</v>
      </c>
      <c r="P86" s="9" t="s">
        <v>568</v>
      </c>
      <c r="Q86" s="24" t="s">
        <v>573</v>
      </c>
    </row>
    <row r="87" spans="1:17">
      <c r="A87" s="7">
        <v>86</v>
      </c>
      <c r="B87" s="8" t="s">
        <v>574</v>
      </c>
      <c r="C87" s="9" t="s">
        <v>575</v>
      </c>
      <c r="D87" s="8" t="s">
        <v>576</v>
      </c>
      <c r="E87" s="30" t="s">
        <v>577</v>
      </c>
      <c r="F87" s="16" t="s">
        <v>21</v>
      </c>
      <c r="G87" s="8" t="s">
        <v>22</v>
      </c>
      <c r="H87" s="10"/>
      <c r="I87" s="10"/>
      <c r="J87" s="8"/>
      <c r="K87" s="11">
        <v>44712</v>
      </c>
      <c r="L87" s="12">
        <v>45716</v>
      </c>
      <c r="M87" s="9" t="s">
        <v>578</v>
      </c>
      <c r="N87" s="17" t="s">
        <v>55</v>
      </c>
      <c r="O87" s="9" t="s">
        <v>579</v>
      </c>
      <c r="P87" s="9" t="s">
        <v>575</v>
      </c>
      <c r="Q87" s="14" t="s">
        <v>580</v>
      </c>
    </row>
    <row r="88" spans="1:17">
      <c r="A88" s="7">
        <v>87</v>
      </c>
      <c r="B88" s="8" t="s">
        <v>581</v>
      </c>
      <c r="C88" s="19" t="s">
        <v>582</v>
      </c>
      <c r="D88" s="8" t="s">
        <v>583</v>
      </c>
      <c r="E88" s="30" t="s">
        <v>584</v>
      </c>
      <c r="F88" s="8"/>
      <c r="G88" s="8" t="s">
        <v>22</v>
      </c>
      <c r="H88" s="10"/>
      <c r="I88" s="10"/>
      <c r="J88" s="8"/>
      <c r="K88" s="11">
        <v>44712</v>
      </c>
      <c r="L88" s="11">
        <v>44903</v>
      </c>
      <c r="M88" s="17" t="s">
        <v>55</v>
      </c>
      <c r="N88" s="17" t="s">
        <v>55</v>
      </c>
      <c r="O88" s="17" t="s">
        <v>55</v>
      </c>
      <c r="P88" s="9" t="s">
        <v>582</v>
      </c>
      <c r="Q88" s="31" t="s">
        <v>585</v>
      </c>
    </row>
    <row r="89" spans="1:17">
      <c r="A89" s="7">
        <v>88</v>
      </c>
      <c r="B89" s="8" t="s">
        <v>586</v>
      </c>
      <c r="C89" s="15" t="s">
        <v>587</v>
      </c>
      <c r="D89" s="8" t="s">
        <v>588</v>
      </c>
      <c r="E89" s="30" t="s">
        <v>589</v>
      </c>
      <c r="F89" s="8"/>
      <c r="G89" s="8" t="s">
        <v>22</v>
      </c>
      <c r="H89" s="10"/>
      <c r="I89" s="10"/>
      <c r="J89" s="8"/>
      <c r="K89" s="11">
        <v>44712</v>
      </c>
      <c r="L89" s="12">
        <v>46130</v>
      </c>
      <c r="M89" s="17" t="s">
        <v>25</v>
      </c>
      <c r="N89" s="17" t="s">
        <v>55</v>
      </c>
      <c r="O89" s="17" t="s">
        <v>55</v>
      </c>
      <c r="P89" s="9" t="s">
        <v>587</v>
      </c>
      <c r="Q89" s="14" t="s">
        <v>590</v>
      </c>
    </row>
    <row r="90" spans="1:17">
      <c r="A90" s="7">
        <v>89</v>
      </c>
      <c r="B90" s="8" t="s">
        <v>591</v>
      </c>
      <c r="C90" s="15" t="s">
        <v>592</v>
      </c>
      <c r="D90" s="8" t="s">
        <v>593</v>
      </c>
      <c r="E90" s="30" t="s">
        <v>594</v>
      </c>
      <c r="F90" s="8"/>
      <c r="G90" s="8" t="s">
        <v>52</v>
      </c>
      <c r="H90" s="10"/>
      <c r="I90" s="10"/>
      <c r="J90" s="8"/>
      <c r="K90" s="11">
        <v>44712</v>
      </c>
      <c r="L90" s="12">
        <v>45139</v>
      </c>
      <c r="M90" s="17" t="s">
        <v>55</v>
      </c>
      <c r="N90" s="17" t="s">
        <v>55</v>
      </c>
      <c r="O90" s="17" t="s">
        <v>55</v>
      </c>
      <c r="P90" s="9" t="s">
        <v>592</v>
      </c>
      <c r="Q90" s="24" t="s">
        <v>595</v>
      </c>
    </row>
    <row r="91" spans="1:17">
      <c r="A91" s="7">
        <v>90</v>
      </c>
      <c r="B91" s="8" t="s">
        <v>596</v>
      </c>
      <c r="C91" s="15" t="s">
        <v>597</v>
      </c>
      <c r="D91" s="8" t="s">
        <v>598</v>
      </c>
      <c r="E91" s="30" t="s">
        <v>599</v>
      </c>
      <c r="F91" s="8"/>
      <c r="G91" s="8" t="s">
        <v>22</v>
      </c>
      <c r="H91" s="10"/>
      <c r="I91" s="10"/>
      <c r="J91" s="8"/>
      <c r="K91" s="11">
        <v>44712</v>
      </c>
      <c r="L91" s="12">
        <v>46130</v>
      </c>
      <c r="M91" s="17" t="s">
        <v>25</v>
      </c>
      <c r="N91" s="17" t="s">
        <v>55</v>
      </c>
      <c r="O91" s="17" t="s">
        <v>55</v>
      </c>
      <c r="P91" s="9" t="s">
        <v>597</v>
      </c>
      <c r="Q91" s="14" t="s">
        <v>600</v>
      </c>
    </row>
    <row r="92" spans="1:17">
      <c r="A92" s="7">
        <v>91</v>
      </c>
      <c r="B92" s="8" t="s">
        <v>601</v>
      </c>
      <c r="C92" s="15" t="s">
        <v>602</v>
      </c>
      <c r="D92" s="8" t="s">
        <v>603</v>
      </c>
      <c r="E92" s="30" t="s">
        <v>604</v>
      </c>
      <c r="F92" s="8"/>
      <c r="G92" s="8" t="s">
        <v>22</v>
      </c>
      <c r="H92" s="10"/>
      <c r="I92" s="10"/>
      <c r="J92" s="8"/>
      <c r="K92" s="11">
        <v>44712</v>
      </c>
      <c r="L92" s="11">
        <v>44903</v>
      </c>
      <c r="M92" s="17" t="s">
        <v>55</v>
      </c>
      <c r="N92" s="17" t="s">
        <v>55</v>
      </c>
      <c r="O92" s="17" t="s">
        <v>55</v>
      </c>
      <c r="P92" s="17" t="s">
        <v>55</v>
      </c>
      <c r="Q92" s="14" t="s">
        <v>605</v>
      </c>
    </row>
    <row r="93" spans="1:17">
      <c r="A93" s="7">
        <v>92</v>
      </c>
      <c r="B93" s="8" t="s">
        <v>606</v>
      </c>
      <c r="C93" s="15" t="s">
        <v>607</v>
      </c>
      <c r="D93" s="8" t="s">
        <v>608</v>
      </c>
      <c r="E93" s="30" t="s">
        <v>609</v>
      </c>
      <c r="F93" s="8"/>
      <c r="G93" s="16" t="s">
        <v>22</v>
      </c>
      <c r="H93" s="10"/>
      <c r="I93" s="10"/>
      <c r="J93" s="8"/>
      <c r="K93" s="11">
        <v>44712</v>
      </c>
      <c r="L93" s="12">
        <v>45830</v>
      </c>
      <c r="M93" s="9" t="s">
        <v>610</v>
      </c>
      <c r="N93" s="17" t="s">
        <v>55</v>
      </c>
      <c r="O93" s="9" t="s">
        <v>611</v>
      </c>
      <c r="P93" s="9" t="s">
        <v>607</v>
      </c>
      <c r="Q93" s="14" t="s">
        <v>612</v>
      </c>
    </row>
    <row r="94" spans="1:17">
      <c r="A94" s="7">
        <v>93</v>
      </c>
      <c r="B94" s="8" t="s">
        <v>613</v>
      </c>
      <c r="C94" s="15" t="s">
        <v>614</v>
      </c>
      <c r="D94" s="8" t="s">
        <v>615</v>
      </c>
      <c r="E94" s="30" t="s">
        <v>616</v>
      </c>
      <c r="F94" s="8"/>
      <c r="G94" s="8" t="s">
        <v>22</v>
      </c>
      <c r="H94" s="10"/>
      <c r="I94" s="10"/>
      <c r="J94" s="8"/>
      <c r="K94" s="11">
        <v>44712</v>
      </c>
      <c r="L94" s="12">
        <v>45715</v>
      </c>
      <c r="M94" s="17" t="s">
        <v>55</v>
      </c>
      <c r="N94" s="17" t="s">
        <v>55</v>
      </c>
      <c r="O94" s="17" t="s">
        <v>55</v>
      </c>
      <c r="P94" s="9" t="s">
        <v>614</v>
      </c>
      <c r="Q94" s="18" t="s">
        <v>617</v>
      </c>
    </row>
    <row r="95" spans="1:17">
      <c r="A95" s="7">
        <v>94</v>
      </c>
      <c r="B95" s="8" t="s">
        <v>618</v>
      </c>
      <c r="C95" s="15" t="s">
        <v>619</v>
      </c>
      <c r="D95" s="8" t="s">
        <v>620</v>
      </c>
      <c r="E95" s="30" t="s">
        <v>621</v>
      </c>
      <c r="F95" s="8"/>
      <c r="G95" s="8" t="s">
        <v>22</v>
      </c>
      <c r="H95" s="10"/>
      <c r="I95" s="10"/>
      <c r="J95" s="8"/>
      <c r="K95" s="11">
        <v>44712</v>
      </c>
      <c r="L95" s="12">
        <v>46053</v>
      </c>
      <c r="M95" s="17" t="s">
        <v>25</v>
      </c>
      <c r="N95" s="9" t="s">
        <v>619</v>
      </c>
      <c r="O95" s="17" t="s">
        <v>25</v>
      </c>
      <c r="P95" s="9" t="s">
        <v>622</v>
      </c>
      <c r="Q95" s="14" t="s">
        <v>623</v>
      </c>
    </row>
    <row r="96" spans="1:17">
      <c r="A96" s="7">
        <v>95</v>
      </c>
      <c r="B96" s="8" t="s">
        <v>624</v>
      </c>
      <c r="C96" s="19" t="s">
        <v>625</v>
      </c>
      <c r="D96" s="8" t="s">
        <v>626</v>
      </c>
      <c r="E96" s="30" t="s">
        <v>627</v>
      </c>
      <c r="F96" s="8"/>
      <c r="G96" s="8" t="s">
        <v>22</v>
      </c>
      <c r="H96" s="10"/>
      <c r="I96" s="10"/>
      <c r="J96" s="8"/>
      <c r="K96" s="11">
        <v>44712</v>
      </c>
      <c r="L96" s="11">
        <v>44904</v>
      </c>
      <c r="M96" s="17" t="s">
        <v>55</v>
      </c>
      <c r="N96" s="17" t="s">
        <v>55</v>
      </c>
      <c r="O96" s="17" t="s">
        <v>55</v>
      </c>
      <c r="P96" s="9" t="s">
        <v>628</v>
      </c>
      <c r="Q96" s="31" t="s">
        <v>629</v>
      </c>
    </row>
    <row r="97" spans="1:17">
      <c r="A97" s="7">
        <v>96</v>
      </c>
      <c r="B97" s="8" t="s">
        <v>630</v>
      </c>
      <c r="C97" s="15" t="s">
        <v>631</v>
      </c>
      <c r="D97" s="8" t="s">
        <v>632</v>
      </c>
      <c r="E97" s="8" t="s">
        <v>633</v>
      </c>
      <c r="F97" s="8" t="s">
        <v>305</v>
      </c>
      <c r="G97" s="8" t="s">
        <v>22</v>
      </c>
      <c r="H97" s="10"/>
      <c r="I97" s="10"/>
      <c r="J97" s="8"/>
      <c r="K97" s="11">
        <v>44712</v>
      </c>
      <c r="L97" s="12">
        <v>45689</v>
      </c>
      <c r="M97" s="9" t="s">
        <v>634</v>
      </c>
      <c r="N97" s="9" t="s">
        <v>631</v>
      </c>
      <c r="O97" s="9" t="s">
        <v>635</v>
      </c>
      <c r="P97" s="25" t="s">
        <v>636</v>
      </c>
      <c r="Q97" s="14" t="s">
        <v>637</v>
      </c>
    </row>
    <row r="98" spans="1:17">
      <c r="A98" s="7">
        <v>97</v>
      </c>
      <c r="B98" s="8" t="s">
        <v>638</v>
      </c>
      <c r="C98" s="19" t="s">
        <v>639</v>
      </c>
      <c r="D98" s="8" t="s">
        <v>640</v>
      </c>
      <c r="E98" s="8" t="s">
        <v>641</v>
      </c>
      <c r="F98" s="8" t="s">
        <v>642</v>
      </c>
      <c r="G98" s="8" t="s">
        <v>22</v>
      </c>
      <c r="H98" s="10"/>
      <c r="I98" s="10"/>
      <c r="J98" s="8"/>
      <c r="K98" s="11">
        <v>44712</v>
      </c>
      <c r="L98" s="11">
        <v>44904</v>
      </c>
      <c r="M98" s="17" t="s">
        <v>55</v>
      </c>
      <c r="N98" s="17" t="s">
        <v>55</v>
      </c>
      <c r="O98" s="17" t="s">
        <v>55</v>
      </c>
      <c r="P98" s="9" t="s">
        <v>639</v>
      </c>
      <c r="Q98" s="20"/>
    </row>
    <row r="99" spans="1:17">
      <c r="A99" s="7">
        <v>98</v>
      </c>
      <c r="B99" s="8" t="s">
        <v>643</v>
      </c>
      <c r="C99" s="15" t="s">
        <v>175</v>
      </c>
      <c r="D99" s="8" t="s">
        <v>644</v>
      </c>
      <c r="E99" s="16" t="s">
        <v>177</v>
      </c>
      <c r="F99" s="8" t="s">
        <v>73</v>
      </c>
      <c r="G99" s="8" t="s">
        <v>22</v>
      </c>
      <c r="H99" s="10" t="s">
        <v>178</v>
      </c>
      <c r="I99" s="10" t="s">
        <v>179</v>
      </c>
      <c r="J99" s="7"/>
      <c r="K99" s="11">
        <v>44712</v>
      </c>
      <c r="L99" s="12">
        <v>46130</v>
      </c>
      <c r="M99" s="17" t="s">
        <v>25</v>
      </c>
      <c r="N99" s="17" t="s">
        <v>55</v>
      </c>
      <c r="O99" s="17" t="s">
        <v>55</v>
      </c>
      <c r="P99" s="9" t="s">
        <v>175</v>
      </c>
      <c r="Q99" s="24" t="s">
        <v>180</v>
      </c>
    </row>
    <row r="100" spans="1:17">
      <c r="A100" s="7">
        <v>99</v>
      </c>
      <c r="B100" s="8" t="s">
        <v>645</v>
      </c>
      <c r="C100" s="9" t="s">
        <v>170</v>
      </c>
      <c r="D100" s="8" t="s">
        <v>646</v>
      </c>
      <c r="E100" s="32" t="s">
        <v>172</v>
      </c>
      <c r="F100" s="8"/>
      <c r="G100" s="8" t="s">
        <v>22</v>
      </c>
      <c r="H100" s="10"/>
      <c r="I100" s="10"/>
      <c r="J100" s="7"/>
      <c r="K100" s="11">
        <v>44712</v>
      </c>
      <c r="L100" s="12">
        <v>45988</v>
      </c>
      <c r="M100" s="38" t="s">
        <v>25</v>
      </c>
      <c r="N100" s="13" t="s">
        <v>55</v>
      </c>
      <c r="O100" s="13" t="s">
        <v>25</v>
      </c>
      <c r="P100" s="9" t="s">
        <v>170</v>
      </c>
      <c r="Q100" s="14" t="s">
        <v>647</v>
      </c>
    </row>
    <row r="101" spans="1:17">
      <c r="A101" s="7">
        <v>100</v>
      </c>
      <c r="B101" s="8" t="s">
        <v>648</v>
      </c>
      <c r="C101" s="15" t="s">
        <v>649</v>
      </c>
      <c r="D101" s="8" t="s">
        <v>650</v>
      </c>
      <c r="E101" s="30" t="s">
        <v>651</v>
      </c>
      <c r="F101" s="8"/>
      <c r="G101" s="16" t="s">
        <v>22</v>
      </c>
      <c r="H101" s="10"/>
      <c r="I101" s="10"/>
      <c r="J101" s="8"/>
      <c r="K101" s="11">
        <v>44712</v>
      </c>
      <c r="L101" s="12">
        <v>45689</v>
      </c>
      <c r="M101" s="9" t="s">
        <v>652</v>
      </c>
      <c r="N101" s="9" t="s">
        <v>649</v>
      </c>
      <c r="O101" s="9" t="s">
        <v>653</v>
      </c>
      <c r="P101" s="9" t="s">
        <v>654</v>
      </c>
      <c r="Q101" s="14" t="s">
        <v>655</v>
      </c>
    </row>
    <row r="102" spans="1:17">
      <c r="A102" s="7">
        <v>101</v>
      </c>
      <c r="B102" s="8" t="s">
        <v>656</v>
      </c>
      <c r="C102" s="15" t="s">
        <v>657</v>
      </c>
      <c r="D102" s="8" t="s">
        <v>658</v>
      </c>
      <c r="E102" s="30" t="s">
        <v>659</v>
      </c>
      <c r="F102" s="8"/>
      <c r="G102" s="8" t="s">
        <v>52</v>
      </c>
      <c r="H102" s="10"/>
      <c r="I102" s="10"/>
      <c r="J102" s="8"/>
      <c r="K102" s="11">
        <v>44712</v>
      </c>
      <c r="L102" s="11">
        <v>45079</v>
      </c>
      <c r="M102" s="17" t="s">
        <v>55</v>
      </c>
      <c r="N102" s="17" t="s">
        <v>55</v>
      </c>
      <c r="O102" s="17" t="s">
        <v>55</v>
      </c>
      <c r="P102" s="9" t="s">
        <v>657</v>
      </c>
      <c r="Q102" s="14" t="s">
        <v>660</v>
      </c>
    </row>
    <row r="103" spans="1:17">
      <c r="A103" s="7">
        <v>102</v>
      </c>
      <c r="B103" s="8" t="s">
        <v>661</v>
      </c>
      <c r="C103" s="15" t="s">
        <v>662</v>
      </c>
      <c r="D103" s="8" t="s">
        <v>663</v>
      </c>
      <c r="E103" s="30" t="s">
        <v>209</v>
      </c>
      <c r="F103" s="8"/>
      <c r="G103" s="8" t="s">
        <v>22</v>
      </c>
      <c r="H103" s="10"/>
      <c r="I103" s="10"/>
      <c r="J103" s="8"/>
      <c r="K103" s="11">
        <v>44712</v>
      </c>
      <c r="L103" s="11">
        <v>44904</v>
      </c>
      <c r="M103" s="17" t="s">
        <v>55</v>
      </c>
      <c r="N103" s="17" t="s">
        <v>55</v>
      </c>
      <c r="O103" s="17" t="s">
        <v>55</v>
      </c>
      <c r="P103" s="9" t="s">
        <v>662</v>
      </c>
      <c r="Q103" s="14" t="s">
        <v>664</v>
      </c>
    </row>
    <row r="104" spans="1:17">
      <c r="A104" s="7">
        <v>103</v>
      </c>
      <c r="B104" s="8" t="s">
        <v>665</v>
      </c>
      <c r="C104" s="15" t="s">
        <v>235</v>
      </c>
      <c r="D104" s="16" t="s">
        <v>666</v>
      </c>
      <c r="E104" s="30" t="s">
        <v>667</v>
      </c>
      <c r="F104" s="8"/>
      <c r="G104" s="8" t="s">
        <v>22</v>
      </c>
      <c r="H104" s="10"/>
      <c r="I104" s="10"/>
      <c r="J104" s="8"/>
      <c r="K104" s="11">
        <v>44712</v>
      </c>
      <c r="L104" s="12">
        <v>45689</v>
      </c>
      <c r="M104" s="9" t="s">
        <v>238</v>
      </c>
      <c r="N104" s="25" t="s">
        <v>235</v>
      </c>
      <c r="O104" s="9" t="s">
        <v>239</v>
      </c>
      <c r="P104" s="9" t="s">
        <v>240</v>
      </c>
      <c r="Q104" s="14" t="s">
        <v>668</v>
      </c>
    </row>
    <row r="105" spans="1:17">
      <c r="A105" s="7">
        <v>104</v>
      </c>
      <c r="B105" s="8" t="s">
        <v>669</v>
      </c>
      <c r="C105" s="15" t="s">
        <v>670</v>
      </c>
      <c r="D105" s="8" t="s">
        <v>671</v>
      </c>
      <c r="E105" s="30" t="s">
        <v>672</v>
      </c>
      <c r="F105" s="8"/>
      <c r="G105" s="8" t="s">
        <v>22</v>
      </c>
      <c r="H105" s="10"/>
      <c r="I105" s="10"/>
      <c r="J105" s="8"/>
      <c r="K105" s="11">
        <v>44712</v>
      </c>
      <c r="L105" s="12">
        <v>45798</v>
      </c>
      <c r="M105" s="9" t="s">
        <v>673</v>
      </c>
      <c r="N105" s="9" t="s">
        <v>670</v>
      </c>
      <c r="O105" s="33" t="s">
        <v>674</v>
      </c>
      <c r="P105" s="9" t="s">
        <v>675</v>
      </c>
      <c r="Q105" s="14" t="s">
        <v>676</v>
      </c>
    </row>
    <row r="106" spans="1:17">
      <c r="A106" s="7">
        <v>105</v>
      </c>
      <c r="B106" s="8" t="s">
        <v>677</v>
      </c>
      <c r="C106" s="9" t="s">
        <v>678</v>
      </c>
      <c r="D106" s="8" t="s">
        <v>679</v>
      </c>
      <c r="E106" s="30" t="s">
        <v>680</v>
      </c>
      <c r="F106" s="8"/>
      <c r="G106" s="8" t="s">
        <v>52</v>
      </c>
      <c r="H106" s="10"/>
      <c r="I106" s="10"/>
      <c r="J106" s="8"/>
      <c r="K106" s="11">
        <v>44712</v>
      </c>
      <c r="L106" s="12">
        <v>45689</v>
      </c>
      <c r="M106" s="9" t="s">
        <v>681</v>
      </c>
      <c r="N106" s="9" t="s">
        <v>678</v>
      </c>
      <c r="O106" s="9" t="s">
        <v>682</v>
      </c>
      <c r="P106" s="17" t="s">
        <v>55</v>
      </c>
      <c r="Q106" s="14" t="s">
        <v>683</v>
      </c>
    </row>
    <row r="107" spans="1:17">
      <c r="A107" s="7">
        <v>106</v>
      </c>
      <c r="B107" s="8" t="s">
        <v>684</v>
      </c>
      <c r="C107" s="19" t="s">
        <v>685</v>
      </c>
      <c r="D107" s="8" t="s">
        <v>686</v>
      </c>
      <c r="E107" s="8" t="s">
        <v>686</v>
      </c>
      <c r="F107" s="8"/>
      <c r="G107" s="8" t="s">
        <v>52</v>
      </c>
      <c r="H107" s="10"/>
      <c r="I107" s="10"/>
      <c r="J107" s="8"/>
      <c r="K107" s="11">
        <v>44715</v>
      </c>
      <c r="L107" s="11">
        <v>44715</v>
      </c>
      <c r="M107" s="17" t="s">
        <v>55</v>
      </c>
      <c r="N107" s="17" t="s">
        <v>55</v>
      </c>
      <c r="O107" s="17" t="s">
        <v>55</v>
      </c>
      <c r="P107" s="9" t="s">
        <v>685</v>
      </c>
      <c r="Q107" s="20"/>
    </row>
    <row r="108" spans="1:17">
      <c r="A108" s="7">
        <v>107</v>
      </c>
      <c r="B108" s="8" t="s">
        <v>687</v>
      </c>
      <c r="C108" s="19" t="s">
        <v>688</v>
      </c>
      <c r="D108" s="8" t="s">
        <v>689</v>
      </c>
      <c r="E108" s="30" t="s">
        <v>690</v>
      </c>
      <c r="F108" s="8"/>
      <c r="G108" s="8" t="s">
        <v>52</v>
      </c>
      <c r="H108" s="10"/>
      <c r="I108" s="10"/>
      <c r="J108" s="8"/>
      <c r="K108" s="11">
        <v>44715</v>
      </c>
      <c r="L108" s="11">
        <v>44904</v>
      </c>
      <c r="M108" s="17" t="s">
        <v>55</v>
      </c>
      <c r="N108" s="17" t="s">
        <v>55</v>
      </c>
      <c r="O108" s="17" t="s">
        <v>55</v>
      </c>
      <c r="P108" s="9" t="s">
        <v>691</v>
      </c>
      <c r="Q108" s="31" t="s">
        <v>692</v>
      </c>
    </row>
    <row r="109" spans="1:17">
      <c r="A109" s="7">
        <v>108</v>
      </c>
      <c r="B109" s="8" t="s">
        <v>693</v>
      </c>
      <c r="C109" s="9" t="s">
        <v>694</v>
      </c>
      <c r="D109" s="8" t="s">
        <v>695</v>
      </c>
      <c r="E109" s="8" t="s">
        <v>696</v>
      </c>
      <c r="F109" s="8"/>
      <c r="G109" s="16" t="s">
        <v>52</v>
      </c>
      <c r="H109" s="10"/>
      <c r="I109" s="10"/>
      <c r="J109" s="8"/>
      <c r="K109" s="11">
        <v>44902</v>
      </c>
      <c r="L109" s="12">
        <v>45689</v>
      </c>
      <c r="M109" s="9" t="s">
        <v>697</v>
      </c>
      <c r="N109" s="9" t="s">
        <v>694</v>
      </c>
      <c r="O109" s="9" t="s">
        <v>698</v>
      </c>
      <c r="P109" s="17" t="s">
        <v>55</v>
      </c>
      <c r="Q109" s="36" t="s">
        <v>699</v>
      </c>
    </row>
    <row r="110" spans="1:17">
      <c r="A110" s="7">
        <v>109</v>
      </c>
      <c r="B110" s="8" t="s">
        <v>700</v>
      </c>
      <c r="C110" s="15" t="s">
        <v>701</v>
      </c>
      <c r="D110" s="8" t="s">
        <v>702</v>
      </c>
      <c r="E110" s="30" t="s">
        <v>703</v>
      </c>
      <c r="F110" s="8"/>
      <c r="G110" s="8" t="s">
        <v>22</v>
      </c>
      <c r="H110" s="10"/>
      <c r="I110" s="10"/>
      <c r="J110" s="8"/>
      <c r="K110" s="11">
        <v>45063</v>
      </c>
      <c r="L110" s="39">
        <v>45818</v>
      </c>
      <c r="M110" s="9" t="s">
        <v>704</v>
      </c>
      <c r="N110" s="9" t="s">
        <v>701</v>
      </c>
      <c r="O110" s="9" t="s">
        <v>705</v>
      </c>
      <c r="P110" s="25" t="s">
        <v>706</v>
      </c>
      <c r="Q110" s="14" t="s">
        <v>707</v>
      </c>
    </row>
    <row r="111" spans="1:17">
      <c r="A111" s="7">
        <v>110</v>
      </c>
      <c r="B111" s="8" t="s">
        <v>708</v>
      </c>
      <c r="C111" s="15" t="s">
        <v>709</v>
      </c>
      <c r="D111" s="8" t="s">
        <v>710</v>
      </c>
      <c r="E111" s="30" t="s">
        <v>711</v>
      </c>
      <c r="F111" s="8"/>
      <c r="G111" s="8" t="s">
        <v>52</v>
      </c>
      <c r="H111" s="10"/>
      <c r="I111" s="10"/>
      <c r="J111" s="8"/>
      <c r="K111" s="11">
        <v>45078</v>
      </c>
      <c r="L111" s="39">
        <v>45139</v>
      </c>
      <c r="M111" s="17" t="s">
        <v>55</v>
      </c>
      <c r="N111" s="17" t="s">
        <v>55</v>
      </c>
      <c r="O111" s="17" t="s">
        <v>55</v>
      </c>
      <c r="P111" s="9" t="s">
        <v>709</v>
      </c>
      <c r="Q111" s="14" t="s">
        <v>712</v>
      </c>
    </row>
    <row r="112" spans="1:17">
      <c r="A112" s="7">
        <v>111</v>
      </c>
      <c r="B112" s="8" t="s">
        <v>713</v>
      </c>
      <c r="C112" s="9" t="s">
        <v>714</v>
      </c>
      <c r="D112" s="8" t="s">
        <v>715</v>
      </c>
      <c r="E112" s="8" t="s">
        <v>716</v>
      </c>
      <c r="F112" s="8"/>
      <c r="G112" s="16" t="s">
        <v>22</v>
      </c>
      <c r="H112" s="10" t="s">
        <v>354</v>
      </c>
      <c r="I112" s="10" t="s">
        <v>355</v>
      </c>
      <c r="J112" s="8"/>
      <c r="K112" s="11">
        <v>45083</v>
      </c>
      <c r="L112" s="12">
        <v>46072</v>
      </c>
      <c r="M112" s="13" t="s">
        <v>25</v>
      </c>
      <c r="N112" s="9" t="s">
        <v>714</v>
      </c>
      <c r="O112" s="13" t="s">
        <v>25</v>
      </c>
      <c r="P112" s="17" t="s">
        <v>55</v>
      </c>
      <c r="Q112" s="36" t="s">
        <v>717</v>
      </c>
    </row>
    <row r="113" spans="1:17">
      <c r="A113" s="7">
        <v>112</v>
      </c>
      <c r="B113" s="8" t="s">
        <v>718</v>
      </c>
      <c r="C113" s="9" t="s">
        <v>719</v>
      </c>
      <c r="D113" s="8" t="s">
        <v>720</v>
      </c>
      <c r="E113" s="8" t="s">
        <v>720</v>
      </c>
      <c r="F113" s="8"/>
      <c r="G113" s="16" t="s">
        <v>22</v>
      </c>
      <c r="H113" s="10" t="s">
        <v>721</v>
      </c>
      <c r="I113" s="10" t="s">
        <v>722</v>
      </c>
      <c r="J113" s="8"/>
      <c r="K113" s="11">
        <v>45083</v>
      </c>
      <c r="L113" s="12">
        <v>45689</v>
      </c>
      <c r="M113" s="9" t="s">
        <v>723</v>
      </c>
      <c r="N113" s="9" t="s">
        <v>719</v>
      </c>
      <c r="O113" s="9" t="s">
        <v>724</v>
      </c>
      <c r="P113" s="17" t="s">
        <v>55</v>
      </c>
      <c r="Q113" s="36" t="s">
        <v>725</v>
      </c>
    </row>
    <row r="114" spans="1:17">
      <c r="A114" s="7">
        <v>113</v>
      </c>
      <c r="B114" s="8" t="s">
        <v>726</v>
      </c>
      <c r="C114" s="15" t="s">
        <v>727</v>
      </c>
      <c r="D114" s="8" t="s">
        <v>728</v>
      </c>
      <c r="E114" s="30" t="s">
        <v>729</v>
      </c>
      <c r="F114" s="8"/>
      <c r="G114" s="8" t="s">
        <v>52</v>
      </c>
      <c r="H114" s="10"/>
      <c r="I114" s="10"/>
      <c r="J114" s="8"/>
      <c r="K114" s="11">
        <v>45083</v>
      </c>
      <c r="L114" s="39">
        <v>45139</v>
      </c>
      <c r="M114" s="17" t="s">
        <v>55</v>
      </c>
      <c r="N114" s="17" t="s">
        <v>55</v>
      </c>
      <c r="O114" s="17" t="s">
        <v>55</v>
      </c>
      <c r="P114" s="9" t="s">
        <v>727</v>
      </c>
      <c r="Q114" s="14" t="s">
        <v>730</v>
      </c>
    </row>
    <row r="115" spans="1:17">
      <c r="A115" s="7">
        <v>114</v>
      </c>
      <c r="B115" s="8" t="s">
        <v>731</v>
      </c>
      <c r="C115" s="19" t="s">
        <v>732</v>
      </c>
      <c r="D115" s="8" t="s">
        <v>733</v>
      </c>
      <c r="E115" s="30" t="s">
        <v>734</v>
      </c>
      <c r="F115" s="8"/>
      <c r="G115" s="8" t="s">
        <v>52</v>
      </c>
      <c r="H115" s="10"/>
      <c r="I115" s="10"/>
      <c r="J115" s="8"/>
      <c r="K115" s="11">
        <v>45083</v>
      </c>
      <c r="L115" s="11">
        <v>45083</v>
      </c>
      <c r="M115" s="17" t="s">
        <v>55</v>
      </c>
      <c r="N115" s="17" t="s">
        <v>55</v>
      </c>
      <c r="O115" s="17" t="s">
        <v>55</v>
      </c>
      <c r="P115" s="9" t="s">
        <v>732</v>
      </c>
      <c r="Q115" s="20"/>
    </row>
    <row r="116" spans="1:17">
      <c r="A116" s="7">
        <v>115</v>
      </c>
      <c r="B116" s="8" t="s">
        <v>735</v>
      </c>
      <c r="C116" s="19" t="s">
        <v>736</v>
      </c>
      <c r="D116" s="8" t="s">
        <v>737</v>
      </c>
      <c r="E116" s="30" t="s">
        <v>738</v>
      </c>
      <c r="F116" s="8"/>
      <c r="G116" s="8" t="s">
        <v>52</v>
      </c>
      <c r="H116" s="10"/>
      <c r="I116" s="10"/>
      <c r="J116" s="8"/>
      <c r="K116" s="11">
        <v>45083</v>
      </c>
      <c r="L116" s="11">
        <v>45083</v>
      </c>
      <c r="M116" s="17" t="s">
        <v>55</v>
      </c>
      <c r="N116" s="17" t="s">
        <v>55</v>
      </c>
      <c r="O116" s="17" t="s">
        <v>55</v>
      </c>
      <c r="P116" s="9" t="s">
        <v>736</v>
      </c>
      <c r="Q116" s="20"/>
    </row>
    <row r="117" spans="1:17">
      <c r="A117" s="7">
        <v>116</v>
      </c>
      <c r="B117" s="8" t="s">
        <v>739</v>
      </c>
      <c r="C117" s="15" t="s">
        <v>740</v>
      </c>
      <c r="D117" s="8" t="s">
        <v>741</v>
      </c>
      <c r="E117" s="30" t="s">
        <v>742</v>
      </c>
      <c r="F117" s="8"/>
      <c r="G117" s="8" t="s">
        <v>22</v>
      </c>
      <c r="H117" s="10"/>
      <c r="I117" s="10"/>
      <c r="J117" s="8"/>
      <c r="K117" s="11">
        <v>45083</v>
      </c>
      <c r="L117" s="39">
        <v>45139</v>
      </c>
      <c r="M117" s="17" t="s">
        <v>55</v>
      </c>
      <c r="N117" s="17" t="s">
        <v>55</v>
      </c>
      <c r="O117" s="17" t="s">
        <v>55</v>
      </c>
      <c r="P117" s="9" t="s">
        <v>740</v>
      </c>
      <c r="Q117" s="18" t="s">
        <v>743</v>
      </c>
    </row>
    <row r="118" spans="1:17">
      <c r="A118" s="7">
        <v>117</v>
      </c>
      <c r="B118" s="8" t="s">
        <v>744</v>
      </c>
      <c r="C118" s="19" t="s">
        <v>745</v>
      </c>
      <c r="D118" s="8" t="s">
        <v>746</v>
      </c>
      <c r="E118" s="30" t="s">
        <v>747</v>
      </c>
      <c r="F118" s="8"/>
      <c r="G118" s="8" t="s">
        <v>52</v>
      </c>
      <c r="H118" s="10"/>
      <c r="I118" s="10"/>
      <c r="J118" s="8"/>
      <c r="K118" s="11">
        <v>45083</v>
      </c>
      <c r="L118" s="11">
        <v>45083</v>
      </c>
      <c r="M118" s="17" t="s">
        <v>55</v>
      </c>
      <c r="N118" s="17" t="s">
        <v>55</v>
      </c>
      <c r="O118" s="17" t="s">
        <v>55</v>
      </c>
      <c r="P118" s="9" t="s">
        <v>745</v>
      </c>
      <c r="Q118" s="20"/>
    </row>
    <row r="119" spans="1:17">
      <c r="A119" s="7">
        <v>118</v>
      </c>
      <c r="B119" s="8" t="s">
        <v>748</v>
      </c>
      <c r="C119" s="19" t="s">
        <v>749</v>
      </c>
      <c r="D119" s="8" t="s">
        <v>750</v>
      </c>
      <c r="E119" s="8" t="s">
        <v>751</v>
      </c>
      <c r="F119" s="8"/>
      <c r="G119" s="8" t="s">
        <v>52</v>
      </c>
      <c r="H119" s="10"/>
      <c r="I119" s="10"/>
      <c r="J119" s="8"/>
      <c r="K119" s="11">
        <v>45083</v>
      </c>
      <c r="L119" s="11">
        <v>45083</v>
      </c>
      <c r="M119" s="17" t="s">
        <v>55</v>
      </c>
      <c r="N119" s="17" t="s">
        <v>55</v>
      </c>
      <c r="O119" s="17" t="s">
        <v>55</v>
      </c>
      <c r="P119" s="9" t="s">
        <v>749</v>
      </c>
      <c r="Q119" s="20"/>
    </row>
    <row r="120" spans="1:17">
      <c r="A120" s="7">
        <v>119</v>
      </c>
      <c r="B120" s="8" t="s">
        <v>752</v>
      </c>
      <c r="C120" s="19" t="s">
        <v>753</v>
      </c>
      <c r="D120" s="8" t="s">
        <v>754</v>
      </c>
      <c r="E120" s="32" t="s">
        <v>755</v>
      </c>
      <c r="F120" s="8"/>
      <c r="G120" s="8" t="s">
        <v>52</v>
      </c>
      <c r="H120" s="10"/>
      <c r="I120" s="10"/>
      <c r="J120" s="8"/>
      <c r="K120" s="11">
        <v>45083</v>
      </c>
      <c r="L120" s="11">
        <v>45083</v>
      </c>
      <c r="M120" s="17" t="s">
        <v>55</v>
      </c>
      <c r="N120" s="17" t="s">
        <v>55</v>
      </c>
      <c r="O120" s="17" t="s">
        <v>55</v>
      </c>
      <c r="P120" s="9" t="s">
        <v>753</v>
      </c>
      <c r="Q120" s="20"/>
    </row>
    <row r="121" spans="1:17">
      <c r="A121" s="7">
        <v>120</v>
      </c>
      <c r="B121" s="8" t="s">
        <v>756</v>
      </c>
      <c r="C121" s="19" t="s">
        <v>757</v>
      </c>
      <c r="D121" s="8" t="s">
        <v>758</v>
      </c>
      <c r="E121" s="30" t="s">
        <v>759</v>
      </c>
      <c r="F121" s="8"/>
      <c r="G121" s="8" t="s">
        <v>52</v>
      </c>
      <c r="H121" s="10"/>
      <c r="I121" s="10"/>
      <c r="J121" s="8"/>
      <c r="K121" s="11">
        <v>45083</v>
      </c>
      <c r="L121" s="11">
        <v>45083</v>
      </c>
      <c r="M121" s="17" t="s">
        <v>55</v>
      </c>
      <c r="N121" s="17" t="s">
        <v>55</v>
      </c>
      <c r="O121" s="17" t="s">
        <v>55</v>
      </c>
      <c r="P121" s="9" t="s">
        <v>757</v>
      </c>
      <c r="Q121" s="20"/>
    </row>
    <row r="122" spans="1:17">
      <c r="A122" s="7">
        <v>121</v>
      </c>
      <c r="B122" s="8" t="s">
        <v>760</v>
      </c>
      <c r="C122" s="15" t="s">
        <v>761</v>
      </c>
      <c r="D122" s="8" t="s">
        <v>762</v>
      </c>
      <c r="E122" s="8" t="s">
        <v>762</v>
      </c>
      <c r="F122" s="8"/>
      <c r="G122" s="8" t="s">
        <v>52</v>
      </c>
      <c r="H122" s="10"/>
      <c r="I122" s="10"/>
      <c r="J122" s="8"/>
      <c r="K122" s="11">
        <v>45085</v>
      </c>
      <c r="L122" s="11">
        <v>45085</v>
      </c>
      <c r="M122" s="17" t="s">
        <v>55</v>
      </c>
      <c r="N122" s="17" t="s">
        <v>55</v>
      </c>
      <c r="O122" s="17" t="s">
        <v>55</v>
      </c>
      <c r="P122" s="9" t="s">
        <v>761</v>
      </c>
      <c r="Q122" s="24" t="s">
        <v>763</v>
      </c>
    </row>
    <row r="123" spans="1:17">
      <c r="A123" s="7">
        <v>122</v>
      </c>
      <c r="B123" s="8" t="s">
        <v>764</v>
      </c>
      <c r="C123" s="15" t="s">
        <v>765</v>
      </c>
      <c r="D123" s="8" t="s">
        <v>766</v>
      </c>
      <c r="E123" s="30" t="s">
        <v>767</v>
      </c>
      <c r="F123" s="8" t="s">
        <v>21</v>
      </c>
      <c r="G123" s="8" t="s">
        <v>52</v>
      </c>
      <c r="H123" s="28" t="s">
        <v>768</v>
      </c>
      <c r="I123" s="28" t="s">
        <v>769</v>
      </c>
      <c r="J123" s="8"/>
      <c r="K123" s="11">
        <v>45105</v>
      </c>
      <c r="L123" s="12">
        <v>45689</v>
      </c>
      <c r="M123" s="9" t="s">
        <v>770</v>
      </c>
      <c r="N123" s="17" t="s">
        <v>55</v>
      </c>
      <c r="O123" s="9" t="s">
        <v>771</v>
      </c>
      <c r="P123" s="25" t="s">
        <v>765</v>
      </c>
      <c r="Q123" s="14" t="s">
        <v>772</v>
      </c>
    </row>
    <row r="124" spans="1:17">
      <c r="A124" s="29">
        <v>123</v>
      </c>
      <c r="B124" s="29" t="s">
        <v>773</v>
      </c>
      <c r="C124" s="33" t="s">
        <v>774</v>
      </c>
      <c r="D124" s="29" t="s">
        <v>775</v>
      </c>
      <c r="E124" s="29" t="s">
        <v>776</v>
      </c>
      <c r="G124" s="29" t="s">
        <v>22</v>
      </c>
      <c r="H124" s="6"/>
      <c r="I124" s="6"/>
      <c r="K124" s="40">
        <v>45169</v>
      </c>
      <c r="L124" s="40">
        <v>45169</v>
      </c>
      <c r="M124" s="17" t="s">
        <v>55</v>
      </c>
      <c r="N124" s="17" t="s">
        <v>55</v>
      </c>
      <c r="O124" s="17" t="s">
        <v>55</v>
      </c>
      <c r="P124" s="9" t="s">
        <v>774</v>
      </c>
      <c r="Q124" s="41"/>
    </row>
    <row r="125" spans="1:17">
      <c r="A125" s="29">
        <v>124</v>
      </c>
      <c r="B125" s="29" t="s">
        <v>777</v>
      </c>
      <c r="C125" s="9" t="s">
        <v>778</v>
      </c>
      <c r="D125" s="29" t="s">
        <v>779</v>
      </c>
      <c r="E125" s="29" t="s">
        <v>780</v>
      </c>
      <c r="F125" s="29" t="s">
        <v>51</v>
      </c>
      <c r="G125" s="29" t="s">
        <v>52</v>
      </c>
      <c r="H125" s="6"/>
      <c r="I125" s="6"/>
      <c r="K125" s="40">
        <v>45348</v>
      </c>
      <c r="L125" s="12">
        <v>45689</v>
      </c>
      <c r="M125" s="9" t="s">
        <v>781</v>
      </c>
      <c r="N125" s="9" t="s">
        <v>778</v>
      </c>
      <c r="O125" s="9" t="s">
        <v>782</v>
      </c>
      <c r="P125" s="17" t="s">
        <v>55</v>
      </c>
      <c r="Q125" s="36" t="s">
        <v>783</v>
      </c>
    </row>
    <row r="126" spans="1:17">
      <c r="A126" s="29">
        <v>125</v>
      </c>
      <c r="B126" s="29" t="s">
        <v>784</v>
      </c>
      <c r="C126" s="33" t="s">
        <v>785</v>
      </c>
      <c r="D126" s="29" t="s">
        <v>786</v>
      </c>
      <c r="E126" s="29" t="s">
        <v>787</v>
      </c>
      <c r="G126" s="29" t="s">
        <v>22</v>
      </c>
      <c r="H126" s="6"/>
      <c r="I126" s="6"/>
      <c r="K126" s="40">
        <v>45520</v>
      </c>
      <c r="L126" s="40">
        <v>46053</v>
      </c>
      <c r="M126" s="17" t="s">
        <v>25</v>
      </c>
      <c r="N126" s="17" t="s">
        <v>55</v>
      </c>
      <c r="O126" s="17" t="s">
        <v>25</v>
      </c>
      <c r="P126" s="9" t="s">
        <v>785</v>
      </c>
      <c r="Q126" s="36" t="s">
        <v>788</v>
      </c>
    </row>
    <row r="127" spans="1:17">
      <c r="A127" s="29">
        <v>126</v>
      </c>
      <c r="B127" s="29" t="s">
        <v>789</v>
      </c>
      <c r="C127" s="33" t="s">
        <v>790</v>
      </c>
      <c r="D127" s="29" t="s">
        <v>791</v>
      </c>
      <c r="E127" s="29" t="s">
        <v>792</v>
      </c>
      <c r="G127" s="29" t="s">
        <v>22</v>
      </c>
      <c r="H127" s="6"/>
      <c r="I127" s="6"/>
      <c r="K127" s="40">
        <v>45436</v>
      </c>
      <c r="L127" s="40">
        <v>45988</v>
      </c>
      <c r="M127" s="17" t="s">
        <v>25</v>
      </c>
      <c r="N127" s="9" t="s">
        <v>790</v>
      </c>
      <c r="O127" s="17" t="s">
        <v>25</v>
      </c>
      <c r="P127" s="9" t="s">
        <v>793</v>
      </c>
      <c r="Q127" s="42" t="s">
        <v>794</v>
      </c>
    </row>
    <row r="128" spans="1:17">
      <c r="A128" s="29">
        <v>127</v>
      </c>
      <c r="B128" s="29" t="s">
        <v>795</v>
      </c>
      <c r="C128" s="33" t="s">
        <v>796</v>
      </c>
      <c r="D128" s="29" t="s">
        <v>797</v>
      </c>
      <c r="E128" s="29" t="s">
        <v>798</v>
      </c>
      <c r="F128" s="29" t="s">
        <v>68</v>
      </c>
      <c r="G128" s="29" t="s">
        <v>52</v>
      </c>
      <c r="H128" s="10"/>
      <c r="I128" s="10"/>
      <c r="K128" s="40">
        <v>45459</v>
      </c>
      <c r="L128" s="43"/>
      <c r="M128" s="17" t="s">
        <v>55</v>
      </c>
      <c r="N128" s="17" t="s">
        <v>55</v>
      </c>
      <c r="O128" s="17" t="s">
        <v>55</v>
      </c>
      <c r="P128" s="9" t="s">
        <v>796</v>
      </c>
      <c r="Q128" s="35" t="s">
        <v>799</v>
      </c>
    </row>
    <row r="129" spans="1:17">
      <c r="A129" s="29">
        <v>128</v>
      </c>
      <c r="B129" s="29" t="s">
        <v>800</v>
      </c>
      <c r="C129" s="44" t="s">
        <v>801</v>
      </c>
      <c r="D129" s="29" t="s">
        <v>802</v>
      </c>
      <c r="E129" s="29" t="s">
        <v>803</v>
      </c>
      <c r="F129" s="8" t="s">
        <v>21</v>
      </c>
      <c r="G129" s="29" t="s">
        <v>22</v>
      </c>
      <c r="H129" s="6"/>
      <c r="I129" s="6"/>
      <c r="K129" s="40">
        <v>45459</v>
      </c>
      <c r="L129" s="12">
        <v>45689</v>
      </c>
      <c r="M129" s="9" t="s">
        <v>804</v>
      </c>
      <c r="N129" s="17" t="s">
        <v>55</v>
      </c>
      <c r="O129" s="9" t="s">
        <v>805</v>
      </c>
      <c r="P129" s="44" t="s">
        <v>801</v>
      </c>
      <c r="Q129" s="42" t="s">
        <v>806</v>
      </c>
    </row>
    <row r="130" spans="1:17">
      <c r="A130" s="29">
        <v>129</v>
      </c>
      <c r="B130" s="29" t="s">
        <v>807</v>
      </c>
      <c r="C130" s="33" t="s">
        <v>808</v>
      </c>
      <c r="D130" s="29" t="s">
        <v>809</v>
      </c>
      <c r="E130" s="29" t="s">
        <v>810</v>
      </c>
      <c r="F130" s="8" t="s">
        <v>21</v>
      </c>
      <c r="G130" s="29" t="s">
        <v>22</v>
      </c>
      <c r="H130" s="6"/>
      <c r="I130" s="6"/>
      <c r="K130" s="40">
        <v>45459</v>
      </c>
      <c r="L130" s="12">
        <v>45689</v>
      </c>
      <c r="M130" s="9" t="s">
        <v>811</v>
      </c>
      <c r="N130" s="17" t="s">
        <v>55</v>
      </c>
      <c r="O130" s="9" t="s">
        <v>812</v>
      </c>
      <c r="P130" s="44" t="s">
        <v>808</v>
      </c>
      <c r="Q130" s="42" t="s">
        <v>813</v>
      </c>
    </row>
    <row r="131" spans="1:17">
      <c r="A131" s="29">
        <v>130</v>
      </c>
      <c r="B131" s="29" t="s">
        <v>814</v>
      </c>
      <c r="C131" s="44" t="s">
        <v>815</v>
      </c>
      <c r="D131" s="29" t="s">
        <v>816</v>
      </c>
      <c r="E131" s="29" t="s">
        <v>817</v>
      </c>
      <c r="F131" s="8" t="s">
        <v>21</v>
      </c>
      <c r="G131" s="29" t="s">
        <v>22</v>
      </c>
      <c r="H131" s="6"/>
      <c r="I131" s="6"/>
      <c r="K131" s="40">
        <v>45459</v>
      </c>
      <c r="L131" s="12">
        <v>45716</v>
      </c>
      <c r="M131" s="9" t="s">
        <v>818</v>
      </c>
      <c r="N131" s="17" t="s">
        <v>55</v>
      </c>
      <c r="O131" s="9" t="s">
        <v>819</v>
      </c>
      <c r="P131" s="44" t="s">
        <v>820</v>
      </c>
      <c r="Q131" s="42" t="s">
        <v>821</v>
      </c>
    </row>
    <row r="132" spans="1:17">
      <c r="A132" s="29">
        <v>131</v>
      </c>
      <c r="B132" s="29" t="s">
        <v>822</v>
      </c>
      <c r="C132" s="44" t="s">
        <v>823</v>
      </c>
      <c r="D132" s="29" t="s">
        <v>824</v>
      </c>
      <c r="E132" s="29" t="s">
        <v>825</v>
      </c>
      <c r="F132" s="8" t="s">
        <v>21</v>
      </c>
      <c r="G132" s="29" t="s">
        <v>22</v>
      </c>
      <c r="H132" s="6"/>
      <c r="I132" s="6"/>
      <c r="K132" s="40">
        <v>45459</v>
      </c>
      <c r="L132" s="12">
        <v>45689</v>
      </c>
      <c r="M132" s="9" t="s">
        <v>826</v>
      </c>
      <c r="N132" s="17" t="s">
        <v>55</v>
      </c>
      <c r="O132" s="25" t="s">
        <v>827</v>
      </c>
      <c r="P132" s="44" t="s">
        <v>823</v>
      </c>
      <c r="Q132" s="42" t="s">
        <v>828</v>
      </c>
    </row>
    <row r="133" spans="1:17">
      <c r="A133" s="29">
        <v>132</v>
      </c>
      <c r="B133" s="29" t="s">
        <v>829</v>
      </c>
      <c r="C133" s="44" t="s">
        <v>830</v>
      </c>
      <c r="D133" s="29" t="s">
        <v>831</v>
      </c>
      <c r="E133" s="29" t="s">
        <v>832</v>
      </c>
      <c r="F133" s="8" t="s">
        <v>21</v>
      </c>
      <c r="G133" s="29" t="s">
        <v>22</v>
      </c>
      <c r="H133" s="6"/>
      <c r="I133" s="6"/>
      <c r="K133" s="40">
        <v>45459</v>
      </c>
      <c r="L133" s="12">
        <v>45689</v>
      </c>
      <c r="M133" s="9" t="s">
        <v>833</v>
      </c>
      <c r="N133" s="17" t="s">
        <v>55</v>
      </c>
      <c r="O133" s="9" t="s">
        <v>834</v>
      </c>
      <c r="P133" s="44" t="s">
        <v>830</v>
      </c>
      <c r="Q133" s="42" t="s">
        <v>835</v>
      </c>
    </row>
    <row r="134" spans="1:17">
      <c r="A134" s="29">
        <v>133</v>
      </c>
      <c r="B134" s="29" t="s">
        <v>836</v>
      </c>
      <c r="C134" s="44" t="s">
        <v>837</v>
      </c>
      <c r="D134" s="29" t="s">
        <v>838</v>
      </c>
      <c r="E134" s="29" t="s">
        <v>839</v>
      </c>
      <c r="F134" s="8" t="s">
        <v>21</v>
      </c>
      <c r="G134" s="29" t="s">
        <v>22</v>
      </c>
      <c r="H134" s="6"/>
      <c r="I134" s="6"/>
      <c r="K134" s="40">
        <v>45459</v>
      </c>
      <c r="L134" s="12">
        <v>45689</v>
      </c>
      <c r="M134" s="9" t="s">
        <v>840</v>
      </c>
      <c r="N134" s="17" t="s">
        <v>55</v>
      </c>
      <c r="O134" s="25" t="s">
        <v>841</v>
      </c>
      <c r="P134" s="44" t="s">
        <v>837</v>
      </c>
      <c r="Q134" s="42" t="s">
        <v>842</v>
      </c>
    </row>
    <row r="135" spans="1:17">
      <c r="A135" s="29">
        <v>134</v>
      </c>
      <c r="B135" s="29" t="s">
        <v>843</v>
      </c>
      <c r="C135" s="34" t="s">
        <v>844</v>
      </c>
      <c r="D135" s="29" t="s">
        <v>845</v>
      </c>
      <c r="E135" s="29" t="s">
        <v>846</v>
      </c>
      <c r="F135" s="8" t="s">
        <v>222</v>
      </c>
      <c r="G135" s="29" t="s">
        <v>22</v>
      </c>
      <c r="H135" s="6"/>
      <c r="I135" s="6"/>
      <c r="K135" s="40">
        <v>45459</v>
      </c>
      <c r="L135" s="12">
        <v>45689</v>
      </c>
      <c r="M135" s="9" t="s">
        <v>847</v>
      </c>
      <c r="N135" s="9" t="s">
        <v>844</v>
      </c>
      <c r="O135" s="9" t="s">
        <v>848</v>
      </c>
      <c r="P135" s="17" t="s">
        <v>55</v>
      </c>
      <c r="Q135" s="45" t="s">
        <v>849</v>
      </c>
    </row>
    <row r="136" spans="1:17">
      <c r="A136" s="29">
        <v>135</v>
      </c>
      <c r="B136" s="29" t="s">
        <v>850</v>
      </c>
      <c r="C136" s="33" t="s">
        <v>851</v>
      </c>
      <c r="D136" s="29" t="s">
        <v>852</v>
      </c>
      <c r="E136" s="29" t="s">
        <v>853</v>
      </c>
      <c r="F136" s="29" t="s">
        <v>854</v>
      </c>
      <c r="G136" s="29" t="s">
        <v>52</v>
      </c>
      <c r="H136" s="6"/>
      <c r="I136" s="6"/>
      <c r="K136" s="40">
        <v>45459</v>
      </c>
      <c r="L136" s="40">
        <v>46188</v>
      </c>
      <c r="M136" s="17" t="s">
        <v>25</v>
      </c>
      <c r="N136" s="17" t="s">
        <v>55</v>
      </c>
      <c r="O136" s="17" t="s">
        <v>25</v>
      </c>
      <c r="P136" s="9" t="s">
        <v>851</v>
      </c>
      <c r="Q136" s="35" t="s">
        <v>855</v>
      </c>
    </row>
    <row r="137" spans="1:17">
      <c r="A137" s="29">
        <v>136</v>
      </c>
      <c r="B137" s="29" t="s">
        <v>856</v>
      </c>
      <c r="C137" s="33" t="s">
        <v>857</v>
      </c>
      <c r="D137" s="29" t="s">
        <v>858</v>
      </c>
      <c r="E137" s="29" t="s">
        <v>859</v>
      </c>
      <c r="F137" s="29" t="s">
        <v>860</v>
      </c>
      <c r="G137" s="29" t="s">
        <v>22</v>
      </c>
      <c r="H137" s="6"/>
      <c r="I137" s="6"/>
      <c r="K137" s="40">
        <v>45459</v>
      </c>
      <c r="L137" s="43"/>
      <c r="M137" s="17" t="s">
        <v>55</v>
      </c>
      <c r="N137" s="17" t="s">
        <v>55</v>
      </c>
      <c r="O137" s="17" t="s">
        <v>55</v>
      </c>
      <c r="P137" s="9" t="s">
        <v>857</v>
      </c>
      <c r="Q137" s="35" t="s">
        <v>861</v>
      </c>
    </row>
    <row r="138" spans="1:17">
      <c r="A138" s="29">
        <v>137</v>
      </c>
      <c r="B138" s="29" t="s">
        <v>862</v>
      </c>
      <c r="C138" s="33" t="s">
        <v>863</v>
      </c>
      <c r="D138" s="29" t="s">
        <v>864</v>
      </c>
      <c r="E138" s="29" t="s">
        <v>865</v>
      </c>
      <c r="F138" s="8" t="s">
        <v>39</v>
      </c>
      <c r="G138" s="29" t="s">
        <v>52</v>
      </c>
      <c r="H138" s="6"/>
      <c r="I138" s="6"/>
      <c r="K138" s="40">
        <v>45459</v>
      </c>
      <c r="L138" s="43"/>
      <c r="M138" s="17" t="s">
        <v>55</v>
      </c>
      <c r="N138" s="17" t="s">
        <v>55</v>
      </c>
      <c r="O138" s="17" t="s">
        <v>55</v>
      </c>
      <c r="P138" s="17" t="s">
        <v>55</v>
      </c>
      <c r="Q138" s="41"/>
    </row>
    <row r="139" spans="1:17">
      <c r="A139" s="29">
        <v>138</v>
      </c>
      <c r="B139" s="16" t="s">
        <v>866</v>
      </c>
      <c r="C139" s="33" t="s">
        <v>867</v>
      </c>
      <c r="D139" s="29" t="s">
        <v>868</v>
      </c>
      <c r="E139" s="29" t="s">
        <v>869</v>
      </c>
      <c r="F139" s="29" t="s">
        <v>222</v>
      </c>
      <c r="G139" s="29" t="s">
        <v>52</v>
      </c>
      <c r="H139" s="6"/>
      <c r="I139" s="6"/>
      <c r="K139" s="40">
        <v>45459</v>
      </c>
      <c r="L139" s="43"/>
      <c r="M139" s="17" t="s">
        <v>55</v>
      </c>
      <c r="N139" s="17" t="s">
        <v>55</v>
      </c>
      <c r="O139" s="17" t="s">
        <v>55</v>
      </c>
      <c r="P139" s="9" t="s">
        <v>867</v>
      </c>
      <c r="Q139" s="41"/>
    </row>
    <row r="140" spans="1:17">
      <c r="A140" s="29">
        <v>139</v>
      </c>
      <c r="B140" s="29" t="s">
        <v>870</v>
      </c>
      <c r="C140" s="33" t="s">
        <v>871</v>
      </c>
      <c r="D140" s="29" t="s">
        <v>872</v>
      </c>
      <c r="E140" s="29" t="s">
        <v>873</v>
      </c>
      <c r="F140" s="8" t="s">
        <v>39</v>
      </c>
      <c r="G140" s="29" t="s">
        <v>22</v>
      </c>
      <c r="H140" s="6"/>
      <c r="I140" s="6"/>
      <c r="K140" s="40">
        <v>45459</v>
      </c>
      <c r="L140" s="40">
        <v>46131</v>
      </c>
      <c r="M140" s="17" t="s">
        <v>25</v>
      </c>
      <c r="N140" s="17" t="s">
        <v>55</v>
      </c>
      <c r="O140" s="17" t="s">
        <v>55</v>
      </c>
      <c r="P140" s="9" t="s">
        <v>871</v>
      </c>
      <c r="Q140" s="35" t="s">
        <v>874</v>
      </c>
    </row>
    <row r="141" spans="1:17">
      <c r="A141" s="29">
        <v>140</v>
      </c>
      <c r="B141" s="29" t="s">
        <v>875</v>
      </c>
      <c r="C141" s="33" t="s">
        <v>876</v>
      </c>
      <c r="D141" s="29" t="s">
        <v>877</v>
      </c>
      <c r="E141" s="29" t="s">
        <v>878</v>
      </c>
      <c r="F141" s="8" t="s">
        <v>39</v>
      </c>
      <c r="G141" s="29" t="s">
        <v>52</v>
      </c>
      <c r="H141" s="6"/>
      <c r="I141" s="6"/>
      <c r="K141" s="40">
        <v>45459</v>
      </c>
      <c r="L141" s="43"/>
      <c r="M141" s="17" t="s">
        <v>55</v>
      </c>
      <c r="N141" s="17" t="s">
        <v>55</v>
      </c>
      <c r="O141" s="17" t="s">
        <v>55</v>
      </c>
      <c r="P141" s="17" t="s">
        <v>55</v>
      </c>
      <c r="Q141" s="41"/>
    </row>
    <row r="142" spans="1:17">
      <c r="A142" s="29">
        <v>141</v>
      </c>
      <c r="B142" s="29" t="s">
        <v>879</v>
      </c>
      <c r="C142" s="33" t="s">
        <v>880</v>
      </c>
      <c r="D142" s="29" t="s">
        <v>881</v>
      </c>
      <c r="E142" s="29" t="s">
        <v>882</v>
      </c>
      <c r="F142" s="29" t="s">
        <v>68</v>
      </c>
      <c r="G142" s="29" t="s">
        <v>22</v>
      </c>
      <c r="H142" s="6"/>
      <c r="I142" s="6"/>
      <c r="K142" s="40">
        <v>45459</v>
      </c>
      <c r="L142" s="43"/>
      <c r="M142" s="17" t="s">
        <v>55</v>
      </c>
      <c r="N142" s="17" t="s">
        <v>55</v>
      </c>
      <c r="O142" s="17" t="s">
        <v>55</v>
      </c>
      <c r="P142" s="9" t="s">
        <v>880</v>
      </c>
      <c r="Q142" s="41"/>
    </row>
    <row r="143" spans="1:17">
      <c r="A143" s="29">
        <v>142</v>
      </c>
      <c r="B143" s="29" t="s">
        <v>883</v>
      </c>
      <c r="C143" s="33" t="s">
        <v>884</v>
      </c>
      <c r="D143" s="29" t="s">
        <v>885</v>
      </c>
      <c r="E143" s="29" t="s">
        <v>886</v>
      </c>
      <c r="F143" s="29" t="s">
        <v>887</v>
      </c>
      <c r="G143" s="29" t="s">
        <v>52</v>
      </c>
      <c r="H143" s="6"/>
      <c r="I143" s="6"/>
      <c r="K143" s="40">
        <v>45459</v>
      </c>
      <c r="L143" s="43"/>
      <c r="M143" s="17" t="s">
        <v>55</v>
      </c>
      <c r="N143" s="17" t="s">
        <v>55</v>
      </c>
      <c r="O143" s="17" t="s">
        <v>55</v>
      </c>
      <c r="P143" s="9" t="s">
        <v>884</v>
      </c>
      <c r="Q143" s="41"/>
    </row>
    <row r="144" spans="1:17">
      <c r="A144" s="29">
        <v>143</v>
      </c>
      <c r="B144" s="29" t="s">
        <v>888</v>
      </c>
      <c r="C144" s="33" t="s">
        <v>889</v>
      </c>
      <c r="D144" s="29" t="s">
        <v>890</v>
      </c>
      <c r="E144" s="29" t="s">
        <v>891</v>
      </c>
      <c r="F144" s="8" t="s">
        <v>21</v>
      </c>
      <c r="G144" s="29" t="s">
        <v>52</v>
      </c>
      <c r="H144" s="6"/>
      <c r="I144" s="6"/>
      <c r="K144" s="40">
        <v>45459</v>
      </c>
      <c r="L144" s="40">
        <v>45717</v>
      </c>
      <c r="M144" s="17" t="s">
        <v>55</v>
      </c>
      <c r="N144" s="17" t="s">
        <v>55</v>
      </c>
      <c r="O144" s="17" t="s">
        <v>55</v>
      </c>
      <c r="P144" s="9" t="s">
        <v>889</v>
      </c>
      <c r="Q144" s="35" t="s">
        <v>892</v>
      </c>
    </row>
    <row r="145" spans="1:17">
      <c r="A145" s="29">
        <v>144</v>
      </c>
      <c r="B145" s="29" t="s">
        <v>893</v>
      </c>
      <c r="C145" s="33" t="s">
        <v>894</v>
      </c>
      <c r="D145" s="16" t="s">
        <v>895</v>
      </c>
      <c r="E145" s="29" t="s">
        <v>896</v>
      </c>
      <c r="F145" s="8" t="s">
        <v>305</v>
      </c>
      <c r="G145" s="29" t="s">
        <v>52</v>
      </c>
      <c r="H145" s="6"/>
      <c r="I145" s="6"/>
      <c r="K145" s="40">
        <v>45459</v>
      </c>
      <c r="L145" s="40">
        <v>46053</v>
      </c>
      <c r="M145" s="17" t="s">
        <v>25</v>
      </c>
      <c r="N145" s="17" t="s">
        <v>55</v>
      </c>
      <c r="O145" s="17" t="s">
        <v>25</v>
      </c>
      <c r="P145" s="9" t="s">
        <v>894</v>
      </c>
      <c r="Q145" s="35" t="s">
        <v>897</v>
      </c>
    </row>
    <row r="146" spans="1:17">
      <c r="A146" s="29">
        <v>145</v>
      </c>
      <c r="B146" s="29" t="s">
        <v>898</v>
      </c>
      <c r="C146" s="33" t="s">
        <v>899</v>
      </c>
      <c r="D146" s="29" t="s">
        <v>900</v>
      </c>
      <c r="E146" s="29" t="s">
        <v>901</v>
      </c>
      <c r="F146" s="29" t="s">
        <v>902</v>
      </c>
      <c r="G146" s="29" t="s">
        <v>52</v>
      </c>
      <c r="H146" s="6"/>
      <c r="I146" s="6"/>
      <c r="K146" s="40">
        <v>45459</v>
      </c>
      <c r="L146" s="43"/>
      <c r="M146" s="17" t="s">
        <v>55</v>
      </c>
      <c r="N146" s="17" t="s">
        <v>55</v>
      </c>
      <c r="O146" s="17" t="s">
        <v>55</v>
      </c>
      <c r="P146" s="9" t="s">
        <v>899</v>
      </c>
      <c r="Q146" s="41"/>
    </row>
    <row r="147" spans="1:17">
      <c r="A147" s="29">
        <v>146</v>
      </c>
      <c r="B147" s="29" t="s">
        <v>903</v>
      </c>
      <c r="C147" s="33" t="s">
        <v>904</v>
      </c>
      <c r="D147" s="29" t="s">
        <v>905</v>
      </c>
      <c r="E147" s="29" t="s">
        <v>906</v>
      </c>
      <c r="F147" s="29" t="s">
        <v>907</v>
      </c>
      <c r="G147" s="29" t="s">
        <v>22</v>
      </c>
      <c r="H147" s="6"/>
      <c r="I147" s="6"/>
      <c r="K147" s="40">
        <v>45459</v>
      </c>
      <c r="L147" s="43"/>
      <c r="M147" s="17" t="s">
        <v>55</v>
      </c>
      <c r="N147" s="17" t="s">
        <v>55</v>
      </c>
      <c r="O147" s="17" t="s">
        <v>55</v>
      </c>
      <c r="P147" s="9" t="s">
        <v>904</v>
      </c>
      <c r="Q147" s="41"/>
    </row>
    <row r="148" spans="1:17">
      <c r="A148" s="29">
        <v>147</v>
      </c>
      <c r="B148" s="29" t="s">
        <v>908</v>
      </c>
      <c r="C148" s="33" t="s">
        <v>909</v>
      </c>
      <c r="D148" s="29" t="s">
        <v>910</v>
      </c>
      <c r="E148" s="29" t="s">
        <v>911</v>
      </c>
      <c r="F148" s="29" t="s">
        <v>907</v>
      </c>
      <c r="G148" s="29" t="s">
        <v>22</v>
      </c>
      <c r="H148" s="6"/>
      <c r="I148" s="6"/>
      <c r="K148" s="40">
        <v>45459</v>
      </c>
      <c r="L148" s="43"/>
      <c r="M148" s="17" t="s">
        <v>55</v>
      </c>
      <c r="N148" s="17" t="s">
        <v>55</v>
      </c>
      <c r="O148" s="17" t="s">
        <v>55</v>
      </c>
      <c r="P148" s="9" t="s">
        <v>909</v>
      </c>
      <c r="Q148" s="41"/>
    </row>
    <row r="149" spans="1:17">
      <c r="A149" s="29">
        <v>148</v>
      </c>
      <c r="B149" s="29" t="s">
        <v>912</v>
      </c>
      <c r="C149" s="33" t="s">
        <v>913</v>
      </c>
      <c r="D149" s="46" t="s">
        <v>914</v>
      </c>
      <c r="E149" s="29" t="s">
        <v>915</v>
      </c>
      <c r="F149" s="29" t="s">
        <v>916</v>
      </c>
      <c r="G149" s="29" t="s">
        <v>52</v>
      </c>
      <c r="H149" s="6"/>
      <c r="I149" s="6"/>
      <c r="K149" s="40">
        <v>45459</v>
      </c>
      <c r="L149" s="43"/>
      <c r="M149" s="17" t="s">
        <v>55</v>
      </c>
      <c r="N149" s="17" t="s">
        <v>55</v>
      </c>
      <c r="O149" s="17" t="s">
        <v>55</v>
      </c>
      <c r="P149" s="9" t="s">
        <v>913</v>
      </c>
      <c r="Q149" s="41"/>
    </row>
    <row r="150" spans="1:17">
      <c r="A150" s="29">
        <v>149</v>
      </c>
      <c r="B150" s="29" t="s">
        <v>917</v>
      </c>
      <c r="C150" s="33" t="s">
        <v>918</v>
      </c>
      <c r="D150" s="29" t="s">
        <v>919</v>
      </c>
      <c r="E150" s="29" t="s">
        <v>920</v>
      </c>
      <c r="F150" s="8" t="s">
        <v>21</v>
      </c>
      <c r="G150" s="29" t="s">
        <v>52</v>
      </c>
      <c r="H150" s="6"/>
      <c r="I150" s="6"/>
      <c r="K150" s="40">
        <v>45459</v>
      </c>
      <c r="L150" s="43"/>
      <c r="M150" s="17" t="s">
        <v>55</v>
      </c>
      <c r="N150" s="17" t="s">
        <v>55</v>
      </c>
      <c r="O150" s="17" t="s">
        <v>55</v>
      </c>
      <c r="P150" s="9" t="s">
        <v>918</v>
      </c>
      <c r="Q150" s="35" t="s">
        <v>921</v>
      </c>
    </row>
    <row r="151" spans="1:17">
      <c r="A151" s="29">
        <v>150</v>
      </c>
      <c r="B151" s="29" t="s">
        <v>922</v>
      </c>
      <c r="C151" s="33" t="s">
        <v>923</v>
      </c>
      <c r="D151" s="29" t="s">
        <v>924</v>
      </c>
      <c r="E151" s="29" t="s">
        <v>925</v>
      </c>
      <c r="F151" s="29" t="s">
        <v>233</v>
      </c>
      <c r="G151" s="29" t="s">
        <v>52</v>
      </c>
      <c r="H151" s="6"/>
      <c r="I151" s="6"/>
      <c r="K151" s="40">
        <v>45459</v>
      </c>
      <c r="L151" s="43"/>
      <c r="M151" s="17" t="s">
        <v>55</v>
      </c>
      <c r="N151" s="17" t="s">
        <v>55</v>
      </c>
      <c r="O151" s="17" t="s">
        <v>55</v>
      </c>
      <c r="P151" s="9" t="s">
        <v>923</v>
      </c>
      <c r="Q151" s="41"/>
    </row>
    <row r="152" spans="1:17">
      <c r="A152" s="29">
        <v>151</v>
      </c>
      <c r="B152" s="29" t="s">
        <v>926</v>
      </c>
      <c r="C152" s="33" t="s">
        <v>927</v>
      </c>
      <c r="D152" s="29" t="s">
        <v>928</v>
      </c>
      <c r="E152" s="29" t="s">
        <v>929</v>
      </c>
      <c r="F152" s="29" t="s">
        <v>233</v>
      </c>
      <c r="G152" s="29" t="s">
        <v>52</v>
      </c>
      <c r="H152" s="6"/>
      <c r="I152" s="6"/>
      <c r="K152" s="40">
        <v>45459</v>
      </c>
      <c r="L152" s="43"/>
      <c r="M152" s="17" t="s">
        <v>55</v>
      </c>
      <c r="N152" s="17" t="s">
        <v>55</v>
      </c>
      <c r="O152" s="17" t="s">
        <v>55</v>
      </c>
      <c r="P152" s="9" t="s">
        <v>927</v>
      </c>
      <c r="Q152" s="41"/>
    </row>
    <row r="153" spans="1:17">
      <c r="A153" s="29">
        <v>152</v>
      </c>
      <c r="B153" s="29" t="s">
        <v>930</v>
      </c>
      <c r="C153" s="33" t="s">
        <v>931</v>
      </c>
      <c r="D153" s="29" t="s">
        <v>932</v>
      </c>
      <c r="E153" s="29" t="s">
        <v>933</v>
      </c>
      <c r="F153" s="29" t="s">
        <v>233</v>
      </c>
      <c r="G153" s="29" t="s">
        <v>52</v>
      </c>
      <c r="H153" s="6"/>
      <c r="I153" s="6"/>
      <c r="K153" s="40">
        <v>45459</v>
      </c>
      <c r="L153" s="43"/>
      <c r="M153" s="17" t="s">
        <v>55</v>
      </c>
      <c r="N153" s="17" t="s">
        <v>55</v>
      </c>
      <c r="O153" s="17" t="s">
        <v>55</v>
      </c>
      <c r="P153" s="9" t="s">
        <v>931</v>
      </c>
      <c r="Q153" s="41"/>
    </row>
    <row r="154" spans="1:17">
      <c r="A154" s="29">
        <v>153</v>
      </c>
      <c r="B154" s="29" t="s">
        <v>934</v>
      </c>
      <c r="C154" s="33" t="s">
        <v>935</v>
      </c>
      <c r="D154" s="29" t="s">
        <v>936</v>
      </c>
      <c r="E154" s="29" t="s">
        <v>937</v>
      </c>
      <c r="F154" s="8" t="s">
        <v>21</v>
      </c>
      <c r="G154" s="29" t="s">
        <v>22</v>
      </c>
      <c r="H154" s="6"/>
      <c r="I154" s="6"/>
      <c r="K154" s="40">
        <v>45459</v>
      </c>
      <c r="L154" s="40">
        <v>45717</v>
      </c>
      <c r="M154" s="9" t="s">
        <v>938</v>
      </c>
      <c r="N154" s="17" t="s">
        <v>55</v>
      </c>
      <c r="O154" s="9" t="s">
        <v>939</v>
      </c>
      <c r="P154" s="9" t="s">
        <v>935</v>
      </c>
      <c r="Q154" s="35" t="s">
        <v>940</v>
      </c>
    </row>
    <row r="155" spans="1:17">
      <c r="A155" s="29">
        <v>154</v>
      </c>
      <c r="B155" s="29" t="s">
        <v>941</v>
      </c>
      <c r="C155" s="33" t="s">
        <v>942</v>
      </c>
      <c r="D155" s="29" t="s">
        <v>943</v>
      </c>
      <c r="E155" s="29" t="s">
        <v>944</v>
      </c>
      <c r="F155" s="8" t="s">
        <v>21</v>
      </c>
      <c r="G155" s="29" t="s">
        <v>22</v>
      </c>
      <c r="H155" s="6"/>
      <c r="I155" s="6"/>
      <c r="K155" s="40">
        <v>45459</v>
      </c>
      <c r="L155" s="40">
        <v>45750</v>
      </c>
      <c r="M155" s="9" t="s">
        <v>945</v>
      </c>
      <c r="N155" s="17" t="s">
        <v>55</v>
      </c>
      <c r="O155" s="9" t="s">
        <v>946</v>
      </c>
      <c r="P155" s="9" t="s">
        <v>942</v>
      </c>
      <c r="Q155" s="35" t="s">
        <v>947</v>
      </c>
    </row>
    <row r="156" spans="1:17">
      <c r="A156" s="29">
        <v>155</v>
      </c>
      <c r="B156" s="29" t="s">
        <v>948</v>
      </c>
      <c r="C156" s="33" t="s">
        <v>949</v>
      </c>
      <c r="D156" s="29" t="s">
        <v>950</v>
      </c>
      <c r="E156" s="29" t="s">
        <v>951</v>
      </c>
      <c r="F156" s="29" t="s">
        <v>233</v>
      </c>
      <c r="G156" s="29" t="s">
        <v>52</v>
      </c>
      <c r="H156" s="6"/>
      <c r="I156" s="6"/>
      <c r="K156" s="40">
        <v>45459</v>
      </c>
      <c r="L156" s="43"/>
      <c r="M156" s="17" t="s">
        <v>55</v>
      </c>
      <c r="N156" s="17" t="s">
        <v>55</v>
      </c>
      <c r="O156" s="17" t="s">
        <v>55</v>
      </c>
      <c r="P156" s="9" t="s">
        <v>949</v>
      </c>
      <c r="Q156" s="41"/>
    </row>
    <row r="157" spans="1:17">
      <c r="A157" s="29">
        <v>156</v>
      </c>
      <c r="B157" s="29" t="s">
        <v>952</v>
      </c>
      <c r="C157" s="9" t="s">
        <v>953</v>
      </c>
      <c r="D157" s="29" t="s">
        <v>954</v>
      </c>
      <c r="E157" s="29" t="s">
        <v>955</v>
      </c>
      <c r="F157" s="8" t="s">
        <v>21</v>
      </c>
      <c r="G157" s="29" t="s">
        <v>22</v>
      </c>
      <c r="H157" s="6"/>
      <c r="I157" s="6"/>
      <c r="K157" s="40">
        <v>45459</v>
      </c>
      <c r="L157" s="40">
        <v>45689</v>
      </c>
      <c r="M157" s="9" t="s">
        <v>956</v>
      </c>
      <c r="N157" s="9" t="s">
        <v>953</v>
      </c>
      <c r="O157" s="9" t="s">
        <v>957</v>
      </c>
      <c r="P157" s="25" t="s">
        <v>958</v>
      </c>
      <c r="Q157" s="45" t="s">
        <v>959</v>
      </c>
    </row>
    <row r="158" spans="1:17">
      <c r="A158" s="29">
        <v>157</v>
      </c>
      <c r="B158" s="29" t="s">
        <v>960</v>
      </c>
      <c r="C158" s="34" t="s">
        <v>961</v>
      </c>
      <c r="D158" s="29" t="s">
        <v>962</v>
      </c>
      <c r="E158" s="29" t="s">
        <v>962</v>
      </c>
      <c r="F158" s="29" t="s">
        <v>887</v>
      </c>
      <c r="G158" s="29" t="s">
        <v>52</v>
      </c>
      <c r="H158" s="6"/>
      <c r="I158" s="6"/>
      <c r="K158" s="40">
        <v>45459</v>
      </c>
      <c r="L158" s="43"/>
      <c r="M158" s="17" t="s">
        <v>55</v>
      </c>
      <c r="N158" s="17" t="s">
        <v>55</v>
      </c>
      <c r="O158" s="17" t="s">
        <v>55</v>
      </c>
      <c r="P158" s="17" t="s">
        <v>55</v>
      </c>
      <c r="Q158" s="41"/>
    </row>
    <row r="159" spans="1:17">
      <c r="A159" s="29">
        <v>158</v>
      </c>
      <c r="B159" s="29" t="s">
        <v>963</v>
      </c>
      <c r="C159" s="33" t="s">
        <v>964</v>
      </c>
      <c r="D159" s="29" t="s">
        <v>965</v>
      </c>
      <c r="E159" s="29" t="s">
        <v>966</v>
      </c>
      <c r="F159" s="29" t="s">
        <v>967</v>
      </c>
      <c r="G159" s="29" t="s">
        <v>52</v>
      </c>
      <c r="H159" s="6"/>
      <c r="I159" s="6"/>
      <c r="K159" s="40">
        <v>45459</v>
      </c>
      <c r="L159" s="43"/>
      <c r="M159" s="17" t="s">
        <v>55</v>
      </c>
      <c r="N159" s="17" t="s">
        <v>55</v>
      </c>
      <c r="O159" s="17" t="s">
        <v>55</v>
      </c>
      <c r="P159" s="9" t="s">
        <v>964</v>
      </c>
      <c r="Q159" s="41"/>
    </row>
    <row r="160" spans="1:17">
      <c r="A160" s="29">
        <v>159</v>
      </c>
      <c r="B160" s="29" t="s">
        <v>968</v>
      </c>
      <c r="C160" s="33" t="s">
        <v>969</v>
      </c>
      <c r="D160" s="29" t="s">
        <v>970</v>
      </c>
      <c r="E160" s="29" t="s">
        <v>971</v>
      </c>
      <c r="F160" s="29" t="s">
        <v>21</v>
      </c>
      <c r="G160" s="29" t="s">
        <v>22</v>
      </c>
      <c r="H160" s="47" t="s">
        <v>972</v>
      </c>
      <c r="I160" s="6"/>
      <c r="K160" s="40">
        <v>45459</v>
      </c>
      <c r="L160" s="40">
        <v>45818</v>
      </c>
      <c r="M160" s="9" t="s">
        <v>973</v>
      </c>
      <c r="N160" s="17" t="s">
        <v>55</v>
      </c>
      <c r="O160" s="9" t="s">
        <v>974</v>
      </c>
      <c r="P160" s="9" t="s">
        <v>969</v>
      </c>
      <c r="Q160" s="35" t="s">
        <v>975</v>
      </c>
    </row>
    <row r="161" spans="1:17">
      <c r="A161" s="29">
        <v>160</v>
      </c>
      <c r="B161" s="29" t="s">
        <v>976</v>
      </c>
      <c r="C161" s="33" t="s">
        <v>977</v>
      </c>
      <c r="D161" s="29" t="s">
        <v>978</v>
      </c>
      <c r="E161" s="29" t="s">
        <v>979</v>
      </c>
      <c r="F161" s="29" t="s">
        <v>21</v>
      </c>
      <c r="G161" s="29" t="s">
        <v>22</v>
      </c>
      <c r="H161" s="47" t="s">
        <v>980</v>
      </c>
      <c r="I161" s="6"/>
      <c r="K161" s="40">
        <v>45459</v>
      </c>
      <c r="L161" s="40">
        <v>45750</v>
      </c>
      <c r="M161" s="9" t="s">
        <v>981</v>
      </c>
      <c r="N161" s="17" t="s">
        <v>55</v>
      </c>
      <c r="O161" s="9" t="s">
        <v>982</v>
      </c>
      <c r="P161" s="9" t="s">
        <v>977</v>
      </c>
      <c r="Q161" s="45" t="s">
        <v>983</v>
      </c>
    </row>
    <row r="162" spans="1:17">
      <c r="A162" s="29">
        <v>161</v>
      </c>
      <c r="B162" s="29" t="s">
        <v>984</v>
      </c>
      <c r="C162" s="33" t="s">
        <v>985</v>
      </c>
      <c r="D162" s="29" t="s">
        <v>986</v>
      </c>
      <c r="E162" s="29" t="s">
        <v>439</v>
      </c>
      <c r="F162" s="29" t="s">
        <v>987</v>
      </c>
      <c r="G162" s="29" t="s">
        <v>52</v>
      </c>
      <c r="H162" s="6"/>
      <c r="I162" s="6"/>
      <c r="K162" s="40">
        <v>45459</v>
      </c>
      <c r="L162" s="43"/>
      <c r="M162" s="17" t="s">
        <v>55</v>
      </c>
      <c r="N162" s="17" t="s">
        <v>55</v>
      </c>
      <c r="O162" s="17" t="s">
        <v>55</v>
      </c>
      <c r="P162" s="9" t="s">
        <v>985</v>
      </c>
      <c r="Q162" s="41"/>
    </row>
    <row r="163" spans="1:17">
      <c r="A163" s="29">
        <v>162</v>
      </c>
      <c r="B163" s="29" t="s">
        <v>988</v>
      </c>
      <c r="C163" s="9" t="s">
        <v>989</v>
      </c>
      <c r="D163" s="29" t="s">
        <v>990</v>
      </c>
      <c r="E163" s="29" t="s">
        <v>991</v>
      </c>
      <c r="F163" s="29" t="s">
        <v>21</v>
      </c>
      <c r="G163" s="29" t="s">
        <v>22</v>
      </c>
      <c r="H163" s="6"/>
      <c r="I163" s="6"/>
      <c r="K163" s="40">
        <v>45459</v>
      </c>
      <c r="L163" s="40">
        <v>45689</v>
      </c>
      <c r="M163" s="9" t="s">
        <v>992</v>
      </c>
      <c r="N163" s="17" t="s">
        <v>55</v>
      </c>
      <c r="O163" s="9" t="s">
        <v>993</v>
      </c>
      <c r="P163" s="33" t="s">
        <v>989</v>
      </c>
      <c r="Q163" s="45" t="s">
        <v>994</v>
      </c>
    </row>
    <row r="164" spans="1:17">
      <c r="A164" s="29">
        <v>163</v>
      </c>
      <c r="B164" s="29" t="s">
        <v>995</v>
      </c>
      <c r="C164" s="33" t="s">
        <v>996</v>
      </c>
      <c r="D164" s="29" t="s">
        <v>997</v>
      </c>
      <c r="E164" s="29" t="s">
        <v>998</v>
      </c>
      <c r="F164" s="29" t="s">
        <v>999</v>
      </c>
      <c r="G164" s="29" t="s">
        <v>22</v>
      </c>
      <c r="H164" s="6"/>
      <c r="I164" s="6"/>
      <c r="K164" s="40">
        <v>45459</v>
      </c>
      <c r="L164" s="40">
        <v>45830</v>
      </c>
      <c r="M164" s="9" t="s">
        <v>1000</v>
      </c>
      <c r="N164" s="17" t="s">
        <v>55</v>
      </c>
      <c r="O164" s="9" t="s">
        <v>1001</v>
      </c>
      <c r="P164" s="9" t="s">
        <v>996</v>
      </c>
      <c r="Q164" s="35" t="s">
        <v>1002</v>
      </c>
    </row>
    <row r="165" spans="1:17">
      <c r="A165" s="29">
        <v>164</v>
      </c>
      <c r="B165" s="29" t="s">
        <v>1003</v>
      </c>
      <c r="C165" s="9" t="s">
        <v>1004</v>
      </c>
      <c r="D165" s="29" t="s">
        <v>1005</v>
      </c>
      <c r="E165" s="29" t="s">
        <v>1006</v>
      </c>
      <c r="F165" s="29" t="s">
        <v>999</v>
      </c>
      <c r="G165" s="29" t="s">
        <v>22</v>
      </c>
      <c r="H165" s="6"/>
      <c r="I165" s="6"/>
      <c r="K165" s="40">
        <v>45459</v>
      </c>
      <c r="L165" s="40">
        <v>45830</v>
      </c>
      <c r="M165" s="9" t="s">
        <v>1007</v>
      </c>
      <c r="N165" s="17" t="s">
        <v>55</v>
      </c>
      <c r="O165" s="9" t="s">
        <v>1008</v>
      </c>
      <c r="P165" s="9" t="s">
        <v>1004</v>
      </c>
      <c r="Q165" s="35" t="s">
        <v>1009</v>
      </c>
    </row>
    <row r="166" spans="1:17">
      <c r="A166" s="29">
        <v>165</v>
      </c>
      <c r="B166" s="29" t="s">
        <v>1010</v>
      </c>
      <c r="C166" s="33" t="s">
        <v>1011</v>
      </c>
      <c r="D166" s="29" t="s">
        <v>1012</v>
      </c>
      <c r="E166" s="29" t="s">
        <v>1013</v>
      </c>
      <c r="F166" s="29" t="s">
        <v>999</v>
      </c>
      <c r="G166" s="29" t="s">
        <v>22</v>
      </c>
      <c r="H166" s="6"/>
      <c r="I166" s="6"/>
      <c r="K166" s="40">
        <v>45459</v>
      </c>
      <c r="L166" s="40">
        <v>45861</v>
      </c>
      <c r="M166" s="9" t="s">
        <v>1014</v>
      </c>
      <c r="N166" s="9" t="s">
        <v>1011</v>
      </c>
      <c r="O166" s="9" t="s">
        <v>1015</v>
      </c>
      <c r="P166" s="9" t="s">
        <v>1016</v>
      </c>
      <c r="Q166" s="35" t="s">
        <v>1016</v>
      </c>
    </row>
    <row r="167" spans="1:17">
      <c r="A167" s="29">
        <v>166</v>
      </c>
      <c r="B167" s="29" t="s">
        <v>1017</v>
      </c>
      <c r="C167" s="33" t="s">
        <v>894</v>
      </c>
      <c r="D167" s="29" t="s">
        <v>1018</v>
      </c>
      <c r="E167" s="29" t="s">
        <v>896</v>
      </c>
      <c r="F167" s="8" t="s">
        <v>305</v>
      </c>
      <c r="G167" s="29" t="s">
        <v>52</v>
      </c>
      <c r="H167" s="6"/>
      <c r="I167" s="6"/>
      <c r="K167" s="40">
        <v>45466</v>
      </c>
      <c r="L167" s="40">
        <v>46053</v>
      </c>
      <c r="M167" s="17" t="s">
        <v>25</v>
      </c>
      <c r="N167" s="17" t="s">
        <v>55</v>
      </c>
      <c r="O167" s="17" t="s">
        <v>25</v>
      </c>
      <c r="P167" s="33" t="s">
        <v>894</v>
      </c>
      <c r="Q167" s="9" t="s">
        <v>897</v>
      </c>
    </row>
    <row r="168" spans="1:17">
      <c r="A168" s="29">
        <v>167</v>
      </c>
      <c r="B168" s="29" t="s">
        <v>1019</v>
      </c>
      <c r="C168" s="9" t="s">
        <v>1020</v>
      </c>
      <c r="D168" s="29" t="s">
        <v>1021</v>
      </c>
      <c r="E168" s="29" t="s">
        <v>1022</v>
      </c>
      <c r="F168" s="8" t="s">
        <v>129</v>
      </c>
      <c r="G168" s="29" t="s">
        <v>52</v>
      </c>
      <c r="H168" s="6"/>
      <c r="I168" s="6"/>
      <c r="K168" s="40">
        <v>45558</v>
      </c>
      <c r="L168" s="40">
        <v>45689</v>
      </c>
      <c r="M168" s="9" t="s">
        <v>1023</v>
      </c>
      <c r="N168" s="9" t="s">
        <v>1020</v>
      </c>
      <c r="O168" s="9" t="s">
        <v>1024</v>
      </c>
      <c r="P168" s="17" t="s">
        <v>55</v>
      </c>
      <c r="Q168" s="45" t="s">
        <v>1025</v>
      </c>
    </row>
    <row r="169" spans="1:17">
      <c r="A169" s="29">
        <v>168</v>
      </c>
      <c r="B169" s="29" t="s">
        <v>1026</v>
      </c>
      <c r="C169" s="25" t="s">
        <v>1027</v>
      </c>
      <c r="D169" s="29" t="s">
        <v>1028</v>
      </c>
      <c r="E169" s="17" t="s">
        <v>1029</v>
      </c>
      <c r="F169" s="8" t="s">
        <v>39</v>
      </c>
      <c r="G169" s="29" t="s">
        <v>22</v>
      </c>
      <c r="H169" s="6"/>
      <c r="I169" s="6"/>
      <c r="K169" s="40">
        <v>45678</v>
      </c>
      <c r="L169" s="43"/>
      <c r="M169" s="17" t="s">
        <v>55</v>
      </c>
      <c r="N169" s="17" t="s">
        <v>55</v>
      </c>
      <c r="O169" s="17" t="s">
        <v>55</v>
      </c>
      <c r="P169" s="25" t="s">
        <v>1027</v>
      </c>
      <c r="Q169" s="41"/>
    </row>
    <row r="170" spans="1:17">
      <c r="A170" s="29">
        <v>169</v>
      </c>
      <c r="B170" s="29" t="s">
        <v>1030</v>
      </c>
      <c r="C170" s="9" t="s">
        <v>1031</v>
      </c>
      <c r="D170" s="17" t="s">
        <v>1032</v>
      </c>
      <c r="E170" s="17" t="s">
        <v>1033</v>
      </c>
      <c r="F170" s="8" t="s">
        <v>39</v>
      </c>
      <c r="G170" s="29" t="s">
        <v>22</v>
      </c>
      <c r="H170" s="6"/>
      <c r="I170" s="6"/>
      <c r="K170" s="40">
        <v>45742</v>
      </c>
      <c r="L170" s="43"/>
      <c r="M170" s="17" t="s">
        <v>55</v>
      </c>
      <c r="N170" s="29" t="s">
        <v>55</v>
      </c>
      <c r="O170" s="29" t="s">
        <v>55</v>
      </c>
      <c r="P170" s="9" t="s">
        <v>1031</v>
      </c>
      <c r="Q170" s="41"/>
    </row>
    <row r="171" spans="1:17">
      <c r="A171" s="29">
        <v>170</v>
      </c>
      <c r="B171" s="29" t="s">
        <v>1034</v>
      </c>
      <c r="C171" s="9" t="s">
        <v>1035</v>
      </c>
      <c r="D171" s="17" t="s">
        <v>1036</v>
      </c>
      <c r="E171" s="17" t="s">
        <v>1037</v>
      </c>
      <c r="F171" s="17" t="s">
        <v>1038</v>
      </c>
      <c r="G171" s="29" t="s">
        <v>22</v>
      </c>
      <c r="H171" s="6"/>
      <c r="I171" s="6"/>
      <c r="K171" s="40">
        <v>45742</v>
      </c>
      <c r="L171" s="43"/>
      <c r="M171" s="9" t="s">
        <v>1039</v>
      </c>
      <c r="N171" s="9" t="s">
        <v>1035</v>
      </c>
      <c r="O171" s="9" t="s">
        <v>1040</v>
      </c>
      <c r="P171" s="17" t="s">
        <v>55</v>
      </c>
      <c r="Q171" s="41"/>
    </row>
    <row r="172" spans="1:17">
      <c r="A172" s="29">
        <v>171</v>
      </c>
      <c r="B172" s="29" t="s">
        <v>1041</v>
      </c>
      <c r="C172" s="33" t="s">
        <v>1042</v>
      </c>
      <c r="D172" s="29" t="s">
        <v>1043</v>
      </c>
      <c r="E172" s="29" t="s">
        <v>1044</v>
      </c>
      <c r="F172" s="8" t="s">
        <v>305</v>
      </c>
      <c r="G172" s="29" t="s">
        <v>22</v>
      </c>
      <c r="H172" s="28" t="s">
        <v>1045</v>
      </c>
      <c r="I172" s="28" t="s">
        <v>1046</v>
      </c>
      <c r="K172" s="40">
        <v>45755</v>
      </c>
      <c r="L172" s="43"/>
      <c r="M172" s="9" t="s">
        <v>1047</v>
      </c>
      <c r="N172" s="9" t="s">
        <v>1042</v>
      </c>
      <c r="O172" s="9" t="s">
        <v>1048</v>
      </c>
      <c r="P172" s="17" t="s">
        <v>55</v>
      </c>
      <c r="Q172" s="41"/>
    </row>
    <row r="173" spans="1:17">
      <c r="A173" s="29">
        <v>172</v>
      </c>
      <c r="B173" s="29" t="s">
        <v>1049</v>
      </c>
      <c r="C173" s="33" t="s">
        <v>1050</v>
      </c>
      <c r="D173" s="29" t="s">
        <v>1051</v>
      </c>
      <c r="E173" s="29" t="s">
        <v>1052</v>
      </c>
      <c r="F173" s="29" t="s">
        <v>563</v>
      </c>
      <c r="G173" s="29" t="s">
        <v>52</v>
      </c>
      <c r="H173" s="47" t="s">
        <v>1053</v>
      </c>
      <c r="I173" s="6"/>
      <c r="K173" s="40">
        <v>45818</v>
      </c>
      <c r="L173" s="43"/>
      <c r="M173" s="17" t="s">
        <v>55</v>
      </c>
      <c r="N173" s="17" t="s">
        <v>55</v>
      </c>
      <c r="O173" s="17" t="s">
        <v>55</v>
      </c>
      <c r="P173" s="9" t="s">
        <v>1050</v>
      </c>
      <c r="Q173" s="41"/>
    </row>
    <row r="174" spans="1:17">
      <c r="A174" s="29">
        <v>173</v>
      </c>
      <c r="B174" s="29" t="s">
        <v>1054</v>
      </c>
      <c r="C174" s="33" t="s">
        <v>1055</v>
      </c>
      <c r="D174" s="29" t="s">
        <v>1056</v>
      </c>
      <c r="E174" s="29" t="s">
        <v>1057</v>
      </c>
      <c r="F174" s="16" t="s">
        <v>371</v>
      </c>
      <c r="G174" s="29" t="s">
        <v>22</v>
      </c>
      <c r="H174" s="6"/>
      <c r="I174" s="6"/>
      <c r="K174" s="40">
        <v>45861</v>
      </c>
      <c r="L174" s="43"/>
      <c r="M174" s="9" t="s">
        <v>1058</v>
      </c>
      <c r="N174" s="9" t="s">
        <v>1055</v>
      </c>
      <c r="O174" s="9" t="s">
        <v>1059</v>
      </c>
      <c r="P174" s="17" t="s">
        <v>55</v>
      </c>
      <c r="Q174" s="41"/>
    </row>
    <row r="175" spans="1:17">
      <c r="A175" s="29">
        <v>174</v>
      </c>
      <c r="B175" s="16" t="s">
        <v>1060</v>
      </c>
      <c r="C175" s="33" t="s">
        <v>1061</v>
      </c>
      <c r="D175" s="29" t="s">
        <v>1062</v>
      </c>
      <c r="E175" s="29" t="s">
        <v>1063</v>
      </c>
      <c r="F175" s="29" t="s">
        <v>21</v>
      </c>
      <c r="G175" s="29" t="s">
        <v>52</v>
      </c>
      <c r="H175" s="6"/>
      <c r="I175" s="6"/>
      <c r="K175" s="40">
        <v>46131</v>
      </c>
      <c r="L175" s="43"/>
      <c r="M175" s="17" t="s">
        <v>25</v>
      </c>
      <c r="N175" s="9" t="s">
        <v>1061</v>
      </c>
      <c r="O175" s="17" t="s">
        <v>25</v>
      </c>
      <c r="P175" s="17" t="s">
        <v>55</v>
      </c>
      <c r="Q175" s="41"/>
    </row>
    <row r="176" spans="1:17">
      <c r="A176" s="29">
        <v>175</v>
      </c>
      <c r="B176" s="29" t="s">
        <v>1064</v>
      </c>
      <c r="C176" s="33" t="s">
        <v>1065</v>
      </c>
      <c r="D176" s="29" t="s">
        <v>1066</v>
      </c>
      <c r="E176" s="29" t="s">
        <v>1067</v>
      </c>
      <c r="F176" s="16" t="s">
        <v>371</v>
      </c>
      <c r="G176" s="29" t="s">
        <v>52</v>
      </c>
      <c r="H176" s="47" t="s">
        <v>1068</v>
      </c>
      <c r="I176" s="47" t="s">
        <v>1069</v>
      </c>
      <c r="K176" s="40">
        <v>46131</v>
      </c>
      <c r="L176" s="43"/>
      <c r="M176" s="17" t="s">
        <v>25</v>
      </c>
      <c r="N176" s="33" t="s">
        <v>1065</v>
      </c>
      <c r="O176" s="17" t="s">
        <v>25</v>
      </c>
      <c r="P176" s="17" t="s">
        <v>55</v>
      </c>
      <c r="Q176" s="41"/>
    </row>
    <row r="177" spans="7:17">
      <c r="G177" s="48"/>
      <c r="H177" s="6"/>
      <c r="I177" s="6"/>
      <c r="K177" s="43"/>
      <c r="L177" s="43"/>
      <c r="M177" s="49"/>
      <c r="N177" s="49"/>
      <c r="O177" s="49"/>
      <c r="P177" s="49"/>
      <c r="Q177" s="41"/>
    </row>
    <row r="178" spans="7:17">
      <c r="G178" s="48"/>
      <c r="H178" s="6"/>
      <c r="I178" s="6"/>
      <c r="K178" s="43"/>
      <c r="L178" s="43"/>
      <c r="M178" s="49"/>
      <c r="N178" s="49"/>
      <c r="O178" s="49"/>
      <c r="P178" s="49"/>
      <c r="Q178" s="41"/>
    </row>
    <row r="179" spans="7:17">
      <c r="G179" s="48"/>
      <c r="H179" s="6"/>
      <c r="I179" s="6"/>
      <c r="K179" s="43"/>
      <c r="L179" s="43"/>
      <c r="M179" s="49"/>
      <c r="N179" s="49"/>
      <c r="O179" s="49"/>
      <c r="P179" s="49"/>
      <c r="Q179" s="41"/>
    </row>
    <row r="180" spans="7:17">
      <c r="G180" s="48"/>
      <c r="H180" s="6"/>
      <c r="I180" s="6"/>
      <c r="K180" s="43"/>
      <c r="L180" s="43"/>
      <c r="M180" s="49"/>
      <c r="N180" s="49"/>
      <c r="O180" s="49"/>
      <c r="P180" s="49"/>
      <c r="Q180" s="41"/>
    </row>
    <row r="181" spans="7:17">
      <c r="G181" s="48"/>
      <c r="H181" s="6"/>
      <c r="I181" s="6"/>
      <c r="K181" s="43"/>
      <c r="L181" s="43"/>
      <c r="M181" s="49"/>
      <c r="N181" s="49"/>
      <c r="O181" s="49"/>
      <c r="P181" s="49"/>
      <c r="Q181" s="41"/>
    </row>
    <row r="182" spans="7:17">
      <c r="G182" s="48"/>
      <c r="H182" s="6"/>
      <c r="I182" s="6"/>
      <c r="K182" s="43"/>
      <c r="L182" s="43"/>
      <c r="M182" s="49"/>
      <c r="N182" s="49"/>
      <c r="O182" s="49"/>
      <c r="P182" s="49"/>
      <c r="Q182" s="41"/>
    </row>
    <row r="183" spans="7:17">
      <c r="G183" s="48"/>
      <c r="H183" s="6"/>
      <c r="I183" s="6"/>
      <c r="K183" s="43"/>
      <c r="L183" s="43"/>
      <c r="M183" s="49"/>
      <c r="N183" s="49"/>
      <c r="O183" s="49"/>
      <c r="P183" s="49"/>
      <c r="Q183" s="41"/>
    </row>
    <row r="184" spans="7:17">
      <c r="G184" s="48"/>
      <c r="H184" s="6"/>
      <c r="I184" s="6"/>
      <c r="K184" s="43"/>
      <c r="L184" s="43"/>
      <c r="M184" s="49"/>
      <c r="N184" s="49"/>
      <c r="O184" s="49"/>
      <c r="P184" s="49"/>
      <c r="Q184" s="41"/>
    </row>
    <row r="185" spans="7:17">
      <c r="G185" s="48"/>
      <c r="H185" s="6"/>
      <c r="I185" s="6"/>
      <c r="K185" s="43"/>
      <c r="L185" s="43"/>
      <c r="M185" s="49"/>
      <c r="N185" s="49"/>
      <c r="O185" s="49"/>
      <c r="P185" s="49"/>
      <c r="Q185" s="41"/>
    </row>
    <row r="186" spans="7:17">
      <c r="G186" s="48"/>
      <c r="H186" s="6"/>
      <c r="I186" s="6"/>
      <c r="K186" s="43"/>
      <c r="L186" s="43"/>
      <c r="M186" s="49"/>
      <c r="N186" s="49"/>
      <c r="O186" s="49"/>
      <c r="P186" s="49"/>
      <c r="Q186" s="41"/>
    </row>
    <row r="187" spans="7:17">
      <c r="G187" s="48"/>
      <c r="H187" s="6"/>
      <c r="I187" s="6"/>
      <c r="K187" s="43"/>
      <c r="L187" s="43"/>
      <c r="M187" s="49"/>
      <c r="N187" s="49"/>
      <c r="O187" s="49"/>
      <c r="P187" s="49"/>
      <c r="Q187" s="41"/>
    </row>
    <row r="188" spans="7:17">
      <c r="G188" s="48"/>
      <c r="H188" s="6"/>
      <c r="I188" s="6"/>
      <c r="K188" s="43"/>
      <c r="L188" s="43"/>
      <c r="M188" s="49"/>
      <c r="N188" s="49"/>
      <c r="O188" s="49"/>
      <c r="P188" s="49"/>
      <c r="Q188" s="41"/>
    </row>
    <row r="189" spans="7:17">
      <c r="G189" s="48"/>
      <c r="H189" s="6"/>
      <c r="I189" s="6"/>
      <c r="K189" s="43"/>
      <c r="L189" s="43"/>
      <c r="M189" s="49"/>
      <c r="N189" s="49"/>
      <c r="O189" s="49"/>
      <c r="P189" s="49"/>
      <c r="Q189" s="41"/>
    </row>
    <row r="190" spans="7:17">
      <c r="G190" s="48"/>
      <c r="H190" s="6"/>
      <c r="I190" s="6"/>
      <c r="K190" s="43"/>
      <c r="L190" s="43"/>
      <c r="M190" s="49"/>
      <c r="N190" s="49"/>
      <c r="O190" s="49"/>
      <c r="P190" s="49"/>
      <c r="Q190" s="41"/>
    </row>
    <row r="191" spans="7:17">
      <c r="G191" s="48"/>
      <c r="H191" s="6"/>
      <c r="I191" s="6"/>
      <c r="K191" s="43"/>
      <c r="L191" s="43"/>
      <c r="M191" s="49"/>
      <c r="N191" s="49"/>
      <c r="O191" s="49"/>
      <c r="P191" s="49"/>
      <c r="Q191" s="41"/>
    </row>
    <row r="192" spans="7:17">
      <c r="G192" s="48"/>
      <c r="H192" s="6"/>
      <c r="I192" s="6"/>
      <c r="K192" s="43"/>
      <c r="L192" s="43"/>
      <c r="M192" s="49"/>
      <c r="N192" s="49"/>
      <c r="O192" s="49"/>
      <c r="P192" s="49"/>
      <c r="Q192" s="41"/>
    </row>
    <row r="193" spans="7:17">
      <c r="G193" s="48"/>
      <c r="H193" s="6"/>
      <c r="I193" s="6"/>
      <c r="K193" s="43"/>
      <c r="L193" s="43"/>
      <c r="M193" s="49"/>
      <c r="N193" s="49"/>
      <c r="O193" s="49"/>
      <c r="P193" s="49"/>
      <c r="Q193" s="41"/>
    </row>
    <row r="194" spans="7:17">
      <c r="G194" s="48"/>
      <c r="H194" s="6"/>
      <c r="I194" s="6"/>
      <c r="K194" s="43"/>
      <c r="L194" s="43"/>
      <c r="M194" s="49"/>
      <c r="N194" s="49"/>
      <c r="O194" s="49"/>
      <c r="P194" s="49"/>
      <c r="Q194" s="41"/>
    </row>
    <row r="195" spans="7:17">
      <c r="G195" s="48"/>
      <c r="H195" s="6"/>
      <c r="I195" s="6"/>
      <c r="K195" s="43"/>
      <c r="L195" s="43"/>
      <c r="M195" s="49"/>
      <c r="N195" s="49"/>
      <c r="O195" s="49"/>
      <c r="P195" s="49"/>
      <c r="Q195" s="41"/>
    </row>
    <row r="196" spans="7:17">
      <c r="G196" s="48"/>
      <c r="H196" s="6"/>
      <c r="I196" s="6"/>
      <c r="K196" s="43"/>
      <c r="L196" s="43"/>
      <c r="M196" s="49"/>
      <c r="N196" s="49"/>
      <c r="O196" s="49"/>
      <c r="P196" s="49"/>
      <c r="Q196" s="41"/>
    </row>
    <row r="197" spans="7:17">
      <c r="G197" s="48"/>
      <c r="H197" s="6"/>
      <c r="I197" s="6"/>
      <c r="K197" s="43"/>
      <c r="L197" s="43"/>
      <c r="M197" s="49"/>
      <c r="N197" s="49"/>
      <c r="O197" s="49"/>
      <c r="P197" s="49"/>
      <c r="Q197" s="41"/>
    </row>
    <row r="198" spans="7:17">
      <c r="G198" s="48"/>
      <c r="H198" s="6"/>
      <c r="I198" s="6"/>
      <c r="K198" s="43"/>
      <c r="L198" s="43"/>
      <c r="M198" s="49"/>
      <c r="N198" s="49"/>
      <c r="O198" s="49"/>
      <c r="P198" s="49"/>
      <c r="Q198" s="41"/>
    </row>
    <row r="199" spans="7:17">
      <c r="G199" s="48"/>
      <c r="H199" s="6"/>
      <c r="I199" s="6"/>
      <c r="K199" s="43"/>
      <c r="L199" s="43"/>
      <c r="M199" s="49"/>
      <c r="N199" s="49"/>
      <c r="O199" s="49"/>
      <c r="P199" s="49"/>
      <c r="Q199" s="41"/>
    </row>
    <row r="200" spans="7:17">
      <c r="G200" s="48"/>
      <c r="H200" s="6"/>
      <c r="I200" s="6"/>
      <c r="K200" s="43"/>
      <c r="L200" s="43"/>
      <c r="M200" s="49"/>
      <c r="N200" s="49"/>
      <c r="O200" s="49"/>
      <c r="P200" s="49"/>
      <c r="Q200" s="41"/>
    </row>
    <row r="201" spans="7:17">
      <c r="G201" s="48"/>
      <c r="H201" s="6"/>
      <c r="I201" s="6"/>
      <c r="K201" s="43"/>
      <c r="L201" s="43"/>
      <c r="M201" s="49"/>
      <c r="N201" s="49"/>
      <c r="O201" s="49"/>
      <c r="P201" s="49"/>
      <c r="Q201" s="41"/>
    </row>
    <row r="202" spans="7:17">
      <c r="G202" s="48"/>
      <c r="H202" s="6"/>
      <c r="I202" s="6"/>
      <c r="K202" s="43"/>
      <c r="L202" s="43"/>
      <c r="M202" s="49"/>
      <c r="N202" s="49"/>
      <c r="O202" s="49"/>
      <c r="P202" s="49"/>
      <c r="Q202" s="41"/>
    </row>
    <row r="203" spans="7:17">
      <c r="G203" s="48"/>
      <c r="H203" s="6"/>
      <c r="I203" s="6"/>
      <c r="K203" s="43"/>
      <c r="L203" s="43"/>
      <c r="M203" s="49"/>
      <c r="N203" s="49"/>
      <c r="O203" s="49"/>
      <c r="P203" s="49"/>
      <c r="Q203" s="41"/>
    </row>
    <row r="204" spans="7:17">
      <c r="G204" s="48"/>
      <c r="H204" s="6"/>
      <c r="I204" s="6"/>
      <c r="K204" s="43"/>
      <c r="L204" s="43"/>
      <c r="M204" s="49"/>
      <c r="N204" s="49"/>
      <c r="O204" s="49"/>
      <c r="P204" s="49"/>
      <c r="Q204" s="41"/>
    </row>
    <row r="205" spans="7:17">
      <c r="G205" s="48"/>
      <c r="H205" s="6"/>
      <c r="I205" s="6"/>
      <c r="K205" s="43"/>
      <c r="L205" s="43"/>
      <c r="M205" s="49"/>
      <c r="N205" s="49"/>
      <c r="O205" s="49"/>
      <c r="P205" s="49"/>
      <c r="Q205" s="41"/>
    </row>
    <row r="206" spans="7:17">
      <c r="G206" s="48"/>
      <c r="H206" s="6"/>
      <c r="I206" s="6"/>
      <c r="K206" s="43"/>
      <c r="L206" s="43"/>
      <c r="M206" s="49"/>
      <c r="N206" s="49"/>
      <c r="O206" s="49"/>
      <c r="P206" s="49"/>
      <c r="Q206" s="41"/>
    </row>
    <row r="207" spans="7:17">
      <c r="G207" s="48"/>
      <c r="H207" s="6"/>
      <c r="I207" s="6"/>
      <c r="K207" s="43"/>
      <c r="L207" s="43"/>
      <c r="M207" s="49"/>
      <c r="N207" s="49"/>
      <c r="O207" s="49"/>
      <c r="P207" s="49"/>
      <c r="Q207" s="41"/>
    </row>
    <row r="208" spans="7:17">
      <c r="G208" s="48"/>
      <c r="H208" s="6"/>
      <c r="I208" s="6"/>
      <c r="K208" s="43"/>
      <c r="L208" s="43"/>
      <c r="M208" s="49"/>
      <c r="N208" s="49"/>
      <c r="O208" s="49"/>
      <c r="P208" s="49"/>
      <c r="Q208" s="41"/>
    </row>
    <row r="209" spans="7:17">
      <c r="G209" s="48"/>
      <c r="H209" s="6"/>
      <c r="I209" s="6"/>
      <c r="K209" s="43"/>
      <c r="L209" s="43"/>
      <c r="M209" s="49"/>
      <c r="N209" s="49"/>
      <c r="O209" s="49"/>
      <c r="P209" s="49"/>
      <c r="Q209" s="41"/>
    </row>
    <row r="210" spans="7:17">
      <c r="G210" s="48"/>
      <c r="H210" s="6"/>
      <c r="I210" s="6"/>
      <c r="K210" s="43"/>
      <c r="L210" s="43"/>
      <c r="M210" s="49"/>
      <c r="N210" s="49"/>
      <c r="O210" s="49"/>
      <c r="P210" s="49"/>
      <c r="Q210" s="41"/>
    </row>
    <row r="211" spans="7:17">
      <c r="G211" s="48"/>
      <c r="H211" s="6"/>
      <c r="I211" s="6"/>
      <c r="K211" s="43"/>
      <c r="L211" s="43"/>
      <c r="M211" s="49"/>
      <c r="N211" s="49"/>
      <c r="O211" s="49"/>
      <c r="P211" s="49"/>
      <c r="Q211" s="41"/>
    </row>
    <row r="212" spans="7:17">
      <c r="G212" s="48"/>
      <c r="H212" s="6"/>
      <c r="I212" s="6"/>
      <c r="K212" s="43"/>
      <c r="L212" s="43"/>
      <c r="M212" s="49"/>
      <c r="N212" s="49"/>
      <c r="O212" s="49"/>
      <c r="P212" s="49"/>
      <c r="Q212" s="41"/>
    </row>
    <row r="213" spans="7:17">
      <c r="G213" s="48"/>
      <c r="H213" s="6"/>
      <c r="I213" s="6"/>
      <c r="K213" s="43"/>
      <c r="L213" s="43"/>
      <c r="M213" s="49"/>
      <c r="N213" s="49"/>
      <c r="O213" s="49"/>
      <c r="P213" s="49"/>
      <c r="Q213" s="41"/>
    </row>
    <row r="214" spans="7:17">
      <c r="G214" s="48"/>
      <c r="H214" s="6"/>
      <c r="I214" s="6"/>
      <c r="K214" s="43"/>
      <c r="L214" s="43"/>
      <c r="M214" s="49"/>
      <c r="N214" s="49"/>
      <c r="O214" s="49"/>
      <c r="P214" s="49"/>
      <c r="Q214" s="41"/>
    </row>
    <row r="215" spans="7:17">
      <c r="G215" s="48"/>
      <c r="H215" s="6"/>
      <c r="I215" s="6"/>
      <c r="K215" s="43"/>
      <c r="L215" s="43"/>
      <c r="M215" s="49"/>
      <c r="N215" s="49"/>
      <c r="O215" s="49"/>
      <c r="P215" s="49"/>
      <c r="Q215" s="41"/>
    </row>
    <row r="216" spans="7:17">
      <c r="G216" s="48"/>
      <c r="H216" s="6"/>
      <c r="I216" s="6"/>
      <c r="K216" s="43"/>
      <c r="L216" s="43"/>
      <c r="M216" s="49"/>
      <c r="N216" s="49"/>
      <c r="O216" s="49"/>
      <c r="P216" s="49"/>
      <c r="Q216" s="41"/>
    </row>
    <row r="217" spans="7:17">
      <c r="G217" s="48"/>
      <c r="H217" s="6"/>
      <c r="I217" s="6"/>
      <c r="K217" s="43"/>
      <c r="L217" s="43"/>
      <c r="M217" s="49"/>
      <c r="N217" s="49"/>
      <c r="O217" s="49"/>
      <c r="P217" s="49"/>
      <c r="Q217" s="41"/>
    </row>
    <row r="218" spans="7:17">
      <c r="G218" s="48"/>
      <c r="H218" s="6"/>
      <c r="I218" s="6"/>
      <c r="K218" s="43"/>
      <c r="L218" s="43"/>
      <c r="M218" s="49"/>
      <c r="N218" s="49"/>
      <c r="O218" s="49"/>
      <c r="P218" s="49"/>
      <c r="Q218" s="41"/>
    </row>
    <row r="219" spans="7:17">
      <c r="G219" s="48"/>
      <c r="H219" s="6"/>
      <c r="I219" s="6"/>
      <c r="K219" s="43"/>
      <c r="L219" s="43"/>
      <c r="M219" s="49"/>
      <c r="N219" s="49"/>
      <c r="O219" s="49"/>
      <c r="P219" s="49"/>
      <c r="Q219" s="41"/>
    </row>
    <row r="220" spans="7:17">
      <c r="G220" s="48"/>
      <c r="H220" s="6"/>
      <c r="I220" s="6"/>
      <c r="K220" s="43"/>
      <c r="L220" s="43"/>
      <c r="M220" s="49"/>
      <c r="N220" s="49"/>
      <c r="O220" s="49"/>
      <c r="P220" s="49"/>
      <c r="Q220" s="41"/>
    </row>
    <row r="221" spans="7:17">
      <c r="G221" s="48"/>
      <c r="H221" s="6"/>
      <c r="I221" s="6"/>
      <c r="K221" s="43"/>
      <c r="L221" s="43"/>
      <c r="M221" s="49"/>
      <c r="N221" s="49"/>
      <c r="O221" s="49"/>
      <c r="P221" s="49"/>
      <c r="Q221" s="41"/>
    </row>
    <row r="222" spans="7:17">
      <c r="G222" s="48"/>
      <c r="H222" s="6"/>
      <c r="I222" s="6"/>
      <c r="K222" s="43"/>
      <c r="L222" s="43"/>
      <c r="M222" s="49"/>
      <c r="N222" s="49"/>
      <c r="O222" s="49"/>
      <c r="P222" s="49"/>
      <c r="Q222" s="41"/>
    </row>
    <row r="223" spans="7:17">
      <c r="G223" s="48"/>
      <c r="H223" s="6"/>
      <c r="I223" s="6"/>
      <c r="K223" s="43"/>
      <c r="L223" s="43"/>
      <c r="M223" s="49"/>
      <c r="N223" s="49"/>
      <c r="O223" s="49"/>
      <c r="P223" s="49"/>
      <c r="Q223" s="41"/>
    </row>
    <row r="224" spans="7:17">
      <c r="G224" s="48"/>
      <c r="H224" s="6"/>
      <c r="I224" s="6"/>
      <c r="K224" s="43"/>
      <c r="L224" s="43"/>
      <c r="M224" s="49"/>
      <c r="N224" s="49"/>
      <c r="O224" s="49"/>
      <c r="P224" s="49"/>
      <c r="Q224" s="41"/>
    </row>
    <row r="225" spans="7:17">
      <c r="G225" s="48"/>
      <c r="H225" s="6"/>
      <c r="I225" s="6"/>
      <c r="K225" s="43"/>
      <c r="L225" s="43"/>
      <c r="M225" s="49"/>
      <c r="N225" s="49"/>
      <c r="O225" s="49"/>
      <c r="P225" s="49"/>
      <c r="Q225" s="41"/>
    </row>
    <row r="226" spans="7:17">
      <c r="G226" s="48"/>
      <c r="H226" s="6"/>
      <c r="I226" s="6"/>
      <c r="K226" s="43"/>
      <c r="L226" s="43"/>
      <c r="M226" s="49"/>
      <c r="N226" s="49"/>
      <c r="O226" s="49"/>
      <c r="P226" s="49"/>
      <c r="Q226" s="41"/>
    </row>
    <row r="227" spans="7:17">
      <c r="G227" s="48"/>
      <c r="H227" s="6"/>
      <c r="I227" s="6"/>
      <c r="K227" s="43"/>
      <c r="L227" s="43"/>
      <c r="M227" s="49"/>
      <c r="N227" s="49"/>
      <c r="O227" s="49"/>
      <c r="P227" s="49"/>
      <c r="Q227" s="41"/>
    </row>
    <row r="228" spans="7:17">
      <c r="G228" s="48"/>
      <c r="H228" s="6"/>
      <c r="I228" s="6"/>
      <c r="K228" s="43"/>
      <c r="L228" s="43"/>
      <c r="M228" s="49"/>
      <c r="N228" s="49"/>
      <c r="O228" s="49"/>
      <c r="P228" s="49"/>
      <c r="Q228" s="41"/>
    </row>
    <row r="229" spans="7:17">
      <c r="G229" s="48"/>
      <c r="H229" s="6"/>
      <c r="I229" s="6"/>
      <c r="K229" s="43"/>
      <c r="L229" s="43"/>
      <c r="M229" s="49"/>
      <c r="N229" s="49"/>
      <c r="O229" s="49"/>
      <c r="P229" s="49"/>
      <c r="Q229" s="41"/>
    </row>
    <row r="230" spans="7:17">
      <c r="G230" s="48"/>
      <c r="H230" s="6"/>
      <c r="I230" s="6"/>
      <c r="K230" s="43"/>
      <c r="L230" s="43"/>
      <c r="M230" s="49"/>
      <c r="N230" s="49"/>
      <c r="O230" s="49"/>
      <c r="P230" s="49"/>
      <c r="Q230" s="41"/>
    </row>
    <row r="231" spans="7:17">
      <c r="G231" s="48"/>
      <c r="H231" s="6"/>
      <c r="I231" s="6"/>
      <c r="K231" s="43"/>
      <c r="L231" s="43"/>
      <c r="M231" s="49"/>
      <c r="N231" s="49"/>
      <c r="O231" s="49"/>
      <c r="P231" s="49"/>
      <c r="Q231" s="41"/>
    </row>
    <row r="232" spans="7:17">
      <c r="G232" s="48"/>
      <c r="H232" s="6"/>
      <c r="I232" s="6"/>
      <c r="K232" s="43"/>
      <c r="L232" s="43"/>
      <c r="M232" s="49"/>
      <c r="N232" s="49"/>
      <c r="O232" s="49"/>
      <c r="P232" s="49"/>
      <c r="Q232" s="41"/>
    </row>
    <row r="233" spans="7:17">
      <c r="G233" s="48"/>
      <c r="H233" s="6"/>
      <c r="I233" s="6"/>
      <c r="K233" s="43"/>
      <c r="L233" s="43"/>
      <c r="M233" s="49"/>
      <c r="N233" s="49"/>
      <c r="O233" s="49"/>
      <c r="P233" s="49"/>
      <c r="Q233" s="41"/>
    </row>
    <row r="234" spans="7:17">
      <c r="G234" s="48"/>
      <c r="H234" s="6"/>
      <c r="I234" s="6"/>
      <c r="K234" s="43"/>
      <c r="L234" s="43"/>
      <c r="M234" s="49"/>
      <c r="N234" s="49"/>
      <c r="O234" s="49"/>
      <c r="P234" s="49"/>
      <c r="Q234" s="41"/>
    </row>
    <row r="235" spans="7:17">
      <c r="G235" s="48"/>
      <c r="H235" s="6"/>
      <c r="I235" s="6"/>
      <c r="K235" s="43"/>
      <c r="L235" s="43"/>
      <c r="M235" s="49"/>
      <c r="N235" s="49"/>
      <c r="O235" s="49"/>
      <c r="P235" s="49"/>
      <c r="Q235" s="41"/>
    </row>
    <row r="236" spans="7:17">
      <c r="G236" s="48"/>
      <c r="H236" s="6"/>
      <c r="I236" s="6"/>
      <c r="K236" s="43"/>
      <c r="L236" s="43"/>
      <c r="M236" s="49"/>
      <c r="N236" s="49"/>
      <c r="O236" s="49"/>
      <c r="P236" s="49"/>
      <c r="Q236" s="41"/>
    </row>
    <row r="237" spans="7:17">
      <c r="G237" s="48"/>
      <c r="H237" s="6"/>
      <c r="I237" s="6"/>
      <c r="K237" s="43"/>
      <c r="L237" s="43"/>
      <c r="M237" s="49"/>
      <c r="N237" s="49"/>
      <c r="O237" s="49"/>
      <c r="P237" s="49"/>
      <c r="Q237" s="41"/>
    </row>
    <row r="238" spans="7:17">
      <c r="G238" s="48"/>
      <c r="H238" s="6"/>
      <c r="I238" s="6"/>
      <c r="K238" s="43"/>
      <c r="L238" s="43"/>
      <c r="M238" s="49"/>
      <c r="N238" s="49"/>
      <c r="O238" s="49"/>
      <c r="P238" s="49"/>
      <c r="Q238" s="41"/>
    </row>
    <row r="239" spans="7:17">
      <c r="G239" s="48"/>
      <c r="H239" s="6"/>
      <c r="I239" s="6"/>
      <c r="K239" s="43"/>
      <c r="L239" s="43"/>
      <c r="M239" s="49"/>
      <c r="N239" s="49"/>
      <c r="O239" s="49"/>
      <c r="P239" s="49"/>
      <c r="Q239" s="41"/>
    </row>
    <row r="240" spans="7:17">
      <c r="G240" s="48"/>
      <c r="H240" s="6"/>
      <c r="I240" s="6"/>
      <c r="K240" s="43"/>
      <c r="L240" s="43"/>
      <c r="M240" s="49"/>
      <c r="N240" s="49"/>
      <c r="O240" s="49"/>
      <c r="P240" s="49"/>
      <c r="Q240" s="41"/>
    </row>
    <row r="241" spans="7:17">
      <c r="G241" s="48"/>
      <c r="H241" s="6"/>
      <c r="I241" s="6"/>
      <c r="K241" s="43"/>
      <c r="L241" s="43"/>
      <c r="M241" s="49"/>
      <c r="N241" s="49"/>
      <c r="O241" s="49"/>
      <c r="P241" s="49"/>
      <c r="Q241" s="41"/>
    </row>
    <row r="242" spans="7:17">
      <c r="G242" s="48"/>
      <c r="H242" s="6"/>
      <c r="I242" s="6"/>
      <c r="K242" s="43"/>
      <c r="L242" s="43"/>
      <c r="M242" s="49"/>
      <c r="N242" s="49"/>
      <c r="O242" s="49"/>
      <c r="P242" s="49"/>
      <c r="Q242" s="41"/>
    </row>
    <row r="243" spans="7:17">
      <c r="G243" s="48"/>
      <c r="H243" s="6"/>
      <c r="I243" s="6"/>
      <c r="K243" s="43"/>
      <c r="L243" s="43"/>
      <c r="M243" s="49"/>
      <c r="N243" s="49"/>
      <c r="O243" s="49"/>
      <c r="P243" s="49"/>
      <c r="Q243" s="41"/>
    </row>
    <row r="244" spans="7:17">
      <c r="G244" s="48"/>
      <c r="H244" s="6"/>
      <c r="I244" s="6"/>
      <c r="K244" s="43"/>
      <c r="L244" s="43"/>
      <c r="M244" s="49"/>
      <c r="N244" s="49"/>
      <c r="O244" s="49"/>
      <c r="P244" s="49"/>
      <c r="Q244" s="41"/>
    </row>
    <row r="245" spans="7:17">
      <c r="G245" s="48"/>
      <c r="H245" s="6"/>
      <c r="I245" s="6"/>
      <c r="K245" s="43"/>
      <c r="L245" s="43"/>
      <c r="M245" s="49"/>
      <c r="N245" s="49"/>
      <c r="O245" s="49"/>
      <c r="P245" s="49"/>
      <c r="Q245" s="41"/>
    </row>
    <row r="246" spans="7:17">
      <c r="G246" s="48"/>
      <c r="H246" s="6"/>
      <c r="I246" s="6"/>
      <c r="K246" s="43"/>
      <c r="L246" s="43"/>
      <c r="M246" s="49"/>
      <c r="N246" s="49"/>
      <c r="O246" s="49"/>
      <c r="P246" s="49"/>
      <c r="Q246" s="41"/>
    </row>
    <row r="247" spans="7:17">
      <c r="G247" s="48"/>
      <c r="H247" s="6"/>
      <c r="I247" s="6"/>
      <c r="K247" s="43"/>
      <c r="L247" s="43"/>
      <c r="M247" s="49"/>
      <c r="N247" s="49"/>
      <c r="O247" s="49"/>
      <c r="P247" s="49"/>
      <c r="Q247" s="41"/>
    </row>
    <row r="248" spans="7:17">
      <c r="G248" s="48"/>
      <c r="H248" s="6"/>
      <c r="I248" s="6"/>
      <c r="K248" s="43"/>
      <c r="L248" s="43"/>
      <c r="M248" s="49"/>
      <c r="N248" s="49"/>
      <c r="O248" s="49"/>
      <c r="P248" s="49"/>
      <c r="Q248" s="41"/>
    </row>
    <row r="249" spans="7:17">
      <c r="G249" s="48"/>
      <c r="H249" s="6"/>
      <c r="I249" s="6"/>
      <c r="K249" s="43"/>
      <c r="L249" s="43"/>
      <c r="M249" s="49"/>
      <c r="N249" s="49"/>
      <c r="O249" s="49"/>
      <c r="P249" s="49"/>
      <c r="Q249" s="41"/>
    </row>
    <row r="250" spans="7:17">
      <c r="G250" s="48"/>
      <c r="H250" s="6"/>
      <c r="I250" s="6"/>
      <c r="K250" s="43"/>
      <c r="L250" s="43"/>
      <c r="M250" s="49"/>
      <c r="N250" s="49"/>
      <c r="O250" s="49"/>
      <c r="P250" s="49"/>
      <c r="Q250" s="41"/>
    </row>
    <row r="251" spans="7:17">
      <c r="G251" s="48"/>
      <c r="H251" s="6"/>
      <c r="I251" s="6"/>
      <c r="K251" s="43"/>
      <c r="L251" s="43"/>
      <c r="M251" s="49"/>
      <c r="N251" s="49"/>
      <c r="O251" s="49"/>
      <c r="P251" s="49"/>
      <c r="Q251" s="41"/>
    </row>
    <row r="252" spans="7:17">
      <c r="G252" s="48"/>
      <c r="H252" s="6"/>
      <c r="I252" s="6"/>
      <c r="K252" s="43"/>
      <c r="L252" s="43"/>
      <c r="M252" s="49"/>
      <c r="N252" s="49"/>
      <c r="O252" s="49"/>
      <c r="P252" s="49"/>
      <c r="Q252" s="41"/>
    </row>
    <row r="253" spans="7:17">
      <c r="G253" s="48"/>
      <c r="H253" s="6"/>
      <c r="I253" s="6"/>
      <c r="K253" s="43"/>
      <c r="L253" s="43"/>
      <c r="M253" s="49"/>
      <c r="N253" s="49"/>
      <c r="O253" s="49"/>
      <c r="P253" s="49"/>
      <c r="Q253" s="41"/>
    </row>
    <row r="254" spans="7:17">
      <c r="G254" s="48"/>
      <c r="H254" s="6"/>
      <c r="I254" s="6"/>
      <c r="K254" s="43"/>
      <c r="L254" s="43"/>
      <c r="M254" s="49"/>
      <c r="N254" s="49"/>
      <c r="O254" s="49"/>
      <c r="P254" s="49"/>
      <c r="Q254" s="41"/>
    </row>
    <row r="255" spans="7:17">
      <c r="G255" s="48"/>
      <c r="H255" s="6"/>
      <c r="I255" s="6"/>
      <c r="K255" s="43"/>
      <c r="L255" s="43"/>
      <c r="M255" s="49"/>
      <c r="N255" s="49"/>
      <c r="O255" s="49"/>
      <c r="P255" s="49"/>
      <c r="Q255" s="41"/>
    </row>
    <row r="256" spans="7:17">
      <c r="G256" s="48"/>
      <c r="H256" s="6"/>
      <c r="I256" s="6"/>
      <c r="K256" s="43"/>
      <c r="L256" s="43"/>
      <c r="M256" s="49"/>
      <c r="N256" s="49"/>
      <c r="O256" s="49"/>
      <c r="P256" s="49"/>
      <c r="Q256" s="41"/>
    </row>
    <row r="257" spans="7:17">
      <c r="G257" s="48"/>
      <c r="H257" s="6"/>
      <c r="I257" s="6"/>
      <c r="K257" s="43"/>
      <c r="L257" s="43"/>
      <c r="M257" s="49"/>
      <c r="N257" s="49"/>
      <c r="O257" s="49"/>
      <c r="P257" s="49"/>
      <c r="Q257" s="41"/>
    </row>
    <row r="258" spans="7:17">
      <c r="G258" s="48"/>
      <c r="H258" s="6"/>
      <c r="I258" s="6"/>
      <c r="K258" s="43"/>
      <c r="L258" s="43"/>
      <c r="M258" s="49"/>
      <c r="N258" s="49"/>
      <c r="O258" s="49"/>
      <c r="P258" s="49"/>
      <c r="Q258" s="41"/>
    </row>
    <row r="259" spans="7:17">
      <c r="G259" s="48"/>
      <c r="H259" s="6"/>
      <c r="I259" s="6"/>
      <c r="K259" s="43"/>
      <c r="L259" s="43"/>
      <c r="M259" s="49"/>
      <c r="N259" s="49"/>
      <c r="O259" s="49"/>
      <c r="P259" s="49"/>
      <c r="Q259" s="41"/>
    </row>
    <row r="260" spans="7:17">
      <c r="G260" s="48"/>
      <c r="H260" s="6"/>
      <c r="I260" s="6"/>
      <c r="K260" s="43"/>
      <c r="L260" s="43"/>
      <c r="M260" s="49"/>
      <c r="N260" s="49"/>
      <c r="O260" s="49"/>
      <c r="P260" s="49"/>
      <c r="Q260" s="41"/>
    </row>
    <row r="261" spans="7:17">
      <c r="G261" s="48"/>
      <c r="H261" s="6"/>
      <c r="I261" s="6"/>
      <c r="K261" s="43"/>
      <c r="L261" s="43"/>
      <c r="M261" s="49"/>
      <c r="N261" s="49"/>
      <c r="O261" s="49"/>
      <c r="P261" s="49"/>
      <c r="Q261" s="41"/>
    </row>
    <row r="262" spans="7:17">
      <c r="G262" s="48"/>
      <c r="H262" s="6"/>
      <c r="I262" s="6"/>
      <c r="K262" s="43"/>
      <c r="L262" s="43"/>
      <c r="M262" s="49"/>
      <c r="N262" s="49"/>
      <c r="O262" s="49"/>
      <c r="P262" s="49"/>
      <c r="Q262" s="41"/>
    </row>
    <row r="263" spans="7:17">
      <c r="G263" s="48"/>
      <c r="H263" s="6"/>
      <c r="I263" s="6"/>
      <c r="K263" s="43"/>
      <c r="L263" s="43"/>
      <c r="M263" s="49"/>
      <c r="N263" s="49"/>
      <c r="O263" s="49"/>
      <c r="P263" s="49"/>
      <c r="Q263" s="41"/>
    </row>
    <row r="264" spans="7:17">
      <c r="G264" s="48"/>
      <c r="H264" s="6"/>
      <c r="I264" s="6"/>
      <c r="K264" s="43"/>
      <c r="L264" s="43"/>
      <c r="M264" s="49"/>
      <c r="N264" s="49"/>
      <c r="O264" s="49"/>
      <c r="P264" s="49"/>
      <c r="Q264" s="41"/>
    </row>
    <row r="265" spans="7:17">
      <c r="G265" s="48"/>
      <c r="H265" s="6"/>
      <c r="I265" s="6"/>
      <c r="K265" s="43"/>
      <c r="L265" s="43"/>
      <c r="M265" s="49"/>
      <c r="N265" s="49"/>
      <c r="O265" s="49"/>
      <c r="P265" s="49"/>
      <c r="Q265" s="41"/>
    </row>
    <row r="266" spans="7:17">
      <c r="G266" s="48"/>
      <c r="H266" s="6"/>
      <c r="I266" s="6"/>
      <c r="K266" s="43"/>
      <c r="L266" s="43"/>
      <c r="M266" s="49"/>
      <c r="N266" s="49"/>
      <c r="O266" s="49"/>
      <c r="P266" s="49"/>
      <c r="Q266" s="41"/>
    </row>
    <row r="267" spans="7:17">
      <c r="G267" s="48"/>
      <c r="H267" s="6"/>
      <c r="I267" s="6"/>
      <c r="K267" s="43"/>
      <c r="L267" s="43"/>
      <c r="M267" s="49"/>
      <c r="N267" s="49"/>
      <c r="O267" s="49"/>
      <c r="P267" s="49"/>
      <c r="Q267" s="41"/>
    </row>
    <row r="268" spans="7:17">
      <c r="G268" s="48"/>
      <c r="H268" s="6"/>
      <c r="I268" s="6"/>
      <c r="K268" s="43"/>
      <c r="L268" s="43"/>
      <c r="M268" s="49"/>
      <c r="N268" s="49"/>
      <c r="O268" s="49"/>
      <c r="P268" s="49"/>
      <c r="Q268" s="41"/>
    </row>
    <row r="269" spans="7:17">
      <c r="G269" s="48"/>
      <c r="H269" s="6"/>
      <c r="I269" s="6"/>
      <c r="K269" s="43"/>
      <c r="L269" s="43"/>
      <c r="M269" s="49"/>
      <c r="N269" s="49"/>
      <c r="O269" s="49"/>
      <c r="P269" s="49"/>
      <c r="Q269" s="41"/>
    </row>
    <row r="270" spans="7:17">
      <c r="G270" s="48"/>
      <c r="H270" s="6"/>
      <c r="I270" s="6"/>
      <c r="K270" s="43"/>
      <c r="L270" s="43"/>
      <c r="M270" s="49"/>
      <c r="N270" s="49"/>
      <c r="O270" s="49"/>
      <c r="P270" s="49"/>
      <c r="Q270" s="41"/>
    </row>
    <row r="271" spans="7:17">
      <c r="G271" s="48"/>
      <c r="H271" s="6"/>
      <c r="I271" s="6"/>
      <c r="K271" s="43"/>
      <c r="L271" s="43"/>
      <c r="M271" s="49"/>
      <c r="N271" s="49"/>
      <c r="O271" s="49"/>
      <c r="P271" s="49"/>
      <c r="Q271" s="41"/>
    </row>
    <row r="272" spans="7:17">
      <c r="G272" s="48"/>
      <c r="H272" s="6"/>
      <c r="I272" s="6"/>
      <c r="K272" s="43"/>
      <c r="L272" s="43"/>
      <c r="M272" s="49"/>
      <c r="N272" s="49"/>
      <c r="O272" s="49"/>
      <c r="P272" s="49"/>
      <c r="Q272" s="41"/>
    </row>
    <row r="273" spans="7:17">
      <c r="G273" s="48"/>
      <c r="H273" s="6"/>
      <c r="I273" s="6"/>
      <c r="K273" s="43"/>
      <c r="L273" s="43"/>
      <c r="M273" s="49"/>
      <c r="N273" s="49"/>
      <c r="O273" s="49"/>
      <c r="P273" s="49"/>
      <c r="Q273" s="41"/>
    </row>
    <row r="274" spans="7:17">
      <c r="G274" s="48"/>
      <c r="H274" s="6"/>
      <c r="I274" s="6"/>
      <c r="K274" s="43"/>
      <c r="L274" s="43"/>
      <c r="M274" s="49"/>
      <c r="N274" s="49"/>
      <c r="O274" s="49"/>
      <c r="P274" s="49"/>
      <c r="Q274" s="41"/>
    </row>
    <row r="275" spans="7:17">
      <c r="G275" s="48"/>
      <c r="H275" s="6"/>
      <c r="I275" s="6"/>
      <c r="K275" s="43"/>
      <c r="L275" s="43"/>
      <c r="M275" s="49"/>
      <c r="N275" s="49"/>
      <c r="O275" s="49"/>
      <c r="P275" s="49"/>
      <c r="Q275" s="41"/>
    </row>
    <row r="276" spans="7:17">
      <c r="G276" s="48"/>
      <c r="H276" s="6"/>
      <c r="I276" s="6"/>
      <c r="K276" s="43"/>
      <c r="L276" s="43"/>
      <c r="M276" s="49"/>
      <c r="N276" s="49"/>
      <c r="O276" s="49"/>
      <c r="P276" s="49"/>
      <c r="Q276" s="41"/>
    </row>
    <row r="277" spans="7:17">
      <c r="G277" s="48"/>
      <c r="H277" s="6"/>
      <c r="I277" s="6"/>
      <c r="K277" s="43"/>
      <c r="L277" s="43"/>
      <c r="M277" s="49"/>
      <c r="N277" s="49"/>
      <c r="O277" s="49"/>
      <c r="P277" s="49"/>
      <c r="Q277" s="41"/>
    </row>
    <row r="278" spans="7:17">
      <c r="G278" s="48"/>
      <c r="H278" s="6"/>
      <c r="I278" s="6"/>
      <c r="K278" s="43"/>
      <c r="L278" s="43"/>
      <c r="M278" s="49"/>
      <c r="N278" s="49"/>
      <c r="O278" s="49"/>
      <c r="P278" s="49"/>
      <c r="Q278" s="41"/>
    </row>
    <row r="279" spans="7:17">
      <c r="G279" s="48"/>
      <c r="H279" s="6"/>
      <c r="I279" s="6"/>
      <c r="K279" s="43"/>
      <c r="L279" s="43"/>
      <c r="M279" s="49"/>
      <c r="N279" s="49"/>
      <c r="O279" s="49"/>
      <c r="P279" s="49"/>
      <c r="Q279" s="41"/>
    </row>
    <row r="280" spans="7:17">
      <c r="G280" s="48"/>
      <c r="H280" s="6"/>
      <c r="I280" s="6"/>
      <c r="K280" s="43"/>
      <c r="L280" s="43"/>
      <c r="M280" s="49"/>
      <c r="N280" s="49"/>
      <c r="O280" s="49"/>
      <c r="P280" s="49"/>
      <c r="Q280" s="41"/>
    </row>
    <row r="281" spans="7:17">
      <c r="G281" s="48"/>
      <c r="H281" s="6"/>
      <c r="I281" s="6"/>
      <c r="K281" s="43"/>
      <c r="L281" s="43"/>
      <c r="M281" s="49"/>
      <c r="N281" s="49"/>
      <c r="O281" s="49"/>
      <c r="P281" s="49"/>
      <c r="Q281" s="41"/>
    </row>
    <row r="282" spans="7:17">
      <c r="G282" s="48"/>
      <c r="H282" s="6"/>
      <c r="I282" s="6"/>
      <c r="K282" s="43"/>
      <c r="L282" s="43"/>
      <c r="M282" s="49"/>
      <c r="N282" s="49"/>
      <c r="O282" s="49"/>
      <c r="P282" s="49"/>
      <c r="Q282" s="41"/>
    </row>
    <row r="283" spans="7:17">
      <c r="G283" s="48"/>
      <c r="H283" s="6"/>
      <c r="I283" s="6"/>
      <c r="K283" s="43"/>
      <c r="L283" s="43"/>
      <c r="M283" s="49"/>
      <c r="N283" s="49"/>
      <c r="O283" s="49"/>
      <c r="P283" s="49"/>
      <c r="Q283" s="41"/>
    </row>
    <row r="284" spans="7:17">
      <c r="G284" s="48"/>
      <c r="H284" s="6"/>
      <c r="I284" s="6"/>
      <c r="K284" s="43"/>
      <c r="L284" s="43"/>
      <c r="M284" s="49"/>
      <c r="N284" s="49"/>
      <c r="O284" s="49"/>
      <c r="P284" s="49"/>
      <c r="Q284" s="41"/>
    </row>
    <row r="285" spans="7:17">
      <c r="G285" s="48"/>
      <c r="H285" s="6"/>
      <c r="I285" s="6"/>
      <c r="K285" s="43"/>
      <c r="L285" s="43"/>
      <c r="M285" s="49"/>
      <c r="N285" s="49"/>
      <c r="O285" s="49"/>
      <c r="P285" s="49"/>
      <c r="Q285" s="41"/>
    </row>
    <row r="286" spans="7:17">
      <c r="G286" s="48"/>
      <c r="H286" s="6"/>
      <c r="I286" s="6"/>
      <c r="K286" s="43"/>
      <c r="L286" s="43"/>
      <c r="M286" s="49"/>
      <c r="N286" s="49"/>
      <c r="O286" s="49"/>
      <c r="P286" s="49"/>
      <c r="Q286" s="41"/>
    </row>
    <row r="287" spans="7:17">
      <c r="G287" s="48"/>
      <c r="H287" s="6"/>
      <c r="I287" s="6"/>
      <c r="K287" s="43"/>
      <c r="L287" s="43"/>
      <c r="M287" s="49"/>
      <c r="N287" s="49"/>
      <c r="O287" s="49"/>
      <c r="P287" s="49"/>
      <c r="Q287" s="41"/>
    </row>
    <row r="288" spans="7:17">
      <c r="G288" s="48"/>
      <c r="H288" s="6"/>
      <c r="I288" s="6"/>
      <c r="K288" s="43"/>
      <c r="L288" s="43"/>
      <c r="M288" s="49"/>
      <c r="N288" s="49"/>
      <c r="O288" s="49"/>
      <c r="P288" s="49"/>
      <c r="Q288" s="41"/>
    </row>
    <row r="289" spans="7:17">
      <c r="G289" s="48"/>
      <c r="H289" s="6"/>
      <c r="I289" s="6"/>
      <c r="K289" s="43"/>
      <c r="L289" s="43"/>
      <c r="M289" s="49"/>
      <c r="N289" s="49"/>
      <c r="O289" s="49"/>
      <c r="P289" s="49"/>
      <c r="Q289" s="41"/>
    </row>
    <row r="290" spans="7:17">
      <c r="G290" s="48"/>
      <c r="H290" s="6"/>
      <c r="I290" s="6"/>
      <c r="K290" s="43"/>
      <c r="L290" s="43"/>
      <c r="M290" s="49"/>
      <c r="N290" s="49"/>
      <c r="O290" s="49"/>
      <c r="P290" s="49"/>
      <c r="Q290" s="41"/>
    </row>
    <row r="291" spans="7:17">
      <c r="G291" s="48"/>
      <c r="H291" s="6"/>
      <c r="I291" s="6"/>
      <c r="K291" s="43"/>
      <c r="L291" s="43"/>
      <c r="M291" s="49"/>
      <c r="N291" s="49"/>
      <c r="O291" s="49"/>
      <c r="P291" s="49"/>
      <c r="Q291" s="41"/>
    </row>
    <row r="292" spans="7:17">
      <c r="G292" s="48"/>
      <c r="H292" s="6"/>
      <c r="I292" s="6"/>
      <c r="K292" s="43"/>
      <c r="L292" s="43"/>
      <c r="M292" s="49"/>
      <c r="N292" s="49"/>
      <c r="O292" s="49"/>
      <c r="P292" s="49"/>
      <c r="Q292" s="41"/>
    </row>
    <row r="293" spans="7:17">
      <c r="G293" s="48"/>
      <c r="H293" s="6"/>
      <c r="I293" s="6"/>
      <c r="K293" s="43"/>
      <c r="L293" s="43"/>
      <c r="M293" s="49"/>
      <c r="N293" s="49"/>
      <c r="O293" s="49"/>
      <c r="P293" s="49"/>
      <c r="Q293" s="41"/>
    </row>
    <row r="294" spans="7:17">
      <c r="G294" s="48"/>
      <c r="H294" s="6"/>
      <c r="I294" s="6"/>
      <c r="K294" s="43"/>
      <c r="L294" s="43"/>
      <c r="M294" s="49"/>
      <c r="N294" s="49"/>
      <c r="O294" s="49"/>
      <c r="P294" s="49"/>
      <c r="Q294" s="41"/>
    </row>
    <row r="295" spans="7:17">
      <c r="G295" s="48"/>
      <c r="H295" s="6"/>
      <c r="I295" s="6"/>
      <c r="K295" s="43"/>
      <c r="L295" s="43"/>
      <c r="M295" s="49"/>
      <c r="N295" s="49"/>
      <c r="O295" s="49"/>
      <c r="P295" s="49"/>
      <c r="Q295" s="41"/>
    </row>
    <row r="296" spans="7:17">
      <c r="G296" s="48"/>
      <c r="H296" s="6"/>
      <c r="I296" s="6"/>
      <c r="K296" s="43"/>
      <c r="L296" s="43"/>
      <c r="M296" s="49"/>
      <c r="N296" s="49"/>
      <c r="O296" s="49"/>
      <c r="P296" s="49"/>
      <c r="Q296" s="41"/>
    </row>
    <row r="297" spans="7:17">
      <c r="G297" s="48"/>
      <c r="H297" s="6"/>
      <c r="I297" s="6"/>
      <c r="K297" s="43"/>
      <c r="L297" s="43"/>
      <c r="M297" s="49"/>
      <c r="N297" s="49"/>
      <c r="O297" s="49"/>
      <c r="P297" s="49"/>
      <c r="Q297" s="41"/>
    </row>
    <row r="298" spans="7:17">
      <c r="G298" s="48"/>
      <c r="H298" s="6"/>
      <c r="I298" s="6"/>
      <c r="K298" s="43"/>
      <c r="L298" s="43"/>
      <c r="M298" s="49"/>
      <c r="N298" s="49"/>
      <c r="O298" s="49"/>
      <c r="P298" s="49"/>
      <c r="Q298" s="41"/>
    </row>
    <row r="299" spans="7:17">
      <c r="G299" s="48"/>
      <c r="H299" s="6"/>
      <c r="I299" s="6"/>
      <c r="K299" s="43"/>
      <c r="L299" s="43"/>
      <c r="M299" s="49"/>
      <c r="N299" s="49"/>
      <c r="O299" s="49"/>
      <c r="P299" s="49"/>
      <c r="Q299" s="41"/>
    </row>
    <row r="300" spans="7:17">
      <c r="G300" s="48"/>
      <c r="H300" s="6"/>
      <c r="I300" s="6"/>
      <c r="K300" s="43"/>
      <c r="L300" s="43"/>
      <c r="M300" s="49"/>
      <c r="N300" s="49"/>
      <c r="O300" s="49"/>
      <c r="P300" s="49"/>
      <c r="Q300" s="41"/>
    </row>
    <row r="301" spans="7:17">
      <c r="G301" s="48"/>
      <c r="H301" s="6"/>
      <c r="I301" s="6"/>
      <c r="K301" s="43"/>
      <c r="L301" s="43"/>
      <c r="M301" s="49"/>
      <c r="N301" s="49"/>
      <c r="O301" s="49"/>
      <c r="P301" s="49"/>
      <c r="Q301" s="41"/>
    </row>
    <row r="302" spans="7:17">
      <c r="G302" s="48"/>
      <c r="H302" s="6"/>
      <c r="I302" s="6"/>
      <c r="K302" s="43"/>
      <c r="L302" s="43"/>
      <c r="M302" s="49"/>
      <c r="N302" s="49"/>
      <c r="O302" s="49"/>
      <c r="P302" s="49"/>
      <c r="Q302" s="41"/>
    </row>
    <row r="303" spans="7:17">
      <c r="G303" s="48"/>
      <c r="H303" s="6"/>
      <c r="I303" s="6"/>
      <c r="K303" s="43"/>
      <c r="L303" s="43"/>
      <c r="M303" s="49"/>
      <c r="N303" s="49"/>
      <c r="O303" s="49"/>
      <c r="P303" s="49"/>
      <c r="Q303" s="41"/>
    </row>
    <row r="304" spans="7:17">
      <c r="G304" s="48"/>
      <c r="H304" s="6"/>
      <c r="I304" s="6"/>
      <c r="K304" s="43"/>
      <c r="L304" s="43"/>
      <c r="M304" s="49"/>
      <c r="N304" s="49"/>
      <c r="O304" s="49"/>
      <c r="P304" s="49"/>
      <c r="Q304" s="41"/>
    </row>
    <row r="305" spans="7:17">
      <c r="G305" s="48"/>
      <c r="H305" s="6"/>
      <c r="I305" s="6"/>
      <c r="K305" s="43"/>
      <c r="L305" s="43"/>
      <c r="M305" s="49"/>
      <c r="N305" s="49"/>
      <c r="O305" s="49"/>
      <c r="P305" s="49"/>
      <c r="Q305" s="41"/>
    </row>
    <row r="306" spans="7:17">
      <c r="G306" s="48"/>
      <c r="H306" s="6"/>
      <c r="I306" s="6"/>
      <c r="K306" s="43"/>
      <c r="L306" s="43"/>
      <c r="M306" s="49"/>
      <c r="N306" s="49"/>
      <c r="O306" s="49"/>
      <c r="P306" s="49"/>
      <c r="Q306" s="41"/>
    </row>
    <row r="307" spans="7:17">
      <c r="G307" s="48"/>
      <c r="H307" s="6"/>
      <c r="I307" s="6"/>
      <c r="K307" s="43"/>
      <c r="L307" s="43"/>
      <c r="M307" s="49"/>
      <c r="N307" s="49"/>
      <c r="O307" s="49"/>
      <c r="P307" s="49"/>
      <c r="Q307" s="41"/>
    </row>
    <row r="308" spans="7:17">
      <c r="G308" s="48"/>
      <c r="H308" s="6"/>
      <c r="I308" s="6"/>
      <c r="K308" s="43"/>
      <c r="L308" s="43"/>
      <c r="M308" s="49"/>
      <c r="N308" s="49"/>
      <c r="O308" s="49"/>
      <c r="P308" s="49"/>
      <c r="Q308" s="41"/>
    </row>
    <row r="309" spans="7:17">
      <c r="G309" s="48"/>
      <c r="H309" s="6"/>
      <c r="I309" s="6"/>
      <c r="K309" s="43"/>
      <c r="L309" s="43"/>
      <c r="M309" s="49"/>
      <c r="N309" s="49"/>
      <c r="O309" s="49"/>
      <c r="P309" s="49"/>
      <c r="Q309" s="41"/>
    </row>
    <row r="310" spans="7:17">
      <c r="G310" s="48"/>
      <c r="H310" s="6"/>
      <c r="I310" s="6"/>
      <c r="K310" s="43"/>
      <c r="L310" s="43"/>
      <c r="M310" s="49"/>
      <c r="N310" s="49"/>
      <c r="O310" s="49"/>
      <c r="P310" s="49"/>
      <c r="Q310" s="41"/>
    </row>
    <row r="311" spans="7:17">
      <c r="G311" s="48"/>
      <c r="H311" s="6"/>
      <c r="I311" s="6"/>
      <c r="K311" s="43"/>
      <c r="L311" s="43"/>
      <c r="M311" s="49"/>
      <c r="N311" s="49"/>
      <c r="O311" s="49"/>
      <c r="P311" s="49"/>
      <c r="Q311" s="41"/>
    </row>
    <row r="312" spans="7:17">
      <c r="G312" s="48"/>
      <c r="H312" s="6"/>
      <c r="I312" s="6"/>
      <c r="K312" s="43"/>
      <c r="L312" s="43"/>
      <c r="M312" s="49"/>
      <c r="N312" s="49"/>
      <c r="O312" s="49"/>
      <c r="P312" s="49"/>
      <c r="Q312" s="41"/>
    </row>
    <row r="313" spans="7:17">
      <c r="G313" s="48"/>
      <c r="H313" s="6"/>
      <c r="I313" s="6"/>
      <c r="K313" s="43"/>
      <c r="L313" s="43"/>
      <c r="M313" s="49"/>
      <c r="N313" s="49"/>
      <c r="O313" s="49"/>
      <c r="P313" s="49"/>
      <c r="Q313" s="41"/>
    </row>
    <row r="314" spans="7:17">
      <c r="G314" s="48"/>
      <c r="H314" s="6"/>
      <c r="I314" s="6"/>
      <c r="K314" s="43"/>
      <c r="L314" s="43"/>
      <c r="M314" s="49"/>
      <c r="N314" s="49"/>
      <c r="O314" s="49"/>
      <c r="P314" s="49"/>
      <c r="Q314" s="41"/>
    </row>
    <row r="315" spans="7:17">
      <c r="G315" s="48"/>
      <c r="H315" s="6"/>
      <c r="I315" s="6"/>
      <c r="K315" s="43"/>
      <c r="L315" s="43"/>
      <c r="M315" s="49"/>
      <c r="N315" s="49"/>
      <c r="O315" s="49"/>
      <c r="P315" s="49"/>
      <c r="Q315" s="41"/>
    </row>
    <row r="316" spans="7:17">
      <c r="G316" s="48"/>
      <c r="H316" s="6"/>
      <c r="I316" s="6"/>
      <c r="K316" s="43"/>
      <c r="L316" s="43"/>
      <c r="M316" s="49"/>
      <c r="N316" s="49"/>
      <c r="O316" s="49"/>
      <c r="P316" s="49"/>
      <c r="Q316" s="41"/>
    </row>
    <row r="317" spans="7:17">
      <c r="G317" s="48"/>
      <c r="H317" s="6"/>
      <c r="I317" s="6"/>
      <c r="K317" s="43"/>
      <c r="L317" s="43"/>
      <c r="M317" s="49"/>
      <c r="N317" s="49"/>
      <c r="O317" s="49"/>
      <c r="P317" s="49"/>
      <c r="Q317" s="41"/>
    </row>
    <row r="318" spans="7:17">
      <c r="G318" s="48"/>
      <c r="H318" s="6"/>
      <c r="I318" s="6"/>
      <c r="K318" s="43"/>
      <c r="L318" s="43"/>
      <c r="M318" s="49"/>
      <c r="N318" s="49"/>
      <c r="O318" s="49"/>
      <c r="P318" s="49"/>
      <c r="Q318" s="41"/>
    </row>
    <row r="319" spans="7:17">
      <c r="G319" s="48"/>
      <c r="H319" s="6"/>
      <c r="I319" s="6"/>
      <c r="K319" s="43"/>
      <c r="L319" s="43"/>
      <c r="M319" s="49"/>
      <c r="N319" s="49"/>
      <c r="O319" s="49"/>
      <c r="P319" s="49"/>
      <c r="Q319" s="41"/>
    </row>
    <row r="320" spans="7:17">
      <c r="G320" s="48"/>
      <c r="H320" s="6"/>
      <c r="I320" s="6"/>
      <c r="K320" s="43"/>
      <c r="L320" s="43"/>
      <c r="M320" s="49"/>
      <c r="N320" s="49"/>
      <c r="O320" s="49"/>
      <c r="P320" s="49"/>
      <c r="Q320" s="41"/>
    </row>
    <row r="321" spans="7:17">
      <c r="G321" s="48"/>
      <c r="H321" s="6"/>
      <c r="I321" s="6"/>
      <c r="K321" s="43"/>
      <c r="L321" s="43"/>
      <c r="M321" s="49"/>
      <c r="N321" s="49"/>
      <c r="O321" s="49"/>
      <c r="P321" s="49"/>
      <c r="Q321" s="41"/>
    </row>
    <row r="322" spans="7:17">
      <c r="G322" s="48"/>
      <c r="H322" s="6"/>
      <c r="I322" s="6"/>
      <c r="K322" s="43"/>
      <c r="L322" s="43"/>
      <c r="M322" s="49"/>
      <c r="N322" s="49"/>
      <c r="O322" s="49"/>
      <c r="P322" s="49"/>
      <c r="Q322" s="41"/>
    </row>
    <row r="323" spans="7:17">
      <c r="G323" s="48"/>
      <c r="H323" s="6"/>
      <c r="I323" s="6"/>
      <c r="K323" s="43"/>
      <c r="L323" s="43"/>
      <c r="M323" s="49"/>
      <c r="N323" s="49"/>
      <c r="O323" s="49"/>
      <c r="P323" s="49"/>
      <c r="Q323" s="41"/>
    </row>
    <row r="324" spans="7:17">
      <c r="G324" s="48"/>
      <c r="H324" s="6"/>
      <c r="I324" s="6"/>
      <c r="K324" s="43"/>
      <c r="L324" s="43"/>
      <c r="M324" s="49"/>
      <c r="N324" s="49"/>
      <c r="O324" s="49"/>
      <c r="P324" s="49"/>
      <c r="Q324" s="41"/>
    </row>
    <row r="325" spans="7:17">
      <c r="G325" s="48"/>
      <c r="H325" s="6"/>
      <c r="I325" s="6"/>
      <c r="K325" s="43"/>
      <c r="L325" s="43"/>
      <c r="M325" s="49"/>
      <c r="N325" s="49"/>
      <c r="O325" s="49"/>
      <c r="P325" s="49"/>
      <c r="Q325" s="41"/>
    </row>
    <row r="326" spans="7:17">
      <c r="G326" s="48"/>
      <c r="H326" s="6"/>
      <c r="I326" s="6"/>
      <c r="K326" s="43"/>
      <c r="L326" s="43"/>
      <c r="M326" s="49"/>
      <c r="N326" s="49"/>
      <c r="O326" s="49"/>
      <c r="P326" s="49"/>
      <c r="Q326" s="41"/>
    </row>
    <row r="327" spans="7:17">
      <c r="G327" s="48"/>
      <c r="H327" s="6"/>
      <c r="I327" s="6"/>
      <c r="K327" s="43"/>
      <c r="L327" s="43"/>
      <c r="M327" s="49"/>
      <c r="N327" s="49"/>
      <c r="O327" s="49"/>
      <c r="P327" s="49"/>
      <c r="Q327" s="41"/>
    </row>
    <row r="328" spans="7:17">
      <c r="G328" s="48"/>
      <c r="H328" s="6"/>
      <c r="I328" s="6"/>
      <c r="K328" s="43"/>
      <c r="L328" s="43"/>
      <c r="M328" s="49"/>
      <c r="N328" s="49"/>
      <c r="O328" s="49"/>
      <c r="P328" s="49"/>
      <c r="Q328" s="41"/>
    </row>
    <row r="329" spans="7:17">
      <c r="G329" s="48"/>
      <c r="H329" s="6"/>
      <c r="I329" s="6"/>
      <c r="K329" s="43"/>
      <c r="L329" s="43"/>
      <c r="M329" s="49"/>
      <c r="N329" s="49"/>
      <c r="O329" s="49"/>
      <c r="P329" s="49"/>
      <c r="Q329" s="41"/>
    </row>
    <row r="330" spans="7:17">
      <c r="G330" s="48"/>
      <c r="H330" s="6"/>
      <c r="I330" s="6"/>
      <c r="K330" s="43"/>
      <c r="L330" s="43"/>
      <c r="M330" s="49"/>
      <c r="N330" s="49"/>
      <c r="O330" s="49"/>
      <c r="P330" s="49"/>
      <c r="Q330" s="41"/>
    </row>
    <row r="331" spans="7:17">
      <c r="G331" s="48"/>
      <c r="H331" s="6"/>
      <c r="I331" s="6"/>
      <c r="K331" s="43"/>
      <c r="L331" s="43"/>
      <c r="M331" s="49"/>
      <c r="N331" s="49"/>
      <c r="O331" s="49"/>
      <c r="P331" s="49"/>
      <c r="Q331" s="41"/>
    </row>
    <row r="332" spans="7:17">
      <c r="G332" s="48"/>
      <c r="H332" s="6"/>
      <c r="I332" s="6"/>
      <c r="K332" s="43"/>
      <c r="L332" s="43"/>
      <c r="M332" s="49"/>
      <c r="N332" s="49"/>
      <c r="O332" s="49"/>
      <c r="P332" s="49"/>
      <c r="Q332" s="41"/>
    </row>
    <row r="333" spans="7:17">
      <c r="G333" s="48"/>
      <c r="H333" s="6"/>
      <c r="I333" s="6"/>
      <c r="K333" s="43"/>
      <c r="L333" s="43"/>
      <c r="M333" s="49"/>
      <c r="N333" s="49"/>
      <c r="O333" s="49"/>
      <c r="P333" s="49"/>
      <c r="Q333" s="41"/>
    </row>
    <row r="334" spans="7:17">
      <c r="G334" s="48"/>
      <c r="H334" s="6"/>
      <c r="I334" s="6"/>
      <c r="K334" s="43"/>
      <c r="L334" s="43"/>
      <c r="M334" s="49"/>
      <c r="N334" s="49"/>
      <c r="O334" s="49"/>
      <c r="P334" s="49"/>
      <c r="Q334" s="41"/>
    </row>
    <row r="335" spans="7:17">
      <c r="G335" s="48"/>
      <c r="H335" s="6"/>
      <c r="I335" s="6"/>
      <c r="K335" s="43"/>
      <c r="L335" s="43"/>
      <c r="M335" s="49"/>
      <c r="N335" s="49"/>
      <c r="O335" s="49"/>
      <c r="P335" s="49"/>
      <c r="Q335" s="41"/>
    </row>
    <row r="336" spans="7:17">
      <c r="G336" s="48"/>
      <c r="H336" s="6"/>
      <c r="I336" s="6"/>
      <c r="K336" s="43"/>
      <c r="L336" s="43"/>
      <c r="M336" s="49"/>
      <c r="N336" s="49"/>
      <c r="O336" s="49"/>
      <c r="P336" s="49"/>
      <c r="Q336" s="41"/>
    </row>
    <row r="337" spans="7:17">
      <c r="G337" s="48"/>
      <c r="H337" s="6"/>
      <c r="I337" s="6"/>
      <c r="K337" s="43"/>
      <c r="L337" s="43"/>
      <c r="M337" s="49"/>
      <c r="N337" s="49"/>
      <c r="O337" s="49"/>
      <c r="P337" s="49"/>
      <c r="Q337" s="41"/>
    </row>
    <row r="338" spans="7:17">
      <c r="G338" s="48"/>
      <c r="H338" s="6"/>
      <c r="I338" s="6"/>
      <c r="K338" s="43"/>
      <c r="L338" s="43"/>
      <c r="M338" s="49"/>
      <c r="N338" s="49"/>
      <c r="O338" s="49"/>
      <c r="P338" s="49"/>
      <c r="Q338" s="41"/>
    </row>
    <row r="339" spans="7:17">
      <c r="G339" s="48"/>
      <c r="H339" s="6"/>
      <c r="I339" s="6"/>
      <c r="K339" s="43"/>
      <c r="L339" s="43"/>
      <c r="M339" s="49"/>
      <c r="N339" s="49"/>
      <c r="O339" s="49"/>
      <c r="P339" s="49"/>
      <c r="Q339" s="41"/>
    </row>
    <row r="340" spans="7:17">
      <c r="G340" s="48"/>
      <c r="H340" s="6"/>
      <c r="I340" s="6"/>
      <c r="K340" s="43"/>
      <c r="L340" s="43"/>
      <c r="M340" s="49"/>
      <c r="N340" s="49"/>
      <c r="O340" s="49"/>
      <c r="P340" s="49"/>
      <c r="Q340" s="41"/>
    </row>
    <row r="341" spans="7:17">
      <c r="G341" s="48"/>
      <c r="H341" s="6"/>
      <c r="I341" s="6"/>
      <c r="K341" s="43"/>
      <c r="L341" s="43"/>
      <c r="M341" s="49"/>
      <c r="N341" s="49"/>
      <c r="O341" s="49"/>
      <c r="P341" s="49"/>
      <c r="Q341" s="41"/>
    </row>
    <row r="342" spans="7:17">
      <c r="G342" s="48"/>
      <c r="H342" s="6"/>
      <c r="I342" s="6"/>
      <c r="K342" s="43"/>
      <c r="L342" s="43"/>
      <c r="M342" s="49"/>
      <c r="N342" s="49"/>
      <c r="O342" s="49"/>
      <c r="P342" s="49"/>
      <c r="Q342" s="41"/>
    </row>
    <row r="343" spans="7:17">
      <c r="G343" s="48"/>
      <c r="H343" s="6"/>
      <c r="I343" s="6"/>
      <c r="K343" s="43"/>
      <c r="L343" s="43"/>
      <c r="M343" s="49"/>
      <c r="N343" s="49"/>
      <c r="O343" s="49"/>
      <c r="P343" s="49"/>
      <c r="Q343" s="41"/>
    </row>
    <row r="344" spans="7:17">
      <c r="G344" s="48"/>
      <c r="H344" s="6"/>
      <c r="I344" s="6"/>
      <c r="K344" s="43"/>
      <c r="L344" s="43"/>
      <c r="M344" s="49"/>
      <c r="N344" s="49"/>
      <c r="O344" s="49"/>
      <c r="P344" s="49"/>
      <c r="Q344" s="41"/>
    </row>
    <row r="345" spans="7:17">
      <c r="G345" s="48"/>
      <c r="H345" s="6"/>
      <c r="I345" s="6"/>
      <c r="K345" s="43"/>
      <c r="L345" s="43"/>
      <c r="M345" s="49"/>
      <c r="N345" s="49"/>
      <c r="O345" s="49"/>
      <c r="P345" s="49"/>
      <c r="Q345" s="41"/>
    </row>
    <row r="346" spans="7:17">
      <c r="G346" s="48"/>
      <c r="H346" s="6"/>
      <c r="I346" s="6"/>
      <c r="K346" s="43"/>
      <c r="L346" s="43"/>
      <c r="M346" s="49"/>
      <c r="N346" s="49"/>
      <c r="O346" s="49"/>
      <c r="P346" s="49"/>
      <c r="Q346" s="41"/>
    </row>
    <row r="347" spans="7:17">
      <c r="G347" s="48"/>
      <c r="H347" s="6"/>
      <c r="I347" s="6"/>
      <c r="K347" s="43"/>
      <c r="L347" s="43"/>
      <c r="M347" s="49"/>
      <c r="N347" s="49"/>
      <c r="O347" s="49"/>
      <c r="P347" s="49"/>
      <c r="Q347" s="41"/>
    </row>
    <row r="348" spans="7:17">
      <c r="G348" s="48"/>
      <c r="H348" s="6"/>
      <c r="I348" s="6"/>
      <c r="K348" s="43"/>
      <c r="L348" s="43"/>
      <c r="M348" s="49"/>
      <c r="N348" s="49"/>
      <c r="O348" s="49"/>
      <c r="P348" s="49"/>
      <c r="Q348" s="41"/>
    </row>
    <row r="349" spans="7:17">
      <c r="G349" s="48"/>
      <c r="H349" s="6"/>
      <c r="I349" s="6"/>
      <c r="K349" s="43"/>
      <c r="L349" s="43"/>
      <c r="M349" s="49"/>
      <c r="N349" s="49"/>
      <c r="O349" s="49"/>
      <c r="P349" s="49"/>
      <c r="Q349" s="41"/>
    </row>
    <row r="350" spans="7:17">
      <c r="G350" s="48"/>
      <c r="H350" s="6"/>
      <c r="I350" s="6"/>
      <c r="K350" s="43"/>
      <c r="L350" s="43"/>
      <c r="M350" s="49"/>
      <c r="N350" s="49"/>
      <c r="O350" s="49"/>
      <c r="P350" s="49"/>
      <c r="Q350" s="41"/>
    </row>
    <row r="351" spans="7:17">
      <c r="G351" s="48"/>
      <c r="H351" s="6"/>
      <c r="I351" s="6"/>
      <c r="K351" s="43"/>
      <c r="L351" s="43"/>
      <c r="M351" s="49"/>
      <c r="N351" s="49"/>
      <c r="O351" s="49"/>
      <c r="P351" s="49"/>
      <c r="Q351" s="41"/>
    </row>
    <row r="352" spans="7:17">
      <c r="G352" s="48"/>
      <c r="H352" s="6"/>
      <c r="I352" s="6"/>
      <c r="K352" s="43"/>
      <c r="L352" s="43"/>
      <c r="M352" s="49"/>
      <c r="N352" s="49"/>
      <c r="O352" s="49"/>
      <c r="P352" s="49"/>
      <c r="Q352" s="41"/>
    </row>
    <row r="353" spans="7:17">
      <c r="G353" s="48"/>
      <c r="H353" s="6"/>
      <c r="I353" s="6"/>
      <c r="K353" s="43"/>
      <c r="L353" s="43"/>
      <c r="M353" s="49"/>
      <c r="N353" s="49"/>
      <c r="O353" s="49"/>
      <c r="P353" s="49"/>
      <c r="Q353" s="41"/>
    </row>
    <row r="354" spans="7:17">
      <c r="G354" s="48"/>
      <c r="H354" s="6"/>
      <c r="I354" s="6"/>
      <c r="K354" s="43"/>
      <c r="L354" s="43"/>
      <c r="M354" s="49"/>
      <c r="N354" s="49"/>
      <c r="O354" s="49"/>
      <c r="P354" s="49"/>
      <c r="Q354" s="41"/>
    </row>
    <row r="355" spans="7:17">
      <c r="G355" s="48"/>
      <c r="H355" s="6"/>
      <c r="I355" s="6"/>
      <c r="K355" s="43"/>
      <c r="L355" s="43"/>
      <c r="M355" s="49"/>
      <c r="N355" s="49"/>
      <c r="O355" s="49"/>
      <c r="P355" s="49"/>
      <c r="Q355" s="41"/>
    </row>
    <row r="356" spans="7:17">
      <c r="G356" s="48"/>
      <c r="H356" s="6"/>
      <c r="I356" s="6"/>
      <c r="K356" s="43"/>
      <c r="L356" s="43"/>
      <c r="M356" s="49"/>
      <c r="N356" s="49"/>
      <c r="O356" s="49"/>
      <c r="P356" s="49"/>
      <c r="Q356" s="41"/>
    </row>
    <row r="357" spans="7:17">
      <c r="G357" s="48"/>
      <c r="H357" s="6"/>
      <c r="I357" s="6"/>
      <c r="K357" s="43"/>
      <c r="L357" s="43"/>
      <c r="M357" s="49"/>
      <c r="N357" s="49"/>
      <c r="O357" s="49"/>
      <c r="P357" s="49"/>
      <c r="Q357" s="41"/>
    </row>
    <row r="358" spans="7:17">
      <c r="G358" s="48"/>
      <c r="H358" s="6"/>
      <c r="I358" s="6"/>
      <c r="K358" s="43"/>
      <c r="L358" s="43"/>
      <c r="M358" s="49"/>
      <c r="N358" s="49"/>
      <c r="O358" s="49"/>
      <c r="P358" s="49"/>
      <c r="Q358" s="41"/>
    </row>
    <row r="359" spans="7:17">
      <c r="G359" s="48"/>
      <c r="H359" s="6"/>
      <c r="I359" s="6"/>
      <c r="K359" s="43"/>
      <c r="L359" s="43"/>
      <c r="M359" s="49"/>
      <c r="N359" s="49"/>
      <c r="O359" s="49"/>
      <c r="P359" s="49"/>
      <c r="Q359" s="41"/>
    </row>
    <row r="360" spans="7:17">
      <c r="G360" s="48"/>
      <c r="H360" s="6"/>
      <c r="I360" s="6"/>
      <c r="K360" s="43"/>
      <c r="L360" s="43"/>
      <c r="M360" s="49"/>
      <c r="N360" s="49"/>
      <c r="O360" s="49"/>
      <c r="P360" s="49"/>
      <c r="Q360" s="41"/>
    </row>
    <row r="361" spans="7:17">
      <c r="G361" s="48"/>
      <c r="H361" s="6"/>
      <c r="I361" s="6"/>
      <c r="K361" s="43"/>
      <c r="L361" s="43"/>
      <c r="M361" s="49"/>
      <c r="N361" s="49"/>
      <c r="O361" s="49"/>
      <c r="P361" s="49"/>
      <c r="Q361" s="41"/>
    </row>
    <row r="362" spans="7:17">
      <c r="G362" s="48"/>
      <c r="H362" s="6"/>
      <c r="I362" s="6"/>
      <c r="K362" s="43"/>
      <c r="L362" s="43"/>
      <c r="M362" s="49"/>
      <c r="N362" s="49"/>
      <c r="O362" s="49"/>
      <c r="P362" s="49"/>
      <c r="Q362" s="41"/>
    </row>
    <row r="363" spans="7:17">
      <c r="G363" s="48"/>
      <c r="H363" s="6"/>
      <c r="I363" s="6"/>
      <c r="K363" s="43"/>
      <c r="L363" s="43"/>
      <c r="M363" s="49"/>
      <c r="N363" s="49"/>
      <c r="O363" s="49"/>
      <c r="P363" s="49"/>
      <c r="Q363" s="41"/>
    </row>
    <row r="364" spans="7:17">
      <c r="G364" s="48"/>
      <c r="H364" s="6"/>
      <c r="I364" s="6"/>
      <c r="K364" s="43"/>
      <c r="L364" s="43"/>
      <c r="M364" s="49"/>
      <c r="N364" s="49"/>
      <c r="O364" s="49"/>
      <c r="P364" s="49"/>
      <c r="Q364" s="41"/>
    </row>
    <row r="365" spans="7:17">
      <c r="G365" s="48"/>
      <c r="H365" s="6"/>
      <c r="I365" s="6"/>
      <c r="K365" s="43"/>
      <c r="L365" s="43"/>
      <c r="M365" s="49"/>
      <c r="N365" s="49"/>
      <c r="O365" s="49"/>
      <c r="P365" s="49"/>
      <c r="Q365" s="41"/>
    </row>
    <row r="366" spans="7:17">
      <c r="G366" s="48"/>
      <c r="H366" s="6"/>
      <c r="I366" s="6"/>
      <c r="K366" s="43"/>
      <c r="L366" s="43"/>
      <c r="M366" s="49"/>
      <c r="N366" s="49"/>
      <c r="O366" s="49"/>
      <c r="P366" s="49"/>
      <c r="Q366" s="41"/>
    </row>
    <row r="367" spans="7:17">
      <c r="G367" s="48"/>
      <c r="H367" s="6"/>
      <c r="I367" s="6"/>
      <c r="K367" s="43"/>
      <c r="L367" s="43"/>
      <c r="M367" s="49"/>
      <c r="N367" s="49"/>
      <c r="O367" s="49"/>
      <c r="P367" s="49"/>
      <c r="Q367" s="41"/>
    </row>
    <row r="368" spans="7:17">
      <c r="G368" s="48"/>
      <c r="H368" s="6"/>
      <c r="I368" s="6"/>
      <c r="K368" s="43"/>
      <c r="L368" s="43"/>
      <c r="M368" s="49"/>
      <c r="N368" s="49"/>
      <c r="O368" s="49"/>
      <c r="P368" s="49"/>
      <c r="Q368" s="41"/>
    </row>
    <row r="369" spans="7:17">
      <c r="G369" s="48"/>
      <c r="H369" s="6"/>
      <c r="I369" s="6"/>
      <c r="K369" s="43"/>
      <c r="L369" s="43"/>
      <c r="M369" s="49"/>
      <c r="N369" s="49"/>
      <c r="O369" s="49"/>
      <c r="P369" s="49"/>
      <c r="Q369" s="41"/>
    </row>
    <row r="370" spans="7:17">
      <c r="G370" s="48"/>
      <c r="H370" s="6"/>
      <c r="I370" s="6"/>
      <c r="K370" s="43"/>
      <c r="L370" s="43"/>
      <c r="M370" s="49"/>
      <c r="N370" s="49"/>
      <c r="O370" s="49"/>
      <c r="P370" s="49"/>
      <c r="Q370" s="41"/>
    </row>
    <row r="371" spans="7:17">
      <c r="G371" s="48"/>
      <c r="H371" s="6"/>
      <c r="I371" s="6"/>
      <c r="K371" s="43"/>
      <c r="L371" s="43"/>
      <c r="M371" s="49"/>
      <c r="N371" s="49"/>
      <c r="O371" s="49"/>
      <c r="P371" s="49"/>
      <c r="Q371" s="41"/>
    </row>
    <row r="372" spans="7:17">
      <c r="G372" s="48"/>
      <c r="H372" s="6"/>
      <c r="I372" s="6"/>
      <c r="K372" s="43"/>
      <c r="L372" s="43"/>
      <c r="M372" s="49"/>
      <c r="N372" s="49"/>
      <c r="O372" s="49"/>
      <c r="P372" s="49"/>
      <c r="Q372" s="41"/>
    </row>
    <row r="373" spans="7:17">
      <c r="G373" s="48"/>
      <c r="H373" s="6"/>
      <c r="I373" s="6"/>
      <c r="K373" s="43"/>
      <c r="L373" s="43"/>
      <c r="M373" s="49"/>
      <c r="N373" s="49"/>
      <c r="O373" s="49"/>
      <c r="P373" s="49"/>
      <c r="Q373" s="41"/>
    </row>
    <row r="374" spans="7:17">
      <c r="G374" s="48"/>
      <c r="H374" s="6"/>
      <c r="I374" s="6"/>
      <c r="K374" s="43"/>
      <c r="L374" s="43"/>
      <c r="M374" s="49"/>
      <c r="N374" s="49"/>
      <c r="O374" s="49"/>
      <c r="P374" s="49"/>
      <c r="Q374" s="41"/>
    </row>
    <row r="375" spans="7:17">
      <c r="G375" s="48"/>
      <c r="H375" s="6"/>
      <c r="I375" s="6"/>
      <c r="K375" s="43"/>
      <c r="L375" s="43"/>
      <c r="M375" s="49"/>
      <c r="N375" s="49"/>
      <c r="O375" s="49"/>
      <c r="P375" s="49"/>
      <c r="Q375" s="41"/>
    </row>
    <row r="376" spans="7:17">
      <c r="G376" s="48"/>
      <c r="H376" s="6"/>
      <c r="I376" s="6"/>
      <c r="K376" s="43"/>
      <c r="L376" s="43"/>
      <c r="M376" s="49"/>
      <c r="N376" s="49"/>
      <c r="O376" s="49"/>
      <c r="P376" s="49"/>
      <c r="Q376" s="41"/>
    </row>
    <row r="377" spans="7:17">
      <c r="G377" s="48"/>
      <c r="H377" s="6"/>
      <c r="I377" s="6"/>
      <c r="K377" s="43"/>
      <c r="L377" s="43"/>
      <c r="M377" s="49"/>
      <c r="N377" s="49"/>
      <c r="O377" s="49"/>
      <c r="P377" s="49"/>
      <c r="Q377" s="41"/>
    </row>
    <row r="378" spans="7:17">
      <c r="G378" s="48"/>
      <c r="H378" s="6"/>
      <c r="I378" s="6"/>
      <c r="K378" s="43"/>
      <c r="L378" s="43"/>
      <c r="M378" s="49"/>
      <c r="N378" s="49"/>
      <c r="O378" s="49"/>
      <c r="P378" s="49"/>
      <c r="Q378" s="41"/>
    </row>
    <row r="379" spans="7:17">
      <c r="G379" s="48"/>
      <c r="H379" s="6"/>
      <c r="I379" s="6"/>
      <c r="K379" s="43"/>
      <c r="L379" s="43"/>
      <c r="M379" s="49"/>
      <c r="N379" s="49"/>
      <c r="O379" s="49"/>
      <c r="P379" s="49"/>
      <c r="Q379" s="41"/>
    </row>
    <row r="380" spans="7:17">
      <c r="G380" s="48"/>
      <c r="H380" s="6"/>
      <c r="I380" s="6"/>
      <c r="K380" s="43"/>
      <c r="L380" s="43"/>
      <c r="M380" s="49"/>
      <c r="N380" s="49"/>
      <c r="O380" s="49"/>
      <c r="P380" s="49"/>
      <c r="Q380" s="41"/>
    </row>
    <row r="381" spans="7:17">
      <c r="G381" s="48"/>
      <c r="H381" s="6"/>
      <c r="I381" s="6"/>
      <c r="K381" s="43"/>
      <c r="L381" s="43"/>
      <c r="M381" s="49"/>
      <c r="N381" s="49"/>
      <c r="O381" s="49"/>
      <c r="P381" s="49"/>
      <c r="Q381" s="41"/>
    </row>
    <row r="382" spans="7:17">
      <c r="G382" s="48"/>
      <c r="H382" s="6"/>
      <c r="I382" s="6"/>
      <c r="K382" s="43"/>
      <c r="L382" s="43"/>
      <c r="M382" s="49"/>
      <c r="N382" s="49"/>
      <c r="O382" s="49"/>
      <c r="P382" s="49"/>
      <c r="Q382" s="41"/>
    </row>
    <row r="383" spans="7:17">
      <c r="G383" s="48"/>
      <c r="H383" s="6"/>
      <c r="I383" s="6"/>
      <c r="K383" s="43"/>
      <c r="L383" s="43"/>
      <c r="M383" s="49"/>
      <c r="N383" s="49"/>
      <c r="O383" s="49"/>
      <c r="P383" s="49"/>
      <c r="Q383" s="41"/>
    </row>
    <row r="384" spans="7:17">
      <c r="G384" s="48"/>
      <c r="H384" s="6"/>
      <c r="I384" s="6"/>
      <c r="K384" s="43"/>
      <c r="L384" s="43"/>
      <c r="M384" s="49"/>
      <c r="N384" s="49"/>
      <c r="O384" s="49"/>
      <c r="P384" s="49"/>
      <c r="Q384" s="41"/>
    </row>
    <row r="385" spans="7:17">
      <c r="G385" s="48"/>
      <c r="H385" s="6"/>
      <c r="I385" s="6"/>
      <c r="K385" s="43"/>
      <c r="L385" s="43"/>
      <c r="M385" s="49"/>
      <c r="N385" s="49"/>
      <c r="O385" s="49"/>
      <c r="P385" s="49"/>
      <c r="Q385" s="41"/>
    </row>
    <row r="386" spans="7:17">
      <c r="G386" s="48"/>
      <c r="H386" s="6"/>
      <c r="I386" s="6"/>
      <c r="K386" s="43"/>
      <c r="L386" s="43"/>
      <c r="M386" s="49"/>
      <c r="N386" s="49"/>
      <c r="O386" s="49"/>
      <c r="P386" s="49"/>
      <c r="Q386" s="41"/>
    </row>
    <row r="387" spans="7:17">
      <c r="G387" s="48"/>
      <c r="H387" s="6"/>
      <c r="I387" s="6"/>
      <c r="K387" s="43"/>
      <c r="L387" s="43"/>
      <c r="M387" s="49"/>
      <c r="N387" s="49"/>
      <c r="O387" s="49"/>
      <c r="P387" s="49"/>
      <c r="Q387" s="41"/>
    </row>
    <row r="388" spans="7:17">
      <c r="G388" s="48"/>
      <c r="H388" s="6"/>
      <c r="I388" s="6"/>
      <c r="K388" s="43"/>
      <c r="L388" s="43"/>
      <c r="M388" s="49"/>
      <c r="N388" s="49"/>
      <c r="O388" s="49"/>
      <c r="P388" s="49"/>
      <c r="Q388" s="41"/>
    </row>
    <row r="389" spans="7:17">
      <c r="G389" s="48"/>
      <c r="H389" s="6"/>
      <c r="I389" s="6"/>
      <c r="K389" s="43"/>
      <c r="L389" s="43"/>
      <c r="M389" s="49"/>
      <c r="N389" s="49"/>
      <c r="O389" s="49"/>
      <c r="P389" s="49"/>
      <c r="Q389" s="41"/>
    </row>
    <row r="390" spans="7:17">
      <c r="G390" s="48"/>
      <c r="H390" s="6"/>
      <c r="I390" s="6"/>
      <c r="K390" s="43"/>
      <c r="L390" s="43"/>
      <c r="M390" s="49"/>
      <c r="N390" s="49"/>
      <c r="O390" s="49"/>
      <c r="P390" s="49"/>
      <c r="Q390" s="41"/>
    </row>
    <row r="391" spans="7:17">
      <c r="G391" s="48"/>
      <c r="H391" s="6"/>
      <c r="I391" s="6"/>
      <c r="K391" s="43"/>
      <c r="L391" s="43"/>
      <c r="M391" s="49"/>
      <c r="N391" s="49"/>
      <c r="O391" s="49"/>
      <c r="P391" s="49"/>
      <c r="Q391" s="41"/>
    </row>
    <row r="392" spans="7:17">
      <c r="G392" s="48"/>
      <c r="H392" s="6"/>
      <c r="I392" s="6"/>
      <c r="K392" s="43"/>
      <c r="L392" s="43"/>
      <c r="M392" s="49"/>
      <c r="N392" s="49"/>
      <c r="O392" s="49"/>
      <c r="P392" s="49"/>
      <c r="Q392" s="41"/>
    </row>
    <row r="393" spans="7:17">
      <c r="G393" s="48"/>
      <c r="H393" s="6"/>
      <c r="I393" s="6"/>
      <c r="K393" s="43"/>
      <c r="L393" s="43"/>
      <c r="M393" s="49"/>
      <c r="N393" s="49"/>
      <c r="O393" s="49"/>
      <c r="P393" s="49"/>
      <c r="Q393" s="41"/>
    </row>
    <row r="394" spans="7:17">
      <c r="G394" s="48"/>
      <c r="H394" s="6"/>
      <c r="I394" s="6"/>
      <c r="K394" s="43"/>
      <c r="L394" s="43"/>
      <c r="M394" s="49"/>
      <c r="N394" s="49"/>
      <c r="O394" s="49"/>
      <c r="P394" s="49"/>
      <c r="Q394" s="41"/>
    </row>
    <row r="395" spans="7:17">
      <c r="G395" s="48"/>
      <c r="H395" s="6"/>
      <c r="I395" s="6"/>
      <c r="K395" s="43"/>
      <c r="L395" s="43"/>
      <c r="M395" s="49"/>
      <c r="N395" s="49"/>
      <c r="O395" s="49"/>
      <c r="P395" s="49"/>
      <c r="Q395" s="41"/>
    </row>
    <row r="396" spans="7:17">
      <c r="G396" s="48"/>
      <c r="H396" s="6"/>
      <c r="I396" s="6"/>
      <c r="K396" s="43"/>
      <c r="L396" s="43"/>
      <c r="M396" s="49"/>
      <c r="N396" s="49"/>
      <c r="O396" s="49"/>
      <c r="P396" s="49"/>
      <c r="Q396" s="41"/>
    </row>
    <row r="397" spans="7:17">
      <c r="G397" s="48"/>
      <c r="H397" s="6"/>
      <c r="I397" s="6"/>
      <c r="K397" s="43"/>
      <c r="L397" s="43"/>
      <c r="M397" s="49"/>
      <c r="N397" s="49"/>
      <c r="O397" s="49"/>
      <c r="P397" s="49"/>
      <c r="Q397" s="41"/>
    </row>
    <row r="398" spans="7:17">
      <c r="G398" s="48"/>
      <c r="H398" s="6"/>
      <c r="I398" s="6"/>
      <c r="K398" s="43"/>
      <c r="L398" s="43"/>
      <c r="M398" s="49"/>
      <c r="N398" s="49"/>
      <c r="O398" s="49"/>
      <c r="P398" s="49"/>
      <c r="Q398" s="41"/>
    </row>
    <row r="399" spans="7:17">
      <c r="G399" s="48"/>
      <c r="H399" s="6"/>
      <c r="I399" s="6"/>
      <c r="K399" s="43"/>
      <c r="L399" s="43"/>
      <c r="M399" s="49"/>
      <c r="N399" s="49"/>
      <c r="O399" s="49"/>
      <c r="P399" s="49"/>
      <c r="Q399" s="41"/>
    </row>
    <row r="400" spans="7:17">
      <c r="G400" s="48"/>
      <c r="H400" s="6"/>
      <c r="I400" s="6"/>
      <c r="K400" s="43"/>
      <c r="L400" s="43"/>
      <c r="M400" s="49"/>
      <c r="N400" s="49"/>
      <c r="O400" s="49"/>
      <c r="P400" s="49"/>
      <c r="Q400" s="41"/>
    </row>
    <row r="401" spans="7:17">
      <c r="G401" s="48"/>
      <c r="H401" s="6"/>
      <c r="I401" s="6"/>
      <c r="K401" s="43"/>
      <c r="L401" s="43"/>
      <c r="M401" s="49"/>
      <c r="N401" s="49"/>
      <c r="O401" s="49"/>
      <c r="P401" s="49"/>
      <c r="Q401" s="41"/>
    </row>
    <row r="402" spans="7:17">
      <c r="G402" s="48"/>
      <c r="H402" s="6"/>
      <c r="I402" s="6"/>
      <c r="K402" s="43"/>
      <c r="L402" s="43"/>
      <c r="M402" s="49"/>
      <c r="N402" s="49"/>
      <c r="O402" s="49"/>
      <c r="P402" s="49"/>
      <c r="Q402" s="41"/>
    </row>
    <row r="403" spans="7:17">
      <c r="G403" s="48"/>
      <c r="H403" s="6"/>
      <c r="I403" s="6"/>
      <c r="K403" s="43"/>
      <c r="L403" s="43"/>
      <c r="M403" s="49"/>
      <c r="N403" s="49"/>
      <c r="O403" s="49"/>
      <c r="P403" s="49"/>
      <c r="Q403" s="41"/>
    </row>
    <row r="404" spans="7:17">
      <c r="G404" s="48"/>
      <c r="H404" s="6"/>
      <c r="I404" s="6"/>
      <c r="K404" s="43"/>
      <c r="L404" s="43"/>
      <c r="M404" s="49"/>
      <c r="N404" s="49"/>
      <c r="O404" s="49"/>
      <c r="P404" s="49"/>
      <c r="Q404" s="41"/>
    </row>
    <row r="405" spans="7:17">
      <c r="G405" s="48"/>
      <c r="H405" s="6"/>
      <c r="I405" s="6"/>
      <c r="K405" s="43"/>
      <c r="L405" s="43"/>
      <c r="M405" s="49"/>
      <c r="N405" s="49"/>
      <c r="O405" s="49"/>
      <c r="P405" s="49"/>
      <c r="Q405" s="41"/>
    </row>
    <row r="406" spans="7:17">
      <c r="G406" s="48"/>
      <c r="H406" s="6"/>
      <c r="I406" s="6"/>
      <c r="K406" s="43"/>
      <c r="L406" s="43"/>
      <c r="M406" s="49"/>
      <c r="N406" s="49"/>
      <c r="O406" s="49"/>
      <c r="P406" s="49"/>
      <c r="Q406" s="41"/>
    </row>
    <row r="407" spans="7:17">
      <c r="G407" s="48"/>
      <c r="H407" s="6"/>
      <c r="I407" s="6"/>
      <c r="K407" s="43"/>
      <c r="L407" s="43"/>
      <c r="M407" s="49"/>
      <c r="N407" s="49"/>
      <c r="O407" s="49"/>
      <c r="P407" s="49"/>
      <c r="Q407" s="41"/>
    </row>
    <row r="408" spans="7:17">
      <c r="G408" s="48"/>
      <c r="H408" s="6"/>
      <c r="I408" s="6"/>
      <c r="K408" s="43"/>
      <c r="L408" s="43"/>
      <c r="M408" s="49"/>
      <c r="N408" s="49"/>
      <c r="O408" s="49"/>
      <c r="P408" s="49"/>
      <c r="Q408" s="41"/>
    </row>
    <row r="409" spans="7:17">
      <c r="G409" s="48"/>
      <c r="H409" s="6"/>
      <c r="I409" s="6"/>
      <c r="K409" s="43"/>
      <c r="L409" s="43"/>
      <c r="M409" s="49"/>
      <c r="N409" s="49"/>
      <c r="O409" s="49"/>
      <c r="P409" s="49"/>
      <c r="Q409" s="41"/>
    </row>
    <row r="410" spans="7:17">
      <c r="G410" s="48"/>
      <c r="H410" s="6"/>
      <c r="I410" s="6"/>
      <c r="K410" s="43"/>
      <c r="L410" s="43"/>
      <c r="M410" s="49"/>
      <c r="N410" s="49"/>
      <c r="O410" s="49"/>
      <c r="P410" s="49"/>
      <c r="Q410" s="41"/>
    </row>
    <row r="411" spans="7:17">
      <c r="G411" s="48"/>
      <c r="H411" s="6"/>
      <c r="I411" s="6"/>
      <c r="K411" s="43"/>
      <c r="L411" s="43"/>
      <c r="M411" s="49"/>
      <c r="N411" s="49"/>
      <c r="O411" s="49"/>
      <c r="P411" s="49"/>
      <c r="Q411" s="41"/>
    </row>
    <row r="412" spans="7:17">
      <c r="G412" s="48"/>
      <c r="H412" s="6"/>
      <c r="I412" s="6"/>
      <c r="K412" s="43"/>
      <c r="L412" s="43"/>
      <c r="M412" s="49"/>
      <c r="N412" s="49"/>
      <c r="O412" s="49"/>
      <c r="P412" s="49"/>
      <c r="Q412" s="41"/>
    </row>
    <row r="413" spans="7:17">
      <c r="G413" s="48"/>
      <c r="H413" s="6"/>
      <c r="I413" s="6"/>
      <c r="K413" s="43"/>
      <c r="L413" s="43"/>
      <c r="M413" s="49"/>
      <c r="N413" s="49"/>
      <c r="O413" s="49"/>
      <c r="P413" s="49"/>
      <c r="Q413" s="41"/>
    </row>
    <row r="414" spans="7:17">
      <c r="G414" s="48"/>
      <c r="H414" s="6"/>
      <c r="I414" s="6"/>
      <c r="K414" s="43"/>
      <c r="L414" s="43"/>
      <c r="M414" s="49"/>
      <c r="N414" s="49"/>
      <c r="O414" s="49"/>
      <c r="P414" s="49"/>
      <c r="Q414" s="41"/>
    </row>
    <row r="415" spans="7:17">
      <c r="G415" s="48"/>
      <c r="H415" s="6"/>
      <c r="I415" s="6"/>
      <c r="K415" s="43"/>
      <c r="L415" s="43"/>
      <c r="M415" s="49"/>
      <c r="N415" s="49"/>
      <c r="O415" s="49"/>
      <c r="P415" s="49"/>
      <c r="Q415" s="41"/>
    </row>
    <row r="416" spans="7:17">
      <c r="G416" s="48"/>
      <c r="H416" s="6"/>
      <c r="I416" s="6"/>
      <c r="K416" s="43"/>
      <c r="L416" s="43"/>
      <c r="M416" s="49"/>
      <c r="N416" s="49"/>
      <c r="O416" s="49"/>
      <c r="P416" s="49"/>
      <c r="Q416" s="41"/>
    </row>
    <row r="417" spans="7:17">
      <c r="G417" s="48"/>
      <c r="H417" s="6"/>
      <c r="I417" s="6"/>
      <c r="K417" s="43"/>
      <c r="L417" s="43"/>
      <c r="M417" s="49"/>
      <c r="N417" s="49"/>
      <c r="O417" s="49"/>
      <c r="P417" s="49"/>
      <c r="Q417" s="41"/>
    </row>
    <row r="418" spans="7:17">
      <c r="G418" s="48"/>
      <c r="H418" s="6"/>
      <c r="I418" s="6"/>
      <c r="K418" s="43"/>
      <c r="L418" s="43"/>
      <c r="M418" s="49"/>
      <c r="N418" s="49"/>
      <c r="O418" s="49"/>
      <c r="P418" s="49"/>
      <c r="Q418" s="41"/>
    </row>
    <row r="419" spans="7:17">
      <c r="G419" s="48"/>
      <c r="H419" s="6"/>
      <c r="I419" s="6"/>
      <c r="K419" s="43"/>
      <c r="L419" s="43"/>
      <c r="M419" s="49"/>
      <c r="N419" s="49"/>
      <c r="O419" s="49"/>
      <c r="P419" s="49"/>
      <c r="Q419" s="41"/>
    </row>
    <row r="420" spans="7:17">
      <c r="G420" s="48"/>
      <c r="H420" s="6"/>
      <c r="I420" s="6"/>
      <c r="K420" s="43"/>
      <c r="L420" s="43"/>
      <c r="M420" s="49"/>
      <c r="N420" s="49"/>
      <c r="O420" s="49"/>
      <c r="P420" s="49"/>
      <c r="Q420" s="41"/>
    </row>
    <row r="421" spans="7:17">
      <c r="G421" s="48"/>
      <c r="H421" s="6"/>
      <c r="I421" s="6"/>
      <c r="K421" s="43"/>
      <c r="L421" s="43"/>
      <c r="M421" s="49"/>
      <c r="N421" s="49"/>
      <c r="O421" s="49"/>
      <c r="P421" s="49"/>
      <c r="Q421" s="41"/>
    </row>
    <row r="422" spans="7:17">
      <c r="G422" s="48"/>
      <c r="H422" s="6"/>
      <c r="I422" s="6"/>
      <c r="K422" s="43"/>
      <c r="L422" s="43"/>
      <c r="M422" s="49"/>
      <c r="N422" s="49"/>
      <c r="O422" s="49"/>
      <c r="P422" s="49"/>
      <c r="Q422" s="41"/>
    </row>
    <row r="423" spans="7:17">
      <c r="G423" s="48"/>
      <c r="H423" s="6"/>
      <c r="I423" s="6"/>
      <c r="K423" s="43"/>
      <c r="L423" s="43"/>
      <c r="M423" s="49"/>
      <c r="N423" s="49"/>
      <c r="O423" s="49"/>
      <c r="P423" s="49"/>
      <c r="Q423" s="41"/>
    </row>
    <row r="424" spans="7:17">
      <c r="G424" s="48"/>
      <c r="H424" s="6"/>
      <c r="I424" s="6"/>
      <c r="K424" s="43"/>
      <c r="L424" s="43"/>
      <c r="M424" s="49"/>
      <c r="N424" s="49"/>
      <c r="O424" s="49"/>
      <c r="P424" s="49"/>
      <c r="Q424" s="41"/>
    </row>
    <row r="425" spans="7:17">
      <c r="G425" s="48"/>
      <c r="H425" s="6"/>
      <c r="I425" s="6"/>
      <c r="K425" s="43"/>
      <c r="L425" s="43"/>
      <c r="M425" s="49"/>
      <c r="N425" s="49"/>
      <c r="O425" s="49"/>
      <c r="P425" s="49"/>
      <c r="Q425" s="41"/>
    </row>
    <row r="426" spans="7:17">
      <c r="G426" s="48"/>
      <c r="H426" s="6"/>
      <c r="I426" s="6"/>
      <c r="K426" s="43"/>
      <c r="L426" s="43"/>
      <c r="M426" s="49"/>
      <c r="N426" s="49"/>
      <c r="O426" s="49"/>
      <c r="P426" s="49"/>
      <c r="Q426" s="41"/>
    </row>
    <row r="427" spans="7:17">
      <c r="G427" s="48"/>
      <c r="H427" s="6"/>
      <c r="I427" s="6"/>
      <c r="K427" s="43"/>
      <c r="L427" s="43"/>
      <c r="M427" s="49"/>
      <c r="N427" s="49"/>
      <c r="O427" s="49"/>
      <c r="P427" s="49"/>
      <c r="Q427" s="41"/>
    </row>
    <row r="428" spans="7:17">
      <c r="G428" s="48"/>
      <c r="H428" s="6"/>
      <c r="I428" s="6"/>
      <c r="K428" s="43"/>
      <c r="L428" s="43"/>
      <c r="M428" s="49"/>
      <c r="N428" s="49"/>
      <c r="O428" s="49"/>
      <c r="P428" s="49"/>
      <c r="Q428" s="41"/>
    </row>
    <row r="429" spans="7:17">
      <c r="G429" s="48"/>
      <c r="H429" s="6"/>
      <c r="I429" s="6"/>
      <c r="K429" s="43"/>
      <c r="L429" s="43"/>
      <c r="M429" s="49"/>
      <c r="N429" s="49"/>
      <c r="O429" s="49"/>
      <c r="P429" s="49"/>
      <c r="Q429" s="41"/>
    </row>
    <row r="430" spans="7:17">
      <c r="G430" s="48"/>
      <c r="H430" s="6"/>
      <c r="I430" s="6"/>
      <c r="K430" s="43"/>
      <c r="L430" s="43"/>
      <c r="M430" s="49"/>
      <c r="N430" s="49"/>
      <c r="O430" s="49"/>
      <c r="P430" s="49"/>
      <c r="Q430" s="41"/>
    </row>
    <row r="431" spans="7:17">
      <c r="G431" s="48"/>
      <c r="H431" s="6"/>
      <c r="I431" s="6"/>
      <c r="K431" s="43"/>
      <c r="L431" s="43"/>
      <c r="M431" s="49"/>
      <c r="N431" s="49"/>
      <c r="O431" s="49"/>
      <c r="P431" s="49"/>
      <c r="Q431" s="41"/>
    </row>
    <row r="432" spans="7:17">
      <c r="G432" s="48"/>
      <c r="H432" s="6"/>
      <c r="I432" s="6"/>
      <c r="K432" s="43"/>
      <c r="L432" s="43"/>
      <c r="M432" s="49"/>
      <c r="N432" s="49"/>
      <c r="O432" s="49"/>
      <c r="P432" s="49"/>
      <c r="Q432" s="41"/>
    </row>
    <row r="433" spans="7:17">
      <c r="G433" s="48"/>
      <c r="H433" s="6"/>
      <c r="I433" s="6"/>
      <c r="K433" s="43"/>
      <c r="L433" s="43"/>
      <c r="M433" s="49"/>
      <c r="N433" s="49"/>
      <c r="O433" s="49"/>
      <c r="P433" s="49"/>
      <c r="Q433" s="41"/>
    </row>
    <row r="434" spans="7:17">
      <c r="G434" s="48"/>
      <c r="H434" s="6"/>
      <c r="I434" s="6"/>
      <c r="K434" s="43"/>
      <c r="L434" s="43"/>
      <c r="M434" s="49"/>
      <c r="N434" s="49"/>
      <c r="O434" s="49"/>
      <c r="P434" s="49"/>
      <c r="Q434" s="41"/>
    </row>
    <row r="435" spans="7:17">
      <c r="G435" s="48"/>
      <c r="H435" s="6"/>
      <c r="I435" s="6"/>
      <c r="K435" s="43"/>
      <c r="L435" s="43"/>
      <c r="M435" s="49"/>
      <c r="N435" s="49"/>
      <c r="O435" s="49"/>
      <c r="P435" s="49"/>
      <c r="Q435" s="41"/>
    </row>
    <row r="436" spans="7:17">
      <c r="G436" s="48"/>
      <c r="H436" s="6"/>
      <c r="I436" s="6"/>
      <c r="K436" s="43"/>
      <c r="L436" s="43"/>
      <c r="M436" s="49"/>
      <c r="N436" s="49"/>
      <c r="O436" s="49"/>
      <c r="P436" s="49"/>
      <c r="Q436" s="41"/>
    </row>
    <row r="437" spans="7:17">
      <c r="G437" s="48"/>
      <c r="H437" s="6"/>
      <c r="I437" s="6"/>
      <c r="K437" s="43"/>
      <c r="L437" s="43"/>
      <c r="M437" s="49"/>
      <c r="N437" s="49"/>
      <c r="O437" s="49"/>
      <c r="P437" s="49"/>
      <c r="Q437" s="41"/>
    </row>
    <row r="438" spans="7:17">
      <c r="G438" s="48"/>
      <c r="H438" s="6"/>
      <c r="I438" s="6"/>
      <c r="K438" s="43"/>
      <c r="L438" s="43"/>
      <c r="M438" s="49"/>
      <c r="N438" s="49"/>
      <c r="O438" s="49"/>
      <c r="P438" s="49"/>
      <c r="Q438" s="41"/>
    </row>
    <row r="439" spans="7:17">
      <c r="G439" s="48"/>
      <c r="H439" s="6"/>
      <c r="I439" s="6"/>
      <c r="K439" s="43"/>
      <c r="L439" s="43"/>
      <c r="M439" s="49"/>
      <c r="N439" s="49"/>
      <c r="O439" s="49"/>
      <c r="P439" s="49"/>
      <c r="Q439" s="41"/>
    </row>
    <row r="440" spans="7:17">
      <c r="G440" s="48"/>
      <c r="H440" s="6"/>
      <c r="I440" s="6"/>
      <c r="K440" s="43"/>
      <c r="L440" s="43"/>
      <c r="M440" s="49"/>
      <c r="N440" s="49"/>
      <c r="O440" s="49"/>
      <c r="P440" s="49"/>
      <c r="Q440" s="41"/>
    </row>
    <row r="441" spans="7:17">
      <c r="G441" s="48"/>
      <c r="H441" s="6"/>
      <c r="I441" s="6"/>
      <c r="K441" s="43"/>
      <c r="L441" s="43"/>
      <c r="M441" s="49"/>
      <c r="N441" s="49"/>
      <c r="O441" s="49"/>
      <c r="P441" s="49"/>
      <c r="Q441" s="41"/>
    </row>
    <row r="442" spans="7:17">
      <c r="G442" s="48"/>
      <c r="H442" s="6"/>
      <c r="I442" s="6"/>
      <c r="K442" s="43"/>
      <c r="L442" s="43"/>
      <c r="M442" s="49"/>
      <c r="N442" s="49"/>
      <c r="O442" s="49"/>
      <c r="P442" s="49"/>
      <c r="Q442" s="41"/>
    </row>
    <row r="443" spans="7:17">
      <c r="G443" s="48"/>
      <c r="H443" s="6"/>
      <c r="I443" s="6"/>
      <c r="K443" s="43"/>
      <c r="L443" s="43"/>
      <c r="M443" s="49"/>
      <c r="N443" s="49"/>
      <c r="O443" s="49"/>
      <c r="P443" s="49"/>
      <c r="Q443" s="41"/>
    </row>
    <row r="444" spans="7:17">
      <c r="G444" s="48"/>
      <c r="H444" s="6"/>
      <c r="I444" s="6"/>
      <c r="K444" s="43"/>
      <c r="L444" s="43"/>
      <c r="M444" s="49"/>
      <c r="N444" s="49"/>
      <c r="O444" s="49"/>
      <c r="P444" s="49"/>
      <c r="Q444" s="41"/>
    </row>
    <row r="445" spans="7:17">
      <c r="G445" s="48"/>
      <c r="H445" s="6"/>
      <c r="I445" s="6"/>
      <c r="K445" s="43"/>
      <c r="L445" s="43"/>
      <c r="M445" s="49"/>
      <c r="N445" s="49"/>
      <c r="O445" s="49"/>
      <c r="P445" s="49"/>
      <c r="Q445" s="41"/>
    </row>
    <row r="446" spans="7:17">
      <c r="G446" s="48"/>
      <c r="H446" s="6"/>
      <c r="I446" s="6"/>
      <c r="K446" s="43"/>
      <c r="L446" s="43"/>
      <c r="M446" s="49"/>
      <c r="N446" s="49"/>
      <c r="O446" s="49"/>
      <c r="P446" s="49"/>
      <c r="Q446" s="41"/>
    </row>
    <row r="447" spans="7:17">
      <c r="G447" s="48"/>
      <c r="H447" s="6"/>
      <c r="I447" s="6"/>
      <c r="K447" s="43"/>
      <c r="L447" s="43"/>
      <c r="M447" s="49"/>
      <c r="N447" s="49"/>
      <c r="O447" s="49"/>
      <c r="P447" s="49"/>
      <c r="Q447" s="41"/>
    </row>
    <row r="448" spans="7:17">
      <c r="G448" s="48"/>
      <c r="H448" s="6"/>
      <c r="I448" s="6"/>
      <c r="K448" s="43"/>
      <c r="L448" s="43"/>
      <c r="M448" s="49"/>
      <c r="N448" s="49"/>
      <c r="O448" s="49"/>
      <c r="P448" s="49"/>
      <c r="Q448" s="41"/>
    </row>
    <row r="449" spans="7:17">
      <c r="G449" s="48"/>
      <c r="H449" s="6"/>
      <c r="I449" s="6"/>
      <c r="K449" s="43"/>
      <c r="L449" s="43"/>
      <c r="M449" s="49"/>
      <c r="N449" s="49"/>
      <c r="O449" s="49"/>
      <c r="P449" s="49"/>
      <c r="Q449" s="41"/>
    </row>
    <row r="450" spans="7:17">
      <c r="G450" s="48"/>
      <c r="H450" s="6"/>
      <c r="I450" s="6"/>
      <c r="K450" s="43"/>
      <c r="L450" s="43"/>
      <c r="M450" s="49"/>
      <c r="N450" s="49"/>
      <c r="O450" s="49"/>
      <c r="P450" s="49"/>
      <c r="Q450" s="41"/>
    </row>
    <row r="451" spans="7:17">
      <c r="G451" s="48"/>
      <c r="H451" s="6"/>
      <c r="I451" s="6"/>
      <c r="K451" s="43"/>
      <c r="L451" s="43"/>
      <c r="M451" s="49"/>
      <c r="N451" s="49"/>
      <c r="O451" s="49"/>
      <c r="P451" s="49"/>
      <c r="Q451" s="41"/>
    </row>
    <row r="452" spans="7:17">
      <c r="G452" s="48"/>
      <c r="H452" s="6"/>
      <c r="I452" s="6"/>
      <c r="K452" s="43"/>
      <c r="L452" s="43"/>
      <c r="M452" s="49"/>
      <c r="N452" s="49"/>
      <c r="O452" s="49"/>
      <c r="P452" s="49"/>
      <c r="Q452" s="41"/>
    </row>
    <row r="453" spans="7:17">
      <c r="G453" s="48"/>
      <c r="H453" s="6"/>
      <c r="I453" s="6"/>
      <c r="K453" s="43"/>
      <c r="L453" s="43"/>
      <c r="M453" s="49"/>
      <c r="N453" s="49"/>
      <c r="O453" s="49"/>
      <c r="P453" s="49"/>
      <c r="Q453" s="41"/>
    </row>
    <row r="454" spans="7:17">
      <c r="G454" s="48"/>
      <c r="H454" s="6"/>
      <c r="I454" s="6"/>
      <c r="K454" s="43"/>
      <c r="L454" s="43"/>
      <c r="M454" s="49"/>
      <c r="N454" s="49"/>
      <c r="O454" s="49"/>
      <c r="P454" s="49"/>
      <c r="Q454" s="41"/>
    </row>
    <row r="455" spans="7:17">
      <c r="G455" s="48"/>
      <c r="H455" s="6"/>
      <c r="I455" s="6"/>
      <c r="K455" s="43"/>
      <c r="L455" s="43"/>
      <c r="M455" s="49"/>
      <c r="N455" s="49"/>
      <c r="O455" s="49"/>
      <c r="P455" s="49"/>
      <c r="Q455" s="41"/>
    </row>
    <row r="456" spans="7:17">
      <c r="G456" s="48"/>
      <c r="H456" s="6"/>
      <c r="I456" s="6"/>
      <c r="K456" s="43"/>
      <c r="L456" s="43"/>
      <c r="M456" s="49"/>
      <c r="N456" s="49"/>
      <c r="O456" s="49"/>
      <c r="P456" s="49"/>
      <c r="Q456" s="41"/>
    </row>
    <row r="457" spans="7:17">
      <c r="G457" s="48"/>
      <c r="H457" s="6"/>
      <c r="I457" s="6"/>
      <c r="K457" s="43"/>
      <c r="L457" s="43"/>
      <c r="M457" s="49"/>
      <c r="N457" s="49"/>
      <c r="O457" s="49"/>
      <c r="P457" s="49"/>
      <c r="Q457" s="41"/>
    </row>
    <row r="458" spans="7:17">
      <c r="G458" s="48"/>
      <c r="H458" s="6"/>
      <c r="I458" s="6"/>
      <c r="K458" s="43"/>
      <c r="L458" s="43"/>
      <c r="M458" s="49"/>
      <c r="N458" s="49"/>
      <c r="O458" s="49"/>
      <c r="P458" s="49"/>
      <c r="Q458" s="41"/>
    </row>
    <row r="459" spans="7:17">
      <c r="G459" s="48"/>
      <c r="H459" s="6"/>
      <c r="I459" s="6"/>
      <c r="K459" s="43"/>
      <c r="L459" s="43"/>
      <c r="M459" s="49"/>
      <c r="N459" s="49"/>
      <c r="O459" s="49"/>
      <c r="P459" s="49"/>
      <c r="Q459" s="41"/>
    </row>
    <row r="460" spans="7:17">
      <c r="G460" s="48"/>
      <c r="H460" s="6"/>
      <c r="I460" s="6"/>
      <c r="K460" s="43"/>
      <c r="L460" s="43"/>
      <c r="M460" s="49"/>
      <c r="N460" s="49"/>
      <c r="O460" s="49"/>
      <c r="P460" s="49"/>
      <c r="Q460" s="41"/>
    </row>
    <row r="461" spans="7:17">
      <c r="G461" s="48"/>
      <c r="H461" s="6"/>
      <c r="I461" s="6"/>
      <c r="K461" s="43"/>
      <c r="L461" s="43"/>
      <c r="M461" s="49"/>
      <c r="N461" s="49"/>
      <c r="O461" s="49"/>
      <c r="P461" s="49"/>
      <c r="Q461" s="41"/>
    </row>
    <row r="462" spans="7:17">
      <c r="G462" s="48"/>
      <c r="H462" s="6"/>
      <c r="I462" s="6"/>
      <c r="K462" s="43"/>
      <c r="L462" s="43"/>
      <c r="M462" s="49"/>
      <c r="N462" s="49"/>
      <c r="O462" s="49"/>
      <c r="P462" s="49"/>
      <c r="Q462" s="41"/>
    </row>
    <row r="463" spans="7:17">
      <c r="G463" s="48"/>
      <c r="H463" s="6"/>
      <c r="I463" s="6"/>
      <c r="K463" s="43"/>
      <c r="L463" s="43"/>
      <c r="M463" s="49"/>
      <c r="N463" s="49"/>
      <c r="O463" s="49"/>
      <c r="P463" s="49"/>
      <c r="Q463" s="41"/>
    </row>
    <row r="464" spans="7:17">
      <c r="G464" s="48"/>
      <c r="H464" s="6"/>
      <c r="I464" s="6"/>
      <c r="K464" s="43"/>
      <c r="L464" s="43"/>
      <c r="M464" s="49"/>
      <c r="N464" s="49"/>
      <c r="O464" s="49"/>
      <c r="P464" s="49"/>
      <c r="Q464" s="41"/>
    </row>
    <row r="465" spans="7:17">
      <c r="G465" s="48"/>
      <c r="H465" s="6"/>
      <c r="I465" s="6"/>
      <c r="K465" s="43"/>
      <c r="L465" s="43"/>
      <c r="M465" s="49"/>
      <c r="N465" s="49"/>
      <c r="O465" s="49"/>
      <c r="P465" s="49"/>
      <c r="Q465" s="41"/>
    </row>
    <row r="466" spans="7:17">
      <c r="G466" s="48"/>
      <c r="H466" s="6"/>
      <c r="I466" s="6"/>
      <c r="K466" s="43"/>
      <c r="L466" s="43"/>
      <c r="M466" s="49"/>
      <c r="N466" s="49"/>
      <c r="O466" s="49"/>
      <c r="P466" s="49"/>
      <c r="Q466" s="41"/>
    </row>
    <row r="467" spans="7:17">
      <c r="G467" s="48"/>
      <c r="H467" s="6"/>
      <c r="I467" s="6"/>
      <c r="K467" s="43"/>
      <c r="L467" s="43"/>
      <c r="M467" s="49"/>
      <c r="N467" s="49"/>
      <c r="O467" s="49"/>
      <c r="P467" s="49"/>
      <c r="Q467" s="41"/>
    </row>
    <row r="468" spans="7:17">
      <c r="G468" s="48"/>
      <c r="H468" s="6"/>
      <c r="I468" s="6"/>
      <c r="K468" s="43"/>
      <c r="L468" s="43"/>
      <c r="M468" s="49"/>
      <c r="N468" s="49"/>
      <c r="O468" s="49"/>
      <c r="P468" s="49"/>
      <c r="Q468" s="41"/>
    </row>
    <row r="469" spans="7:17">
      <c r="G469" s="48"/>
      <c r="H469" s="6"/>
      <c r="I469" s="6"/>
      <c r="K469" s="43"/>
      <c r="L469" s="43"/>
      <c r="M469" s="49"/>
      <c r="N469" s="49"/>
      <c r="O469" s="49"/>
      <c r="P469" s="49"/>
      <c r="Q469" s="41"/>
    </row>
    <row r="470" spans="7:17">
      <c r="G470" s="48"/>
      <c r="H470" s="6"/>
      <c r="I470" s="6"/>
      <c r="K470" s="43"/>
      <c r="L470" s="43"/>
      <c r="M470" s="49"/>
      <c r="N470" s="49"/>
      <c r="O470" s="49"/>
      <c r="P470" s="49"/>
      <c r="Q470" s="41"/>
    </row>
    <row r="471" spans="7:17">
      <c r="G471" s="48"/>
      <c r="H471" s="6"/>
      <c r="I471" s="6"/>
      <c r="K471" s="43"/>
      <c r="L471" s="43"/>
      <c r="M471" s="49"/>
      <c r="N471" s="49"/>
      <c r="O471" s="49"/>
      <c r="P471" s="49"/>
      <c r="Q471" s="41"/>
    </row>
    <row r="472" spans="7:17">
      <c r="G472" s="48"/>
      <c r="H472" s="6"/>
      <c r="I472" s="6"/>
      <c r="K472" s="43"/>
      <c r="L472" s="43"/>
      <c r="M472" s="49"/>
      <c r="N472" s="49"/>
      <c r="O472" s="49"/>
      <c r="P472" s="49"/>
      <c r="Q472" s="41"/>
    </row>
    <row r="473" spans="7:17">
      <c r="G473" s="48"/>
      <c r="H473" s="6"/>
      <c r="I473" s="6"/>
      <c r="K473" s="43"/>
      <c r="L473" s="43"/>
      <c r="M473" s="49"/>
      <c r="N473" s="49"/>
      <c r="O473" s="49"/>
      <c r="P473" s="49"/>
      <c r="Q473" s="41"/>
    </row>
    <row r="474" spans="7:17">
      <c r="G474" s="48"/>
      <c r="H474" s="6"/>
      <c r="I474" s="6"/>
      <c r="K474" s="43"/>
      <c r="L474" s="43"/>
      <c r="M474" s="49"/>
      <c r="N474" s="49"/>
      <c r="O474" s="49"/>
      <c r="P474" s="49"/>
      <c r="Q474" s="41"/>
    </row>
    <row r="475" spans="7:17">
      <c r="G475" s="48"/>
      <c r="H475" s="6"/>
      <c r="I475" s="6"/>
      <c r="K475" s="43"/>
      <c r="L475" s="43"/>
      <c r="M475" s="49"/>
      <c r="N475" s="49"/>
      <c r="O475" s="49"/>
      <c r="P475" s="49"/>
      <c r="Q475" s="41"/>
    </row>
    <row r="476" spans="7:17">
      <c r="G476" s="48"/>
      <c r="H476" s="6"/>
      <c r="I476" s="6"/>
      <c r="K476" s="43"/>
      <c r="L476" s="43"/>
      <c r="M476" s="49"/>
      <c r="N476" s="49"/>
      <c r="O476" s="49"/>
      <c r="P476" s="49"/>
      <c r="Q476" s="41"/>
    </row>
    <row r="477" spans="7:17">
      <c r="G477" s="48"/>
      <c r="H477" s="6"/>
      <c r="I477" s="6"/>
      <c r="K477" s="43"/>
      <c r="L477" s="43"/>
      <c r="M477" s="49"/>
      <c r="N477" s="49"/>
      <c r="O477" s="49"/>
      <c r="P477" s="49"/>
      <c r="Q477" s="41"/>
    </row>
    <row r="478" spans="7:17">
      <c r="G478" s="48"/>
      <c r="H478" s="6"/>
      <c r="I478" s="6"/>
      <c r="K478" s="43"/>
      <c r="L478" s="43"/>
      <c r="M478" s="49"/>
      <c r="N478" s="49"/>
      <c r="O478" s="49"/>
      <c r="P478" s="49"/>
      <c r="Q478" s="41"/>
    </row>
    <row r="479" spans="7:17">
      <c r="G479" s="48"/>
      <c r="H479" s="6"/>
      <c r="I479" s="6"/>
      <c r="K479" s="43"/>
      <c r="L479" s="43"/>
      <c r="M479" s="49"/>
      <c r="N479" s="49"/>
      <c r="O479" s="49"/>
      <c r="P479" s="49"/>
      <c r="Q479" s="41"/>
    </row>
    <row r="480" spans="7:17">
      <c r="G480" s="48"/>
      <c r="H480" s="6"/>
      <c r="I480" s="6"/>
      <c r="K480" s="43"/>
      <c r="L480" s="43"/>
      <c r="M480" s="49"/>
      <c r="N480" s="49"/>
      <c r="O480" s="49"/>
      <c r="P480" s="49"/>
      <c r="Q480" s="41"/>
    </row>
    <row r="481" spans="7:17">
      <c r="G481" s="48"/>
      <c r="H481" s="6"/>
      <c r="I481" s="6"/>
      <c r="K481" s="43"/>
      <c r="L481" s="43"/>
      <c r="M481" s="49"/>
      <c r="N481" s="49"/>
      <c r="O481" s="49"/>
      <c r="P481" s="49"/>
      <c r="Q481" s="41"/>
    </row>
    <row r="482" spans="7:17">
      <c r="G482" s="48"/>
      <c r="H482" s="6"/>
      <c r="I482" s="6"/>
      <c r="K482" s="43"/>
      <c r="L482" s="43"/>
      <c r="M482" s="49"/>
      <c r="N482" s="49"/>
      <c r="O482" s="49"/>
      <c r="P482" s="49"/>
      <c r="Q482" s="41"/>
    </row>
    <row r="483" spans="7:17">
      <c r="G483" s="48"/>
      <c r="H483" s="6"/>
      <c r="I483" s="6"/>
      <c r="K483" s="43"/>
      <c r="L483" s="43"/>
      <c r="M483" s="49"/>
      <c r="N483" s="49"/>
      <c r="O483" s="49"/>
      <c r="P483" s="49"/>
      <c r="Q483" s="41"/>
    </row>
    <row r="484" spans="7:17">
      <c r="G484" s="48"/>
      <c r="H484" s="6"/>
      <c r="I484" s="6"/>
      <c r="K484" s="43"/>
      <c r="L484" s="43"/>
      <c r="M484" s="49"/>
      <c r="N484" s="49"/>
      <c r="O484" s="49"/>
      <c r="P484" s="49"/>
      <c r="Q484" s="41"/>
    </row>
    <row r="485" spans="7:17">
      <c r="G485" s="48"/>
      <c r="H485" s="6"/>
      <c r="I485" s="6"/>
      <c r="K485" s="43"/>
      <c r="L485" s="43"/>
      <c r="M485" s="49"/>
      <c r="N485" s="49"/>
      <c r="O485" s="49"/>
      <c r="P485" s="49"/>
      <c r="Q485" s="41"/>
    </row>
    <row r="486" spans="7:17">
      <c r="G486" s="48"/>
      <c r="H486" s="6"/>
      <c r="I486" s="6"/>
      <c r="K486" s="43"/>
      <c r="L486" s="43"/>
      <c r="M486" s="49"/>
      <c r="N486" s="49"/>
      <c r="O486" s="49"/>
      <c r="P486" s="49"/>
      <c r="Q486" s="41"/>
    </row>
    <row r="487" spans="7:17">
      <c r="G487" s="48"/>
      <c r="H487" s="6"/>
      <c r="I487" s="6"/>
      <c r="K487" s="43"/>
      <c r="L487" s="43"/>
      <c r="M487" s="49"/>
      <c r="N487" s="49"/>
      <c r="O487" s="49"/>
      <c r="P487" s="49"/>
      <c r="Q487" s="41"/>
    </row>
    <row r="488" spans="7:17">
      <c r="G488" s="48"/>
      <c r="H488" s="6"/>
      <c r="I488" s="6"/>
      <c r="K488" s="43"/>
      <c r="L488" s="43"/>
      <c r="M488" s="49"/>
      <c r="N488" s="49"/>
      <c r="O488" s="49"/>
      <c r="P488" s="49"/>
      <c r="Q488" s="41"/>
    </row>
    <row r="489" spans="7:17">
      <c r="G489" s="48"/>
      <c r="H489" s="6"/>
      <c r="I489" s="6"/>
      <c r="K489" s="43"/>
      <c r="L489" s="43"/>
      <c r="M489" s="49"/>
      <c r="N489" s="49"/>
      <c r="O489" s="49"/>
      <c r="P489" s="49"/>
      <c r="Q489" s="41"/>
    </row>
    <row r="490" spans="7:17">
      <c r="G490" s="48"/>
      <c r="H490" s="6"/>
      <c r="I490" s="6"/>
      <c r="K490" s="43"/>
      <c r="L490" s="43"/>
      <c r="M490" s="49"/>
      <c r="N490" s="49"/>
      <c r="O490" s="49"/>
      <c r="P490" s="49"/>
      <c r="Q490" s="41"/>
    </row>
    <row r="491" spans="7:17">
      <c r="G491" s="48"/>
      <c r="H491" s="6"/>
      <c r="I491" s="6"/>
      <c r="K491" s="43"/>
      <c r="L491" s="43"/>
      <c r="M491" s="49"/>
      <c r="N491" s="49"/>
      <c r="O491" s="49"/>
      <c r="P491" s="49"/>
      <c r="Q491" s="41"/>
    </row>
    <row r="492" spans="7:17">
      <c r="G492" s="48"/>
      <c r="H492" s="6"/>
      <c r="I492" s="6"/>
      <c r="K492" s="43"/>
      <c r="L492" s="43"/>
      <c r="M492" s="49"/>
      <c r="N492" s="49"/>
      <c r="O492" s="49"/>
      <c r="P492" s="49"/>
      <c r="Q492" s="41"/>
    </row>
    <row r="493" spans="7:17">
      <c r="G493" s="48"/>
      <c r="H493" s="6"/>
      <c r="I493" s="6"/>
      <c r="K493" s="43"/>
      <c r="L493" s="43"/>
      <c r="M493" s="49"/>
      <c r="N493" s="49"/>
      <c r="O493" s="49"/>
      <c r="P493" s="49"/>
      <c r="Q493" s="41"/>
    </row>
    <row r="494" spans="7:17">
      <c r="G494" s="48"/>
      <c r="H494" s="6"/>
      <c r="I494" s="6"/>
      <c r="K494" s="43"/>
      <c r="L494" s="43"/>
      <c r="M494" s="49"/>
      <c r="N494" s="49"/>
      <c r="O494" s="49"/>
      <c r="P494" s="49"/>
      <c r="Q494" s="41"/>
    </row>
    <row r="495" spans="7:17">
      <c r="G495" s="48"/>
      <c r="H495" s="6"/>
      <c r="I495" s="6"/>
      <c r="K495" s="43"/>
      <c r="L495" s="43"/>
      <c r="M495" s="49"/>
      <c r="N495" s="49"/>
      <c r="O495" s="49"/>
      <c r="P495" s="49"/>
      <c r="Q495" s="41"/>
    </row>
    <row r="496" spans="7:17">
      <c r="G496" s="48"/>
      <c r="H496" s="6"/>
      <c r="I496" s="6"/>
      <c r="K496" s="43"/>
      <c r="L496" s="43"/>
      <c r="M496" s="49"/>
      <c r="N496" s="49"/>
      <c r="O496" s="49"/>
      <c r="P496" s="49"/>
      <c r="Q496" s="41"/>
    </row>
    <row r="497" spans="7:17">
      <c r="G497" s="48"/>
      <c r="H497" s="6"/>
      <c r="I497" s="6"/>
      <c r="K497" s="43"/>
      <c r="L497" s="43"/>
      <c r="M497" s="49"/>
      <c r="N497" s="49"/>
      <c r="O497" s="49"/>
      <c r="P497" s="49"/>
      <c r="Q497" s="41"/>
    </row>
    <row r="498" spans="7:17">
      <c r="G498" s="48"/>
      <c r="H498" s="6"/>
      <c r="I498" s="6"/>
      <c r="K498" s="43"/>
      <c r="L498" s="43"/>
      <c r="M498" s="49"/>
      <c r="N498" s="49"/>
      <c r="O498" s="49"/>
      <c r="P498" s="49"/>
      <c r="Q498" s="41"/>
    </row>
    <row r="499" spans="7:17">
      <c r="G499" s="48"/>
      <c r="H499" s="6"/>
      <c r="I499" s="6"/>
      <c r="K499" s="43"/>
      <c r="L499" s="43"/>
      <c r="M499" s="49"/>
      <c r="N499" s="49"/>
      <c r="O499" s="49"/>
      <c r="P499" s="49"/>
      <c r="Q499" s="41"/>
    </row>
    <row r="500" spans="7:17">
      <c r="G500" s="48"/>
      <c r="H500" s="6"/>
      <c r="I500" s="6"/>
      <c r="K500" s="43"/>
      <c r="L500" s="43"/>
      <c r="M500" s="49"/>
      <c r="N500" s="49"/>
      <c r="O500" s="49"/>
      <c r="P500" s="49"/>
      <c r="Q500" s="41"/>
    </row>
    <row r="501" spans="7:17">
      <c r="G501" s="48"/>
      <c r="H501" s="6"/>
      <c r="I501" s="6"/>
      <c r="K501" s="43"/>
      <c r="L501" s="43"/>
      <c r="M501" s="49"/>
      <c r="N501" s="49"/>
      <c r="O501" s="49"/>
      <c r="P501" s="49"/>
      <c r="Q501" s="41"/>
    </row>
    <row r="502" spans="7:17">
      <c r="G502" s="48"/>
      <c r="H502" s="6"/>
      <c r="I502" s="6"/>
      <c r="K502" s="43"/>
      <c r="L502" s="43"/>
      <c r="M502" s="49"/>
      <c r="N502" s="49"/>
      <c r="O502" s="49"/>
      <c r="P502" s="49"/>
      <c r="Q502" s="41"/>
    </row>
    <row r="503" spans="7:17">
      <c r="G503" s="48"/>
      <c r="H503" s="6"/>
      <c r="I503" s="6"/>
      <c r="K503" s="43"/>
      <c r="L503" s="43"/>
      <c r="M503" s="49"/>
      <c r="N503" s="49"/>
      <c r="O503" s="49"/>
      <c r="P503" s="49"/>
      <c r="Q503" s="41"/>
    </row>
    <row r="504" spans="7:17">
      <c r="G504" s="48"/>
      <c r="H504" s="6"/>
      <c r="I504" s="6"/>
      <c r="K504" s="43"/>
      <c r="L504" s="43"/>
      <c r="M504" s="49"/>
      <c r="N504" s="49"/>
      <c r="O504" s="49"/>
      <c r="P504" s="49"/>
      <c r="Q504" s="41"/>
    </row>
    <row r="505" spans="7:17">
      <c r="G505" s="48"/>
      <c r="H505" s="6"/>
      <c r="I505" s="6"/>
      <c r="K505" s="43"/>
      <c r="L505" s="43"/>
      <c r="M505" s="49"/>
      <c r="N505" s="49"/>
      <c r="O505" s="49"/>
      <c r="P505" s="49"/>
      <c r="Q505" s="41"/>
    </row>
    <row r="506" spans="7:17">
      <c r="G506" s="48"/>
      <c r="H506" s="6"/>
      <c r="I506" s="6"/>
      <c r="K506" s="43"/>
      <c r="L506" s="43"/>
      <c r="M506" s="49"/>
      <c r="N506" s="49"/>
      <c r="O506" s="49"/>
      <c r="P506" s="49"/>
      <c r="Q506" s="41"/>
    </row>
    <row r="507" spans="7:17">
      <c r="G507" s="48"/>
      <c r="H507" s="6"/>
      <c r="I507" s="6"/>
      <c r="K507" s="43"/>
      <c r="L507" s="43"/>
      <c r="M507" s="49"/>
      <c r="N507" s="49"/>
      <c r="O507" s="49"/>
      <c r="P507" s="49"/>
      <c r="Q507" s="41"/>
    </row>
    <row r="508" spans="7:17">
      <c r="G508" s="48"/>
      <c r="H508" s="6"/>
      <c r="I508" s="6"/>
      <c r="K508" s="43"/>
      <c r="L508" s="43"/>
      <c r="M508" s="49"/>
      <c r="N508" s="49"/>
      <c r="O508" s="49"/>
      <c r="P508" s="49"/>
      <c r="Q508" s="41"/>
    </row>
    <row r="509" spans="7:17">
      <c r="G509" s="48"/>
      <c r="H509" s="6"/>
      <c r="I509" s="6"/>
      <c r="K509" s="43"/>
      <c r="L509" s="43"/>
      <c r="M509" s="49"/>
      <c r="N509" s="49"/>
      <c r="O509" s="49"/>
      <c r="P509" s="49"/>
      <c r="Q509" s="41"/>
    </row>
    <row r="510" spans="7:17">
      <c r="G510" s="48"/>
      <c r="H510" s="6"/>
      <c r="I510" s="6"/>
      <c r="K510" s="43"/>
      <c r="L510" s="43"/>
      <c r="M510" s="49"/>
      <c r="N510" s="49"/>
      <c r="O510" s="49"/>
      <c r="P510" s="49"/>
      <c r="Q510" s="41"/>
    </row>
    <row r="511" spans="7:17">
      <c r="G511" s="48"/>
      <c r="H511" s="6"/>
      <c r="I511" s="6"/>
      <c r="K511" s="43"/>
      <c r="L511" s="43"/>
      <c r="M511" s="49"/>
      <c r="N511" s="49"/>
      <c r="O511" s="49"/>
      <c r="P511" s="49"/>
      <c r="Q511" s="41"/>
    </row>
    <row r="512" spans="7:17">
      <c r="G512" s="48"/>
      <c r="H512" s="6"/>
      <c r="I512" s="6"/>
      <c r="K512" s="43"/>
      <c r="L512" s="43"/>
      <c r="M512" s="49"/>
      <c r="N512" s="49"/>
      <c r="O512" s="49"/>
      <c r="P512" s="49"/>
      <c r="Q512" s="41"/>
    </row>
    <row r="513" spans="7:17">
      <c r="G513" s="48"/>
      <c r="H513" s="6"/>
      <c r="I513" s="6"/>
      <c r="K513" s="43"/>
      <c r="L513" s="43"/>
      <c r="M513" s="49"/>
      <c r="N513" s="49"/>
      <c r="O513" s="49"/>
      <c r="P513" s="49"/>
      <c r="Q513" s="41"/>
    </row>
    <row r="514" spans="7:17">
      <c r="G514" s="48"/>
      <c r="H514" s="6"/>
      <c r="I514" s="6"/>
      <c r="K514" s="43"/>
      <c r="L514" s="43"/>
      <c r="M514" s="49"/>
      <c r="N514" s="49"/>
      <c r="O514" s="49"/>
      <c r="P514" s="49"/>
      <c r="Q514" s="41"/>
    </row>
    <row r="515" spans="7:17">
      <c r="G515" s="48"/>
      <c r="H515" s="6"/>
      <c r="I515" s="6"/>
      <c r="K515" s="43"/>
      <c r="L515" s="43"/>
      <c r="M515" s="49"/>
      <c r="N515" s="49"/>
      <c r="O515" s="49"/>
      <c r="P515" s="49"/>
      <c r="Q515" s="41"/>
    </row>
    <row r="516" spans="7:17">
      <c r="G516" s="48"/>
      <c r="H516" s="6"/>
      <c r="I516" s="6"/>
      <c r="K516" s="43"/>
      <c r="L516" s="43"/>
      <c r="M516" s="49"/>
      <c r="N516" s="49"/>
      <c r="O516" s="49"/>
      <c r="P516" s="49"/>
      <c r="Q516" s="41"/>
    </row>
    <row r="517" spans="7:17">
      <c r="G517" s="48"/>
      <c r="H517" s="6"/>
      <c r="I517" s="6"/>
      <c r="K517" s="43"/>
      <c r="L517" s="43"/>
      <c r="M517" s="49"/>
      <c r="N517" s="49"/>
      <c r="O517" s="49"/>
      <c r="P517" s="49"/>
      <c r="Q517" s="41"/>
    </row>
    <row r="518" spans="7:17">
      <c r="G518" s="48"/>
      <c r="H518" s="6"/>
      <c r="I518" s="6"/>
      <c r="K518" s="43"/>
      <c r="L518" s="43"/>
      <c r="M518" s="49"/>
      <c r="N518" s="49"/>
      <c r="O518" s="49"/>
      <c r="P518" s="49"/>
      <c r="Q518" s="41"/>
    </row>
    <row r="519" spans="7:17">
      <c r="G519" s="48"/>
      <c r="H519" s="6"/>
      <c r="I519" s="6"/>
      <c r="K519" s="43"/>
      <c r="L519" s="43"/>
      <c r="M519" s="49"/>
      <c r="N519" s="49"/>
      <c r="O519" s="49"/>
      <c r="P519" s="49"/>
      <c r="Q519" s="41"/>
    </row>
    <row r="520" spans="7:17">
      <c r="G520" s="48"/>
      <c r="H520" s="6"/>
      <c r="I520" s="6"/>
      <c r="K520" s="43"/>
      <c r="L520" s="43"/>
      <c r="M520" s="49"/>
      <c r="N520" s="49"/>
      <c r="O520" s="49"/>
      <c r="P520" s="49"/>
      <c r="Q520" s="41"/>
    </row>
    <row r="521" spans="7:17">
      <c r="G521" s="48"/>
      <c r="H521" s="6"/>
      <c r="I521" s="6"/>
      <c r="K521" s="43"/>
      <c r="L521" s="43"/>
      <c r="M521" s="49"/>
      <c r="N521" s="49"/>
      <c r="O521" s="49"/>
      <c r="P521" s="49"/>
      <c r="Q521" s="41"/>
    </row>
    <row r="522" spans="7:17">
      <c r="G522" s="48"/>
      <c r="H522" s="6"/>
      <c r="I522" s="6"/>
      <c r="K522" s="43"/>
      <c r="L522" s="43"/>
      <c r="M522" s="49"/>
      <c r="N522" s="49"/>
      <c r="O522" s="49"/>
      <c r="P522" s="49"/>
      <c r="Q522" s="41"/>
    </row>
    <row r="523" spans="7:17">
      <c r="G523" s="48"/>
      <c r="H523" s="6"/>
      <c r="I523" s="6"/>
      <c r="K523" s="43"/>
      <c r="L523" s="43"/>
      <c r="M523" s="49"/>
      <c r="N523" s="49"/>
      <c r="O523" s="49"/>
      <c r="P523" s="49"/>
      <c r="Q523" s="41"/>
    </row>
    <row r="524" spans="7:17">
      <c r="G524" s="48"/>
      <c r="H524" s="6"/>
      <c r="I524" s="6"/>
      <c r="K524" s="43"/>
      <c r="L524" s="43"/>
      <c r="M524" s="49"/>
      <c r="N524" s="49"/>
      <c r="O524" s="49"/>
      <c r="P524" s="49"/>
      <c r="Q524" s="41"/>
    </row>
    <row r="525" spans="7:17">
      <c r="G525" s="48"/>
      <c r="H525" s="6"/>
      <c r="I525" s="6"/>
      <c r="K525" s="43"/>
      <c r="L525" s="43"/>
      <c r="M525" s="49"/>
      <c r="N525" s="49"/>
      <c r="O525" s="49"/>
      <c r="P525" s="49"/>
      <c r="Q525" s="41"/>
    </row>
    <row r="526" spans="7:17">
      <c r="G526" s="48"/>
      <c r="H526" s="6"/>
      <c r="I526" s="6"/>
      <c r="K526" s="43"/>
      <c r="L526" s="43"/>
      <c r="M526" s="49"/>
      <c r="N526" s="49"/>
      <c r="O526" s="49"/>
      <c r="P526" s="49"/>
      <c r="Q526" s="41"/>
    </row>
    <row r="527" spans="7:17">
      <c r="G527" s="48"/>
      <c r="H527" s="6"/>
      <c r="I527" s="6"/>
      <c r="K527" s="43"/>
      <c r="L527" s="43"/>
      <c r="M527" s="49"/>
      <c r="N527" s="49"/>
      <c r="O527" s="49"/>
      <c r="P527" s="49"/>
      <c r="Q527" s="41"/>
    </row>
    <row r="528" spans="7:17">
      <c r="G528" s="48"/>
      <c r="H528" s="6"/>
      <c r="I528" s="6"/>
      <c r="K528" s="43"/>
      <c r="L528" s="43"/>
      <c r="M528" s="49"/>
      <c r="N528" s="49"/>
      <c r="O528" s="49"/>
      <c r="P528" s="49"/>
      <c r="Q528" s="41"/>
    </row>
    <row r="529" spans="7:17">
      <c r="G529" s="48"/>
      <c r="H529" s="6"/>
      <c r="I529" s="6"/>
      <c r="K529" s="43"/>
      <c r="L529" s="43"/>
      <c r="M529" s="49"/>
      <c r="N529" s="49"/>
      <c r="O529" s="49"/>
      <c r="P529" s="49"/>
      <c r="Q529" s="41"/>
    </row>
    <row r="530" spans="7:17">
      <c r="G530" s="48"/>
      <c r="H530" s="6"/>
      <c r="I530" s="6"/>
      <c r="K530" s="43"/>
      <c r="L530" s="43"/>
      <c r="M530" s="49"/>
      <c r="N530" s="49"/>
      <c r="O530" s="49"/>
      <c r="P530" s="49"/>
      <c r="Q530" s="41"/>
    </row>
    <row r="531" spans="7:17">
      <c r="G531" s="48"/>
      <c r="H531" s="6"/>
      <c r="I531" s="6"/>
      <c r="K531" s="43"/>
      <c r="L531" s="43"/>
      <c r="M531" s="49"/>
      <c r="N531" s="49"/>
      <c r="O531" s="49"/>
      <c r="P531" s="49"/>
      <c r="Q531" s="41"/>
    </row>
    <row r="532" spans="7:17">
      <c r="G532" s="48"/>
      <c r="H532" s="6"/>
      <c r="I532" s="6"/>
      <c r="K532" s="43"/>
      <c r="L532" s="43"/>
      <c r="M532" s="49"/>
      <c r="N532" s="49"/>
      <c r="O532" s="49"/>
      <c r="P532" s="49"/>
      <c r="Q532" s="41"/>
    </row>
    <row r="533" spans="7:17">
      <c r="G533" s="48"/>
      <c r="H533" s="6"/>
      <c r="I533" s="6"/>
      <c r="K533" s="43"/>
      <c r="L533" s="43"/>
      <c r="M533" s="49"/>
      <c r="N533" s="49"/>
      <c r="O533" s="49"/>
      <c r="P533" s="49"/>
      <c r="Q533" s="41"/>
    </row>
    <row r="534" spans="7:17">
      <c r="G534" s="48"/>
      <c r="H534" s="6"/>
      <c r="I534" s="6"/>
      <c r="K534" s="43"/>
      <c r="L534" s="43"/>
      <c r="M534" s="49"/>
      <c r="N534" s="49"/>
      <c r="O534" s="49"/>
      <c r="P534" s="49"/>
      <c r="Q534" s="41"/>
    </row>
    <row r="535" spans="7:17">
      <c r="G535" s="48"/>
      <c r="H535" s="6"/>
      <c r="I535" s="6"/>
      <c r="K535" s="43"/>
      <c r="L535" s="43"/>
      <c r="M535" s="49"/>
      <c r="N535" s="49"/>
      <c r="O535" s="49"/>
      <c r="P535" s="49"/>
      <c r="Q535" s="41"/>
    </row>
    <row r="536" spans="7:17">
      <c r="G536" s="48"/>
      <c r="H536" s="6"/>
      <c r="I536" s="6"/>
      <c r="K536" s="43"/>
      <c r="L536" s="43"/>
      <c r="M536" s="49"/>
      <c r="N536" s="49"/>
      <c r="O536" s="49"/>
      <c r="P536" s="49"/>
      <c r="Q536" s="41"/>
    </row>
    <row r="537" spans="7:17">
      <c r="G537" s="48"/>
      <c r="H537" s="6"/>
      <c r="I537" s="6"/>
      <c r="K537" s="43"/>
      <c r="L537" s="43"/>
      <c r="M537" s="49"/>
      <c r="N537" s="49"/>
      <c r="O537" s="49"/>
      <c r="P537" s="49"/>
      <c r="Q537" s="41"/>
    </row>
    <row r="538" spans="7:17">
      <c r="G538" s="48"/>
      <c r="H538" s="6"/>
      <c r="I538" s="6"/>
      <c r="K538" s="43"/>
      <c r="L538" s="43"/>
      <c r="M538" s="49"/>
      <c r="N538" s="49"/>
      <c r="O538" s="49"/>
      <c r="P538" s="49"/>
      <c r="Q538" s="41"/>
    </row>
    <row r="539" spans="7:17">
      <c r="G539" s="48"/>
      <c r="H539" s="6"/>
      <c r="I539" s="6"/>
      <c r="K539" s="43"/>
      <c r="L539" s="43"/>
      <c r="M539" s="49"/>
      <c r="N539" s="49"/>
      <c r="O539" s="49"/>
      <c r="P539" s="49"/>
      <c r="Q539" s="41"/>
    </row>
    <row r="540" spans="7:17">
      <c r="G540" s="48"/>
      <c r="H540" s="6"/>
      <c r="I540" s="6"/>
      <c r="K540" s="43"/>
      <c r="L540" s="43"/>
      <c r="M540" s="49"/>
      <c r="N540" s="49"/>
      <c r="O540" s="49"/>
      <c r="P540" s="49"/>
      <c r="Q540" s="41"/>
    </row>
    <row r="541" spans="7:17">
      <c r="G541" s="48"/>
      <c r="H541" s="6"/>
      <c r="I541" s="6"/>
      <c r="K541" s="43"/>
      <c r="L541" s="43"/>
      <c r="M541" s="49"/>
      <c r="N541" s="49"/>
      <c r="O541" s="49"/>
      <c r="P541" s="49"/>
      <c r="Q541" s="41"/>
    </row>
    <row r="542" spans="7:17">
      <c r="G542" s="48"/>
      <c r="H542" s="6"/>
      <c r="I542" s="6"/>
      <c r="K542" s="43"/>
      <c r="L542" s="43"/>
      <c r="M542" s="49"/>
      <c r="N542" s="49"/>
      <c r="O542" s="49"/>
      <c r="P542" s="49"/>
      <c r="Q542" s="41"/>
    </row>
    <row r="543" spans="7:17">
      <c r="G543" s="48"/>
      <c r="H543" s="6"/>
      <c r="I543" s="6"/>
      <c r="K543" s="43"/>
      <c r="L543" s="43"/>
      <c r="M543" s="49"/>
      <c r="N543" s="49"/>
      <c r="O543" s="49"/>
      <c r="P543" s="49"/>
      <c r="Q543" s="41"/>
    </row>
    <row r="544" spans="7:17">
      <c r="G544" s="48"/>
      <c r="H544" s="6"/>
      <c r="I544" s="6"/>
      <c r="K544" s="43"/>
      <c r="L544" s="43"/>
      <c r="M544" s="49"/>
      <c r="N544" s="49"/>
      <c r="O544" s="49"/>
      <c r="P544" s="49"/>
      <c r="Q544" s="41"/>
    </row>
    <row r="545" spans="7:17">
      <c r="G545" s="48"/>
      <c r="H545" s="6"/>
      <c r="I545" s="6"/>
      <c r="K545" s="43"/>
      <c r="L545" s="43"/>
      <c r="M545" s="49"/>
      <c r="N545" s="49"/>
      <c r="O545" s="49"/>
      <c r="P545" s="49"/>
      <c r="Q545" s="41"/>
    </row>
    <row r="546" spans="7:17">
      <c r="G546" s="48"/>
      <c r="H546" s="6"/>
      <c r="I546" s="6"/>
      <c r="K546" s="43"/>
      <c r="L546" s="43"/>
      <c r="M546" s="49"/>
      <c r="N546" s="49"/>
      <c r="O546" s="49"/>
      <c r="P546" s="49"/>
      <c r="Q546" s="41"/>
    </row>
    <row r="547" spans="7:17">
      <c r="G547" s="48"/>
      <c r="H547" s="6"/>
      <c r="I547" s="6"/>
      <c r="K547" s="43"/>
      <c r="L547" s="43"/>
      <c r="M547" s="49"/>
      <c r="N547" s="49"/>
      <c r="O547" s="49"/>
      <c r="P547" s="49"/>
      <c r="Q547" s="41"/>
    </row>
    <row r="548" spans="7:17">
      <c r="G548" s="48"/>
      <c r="H548" s="6"/>
      <c r="I548" s="6"/>
      <c r="K548" s="43"/>
      <c r="L548" s="43"/>
      <c r="M548" s="49"/>
      <c r="N548" s="49"/>
      <c r="O548" s="49"/>
      <c r="P548" s="49"/>
      <c r="Q548" s="41"/>
    </row>
    <row r="549" spans="7:17">
      <c r="G549" s="48"/>
      <c r="H549" s="6"/>
      <c r="I549" s="6"/>
      <c r="K549" s="43"/>
      <c r="L549" s="43"/>
      <c r="M549" s="49"/>
      <c r="N549" s="49"/>
      <c r="O549" s="49"/>
      <c r="P549" s="49"/>
      <c r="Q549" s="41"/>
    </row>
    <row r="550" spans="7:17">
      <c r="G550" s="48"/>
      <c r="H550" s="6"/>
      <c r="I550" s="6"/>
      <c r="K550" s="43"/>
      <c r="L550" s="43"/>
      <c r="M550" s="49"/>
      <c r="N550" s="49"/>
      <c r="O550" s="49"/>
      <c r="P550" s="49"/>
      <c r="Q550" s="41"/>
    </row>
    <row r="551" spans="7:17">
      <c r="G551" s="48"/>
      <c r="H551" s="6"/>
      <c r="I551" s="6"/>
      <c r="K551" s="43"/>
      <c r="L551" s="43"/>
      <c r="M551" s="49"/>
      <c r="N551" s="49"/>
      <c r="O551" s="49"/>
      <c r="P551" s="49"/>
      <c r="Q551" s="41"/>
    </row>
    <row r="552" spans="7:17">
      <c r="G552" s="48"/>
      <c r="H552" s="6"/>
      <c r="I552" s="6"/>
      <c r="K552" s="43"/>
      <c r="L552" s="43"/>
      <c r="M552" s="49"/>
      <c r="N552" s="49"/>
      <c r="O552" s="49"/>
      <c r="P552" s="49"/>
      <c r="Q552" s="41"/>
    </row>
    <row r="553" spans="7:17">
      <c r="G553" s="48"/>
      <c r="H553" s="6"/>
      <c r="I553" s="6"/>
      <c r="K553" s="43"/>
      <c r="L553" s="43"/>
      <c r="M553" s="49"/>
      <c r="N553" s="49"/>
      <c r="O553" s="49"/>
      <c r="P553" s="49"/>
      <c r="Q553" s="41"/>
    </row>
    <row r="554" spans="7:17">
      <c r="G554" s="48"/>
      <c r="H554" s="6"/>
      <c r="I554" s="6"/>
      <c r="K554" s="43"/>
      <c r="L554" s="43"/>
      <c r="M554" s="49"/>
      <c r="N554" s="49"/>
      <c r="O554" s="49"/>
      <c r="P554" s="49"/>
      <c r="Q554" s="41"/>
    </row>
    <row r="555" spans="7:17">
      <c r="G555" s="48"/>
      <c r="H555" s="6"/>
      <c r="I555" s="6"/>
      <c r="K555" s="43"/>
      <c r="L555" s="43"/>
      <c r="M555" s="49"/>
      <c r="N555" s="49"/>
      <c r="O555" s="49"/>
      <c r="P555" s="49"/>
      <c r="Q555" s="41"/>
    </row>
    <row r="556" spans="7:17">
      <c r="G556" s="48"/>
      <c r="H556" s="6"/>
      <c r="I556" s="6"/>
      <c r="K556" s="43"/>
      <c r="L556" s="43"/>
      <c r="M556" s="49"/>
      <c r="N556" s="49"/>
      <c r="O556" s="49"/>
      <c r="P556" s="49"/>
      <c r="Q556" s="41"/>
    </row>
    <row r="557" spans="7:17">
      <c r="G557" s="48"/>
      <c r="H557" s="6"/>
      <c r="I557" s="6"/>
      <c r="K557" s="43"/>
      <c r="L557" s="43"/>
      <c r="M557" s="49"/>
      <c r="N557" s="49"/>
      <c r="O557" s="49"/>
      <c r="P557" s="49"/>
      <c r="Q557" s="41"/>
    </row>
    <row r="558" spans="7:17">
      <c r="G558" s="48"/>
      <c r="H558" s="6"/>
      <c r="I558" s="6"/>
      <c r="K558" s="43"/>
      <c r="L558" s="43"/>
      <c r="M558" s="49"/>
      <c r="N558" s="49"/>
      <c r="O558" s="49"/>
      <c r="P558" s="49"/>
      <c r="Q558" s="41"/>
    </row>
    <row r="559" spans="7:17">
      <c r="G559" s="48"/>
      <c r="H559" s="6"/>
      <c r="I559" s="6"/>
      <c r="K559" s="43"/>
      <c r="L559" s="43"/>
      <c r="M559" s="49"/>
      <c r="N559" s="49"/>
      <c r="O559" s="49"/>
      <c r="P559" s="49"/>
      <c r="Q559" s="41"/>
    </row>
    <row r="560" spans="7:17">
      <c r="G560" s="48"/>
      <c r="H560" s="6"/>
      <c r="I560" s="6"/>
      <c r="K560" s="43"/>
      <c r="L560" s="43"/>
      <c r="M560" s="49"/>
      <c r="N560" s="49"/>
      <c r="O560" s="49"/>
      <c r="P560" s="49"/>
      <c r="Q560" s="41"/>
    </row>
    <row r="561" spans="7:17">
      <c r="G561" s="48"/>
      <c r="H561" s="6"/>
      <c r="I561" s="6"/>
      <c r="K561" s="43"/>
      <c r="L561" s="43"/>
      <c r="M561" s="49"/>
      <c r="N561" s="49"/>
      <c r="O561" s="49"/>
      <c r="P561" s="49"/>
      <c r="Q561" s="41"/>
    </row>
    <row r="562" spans="7:17">
      <c r="G562" s="48"/>
      <c r="H562" s="6"/>
      <c r="I562" s="6"/>
      <c r="K562" s="43"/>
      <c r="L562" s="43"/>
      <c r="M562" s="49"/>
      <c r="N562" s="49"/>
      <c r="O562" s="49"/>
      <c r="P562" s="49"/>
      <c r="Q562" s="41"/>
    </row>
    <row r="563" spans="7:17">
      <c r="G563" s="48"/>
      <c r="H563" s="6"/>
      <c r="I563" s="6"/>
      <c r="K563" s="43"/>
      <c r="L563" s="43"/>
      <c r="M563" s="49"/>
      <c r="N563" s="49"/>
      <c r="O563" s="49"/>
      <c r="P563" s="49"/>
      <c r="Q563" s="41"/>
    </row>
    <row r="564" spans="7:17">
      <c r="G564" s="48"/>
      <c r="H564" s="6"/>
      <c r="I564" s="6"/>
      <c r="K564" s="43"/>
      <c r="L564" s="43"/>
      <c r="M564" s="49"/>
      <c r="N564" s="49"/>
      <c r="O564" s="49"/>
      <c r="P564" s="49"/>
      <c r="Q564" s="41"/>
    </row>
    <row r="565" spans="7:17">
      <c r="G565" s="48"/>
      <c r="H565" s="6"/>
      <c r="I565" s="6"/>
      <c r="K565" s="43"/>
      <c r="L565" s="43"/>
      <c r="M565" s="49"/>
      <c r="N565" s="49"/>
      <c r="O565" s="49"/>
      <c r="P565" s="49"/>
      <c r="Q565" s="41"/>
    </row>
    <row r="566" spans="7:17">
      <c r="G566" s="48"/>
      <c r="H566" s="6"/>
      <c r="I566" s="6"/>
      <c r="K566" s="43"/>
      <c r="L566" s="43"/>
      <c r="M566" s="49"/>
      <c r="N566" s="49"/>
      <c r="O566" s="49"/>
      <c r="P566" s="49"/>
      <c r="Q566" s="41"/>
    </row>
    <row r="567" spans="7:17">
      <c r="G567" s="48"/>
      <c r="H567" s="6"/>
      <c r="I567" s="6"/>
      <c r="K567" s="43"/>
      <c r="L567" s="43"/>
      <c r="M567" s="49"/>
      <c r="N567" s="49"/>
      <c r="O567" s="49"/>
      <c r="P567" s="49"/>
      <c r="Q567" s="41"/>
    </row>
    <row r="568" spans="7:17">
      <c r="G568" s="48"/>
      <c r="H568" s="6"/>
      <c r="I568" s="6"/>
      <c r="K568" s="43"/>
      <c r="L568" s="43"/>
      <c r="M568" s="49"/>
      <c r="N568" s="49"/>
      <c r="O568" s="49"/>
      <c r="P568" s="49"/>
      <c r="Q568" s="41"/>
    </row>
    <row r="569" spans="7:17">
      <c r="G569" s="48"/>
      <c r="H569" s="6"/>
      <c r="I569" s="6"/>
      <c r="K569" s="43"/>
      <c r="L569" s="43"/>
      <c r="M569" s="49"/>
      <c r="N569" s="49"/>
      <c r="O569" s="49"/>
      <c r="P569" s="49"/>
      <c r="Q569" s="41"/>
    </row>
    <row r="570" spans="7:17">
      <c r="G570" s="48"/>
      <c r="H570" s="6"/>
      <c r="I570" s="6"/>
      <c r="K570" s="43"/>
      <c r="L570" s="43"/>
      <c r="M570" s="49"/>
      <c r="N570" s="49"/>
      <c r="O570" s="49"/>
      <c r="P570" s="49"/>
      <c r="Q570" s="41"/>
    </row>
    <row r="571" spans="7:17">
      <c r="G571" s="48"/>
      <c r="H571" s="6"/>
      <c r="I571" s="6"/>
      <c r="K571" s="43"/>
      <c r="L571" s="43"/>
      <c r="M571" s="49"/>
      <c r="N571" s="49"/>
      <c r="O571" s="49"/>
      <c r="P571" s="49"/>
      <c r="Q571" s="41"/>
    </row>
    <row r="572" spans="7:17">
      <c r="G572" s="48"/>
      <c r="H572" s="6"/>
      <c r="I572" s="6"/>
      <c r="K572" s="43"/>
      <c r="L572" s="43"/>
      <c r="M572" s="49"/>
      <c r="N572" s="49"/>
      <c r="O572" s="49"/>
      <c r="P572" s="49"/>
      <c r="Q572" s="41"/>
    </row>
    <row r="573" spans="7:17">
      <c r="G573" s="48"/>
      <c r="H573" s="6"/>
      <c r="I573" s="6"/>
      <c r="K573" s="43"/>
      <c r="L573" s="43"/>
      <c r="M573" s="49"/>
      <c r="N573" s="49"/>
      <c r="O573" s="49"/>
      <c r="P573" s="49"/>
      <c r="Q573" s="41"/>
    </row>
    <row r="574" spans="7:17">
      <c r="G574" s="48"/>
      <c r="H574" s="6"/>
      <c r="I574" s="6"/>
      <c r="K574" s="43"/>
      <c r="L574" s="43"/>
      <c r="M574" s="49"/>
      <c r="N574" s="49"/>
      <c r="O574" s="49"/>
      <c r="P574" s="49"/>
      <c r="Q574" s="41"/>
    </row>
    <row r="575" spans="7:17">
      <c r="G575" s="48"/>
      <c r="H575" s="6"/>
      <c r="I575" s="6"/>
      <c r="K575" s="43"/>
      <c r="L575" s="43"/>
      <c r="M575" s="49"/>
      <c r="N575" s="49"/>
      <c r="O575" s="49"/>
      <c r="P575" s="49"/>
      <c r="Q575" s="41"/>
    </row>
    <row r="576" spans="7:17">
      <c r="G576" s="48"/>
      <c r="H576" s="6"/>
      <c r="I576" s="6"/>
      <c r="K576" s="43"/>
      <c r="L576" s="43"/>
      <c r="M576" s="49"/>
      <c r="N576" s="49"/>
      <c r="O576" s="49"/>
      <c r="P576" s="49"/>
      <c r="Q576" s="41"/>
    </row>
    <row r="577" spans="7:17">
      <c r="G577" s="48"/>
      <c r="H577" s="6"/>
      <c r="I577" s="6"/>
      <c r="K577" s="43"/>
      <c r="L577" s="43"/>
      <c r="M577" s="49"/>
      <c r="N577" s="49"/>
      <c r="O577" s="49"/>
      <c r="P577" s="49"/>
      <c r="Q577" s="41"/>
    </row>
    <row r="578" spans="7:17">
      <c r="G578" s="48"/>
      <c r="H578" s="6"/>
      <c r="I578" s="6"/>
      <c r="K578" s="43"/>
      <c r="L578" s="43"/>
      <c r="M578" s="49"/>
      <c r="N578" s="49"/>
      <c r="O578" s="49"/>
      <c r="P578" s="49"/>
      <c r="Q578" s="41"/>
    </row>
    <row r="579" spans="7:17">
      <c r="G579" s="48"/>
      <c r="H579" s="6"/>
      <c r="I579" s="6"/>
      <c r="K579" s="43"/>
      <c r="L579" s="43"/>
      <c r="M579" s="49"/>
      <c r="N579" s="49"/>
      <c r="O579" s="49"/>
      <c r="P579" s="49"/>
      <c r="Q579" s="41"/>
    </row>
    <row r="580" spans="7:17">
      <c r="G580" s="48"/>
      <c r="H580" s="6"/>
      <c r="I580" s="6"/>
      <c r="K580" s="43"/>
      <c r="L580" s="43"/>
      <c r="M580" s="49"/>
      <c r="N580" s="49"/>
      <c r="O580" s="49"/>
      <c r="P580" s="49"/>
      <c r="Q580" s="41"/>
    </row>
    <row r="581" spans="7:17">
      <c r="G581" s="48"/>
      <c r="H581" s="6"/>
      <c r="I581" s="6"/>
      <c r="K581" s="43"/>
      <c r="L581" s="43"/>
      <c r="M581" s="49"/>
      <c r="N581" s="49"/>
      <c r="O581" s="49"/>
      <c r="P581" s="49"/>
      <c r="Q581" s="41"/>
    </row>
    <row r="582" spans="7:17">
      <c r="G582" s="48"/>
      <c r="H582" s="6"/>
      <c r="I582" s="6"/>
      <c r="K582" s="43"/>
      <c r="L582" s="43"/>
      <c r="M582" s="49"/>
      <c r="N582" s="49"/>
      <c r="O582" s="49"/>
      <c r="P582" s="49"/>
      <c r="Q582" s="41"/>
    </row>
    <row r="583" spans="7:17">
      <c r="G583" s="48"/>
      <c r="H583" s="6"/>
      <c r="I583" s="6"/>
      <c r="K583" s="43"/>
      <c r="L583" s="43"/>
      <c r="M583" s="49"/>
      <c r="N583" s="49"/>
      <c r="O583" s="49"/>
      <c r="P583" s="49"/>
      <c r="Q583" s="41"/>
    </row>
    <row r="584" spans="7:17">
      <c r="G584" s="48"/>
      <c r="H584" s="6"/>
      <c r="I584" s="6"/>
      <c r="K584" s="43"/>
      <c r="L584" s="43"/>
      <c r="M584" s="49"/>
      <c r="N584" s="49"/>
      <c r="O584" s="49"/>
      <c r="P584" s="49"/>
      <c r="Q584" s="41"/>
    </row>
    <row r="585" spans="7:17">
      <c r="G585" s="48"/>
      <c r="H585" s="6"/>
      <c r="I585" s="6"/>
      <c r="K585" s="43"/>
      <c r="L585" s="43"/>
      <c r="M585" s="49"/>
      <c r="N585" s="49"/>
      <c r="O585" s="49"/>
      <c r="P585" s="49"/>
      <c r="Q585" s="41"/>
    </row>
    <row r="586" spans="7:17">
      <c r="G586" s="48"/>
      <c r="H586" s="6"/>
      <c r="I586" s="6"/>
      <c r="K586" s="43"/>
      <c r="L586" s="43"/>
      <c r="M586" s="49"/>
      <c r="N586" s="49"/>
      <c r="O586" s="49"/>
      <c r="P586" s="49"/>
      <c r="Q586" s="41"/>
    </row>
    <row r="587" spans="7:17">
      <c r="G587" s="48"/>
      <c r="H587" s="6"/>
      <c r="I587" s="6"/>
      <c r="K587" s="43"/>
      <c r="L587" s="43"/>
      <c r="M587" s="49"/>
      <c r="N587" s="49"/>
      <c r="O587" s="49"/>
      <c r="P587" s="49"/>
      <c r="Q587" s="41"/>
    </row>
    <row r="588" spans="7:17">
      <c r="G588" s="48"/>
      <c r="H588" s="6"/>
      <c r="I588" s="6"/>
      <c r="K588" s="43"/>
      <c r="L588" s="43"/>
      <c r="M588" s="49"/>
      <c r="N588" s="49"/>
      <c r="O588" s="49"/>
      <c r="P588" s="49"/>
      <c r="Q588" s="41"/>
    </row>
    <row r="589" spans="7:17">
      <c r="G589" s="48"/>
      <c r="H589" s="6"/>
      <c r="I589" s="6"/>
      <c r="K589" s="43"/>
      <c r="L589" s="43"/>
      <c r="M589" s="49"/>
      <c r="N589" s="49"/>
      <c r="O589" s="49"/>
      <c r="P589" s="49"/>
      <c r="Q589" s="41"/>
    </row>
    <row r="590" spans="7:17">
      <c r="G590" s="48"/>
      <c r="H590" s="6"/>
      <c r="I590" s="6"/>
      <c r="K590" s="43"/>
      <c r="L590" s="43"/>
      <c r="M590" s="49"/>
      <c r="N590" s="49"/>
      <c r="O590" s="49"/>
      <c r="P590" s="49"/>
      <c r="Q590" s="41"/>
    </row>
    <row r="591" spans="7:17">
      <c r="G591" s="48"/>
      <c r="H591" s="6"/>
      <c r="I591" s="6"/>
      <c r="K591" s="43"/>
      <c r="L591" s="43"/>
      <c r="M591" s="49"/>
      <c r="N591" s="49"/>
      <c r="O591" s="49"/>
      <c r="P591" s="49"/>
      <c r="Q591" s="41"/>
    </row>
    <row r="592" spans="7:17">
      <c r="G592" s="48"/>
      <c r="H592" s="6"/>
      <c r="I592" s="6"/>
      <c r="K592" s="43"/>
      <c r="L592" s="43"/>
      <c r="M592" s="49"/>
      <c r="N592" s="49"/>
      <c r="O592" s="49"/>
      <c r="P592" s="49"/>
      <c r="Q592" s="41"/>
    </row>
    <row r="593" spans="7:17">
      <c r="G593" s="48"/>
      <c r="H593" s="6"/>
      <c r="I593" s="6"/>
      <c r="K593" s="43"/>
      <c r="L593" s="43"/>
      <c r="M593" s="49"/>
      <c r="N593" s="49"/>
      <c r="O593" s="49"/>
      <c r="P593" s="49"/>
      <c r="Q593" s="41"/>
    </row>
    <row r="594" spans="7:17">
      <c r="G594" s="48"/>
      <c r="H594" s="6"/>
      <c r="I594" s="6"/>
      <c r="K594" s="43"/>
      <c r="L594" s="43"/>
      <c r="M594" s="49"/>
      <c r="N594" s="49"/>
      <c r="O594" s="49"/>
      <c r="P594" s="49"/>
      <c r="Q594" s="41"/>
    </row>
    <row r="595" spans="7:17">
      <c r="G595" s="48"/>
      <c r="H595" s="6"/>
      <c r="I595" s="6"/>
      <c r="K595" s="43"/>
      <c r="L595" s="43"/>
      <c r="M595" s="49"/>
      <c r="N595" s="49"/>
      <c r="O595" s="49"/>
      <c r="P595" s="49"/>
      <c r="Q595" s="41"/>
    </row>
    <row r="596" spans="7:17">
      <c r="G596" s="48"/>
      <c r="H596" s="6"/>
      <c r="I596" s="6"/>
      <c r="K596" s="43"/>
      <c r="L596" s="43"/>
      <c r="M596" s="49"/>
      <c r="N596" s="49"/>
      <c r="O596" s="49"/>
      <c r="P596" s="49"/>
      <c r="Q596" s="41"/>
    </row>
    <row r="597" spans="7:17">
      <c r="G597" s="48"/>
      <c r="H597" s="6"/>
      <c r="I597" s="6"/>
      <c r="K597" s="43"/>
      <c r="L597" s="43"/>
      <c r="M597" s="49"/>
      <c r="N597" s="49"/>
      <c r="O597" s="49"/>
      <c r="P597" s="49"/>
      <c r="Q597" s="41"/>
    </row>
    <row r="598" spans="7:17">
      <c r="G598" s="48"/>
      <c r="H598" s="6"/>
      <c r="I598" s="6"/>
      <c r="K598" s="43"/>
      <c r="L598" s="43"/>
      <c r="M598" s="49"/>
      <c r="N598" s="49"/>
      <c r="O598" s="49"/>
      <c r="P598" s="49"/>
      <c r="Q598" s="41"/>
    </row>
    <row r="599" spans="7:17">
      <c r="G599" s="48"/>
      <c r="H599" s="6"/>
      <c r="I599" s="6"/>
      <c r="K599" s="43"/>
      <c r="L599" s="43"/>
      <c r="M599" s="49"/>
      <c r="N599" s="49"/>
      <c r="O599" s="49"/>
      <c r="P599" s="49"/>
      <c r="Q599" s="41"/>
    </row>
    <row r="600" spans="7:17">
      <c r="G600" s="48"/>
      <c r="H600" s="6"/>
      <c r="I600" s="6"/>
      <c r="K600" s="43"/>
      <c r="L600" s="43"/>
      <c r="M600" s="49"/>
      <c r="N600" s="49"/>
      <c r="O600" s="49"/>
      <c r="P600" s="49"/>
      <c r="Q600" s="41"/>
    </row>
    <row r="601" spans="7:17">
      <c r="G601" s="48"/>
      <c r="H601" s="6"/>
      <c r="I601" s="6"/>
      <c r="K601" s="43"/>
      <c r="L601" s="43"/>
      <c r="M601" s="49"/>
      <c r="N601" s="49"/>
      <c r="O601" s="49"/>
      <c r="P601" s="49"/>
      <c r="Q601" s="41"/>
    </row>
    <row r="602" spans="7:17">
      <c r="G602" s="48"/>
      <c r="H602" s="6"/>
      <c r="I602" s="6"/>
      <c r="K602" s="43"/>
      <c r="L602" s="43"/>
      <c r="M602" s="49"/>
      <c r="N602" s="49"/>
      <c r="O602" s="49"/>
      <c r="P602" s="49"/>
      <c r="Q602" s="41"/>
    </row>
    <row r="603" spans="7:17">
      <c r="G603" s="48"/>
      <c r="H603" s="6"/>
      <c r="I603" s="6"/>
      <c r="K603" s="43"/>
      <c r="L603" s="43"/>
      <c r="M603" s="49"/>
      <c r="N603" s="49"/>
      <c r="O603" s="49"/>
      <c r="P603" s="49"/>
      <c r="Q603" s="41"/>
    </row>
    <row r="604" spans="7:17">
      <c r="G604" s="48"/>
      <c r="H604" s="6"/>
      <c r="I604" s="6"/>
      <c r="K604" s="43"/>
      <c r="L604" s="43"/>
      <c r="M604" s="49"/>
      <c r="N604" s="49"/>
      <c r="O604" s="49"/>
      <c r="P604" s="49"/>
      <c r="Q604" s="41"/>
    </row>
    <row r="605" spans="7:17">
      <c r="G605" s="48"/>
      <c r="H605" s="6"/>
      <c r="I605" s="6"/>
      <c r="K605" s="43"/>
      <c r="L605" s="43"/>
      <c r="M605" s="49"/>
      <c r="N605" s="49"/>
      <c r="O605" s="49"/>
      <c r="P605" s="49"/>
      <c r="Q605" s="41"/>
    </row>
    <row r="606" spans="7:17">
      <c r="G606" s="48"/>
      <c r="H606" s="6"/>
      <c r="I606" s="6"/>
      <c r="K606" s="43"/>
      <c r="L606" s="43"/>
      <c r="M606" s="49"/>
      <c r="N606" s="49"/>
      <c r="O606" s="49"/>
      <c r="P606" s="49"/>
      <c r="Q606" s="41"/>
    </row>
    <row r="607" spans="7:17">
      <c r="G607" s="48"/>
      <c r="H607" s="6"/>
      <c r="I607" s="6"/>
      <c r="K607" s="43"/>
      <c r="L607" s="43"/>
      <c r="M607" s="49"/>
      <c r="N607" s="49"/>
      <c r="O607" s="49"/>
      <c r="P607" s="49"/>
      <c r="Q607" s="41"/>
    </row>
    <row r="608" spans="7:17">
      <c r="G608" s="48"/>
      <c r="H608" s="6"/>
      <c r="I608" s="6"/>
      <c r="K608" s="43"/>
      <c r="L608" s="43"/>
      <c r="M608" s="49"/>
      <c r="N608" s="49"/>
      <c r="O608" s="49"/>
      <c r="P608" s="49"/>
      <c r="Q608" s="41"/>
    </row>
    <row r="609" spans="7:17">
      <c r="G609" s="48"/>
      <c r="H609" s="6"/>
      <c r="I609" s="6"/>
      <c r="K609" s="43"/>
      <c r="L609" s="43"/>
      <c r="M609" s="49"/>
      <c r="N609" s="49"/>
      <c r="O609" s="49"/>
      <c r="P609" s="49"/>
      <c r="Q609" s="41"/>
    </row>
    <row r="610" spans="7:17">
      <c r="G610" s="48"/>
      <c r="H610" s="6"/>
      <c r="I610" s="6"/>
      <c r="K610" s="43"/>
      <c r="L610" s="43"/>
      <c r="M610" s="49"/>
      <c r="N610" s="49"/>
      <c r="O610" s="49"/>
      <c r="P610" s="49"/>
      <c r="Q610" s="41"/>
    </row>
    <row r="611" spans="7:17">
      <c r="G611" s="48"/>
      <c r="H611" s="6"/>
      <c r="I611" s="6"/>
      <c r="K611" s="43"/>
      <c r="L611" s="43"/>
      <c r="M611" s="49"/>
      <c r="N611" s="49"/>
      <c r="O611" s="49"/>
      <c r="P611" s="49"/>
      <c r="Q611" s="41"/>
    </row>
    <row r="612" spans="7:17">
      <c r="G612" s="48"/>
      <c r="H612" s="6"/>
      <c r="I612" s="6"/>
      <c r="K612" s="43"/>
      <c r="L612" s="43"/>
      <c r="M612" s="49"/>
      <c r="N612" s="49"/>
      <c r="O612" s="49"/>
      <c r="P612" s="49"/>
      <c r="Q612" s="41"/>
    </row>
    <row r="613" spans="7:17">
      <c r="G613" s="48"/>
      <c r="H613" s="6"/>
      <c r="I613" s="6"/>
      <c r="K613" s="43"/>
      <c r="L613" s="43"/>
      <c r="M613" s="49"/>
      <c r="N613" s="49"/>
      <c r="O613" s="49"/>
      <c r="P613" s="49"/>
      <c r="Q613" s="41"/>
    </row>
    <row r="614" spans="7:17">
      <c r="G614" s="48"/>
      <c r="H614" s="6"/>
      <c r="I614" s="6"/>
      <c r="K614" s="43"/>
      <c r="L614" s="43"/>
      <c r="M614" s="49"/>
      <c r="N614" s="49"/>
      <c r="O614" s="49"/>
      <c r="P614" s="49"/>
      <c r="Q614" s="41"/>
    </row>
    <row r="615" spans="7:17">
      <c r="G615" s="48"/>
      <c r="H615" s="6"/>
      <c r="I615" s="6"/>
      <c r="K615" s="43"/>
      <c r="L615" s="43"/>
      <c r="M615" s="49"/>
      <c r="N615" s="49"/>
      <c r="O615" s="49"/>
      <c r="P615" s="49"/>
      <c r="Q615" s="41"/>
    </row>
    <row r="616" spans="7:17">
      <c r="G616" s="48"/>
      <c r="H616" s="6"/>
      <c r="I616" s="6"/>
      <c r="K616" s="43"/>
      <c r="L616" s="43"/>
      <c r="M616" s="49"/>
      <c r="N616" s="49"/>
      <c r="O616" s="49"/>
      <c r="P616" s="49"/>
      <c r="Q616" s="41"/>
    </row>
    <row r="617" spans="7:17">
      <c r="G617" s="48"/>
      <c r="H617" s="6"/>
      <c r="I617" s="6"/>
      <c r="K617" s="43"/>
      <c r="L617" s="43"/>
      <c r="M617" s="49"/>
      <c r="N617" s="49"/>
      <c r="O617" s="49"/>
      <c r="P617" s="49"/>
      <c r="Q617" s="41"/>
    </row>
    <row r="618" spans="7:17">
      <c r="G618" s="48"/>
      <c r="H618" s="6"/>
      <c r="I618" s="6"/>
      <c r="K618" s="43"/>
      <c r="L618" s="43"/>
      <c r="M618" s="49"/>
      <c r="N618" s="49"/>
      <c r="O618" s="49"/>
      <c r="P618" s="49"/>
      <c r="Q618" s="41"/>
    </row>
    <row r="619" spans="7:17">
      <c r="G619" s="48"/>
      <c r="H619" s="6"/>
      <c r="I619" s="6"/>
      <c r="K619" s="43"/>
      <c r="L619" s="43"/>
      <c r="M619" s="49"/>
      <c r="N619" s="49"/>
      <c r="O619" s="49"/>
      <c r="P619" s="49"/>
      <c r="Q619" s="41"/>
    </row>
    <row r="620" spans="7:17">
      <c r="G620" s="48"/>
      <c r="H620" s="6"/>
      <c r="I620" s="6"/>
      <c r="K620" s="43"/>
      <c r="L620" s="43"/>
      <c r="M620" s="49"/>
      <c r="N620" s="49"/>
      <c r="O620" s="49"/>
      <c r="P620" s="49"/>
      <c r="Q620" s="41"/>
    </row>
    <row r="621" spans="7:17">
      <c r="G621" s="48"/>
      <c r="H621" s="6"/>
      <c r="I621" s="6"/>
      <c r="K621" s="43"/>
      <c r="L621" s="43"/>
      <c r="M621" s="49"/>
      <c r="N621" s="49"/>
      <c r="O621" s="49"/>
      <c r="P621" s="49"/>
      <c r="Q621" s="41"/>
    </row>
    <row r="622" spans="7:17">
      <c r="G622" s="48"/>
      <c r="H622" s="6"/>
      <c r="I622" s="6"/>
      <c r="K622" s="43"/>
      <c r="L622" s="43"/>
      <c r="M622" s="49"/>
      <c r="N622" s="49"/>
      <c r="O622" s="49"/>
      <c r="P622" s="49"/>
      <c r="Q622" s="41"/>
    </row>
    <row r="623" spans="7:17">
      <c r="G623" s="48"/>
      <c r="H623" s="6"/>
      <c r="I623" s="6"/>
      <c r="K623" s="43"/>
      <c r="L623" s="43"/>
      <c r="M623" s="49"/>
      <c r="N623" s="49"/>
      <c r="O623" s="49"/>
      <c r="P623" s="49"/>
      <c r="Q623" s="41"/>
    </row>
    <row r="624" spans="7:17">
      <c r="G624" s="48"/>
      <c r="H624" s="6"/>
      <c r="I624" s="6"/>
      <c r="K624" s="43"/>
      <c r="L624" s="43"/>
      <c r="M624" s="49"/>
      <c r="N624" s="49"/>
      <c r="O624" s="49"/>
      <c r="P624" s="49"/>
      <c r="Q624" s="41"/>
    </row>
    <row r="625" spans="7:17">
      <c r="G625" s="48"/>
      <c r="H625" s="6"/>
      <c r="I625" s="6"/>
      <c r="K625" s="43"/>
      <c r="L625" s="43"/>
      <c r="M625" s="49"/>
      <c r="N625" s="49"/>
      <c r="O625" s="49"/>
      <c r="P625" s="49"/>
      <c r="Q625" s="41"/>
    </row>
    <row r="626" spans="7:17">
      <c r="G626" s="48"/>
      <c r="H626" s="6"/>
      <c r="I626" s="6"/>
      <c r="K626" s="43"/>
      <c r="L626" s="43"/>
      <c r="M626" s="49"/>
      <c r="N626" s="49"/>
      <c r="O626" s="49"/>
      <c r="P626" s="49"/>
      <c r="Q626" s="41"/>
    </row>
    <row r="627" spans="7:17">
      <c r="G627" s="48"/>
      <c r="H627" s="6"/>
      <c r="I627" s="6"/>
      <c r="K627" s="43"/>
      <c r="L627" s="43"/>
      <c r="M627" s="49"/>
      <c r="N627" s="49"/>
      <c r="O627" s="49"/>
      <c r="P627" s="49"/>
      <c r="Q627" s="41"/>
    </row>
    <row r="628" spans="7:17">
      <c r="G628" s="48"/>
      <c r="H628" s="6"/>
      <c r="I628" s="6"/>
      <c r="K628" s="43"/>
      <c r="L628" s="43"/>
      <c r="M628" s="49"/>
      <c r="N628" s="49"/>
      <c r="O628" s="49"/>
      <c r="P628" s="49"/>
      <c r="Q628" s="41"/>
    </row>
    <row r="629" spans="7:17">
      <c r="G629" s="48"/>
      <c r="H629" s="6"/>
      <c r="I629" s="6"/>
      <c r="K629" s="43"/>
      <c r="L629" s="43"/>
      <c r="M629" s="49"/>
      <c r="N629" s="49"/>
      <c r="O629" s="49"/>
      <c r="P629" s="49"/>
      <c r="Q629" s="41"/>
    </row>
    <row r="630" spans="7:17">
      <c r="G630" s="48"/>
      <c r="H630" s="6"/>
      <c r="I630" s="6"/>
      <c r="K630" s="43"/>
      <c r="L630" s="43"/>
      <c r="M630" s="49"/>
      <c r="N630" s="49"/>
      <c r="O630" s="49"/>
      <c r="P630" s="49"/>
      <c r="Q630" s="41"/>
    </row>
    <row r="631" spans="7:17">
      <c r="G631" s="48"/>
      <c r="H631" s="6"/>
      <c r="I631" s="6"/>
      <c r="K631" s="43"/>
      <c r="L631" s="43"/>
      <c r="M631" s="49"/>
      <c r="N631" s="49"/>
      <c r="O631" s="49"/>
      <c r="P631" s="49"/>
      <c r="Q631" s="41"/>
    </row>
    <row r="632" spans="7:17">
      <c r="G632" s="48"/>
      <c r="H632" s="6"/>
      <c r="I632" s="6"/>
      <c r="K632" s="43"/>
      <c r="L632" s="43"/>
      <c r="M632" s="49"/>
      <c r="N632" s="49"/>
      <c r="O632" s="49"/>
      <c r="P632" s="49"/>
      <c r="Q632" s="41"/>
    </row>
    <row r="633" spans="7:17">
      <c r="G633" s="48"/>
      <c r="H633" s="6"/>
      <c r="I633" s="6"/>
      <c r="K633" s="43"/>
      <c r="L633" s="43"/>
      <c r="M633" s="49"/>
      <c r="N633" s="49"/>
      <c r="O633" s="49"/>
      <c r="P633" s="49"/>
      <c r="Q633" s="41"/>
    </row>
    <row r="634" spans="7:17">
      <c r="G634" s="48"/>
      <c r="H634" s="6"/>
      <c r="I634" s="6"/>
      <c r="K634" s="43"/>
      <c r="L634" s="43"/>
      <c r="M634" s="49"/>
      <c r="N634" s="49"/>
      <c r="O634" s="49"/>
      <c r="P634" s="49"/>
      <c r="Q634" s="41"/>
    </row>
    <row r="635" spans="7:17">
      <c r="G635" s="48"/>
      <c r="H635" s="6"/>
      <c r="I635" s="6"/>
      <c r="K635" s="43"/>
      <c r="L635" s="43"/>
      <c r="M635" s="49"/>
      <c r="N635" s="49"/>
      <c r="O635" s="49"/>
      <c r="P635" s="49"/>
      <c r="Q635" s="41"/>
    </row>
    <row r="636" spans="7:17">
      <c r="G636" s="48"/>
      <c r="H636" s="6"/>
      <c r="I636" s="6"/>
      <c r="K636" s="43"/>
      <c r="L636" s="43"/>
      <c r="M636" s="49"/>
      <c r="N636" s="49"/>
      <c r="O636" s="49"/>
      <c r="P636" s="49"/>
      <c r="Q636" s="41"/>
    </row>
    <row r="637" spans="7:17">
      <c r="G637" s="48"/>
      <c r="H637" s="6"/>
      <c r="I637" s="6"/>
      <c r="K637" s="43"/>
      <c r="L637" s="43"/>
      <c r="M637" s="49"/>
      <c r="N637" s="49"/>
      <c r="O637" s="49"/>
      <c r="P637" s="49"/>
      <c r="Q637" s="41"/>
    </row>
    <row r="638" spans="7:17">
      <c r="G638" s="48"/>
      <c r="H638" s="6"/>
      <c r="I638" s="6"/>
      <c r="K638" s="43"/>
      <c r="L638" s="43"/>
      <c r="M638" s="49"/>
      <c r="N638" s="49"/>
      <c r="O638" s="49"/>
      <c r="P638" s="49"/>
      <c r="Q638" s="41"/>
    </row>
    <row r="639" spans="7:17">
      <c r="G639" s="48"/>
      <c r="H639" s="6"/>
      <c r="I639" s="6"/>
      <c r="K639" s="43"/>
      <c r="L639" s="43"/>
      <c r="M639" s="49"/>
      <c r="N639" s="49"/>
      <c r="O639" s="49"/>
      <c r="P639" s="49"/>
      <c r="Q639" s="41"/>
    </row>
    <row r="640" spans="7:17">
      <c r="G640" s="48"/>
      <c r="H640" s="6"/>
      <c r="I640" s="6"/>
      <c r="K640" s="43"/>
      <c r="L640" s="43"/>
      <c r="M640" s="49"/>
      <c r="N640" s="49"/>
      <c r="O640" s="49"/>
      <c r="P640" s="49"/>
      <c r="Q640" s="41"/>
    </row>
    <row r="641" spans="7:17">
      <c r="G641" s="48"/>
      <c r="H641" s="6"/>
      <c r="I641" s="6"/>
      <c r="K641" s="43"/>
      <c r="L641" s="43"/>
      <c r="M641" s="49"/>
      <c r="N641" s="49"/>
      <c r="O641" s="49"/>
      <c r="P641" s="49"/>
      <c r="Q641" s="41"/>
    </row>
    <row r="642" spans="7:17">
      <c r="G642" s="48"/>
      <c r="H642" s="6"/>
      <c r="I642" s="6"/>
      <c r="K642" s="43"/>
      <c r="L642" s="43"/>
      <c r="M642" s="49"/>
      <c r="N642" s="49"/>
      <c r="O642" s="49"/>
      <c r="P642" s="49"/>
      <c r="Q642" s="41"/>
    </row>
    <row r="643" spans="7:17">
      <c r="G643" s="48"/>
      <c r="H643" s="6"/>
      <c r="I643" s="6"/>
      <c r="K643" s="43"/>
      <c r="L643" s="43"/>
      <c r="M643" s="49"/>
      <c r="N643" s="49"/>
      <c r="O643" s="49"/>
      <c r="P643" s="49"/>
      <c r="Q643" s="41"/>
    </row>
    <row r="644" spans="7:17">
      <c r="G644" s="48"/>
      <c r="H644" s="6"/>
      <c r="I644" s="6"/>
      <c r="K644" s="43"/>
      <c r="L644" s="43"/>
      <c r="M644" s="49"/>
      <c r="N644" s="49"/>
      <c r="O644" s="49"/>
      <c r="P644" s="49"/>
      <c r="Q644" s="41"/>
    </row>
    <row r="645" spans="7:17">
      <c r="G645" s="48"/>
      <c r="H645" s="6"/>
      <c r="I645" s="6"/>
      <c r="K645" s="43"/>
      <c r="L645" s="43"/>
      <c r="M645" s="49"/>
      <c r="N645" s="49"/>
      <c r="O645" s="49"/>
      <c r="P645" s="49"/>
      <c r="Q645" s="41"/>
    </row>
    <row r="646" spans="7:17">
      <c r="G646" s="48"/>
      <c r="H646" s="6"/>
      <c r="I646" s="6"/>
      <c r="K646" s="43"/>
      <c r="L646" s="43"/>
      <c r="M646" s="49"/>
      <c r="N646" s="49"/>
      <c r="O646" s="49"/>
      <c r="P646" s="49"/>
      <c r="Q646" s="41"/>
    </row>
    <row r="647" spans="7:17">
      <c r="G647" s="48"/>
      <c r="H647" s="6"/>
      <c r="I647" s="6"/>
      <c r="K647" s="43"/>
      <c r="L647" s="43"/>
      <c r="M647" s="49"/>
      <c r="N647" s="49"/>
      <c r="O647" s="49"/>
      <c r="P647" s="49"/>
      <c r="Q647" s="41"/>
    </row>
    <row r="648" spans="7:17">
      <c r="G648" s="48"/>
      <c r="H648" s="6"/>
      <c r="I648" s="6"/>
      <c r="K648" s="43"/>
      <c r="L648" s="43"/>
      <c r="M648" s="49"/>
      <c r="N648" s="49"/>
      <c r="O648" s="49"/>
      <c r="P648" s="49"/>
      <c r="Q648" s="41"/>
    </row>
    <row r="649" spans="7:17">
      <c r="G649" s="48"/>
      <c r="H649" s="6"/>
      <c r="I649" s="6"/>
      <c r="K649" s="43"/>
      <c r="L649" s="43"/>
      <c r="M649" s="49"/>
      <c r="N649" s="49"/>
      <c r="O649" s="49"/>
      <c r="P649" s="49"/>
      <c r="Q649" s="41"/>
    </row>
    <row r="650" spans="7:17">
      <c r="G650" s="48"/>
      <c r="H650" s="6"/>
      <c r="I650" s="6"/>
      <c r="K650" s="43"/>
      <c r="L650" s="43"/>
      <c r="M650" s="49"/>
      <c r="N650" s="49"/>
      <c r="O650" s="49"/>
      <c r="P650" s="49"/>
      <c r="Q650" s="41"/>
    </row>
    <row r="651" spans="7:17">
      <c r="G651" s="48"/>
      <c r="H651" s="6"/>
      <c r="I651" s="6"/>
      <c r="K651" s="43"/>
      <c r="L651" s="43"/>
      <c r="M651" s="49"/>
      <c r="N651" s="49"/>
      <c r="O651" s="49"/>
      <c r="P651" s="49"/>
      <c r="Q651" s="41"/>
    </row>
    <row r="652" spans="7:17">
      <c r="G652" s="48"/>
      <c r="H652" s="6"/>
      <c r="I652" s="6"/>
      <c r="K652" s="43"/>
      <c r="L652" s="43"/>
      <c r="M652" s="49"/>
      <c r="N652" s="49"/>
      <c r="O652" s="49"/>
      <c r="P652" s="49"/>
      <c r="Q652" s="41"/>
    </row>
    <row r="653" spans="7:17">
      <c r="G653" s="48"/>
      <c r="H653" s="6"/>
      <c r="I653" s="6"/>
      <c r="K653" s="43"/>
      <c r="L653" s="43"/>
      <c r="M653" s="49"/>
      <c r="N653" s="49"/>
      <c r="O653" s="49"/>
      <c r="P653" s="49"/>
      <c r="Q653" s="41"/>
    </row>
    <row r="654" spans="7:17">
      <c r="G654" s="48"/>
      <c r="H654" s="6"/>
      <c r="I654" s="6"/>
      <c r="K654" s="43"/>
      <c r="L654" s="43"/>
      <c r="M654" s="49"/>
      <c r="N654" s="49"/>
      <c r="O654" s="49"/>
      <c r="P654" s="49"/>
      <c r="Q654" s="41"/>
    </row>
    <row r="655" spans="7:17">
      <c r="G655" s="48"/>
      <c r="H655" s="6"/>
      <c r="I655" s="6"/>
      <c r="K655" s="43"/>
      <c r="L655" s="43"/>
      <c r="M655" s="49"/>
      <c r="N655" s="49"/>
      <c r="O655" s="49"/>
      <c r="P655" s="49"/>
      <c r="Q655" s="41"/>
    </row>
    <row r="656" spans="7:17">
      <c r="G656" s="48"/>
      <c r="H656" s="6"/>
      <c r="I656" s="6"/>
      <c r="K656" s="43"/>
      <c r="L656" s="43"/>
      <c r="M656" s="49"/>
      <c r="N656" s="49"/>
      <c r="O656" s="49"/>
      <c r="P656" s="49"/>
      <c r="Q656" s="41"/>
    </row>
    <row r="657" spans="7:17">
      <c r="G657" s="48"/>
      <c r="H657" s="6"/>
      <c r="I657" s="6"/>
      <c r="K657" s="43"/>
      <c r="L657" s="43"/>
      <c r="M657" s="49"/>
      <c r="N657" s="49"/>
      <c r="O657" s="49"/>
      <c r="P657" s="49"/>
      <c r="Q657" s="41"/>
    </row>
    <row r="658" spans="7:17">
      <c r="G658" s="48"/>
      <c r="H658" s="6"/>
      <c r="I658" s="6"/>
      <c r="K658" s="43"/>
      <c r="L658" s="43"/>
      <c r="M658" s="49"/>
      <c r="N658" s="49"/>
      <c r="O658" s="49"/>
      <c r="P658" s="49"/>
      <c r="Q658" s="41"/>
    </row>
    <row r="659" spans="7:17">
      <c r="G659" s="48"/>
      <c r="H659" s="6"/>
      <c r="I659" s="6"/>
      <c r="K659" s="43"/>
      <c r="L659" s="43"/>
      <c r="M659" s="49"/>
      <c r="N659" s="49"/>
      <c r="O659" s="49"/>
      <c r="P659" s="49"/>
      <c r="Q659" s="41"/>
    </row>
    <row r="660" spans="7:17">
      <c r="G660" s="48"/>
      <c r="H660" s="6"/>
      <c r="I660" s="6"/>
      <c r="K660" s="43"/>
      <c r="L660" s="43"/>
      <c r="M660" s="49"/>
      <c r="N660" s="49"/>
      <c r="O660" s="49"/>
      <c r="P660" s="49"/>
      <c r="Q660" s="41"/>
    </row>
    <row r="661" spans="7:17">
      <c r="G661" s="48"/>
      <c r="H661" s="6"/>
      <c r="I661" s="6"/>
      <c r="K661" s="43"/>
      <c r="L661" s="43"/>
      <c r="M661" s="49"/>
      <c r="N661" s="49"/>
      <c r="O661" s="49"/>
      <c r="P661" s="49"/>
      <c r="Q661" s="41"/>
    </row>
    <row r="662" spans="7:17">
      <c r="G662" s="48"/>
      <c r="H662" s="6"/>
      <c r="I662" s="6"/>
      <c r="K662" s="43"/>
      <c r="L662" s="43"/>
      <c r="M662" s="49"/>
      <c r="N662" s="49"/>
      <c r="O662" s="49"/>
      <c r="P662" s="49"/>
      <c r="Q662" s="41"/>
    </row>
    <row r="663" spans="7:17">
      <c r="G663" s="48"/>
      <c r="H663" s="6"/>
      <c r="I663" s="6"/>
      <c r="K663" s="43"/>
      <c r="L663" s="43"/>
      <c r="M663" s="49"/>
      <c r="N663" s="49"/>
      <c r="O663" s="49"/>
      <c r="P663" s="49"/>
      <c r="Q663" s="41"/>
    </row>
    <row r="664" spans="7:17">
      <c r="G664" s="48"/>
      <c r="H664" s="6"/>
      <c r="I664" s="6"/>
      <c r="K664" s="43"/>
      <c r="L664" s="43"/>
      <c r="M664" s="49"/>
      <c r="N664" s="49"/>
      <c r="O664" s="49"/>
      <c r="P664" s="49"/>
      <c r="Q664" s="41"/>
    </row>
    <row r="665" spans="7:17">
      <c r="G665" s="48"/>
      <c r="H665" s="6"/>
      <c r="I665" s="6"/>
      <c r="K665" s="43"/>
      <c r="L665" s="43"/>
      <c r="M665" s="49"/>
      <c r="N665" s="49"/>
      <c r="O665" s="49"/>
      <c r="P665" s="49"/>
      <c r="Q665" s="41"/>
    </row>
    <row r="666" spans="7:17">
      <c r="G666" s="48"/>
      <c r="H666" s="6"/>
      <c r="I666" s="6"/>
      <c r="K666" s="43"/>
      <c r="L666" s="43"/>
      <c r="M666" s="49"/>
      <c r="N666" s="49"/>
      <c r="O666" s="49"/>
      <c r="P666" s="49"/>
      <c r="Q666" s="41"/>
    </row>
    <row r="667" spans="7:17">
      <c r="G667" s="48"/>
      <c r="H667" s="6"/>
      <c r="I667" s="6"/>
      <c r="K667" s="43"/>
      <c r="L667" s="43"/>
      <c r="M667" s="49"/>
      <c r="N667" s="49"/>
      <c r="O667" s="49"/>
      <c r="P667" s="49"/>
      <c r="Q667" s="41"/>
    </row>
    <row r="668" spans="7:17">
      <c r="G668" s="48"/>
      <c r="H668" s="6"/>
      <c r="I668" s="6"/>
      <c r="K668" s="43"/>
      <c r="L668" s="43"/>
      <c r="M668" s="49"/>
      <c r="N668" s="49"/>
      <c r="O668" s="49"/>
      <c r="P668" s="49"/>
      <c r="Q668" s="41"/>
    </row>
    <row r="669" spans="7:17">
      <c r="G669" s="48"/>
      <c r="H669" s="6"/>
      <c r="I669" s="6"/>
      <c r="K669" s="43"/>
      <c r="L669" s="43"/>
      <c r="M669" s="49"/>
      <c r="N669" s="49"/>
      <c r="O669" s="49"/>
      <c r="P669" s="49"/>
      <c r="Q669" s="41"/>
    </row>
    <row r="670" spans="7:17">
      <c r="G670" s="48"/>
      <c r="H670" s="6"/>
      <c r="I670" s="6"/>
      <c r="K670" s="43"/>
      <c r="L670" s="43"/>
      <c r="M670" s="49"/>
      <c r="N670" s="49"/>
      <c r="O670" s="49"/>
      <c r="P670" s="49"/>
      <c r="Q670" s="41"/>
    </row>
    <row r="671" spans="7:17">
      <c r="G671" s="48"/>
      <c r="H671" s="6"/>
      <c r="I671" s="6"/>
      <c r="K671" s="43"/>
      <c r="L671" s="43"/>
      <c r="M671" s="49"/>
      <c r="N671" s="49"/>
      <c r="O671" s="49"/>
      <c r="P671" s="49"/>
      <c r="Q671" s="41"/>
    </row>
    <row r="672" spans="7:17">
      <c r="G672" s="48"/>
      <c r="H672" s="6"/>
      <c r="I672" s="6"/>
      <c r="K672" s="43"/>
      <c r="L672" s="43"/>
      <c r="M672" s="49"/>
      <c r="N672" s="49"/>
      <c r="O672" s="49"/>
      <c r="P672" s="49"/>
      <c r="Q672" s="41"/>
    </row>
    <row r="673" spans="7:17">
      <c r="G673" s="48"/>
      <c r="H673" s="6"/>
      <c r="I673" s="6"/>
      <c r="K673" s="43"/>
      <c r="L673" s="43"/>
      <c r="M673" s="49"/>
      <c r="N673" s="49"/>
      <c r="O673" s="49"/>
      <c r="P673" s="49"/>
      <c r="Q673" s="41"/>
    </row>
    <row r="674" spans="7:17">
      <c r="G674" s="48"/>
      <c r="H674" s="6"/>
      <c r="I674" s="6"/>
      <c r="K674" s="43"/>
      <c r="L674" s="43"/>
      <c r="M674" s="49"/>
      <c r="N674" s="49"/>
      <c r="O674" s="49"/>
      <c r="P674" s="49"/>
      <c r="Q674" s="41"/>
    </row>
    <row r="675" spans="7:17">
      <c r="G675" s="48"/>
      <c r="H675" s="6"/>
      <c r="I675" s="6"/>
      <c r="K675" s="43"/>
      <c r="L675" s="43"/>
      <c r="M675" s="49"/>
      <c r="N675" s="49"/>
      <c r="O675" s="49"/>
      <c r="P675" s="49"/>
      <c r="Q675" s="41"/>
    </row>
    <row r="676" spans="7:17">
      <c r="G676" s="48"/>
      <c r="H676" s="6"/>
      <c r="I676" s="6"/>
      <c r="K676" s="43"/>
      <c r="L676" s="43"/>
      <c r="M676" s="49"/>
      <c r="N676" s="49"/>
      <c r="O676" s="49"/>
      <c r="P676" s="49"/>
      <c r="Q676" s="41"/>
    </row>
    <row r="677" spans="7:17">
      <c r="G677" s="48"/>
      <c r="H677" s="6"/>
      <c r="I677" s="6"/>
      <c r="K677" s="43"/>
      <c r="L677" s="43"/>
      <c r="M677" s="49"/>
      <c r="N677" s="49"/>
      <c r="O677" s="49"/>
      <c r="P677" s="49"/>
      <c r="Q677" s="41"/>
    </row>
    <row r="678" spans="7:17">
      <c r="G678" s="48"/>
      <c r="H678" s="6"/>
      <c r="I678" s="6"/>
      <c r="K678" s="43"/>
      <c r="L678" s="43"/>
      <c r="M678" s="49"/>
      <c r="N678" s="49"/>
      <c r="O678" s="49"/>
      <c r="P678" s="49"/>
      <c r="Q678" s="41"/>
    </row>
    <row r="679" spans="7:17">
      <c r="G679" s="48"/>
      <c r="H679" s="6"/>
      <c r="I679" s="6"/>
      <c r="K679" s="43"/>
      <c r="L679" s="43"/>
      <c r="M679" s="49"/>
      <c r="N679" s="49"/>
      <c r="O679" s="49"/>
      <c r="P679" s="49"/>
      <c r="Q679" s="41"/>
    </row>
    <row r="680" spans="7:17">
      <c r="G680" s="48"/>
      <c r="H680" s="6"/>
      <c r="I680" s="6"/>
      <c r="K680" s="43"/>
      <c r="L680" s="43"/>
      <c r="M680" s="49"/>
      <c r="N680" s="49"/>
      <c r="O680" s="49"/>
      <c r="P680" s="49"/>
      <c r="Q680" s="41"/>
    </row>
    <row r="681" spans="7:17">
      <c r="G681" s="48"/>
      <c r="H681" s="6"/>
      <c r="I681" s="6"/>
      <c r="K681" s="43"/>
      <c r="L681" s="43"/>
      <c r="M681" s="49"/>
      <c r="N681" s="49"/>
      <c r="O681" s="49"/>
      <c r="P681" s="49"/>
      <c r="Q681" s="41"/>
    </row>
    <row r="682" spans="7:17">
      <c r="G682" s="48"/>
      <c r="H682" s="6"/>
      <c r="I682" s="6"/>
      <c r="K682" s="43"/>
      <c r="L682" s="43"/>
      <c r="M682" s="49"/>
      <c r="N682" s="49"/>
      <c r="O682" s="49"/>
      <c r="P682" s="49"/>
      <c r="Q682" s="41"/>
    </row>
    <row r="683" spans="7:17">
      <c r="G683" s="48"/>
      <c r="H683" s="6"/>
      <c r="I683" s="6"/>
      <c r="K683" s="43"/>
      <c r="L683" s="43"/>
      <c r="M683" s="49"/>
      <c r="N683" s="49"/>
      <c r="O683" s="49"/>
      <c r="P683" s="49"/>
      <c r="Q683" s="41"/>
    </row>
    <row r="684" spans="7:17">
      <c r="G684" s="48"/>
      <c r="H684" s="6"/>
      <c r="I684" s="6"/>
      <c r="K684" s="43"/>
      <c r="L684" s="43"/>
      <c r="M684" s="49"/>
      <c r="N684" s="49"/>
      <c r="O684" s="49"/>
      <c r="P684" s="49"/>
      <c r="Q684" s="41"/>
    </row>
    <row r="685" spans="7:17">
      <c r="G685" s="48"/>
      <c r="H685" s="6"/>
      <c r="I685" s="6"/>
      <c r="K685" s="43"/>
      <c r="L685" s="43"/>
      <c r="M685" s="49"/>
      <c r="N685" s="49"/>
      <c r="O685" s="49"/>
      <c r="P685" s="49"/>
      <c r="Q685" s="41"/>
    </row>
    <row r="686" spans="7:17">
      <c r="G686" s="48"/>
      <c r="H686" s="6"/>
      <c r="I686" s="6"/>
      <c r="K686" s="43"/>
      <c r="L686" s="43"/>
      <c r="M686" s="49"/>
      <c r="N686" s="49"/>
      <c r="O686" s="49"/>
      <c r="P686" s="49"/>
      <c r="Q686" s="41"/>
    </row>
    <row r="687" spans="7:17">
      <c r="G687" s="48"/>
      <c r="H687" s="6"/>
      <c r="I687" s="6"/>
      <c r="K687" s="43"/>
      <c r="L687" s="43"/>
      <c r="M687" s="49"/>
      <c r="N687" s="49"/>
      <c r="O687" s="49"/>
      <c r="P687" s="49"/>
      <c r="Q687" s="41"/>
    </row>
    <row r="688" spans="7:17">
      <c r="G688" s="48"/>
      <c r="H688" s="6"/>
      <c r="I688" s="6"/>
      <c r="K688" s="43"/>
      <c r="L688" s="43"/>
      <c r="M688" s="49"/>
      <c r="N688" s="49"/>
      <c r="O688" s="49"/>
      <c r="P688" s="49"/>
      <c r="Q688" s="41"/>
    </row>
    <row r="689" spans="7:17">
      <c r="G689" s="48"/>
      <c r="H689" s="6"/>
      <c r="I689" s="6"/>
      <c r="K689" s="43"/>
      <c r="L689" s="43"/>
      <c r="M689" s="49"/>
      <c r="N689" s="49"/>
      <c r="O689" s="49"/>
      <c r="P689" s="49"/>
      <c r="Q689" s="41"/>
    </row>
    <row r="690" spans="7:17">
      <c r="G690" s="48"/>
      <c r="H690" s="6"/>
      <c r="I690" s="6"/>
      <c r="K690" s="43"/>
      <c r="L690" s="43"/>
      <c r="M690" s="49"/>
      <c r="N690" s="49"/>
      <c r="O690" s="49"/>
      <c r="P690" s="49"/>
      <c r="Q690" s="41"/>
    </row>
    <row r="691" spans="7:17">
      <c r="G691" s="48"/>
      <c r="H691" s="6"/>
      <c r="I691" s="6"/>
      <c r="K691" s="43"/>
      <c r="L691" s="43"/>
      <c r="M691" s="49"/>
      <c r="N691" s="49"/>
      <c r="O691" s="49"/>
      <c r="P691" s="49"/>
      <c r="Q691" s="41"/>
    </row>
    <row r="692" spans="7:17">
      <c r="G692" s="48"/>
      <c r="H692" s="6"/>
      <c r="I692" s="6"/>
      <c r="K692" s="43"/>
      <c r="L692" s="43"/>
      <c r="M692" s="49"/>
      <c r="N692" s="49"/>
      <c r="O692" s="49"/>
      <c r="P692" s="49"/>
      <c r="Q692" s="41"/>
    </row>
    <row r="693" spans="7:17">
      <c r="G693" s="48"/>
      <c r="H693" s="6"/>
      <c r="I693" s="6"/>
      <c r="K693" s="43"/>
      <c r="L693" s="43"/>
      <c r="M693" s="49"/>
      <c r="N693" s="49"/>
      <c r="O693" s="49"/>
      <c r="P693" s="49"/>
      <c r="Q693" s="41"/>
    </row>
    <row r="694" spans="7:17">
      <c r="G694" s="48"/>
      <c r="H694" s="6"/>
      <c r="I694" s="6"/>
      <c r="K694" s="43"/>
      <c r="L694" s="43"/>
      <c r="M694" s="49"/>
      <c r="N694" s="49"/>
      <c r="O694" s="49"/>
      <c r="P694" s="49"/>
      <c r="Q694" s="41"/>
    </row>
    <row r="695" spans="7:17">
      <c r="G695" s="48"/>
      <c r="H695" s="6"/>
      <c r="I695" s="6"/>
      <c r="K695" s="43"/>
      <c r="L695" s="43"/>
      <c r="M695" s="49"/>
      <c r="N695" s="49"/>
      <c r="O695" s="49"/>
      <c r="P695" s="49"/>
      <c r="Q695" s="41"/>
    </row>
    <row r="696" spans="7:17">
      <c r="G696" s="48"/>
      <c r="H696" s="6"/>
      <c r="I696" s="6"/>
      <c r="K696" s="43"/>
      <c r="L696" s="43"/>
      <c r="M696" s="49"/>
      <c r="N696" s="49"/>
      <c r="O696" s="49"/>
      <c r="P696" s="49"/>
      <c r="Q696" s="41"/>
    </row>
    <row r="697" spans="7:17">
      <c r="G697" s="48"/>
      <c r="H697" s="6"/>
      <c r="I697" s="6"/>
      <c r="K697" s="43"/>
      <c r="L697" s="43"/>
      <c r="M697" s="49"/>
      <c r="N697" s="49"/>
      <c r="O697" s="49"/>
      <c r="P697" s="49"/>
      <c r="Q697" s="41"/>
    </row>
    <row r="698" spans="7:17">
      <c r="G698" s="48"/>
      <c r="H698" s="6"/>
      <c r="I698" s="6"/>
      <c r="K698" s="43"/>
      <c r="L698" s="43"/>
      <c r="M698" s="49"/>
      <c r="N698" s="49"/>
      <c r="O698" s="49"/>
      <c r="P698" s="49"/>
      <c r="Q698" s="41"/>
    </row>
    <row r="699" spans="7:17">
      <c r="G699" s="48"/>
      <c r="H699" s="6"/>
      <c r="I699" s="6"/>
      <c r="K699" s="43"/>
      <c r="L699" s="43"/>
      <c r="M699" s="49"/>
      <c r="N699" s="49"/>
      <c r="O699" s="49"/>
      <c r="P699" s="49"/>
      <c r="Q699" s="41"/>
    </row>
    <row r="700" spans="7:17">
      <c r="G700" s="48"/>
      <c r="H700" s="6"/>
      <c r="I700" s="6"/>
      <c r="K700" s="43"/>
      <c r="L700" s="43"/>
      <c r="M700" s="49"/>
      <c r="N700" s="49"/>
      <c r="O700" s="49"/>
      <c r="P700" s="49"/>
      <c r="Q700" s="41"/>
    </row>
    <row r="701" spans="7:17">
      <c r="G701" s="48"/>
      <c r="H701" s="6"/>
      <c r="I701" s="6"/>
      <c r="K701" s="43"/>
      <c r="L701" s="43"/>
      <c r="M701" s="49"/>
      <c r="N701" s="49"/>
      <c r="O701" s="49"/>
      <c r="P701" s="49"/>
      <c r="Q701" s="41"/>
    </row>
    <row r="702" spans="7:17">
      <c r="G702" s="48"/>
      <c r="H702" s="6"/>
      <c r="I702" s="6"/>
      <c r="K702" s="43"/>
      <c r="L702" s="43"/>
      <c r="M702" s="49"/>
      <c r="N702" s="49"/>
      <c r="O702" s="49"/>
      <c r="P702" s="49"/>
      <c r="Q702" s="41"/>
    </row>
    <row r="703" spans="7:17">
      <c r="G703" s="48"/>
      <c r="H703" s="6"/>
      <c r="I703" s="6"/>
      <c r="K703" s="43"/>
      <c r="L703" s="43"/>
      <c r="M703" s="49"/>
      <c r="N703" s="49"/>
      <c r="O703" s="49"/>
      <c r="P703" s="49"/>
      <c r="Q703" s="41"/>
    </row>
    <row r="704" spans="7:17">
      <c r="G704" s="48"/>
      <c r="H704" s="6"/>
      <c r="I704" s="6"/>
      <c r="K704" s="43"/>
      <c r="L704" s="43"/>
      <c r="M704" s="49"/>
      <c r="N704" s="49"/>
      <c r="O704" s="49"/>
      <c r="P704" s="49"/>
      <c r="Q704" s="41"/>
    </row>
    <row r="705" spans="7:17">
      <c r="G705" s="48"/>
      <c r="H705" s="6"/>
      <c r="I705" s="6"/>
      <c r="K705" s="43"/>
      <c r="L705" s="43"/>
      <c r="M705" s="49"/>
      <c r="N705" s="49"/>
      <c r="O705" s="49"/>
      <c r="P705" s="49"/>
      <c r="Q705" s="41"/>
    </row>
    <row r="706" spans="7:17">
      <c r="G706" s="48"/>
      <c r="H706" s="6"/>
      <c r="I706" s="6"/>
      <c r="K706" s="43"/>
      <c r="L706" s="43"/>
      <c r="M706" s="49"/>
      <c r="N706" s="49"/>
      <c r="O706" s="49"/>
      <c r="P706" s="49"/>
      <c r="Q706" s="41"/>
    </row>
    <row r="707" spans="7:17">
      <c r="G707" s="48"/>
      <c r="H707" s="6"/>
      <c r="I707" s="6"/>
      <c r="K707" s="43"/>
      <c r="L707" s="43"/>
      <c r="M707" s="49"/>
      <c r="N707" s="49"/>
      <c r="O707" s="49"/>
      <c r="P707" s="49"/>
      <c r="Q707" s="41"/>
    </row>
    <row r="708" spans="7:17">
      <c r="G708" s="48"/>
      <c r="H708" s="6"/>
      <c r="I708" s="6"/>
      <c r="K708" s="43"/>
      <c r="L708" s="43"/>
      <c r="M708" s="49"/>
      <c r="N708" s="49"/>
      <c r="O708" s="49"/>
      <c r="P708" s="49"/>
      <c r="Q708" s="41"/>
    </row>
    <row r="709" spans="7:17">
      <c r="G709" s="48"/>
      <c r="H709" s="6"/>
      <c r="I709" s="6"/>
      <c r="K709" s="43"/>
      <c r="L709" s="43"/>
      <c r="M709" s="49"/>
      <c r="N709" s="49"/>
      <c r="O709" s="49"/>
      <c r="P709" s="49"/>
      <c r="Q709" s="41"/>
    </row>
    <row r="710" spans="7:17">
      <c r="G710" s="48"/>
      <c r="H710" s="6"/>
      <c r="I710" s="6"/>
      <c r="K710" s="43"/>
      <c r="L710" s="43"/>
      <c r="M710" s="49"/>
      <c r="N710" s="49"/>
      <c r="O710" s="49"/>
      <c r="P710" s="49"/>
      <c r="Q710" s="41"/>
    </row>
    <row r="711" spans="7:17">
      <c r="G711" s="48"/>
      <c r="H711" s="6"/>
      <c r="I711" s="6"/>
      <c r="K711" s="43"/>
      <c r="L711" s="43"/>
      <c r="M711" s="49"/>
      <c r="N711" s="49"/>
      <c r="O711" s="49"/>
      <c r="P711" s="49"/>
      <c r="Q711" s="41"/>
    </row>
    <row r="712" spans="7:17">
      <c r="G712" s="48"/>
      <c r="H712" s="6"/>
      <c r="I712" s="6"/>
      <c r="K712" s="43"/>
      <c r="L712" s="43"/>
      <c r="M712" s="49"/>
      <c r="N712" s="49"/>
      <c r="O712" s="49"/>
      <c r="P712" s="49"/>
      <c r="Q712" s="41"/>
    </row>
    <row r="713" spans="7:17">
      <c r="G713" s="48"/>
      <c r="H713" s="6"/>
      <c r="I713" s="6"/>
      <c r="K713" s="43"/>
      <c r="L713" s="43"/>
      <c r="M713" s="49"/>
      <c r="N713" s="49"/>
      <c r="O713" s="49"/>
      <c r="P713" s="49"/>
      <c r="Q713" s="41"/>
    </row>
    <row r="714" spans="7:17">
      <c r="G714" s="48"/>
      <c r="H714" s="6"/>
      <c r="I714" s="6"/>
      <c r="K714" s="43"/>
      <c r="L714" s="43"/>
      <c r="M714" s="49"/>
      <c r="N714" s="49"/>
      <c r="O714" s="49"/>
      <c r="P714" s="49"/>
      <c r="Q714" s="41"/>
    </row>
    <row r="715" spans="7:17">
      <c r="G715" s="48"/>
      <c r="H715" s="6"/>
      <c r="I715" s="6"/>
      <c r="K715" s="43"/>
      <c r="L715" s="43"/>
      <c r="M715" s="49"/>
      <c r="N715" s="49"/>
      <c r="O715" s="49"/>
      <c r="P715" s="49"/>
      <c r="Q715" s="41"/>
    </row>
    <row r="716" spans="7:17">
      <c r="G716" s="48"/>
      <c r="H716" s="6"/>
      <c r="I716" s="6"/>
      <c r="K716" s="43"/>
      <c r="L716" s="43"/>
      <c r="M716" s="49"/>
      <c r="N716" s="49"/>
      <c r="O716" s="49"/>
      <c r="P716" s="49"/>
      <c r="Q716" s="41"/>
    </row>
    <row r="717" spans="7:17">
      <c r="G717" s="48"/>
      <c r="H717" s="6"/>
      <c r="I717" s="6"/>
      <c r="K717" s="43"/>
      <c r="L717" s="43"/>
      <c r="M717" s="49"/>
      <c r="N717" s="49"/>
      <c r="O717" s="49"/>
      <c r="P717" s="49"/>
      <c r="Q717" s="41"/>
    </row>
    <row r="718" spans="7:17">
      <c r="G718" s="48"/>
      <c r="H718" s="6"/>
      <c r="I718" s="6"/>
      <c r="K718" s="43"/>
      <c r="L718" s="43"/>
      <c r="M718" s="49"/>
      <c r="N718" s="49"/>
      <c r="O718" s="49"/>
      <c r="P718" s="49"/>
      <c r="Q718" s="41"/>
    </row>
    <row r="719" spans="7:17">
      <c r="G719" s="48"/>
      <c r="H719" s="6"/>
      <c r="I719" s="6"/>
      <c r="K719" s="43"/>
      <c r="L719" s="43"/>
      <c r="M719" s="49"/>
      <c r="N719" s="49"/>
      <c r="O719" s="49"/>
      <c r="P719" s="49"/>
      <c r="Q719" s="41"/>
    </row>
    <row r="720" spans="7:17">
      <c r="G720" s="48"/>
      <c r="H720" s="6"/>
      <c r="I720" s="6"/>
      <c r="K720" s="43"/>
      <c r="L720" s="43"/>
      <c r="M720" s="49"/>
      <c r="N720" s="49"/>
      <c r="O720" s="49"/>
      <c r="P720" s="49"/>
      <c r="Q720" s="41"/>
    </row>
    <row r="721" spans="7:17">
      <c r="G721" s="48"/>
      <c r="H721" s="6"/>
      <c r="I721" s="6"/>
      <c r="K721" s="43"/>
      <c r="L721" s="43"/>
      <c r="M721" s="49"/>
      <c r="N721" s="49"/>
      <c r="O721" s="49"/>
      <c r="P721" s="49"/>
      <c r="Q721" s="41"/>
    </row>
    <row r="722" spans="7:17">
      <c r="G722" s="48"/>
      <c r="H722" s="6"/>
      <c r="I722" s="6"/>
      <c r="K722" s="43"/>
      <c r="L722" s="43"/>
      <c r="M722" s="49"/>
      <c r="N722" s="49"/>
      <c r="O722" s="49"/>
      <c r="P722" s="49"/>
      <c r="Q722" s="41"/>
    </row>
    <row r="723" spans="7:17">
      <c r="G723" s="48"/>
      <c r="H723" s="6"/>
      <c r="I723" s="6"/>
      <c r="K723" s="43"/>
      <c r="L723" s="43"/>
      <c r="M723" s="49"/>
      <c r="N723" s="49"/>
      <c r="O723" s="49"/>
      <c r="P723" s="49"/>
      <c r="Q723" s="41"/>
    </row>
    <row r="724" spans="7:17">
      <c r="G724" s="48"/>
      <c r="H724" s="6"/>
      <c r="I724" s="6"/>
      <c r="K724" s="43"/>
      <c r="L724" s="43"/>
      <c r="M724" s="49"/>
      <c r="N724" s="49"/>
      <c r="O724" s="49"/>
      <c r="P724" s="49"/>
      <c r="Q724" s="41"/>
    </row>
    <row r="725" spans="7:17">
      <c r="G725" s="48"/>
      <c r="H725" s="6"/>
      <c r="I725" s="6"/>
      <c r="K725" s="43"/>
      <c r="L725" s="43"/>
      <c r="M725" s="49"/>
      <c r="N725" s="49"/>
      <c r="O725" s="49"/>
      <c r="P725" s="49"/>
      <c r="Q725" s="41"/>
    </row>
    <row r="726" spans="7:17">
      <c r="G726" s="48"/>
      <c r="H726" s="6"/>
      <c r="I726" s="6"/>
      <c r="K726" s="43"/>
      <c r="L726" s="43"/>
      <c r="M726" s="49"/>
      <c r="N726" s="49"/>
      <c r="O726" s="49"/>
      <c r="P726" s="49"/>
      <c r="Q726" s="41"/>
    </row>
    <row r="727" spans="7:17">
      <c r="G727" s="48"/>
      <c r="H727" s="6"/>
      <c r="I727" s="6"/>
      <c r="K727" s="43"/>
      <c r="L727" s="43"/>
      <c r="M727" s="49"/>
      <c r="N727" s="49"/>
      <c r="O727" s="49"/>
      <c r="P727" s="49"/>
      <c r="Q727" s="41"/>
    </row>
    <row r="728" spans="7:17">
      <c r="G728" s="48"/>
      <c r="H728" s="6"/>
      <c r="I728" s="6"/>
      <c r="K728" s="43"/>
      <c r="L728" s="43"/>
      <c r="M728" s="49"/>
      <c r="N728" s="49"/>
      <c r="O728" s="49"/>
      <c r="P728" s="49"/>
      <c r="Q728" s="41"/>
    </row>
    <row r="729" spans="7:17">
      <c r="G729" s="48"/>
      <c r="H729" s="6"/>
      <c r="I729" s="6"/>
      <c r="K729" s="43"/>
      <c r="L729" s="43"/>
      <c r="M729" s="49"/>
      <c r="N729" s="49"/>
      <c r="O729" s="49"/>
      <c r="P729" s="49"/>
      <c r="Q729" s="41"/>
    </row>
    <row r="730" spans="7:17">
      <c r="G730" s="48"/>
      <c r="H730" s="6"/>
      <c r="I730" s="6"/>
      <c r="K730" s="43"/>
      <c r="L730" s="43"/>
      <c r="M730" s="49"/>
      <c r="N730" s="49"/>
      <c r="O730" s="49"/>
      <c r="P730" s="49"/>
      <c r="Q730" s="41"/>
    </row>
    <row r="731" spans="7:17">
      <c r="G731" s="48"/>
      <c r="H731" s="6"/>
      <c r="I731" s="6"/>
      <c r="K731" s="43"/>
      <c r="L731" s="43"/>
      <c r="M731" s="49"/>
      <c r="N731" s="49"/>
      <c r="O731" s="49"/>
      <c r="P731" s="49"/>
      <c r="Q731" s="41"/>
    </row>
    <row r="732" spans="7:17">
      <c r="G732" s="48"/>
      <c r="H732" s="6"/>
      <c r="I732" s="6"/>
      <c r="K732" s="43"/>
      <c r="L732" s="43"/>
      <c r="M732" s="49"/>
      <c r="N732" s="49"/>
      <c r="O732" s="49"/>
      <c r="P732" s="49"/>
      <c r="Q732" s="41"/>
    </row>
    <row r="733" spans="7:17">
      <c r="G733" s="48"/>
      <c r="H733" s="6"/>
      <c r="I733" s="6"/>
      <c r="K733" s="43"/>
      <c r="L733" s="43"/>
      <c r="M733" s="49"/>
      <c r="N733" s="49"/>
      <c r="O733" s="49"/>
      <c r="P733" s="49"/>
      <c r="Q733" s="41"/>
    </row>
    <row r="734" spans="7:17">
      <c r="G734" s="48"/>
      <c r="H734" s="6"/>
      <c r="I734" s="6"/>
      <c r="K734" s="43"/>
      <c r="L734" s="43"/>
      <c r="M734" s="49"/>
      <c r="N734" s="49"/>
      <c r="O734" s="49"/>
      <c r="P734" s="49"/>
      <c r="Q734" s="41"/>
    </row>
    <row r="735" spans="7:17">
      <c r="G735" s="48"/>
      <c r="H735" s="6"/>
      <c r="I735" s="6"/>
      <c r="K735" s="43"/>
      <c r="L735" s="43"/>
      <c r="M735" s="49"/>
      <c r="N735" s="49"/>
      <c r="O735" s="49"/>
      <c r="P735" s="49"/>
      <c r="Q735" s="41"/>
    </row>
    <row r="736" spans="7:17">
      <c r="G736" s="48"/>
      <c r="H736" s="6"/>
      <c r="I736" s="6"/>
      <c r="K736" s="43"/>
      <c r="L736" s="43"/>
      <c r="M736" s="49"/>
      <c r="N736" s="49"/>
      <c r="O736" s="49"/>
      <c r="P736" s="49"/>
      <c r="Q736" s="41"/>
    </row>
    <row r="737" spans="7:17">
      <c r="G737" s="48"/>
      <c r="H737" s="6"/>
      <c r="I737" s="6"/>
      <c r="K737" s="43"/>
      <c r="L737" s="43"/>
      <c r="M737" s="49"/>
      <c r="N737" s="49"/>
      <c r="O737" s="49"/>
      <c r="P737" s="49"/>
      <c r="Q737" s="41"/>
    </row>
    <row r="738" spans="7:17">
      <c r="G738" s="48"/>
      <c r="H738" s="6"/>
      <c r="I738" s="6"/>
      <c r="K738" s="43"/>
      <c r="L738" s="43"/>
      <c r="M738" s="49"/>
      <c r="N738" s="49"/>
      <c r="O738" s="49"/>
      <c r="P738" s="49"/>
      <c r="Q738" s="41"/>
    </row>
    <row r="739" spans="7:17">
      <c r="G739" s="48"/>
      <c r="H739" s="6"/>
      <c r="I739" s="6"/>
      <c r="K739" s="43"/>
      <c r="L739" s="43"/>
      <c r="M739" s="49"/>
      <c r="N739" s="49"/>
      <c r="O739" s="49"/>
      <c r="P739" s="49"/>
      <c r="Q739" s="41"/>
    </row>
    <row r="740" spans="7:17">
      <c r="G740" s="48"/>
      <c r="H740" s="6"/>
      <c r="I740" s="6"/>
      <c r="K740" s="43"/>
      <c r="L740" s="43"/>
      <c r="M740" s="49"/>
      <c r="N740" s="49"/>
      <c r="O740" s="49"/>
      <c r="P740" s="49"/>
      <c r="Q740" s="41"/>
    </row>
    <row r="741" spans="7:17">
      <c r="G741" s="48"/>
      <c r="H741" s="6"/>
      <c r="I741" s="6"/>
      <c r="K741" s="43"/>
      <c r="L741" s="43"/>
      <c r="M741" s="49"/>
      <c r="N741" s="49"/>
      <c r="O741" s="49"/>
      <c r="P741" s="49"/>
      <c r="Q741" s="41"/>
    </row>
    <row r="742" spans="7:17">
      <c r="G742" s="48"/>
      <c r="H742" s="6"/>
      <c r="I742" s="6"/>
      <c r="K742" s="43"/>
      <c r="L742" s="43"/>
      <c r="M742" s="49"/>
      <c r="N742" s="49"/>
      <c r="O742" s="49"/>
      <c r="P742" s="49"/>
      <c r="Q742" s="41"/>
    </row>
    <row r="743" spans="7:17">
      <c r="G743" s="48"/>
      <c r="H743" s="6"/>
      <c r="I743" s="6"/>
      <c r="K743" s="43"/>
      <c r="L743" s="43"/>
      <c r="M743" s="49"/>
      <c r="N743" s="49"/>
      <c r="O743" s="49"/>
      <c r="P743" s="49"/>
      <c r="Q743" s="41"/>
    </row>
    <row r="744" spans="7:17">
      <c r="G744" s="48"/>
      <c r="H744" s="6"/>
      <c r="I744" s="6"/>
      <c r="K744" s="43"/>
      <c r="L744" s="43"/>
      <c r="M744" s="49"/>
      <c r="N744" s="49"/>
      <c r="O744" s="49"/>
      <c r="P744" s="49"/>
      <c r="Q744" s="41"/>
    </row>
    <row r="745" spans="7:17">
      <c r="G745" s="48"/>
      <c r="H745" s="6"/>
      <c r="I745" s="6"/>
      <c r="K745" s="43"/>
      <c r="L745" s="43"/>
      <c r="M745" s="49"/>
      <c r="N745" s="49"/>
      <c r="O745" s="49"/>
      <c r="P745" s="49"/>
      <c r="Q745" s="41"/>
    </row>
    <row r="746" spans="7:17">
      <c r="G746" s="48"/>
      <c r="H746" s="6"/>
      <c r="I746" s="6"/>
      <c r="K746" s="43"/>
      <c r="L746" s="43"/>
      <c r="M746" s="49"/>
      <c r="N746" s="49"/>
      <c r="O746" s="49"/>
      <c r="P746" s="49"/>
      <c r="Q746" s="41"/>
    </row>
    <row r="747" spans="7:17">
      <c r="G747" s="48"/>
      <c r="H747" s="6"/>
      <c r="I747" s="6"/>
      <c r="K747" s="43"/>
      <c r="L747" s="43"/>
      <c r="M747" s="49"/>
      <c r="N747" s="49"/>
      <c r="O747" s="49"/>
      <c r="P747" s="49"/>
      <c r="Q747" s="41"/>
    </row>
    <row r="748" spans="7:17">
      <c r="G748" s="48"/>
      <c r="H748" s="6"/>
      <c r="I748" s="6"/>
      <c r="K748" s="43"/>
      <c r="L748" s="43"/>
      <c r="M748" s="49"/>
      <c r="N748" s="49"/>
      <c r="O748" s="49"/>
      <c r="P748" s="49"/>
      <c r="Q748" s="41"/>
    </row>
    <row r="749" spans="7:17">
      <c r="G749" s="48"/>
      <c r="H749" s="6"/>
      <c r="I749" s="6"/>
      <c r="K749" s="43"/>
      <c r="L749" s="43"/>
      <c r="M749" s="49"/>
      <c r="N749" s="49"/>
      <c r="O749" s="49"/>
      <c r="P749" s="49"/>
      <c r="Q749" s="41"/>
    </row>
    <row r="750" spans="7:17">
      <c r="G750" s="48"/>
      <c r="H750" s="6"/>
      <c r="I750" s="6"/>
      <c r="K750" s="43"/>
      <c r="L750" s="43"/>
      <c r="M750" s="49"/>
      <c r="N750" s="49"/>
      <c r="O750" s="49"/>
      <c r="P750" s="49"/>
      <c r="Q750" s="41"/>
    </row>
    <row r="751" spans="7:17">
      <c r="G751" s="48"/>
      <c r="H751" s="6"/>
      <c r="I751" s="6"/>
      <c r="K751" s="43"/>
      <c r="L751" s="43"/>
      <c r="M751" s="49"/>
      <c r="N751" s="49"/>
      <c r="O751" s="49"/>
      <c r="P751" s="49"/>
      <c r="Q751" s="41"/>
    </row>
    <row r="752" spans="7:17">
      <c r="G752" s="48"/>
      <c r="H752" s="6"/>
      <c r="I752" s="6"/>
      <c r="K752" s="43"/>
      <c r="L752" s="43"/>
      <c r="M752" s="49"/>
      <c r="N752" s="49"/>
      <c r="O752" s="49"/>
      <c r="P752" s="49"/>
      <c r="Q752" s="41"/>
    </row>
    <row r="753" spans="7:17">
      <c r="G753" s="48"/>
      <c r="H753" s="6"/>
      <c r="I753" s="6"/>
      <c r="K753" s="43"/>
      <c r="L753" s="43"/>
      <c r="M753" s="49"/>
      <c r="N753" s="49"/>
      <c r="O753" s="49"/>
      <c r="P753" s="49"/>
      <c r="Q753" s="41"/>
    </row>
    <row r="754" spans="7:17">
      <c r="G754" s="48"/>
      <c r="H754" s="6"/>
      <c r="I754" s="6"/>
      <c r="K754" s="43"/>
      <c r="L754" s="43"/>
      <c r="M754" s="49"/>
      <c r="N754" s="49"/>
      <c r="O754" s="49"/>
      <c r="P754" s="49"/>
      <c r="Q754" s="41"/>
    </row>
    <row r="755" spans="7:17">
      <c r="G755" s="48"/>
      <c r="H755" s="6"/>
      <c r="I755" s="6"/>
      <c r="K755" s="43"/>
      <c r="L755" s="43"/>
      <c r="M755" s="49"/>
      <c r="N755" s="49"/>
      <c r="O755" s="49"/>
      <c r="P755" s="49"/>
      <c r="Q755" s="41"/>
    </row>
    <row r="756" spans="7:17">
      <c r="G756" s="48"/>
      <c r="H756" s="6"/>
      <c r="I756" s="6"/>
      <c r="K756" s="43"/>
      <c r="L756" s="43"/>
      <c r="M756" s="49"/>
      <c r="N756" s="49"/>
      <c r="O756" s="49"/>
      <c r="P756" s="49"/>
      <c r="Q756" s="41"/>
    </row>
    <row r="757" spans="7:17">
      <c r="G757" s="48"/>
      <c r="H757" s="6"/>
      <c r="I757" s="6"/>
      <c r="K757" s="43"/>
      <c r="L757" s="43"/>
      <c r="M757" s="49"/>
      <c r="N757" s="49"/>
      <c r="O757" s="49"/>
      <c r="P757" s="49"/>
      <c r="Q757" s="41"/>
    </row>
    <row r="758" spans="7:17">
      <c r="G758" s="48"/>
      <c r="H758" s="6"/>
      <c r="I758" s="6"/>
      <c r="K758" s="43"/>
      <c r="L758" s="43"/>
      <c r="M758" s="49"/>
      <c r="N758" s="49"/>
      <c r="O758" s="49"/>
      <c r="P758" s="49"/>
      <c r="Q758" s="41"/>
    </row>
    <row r="759" spans="7:17">
      <c r="G759" s="48"/>
      <c r="H759" s="6"/>
      <c r="I759" s="6"/>
      <c r="K759" s="43"/>
      <c r="L759" s="43"/>
      <c r="M759" s="49"/>
      <c r="N759" s="49"/>
      <c r="O759" s="49"/>
      <c r="P759" s="49"/>
      <c r="Q759" s="41"/>
    </row>
    <row r="760" spans="7:17">
      <c r="G760" s="48"/>
      <c r="H760" s="6"/>
      <c r="I760" s="6"/>
      <c r="K760" s="43"/>
      <c r="L760" s="43"/>
      <c r="M760" s="49"/>
      <c r="N760" s="49"/>
      <c r="O760" s="49"/>
      <c r="P760" s="49"/>
      <c r="Q760" s="41"/>
    </row>
    <row r="761" spans="7:17">
      <c r="G761" s="48"/>
      <c r="H761" s="6"/>
      <c r="I761" s="6"/>
      <c r="K761" s="43"/>
      <c r="L761" s="43"/>
      <c r="M761" s="49"/>
      <c r="N761" s="49"/>
      <c r="O761" s="49"/>
      <c r="P761" s="49"/>
      <c r="Q761" s="41"/>
    </row>
    <row r="762" spans="7:17">
      <c r="G762" s="48"/>
      <c r="H762" s="6"/>
      <c r="I762" s="6"/>
      <c r="K762" s="43"/>
      <c r="L762" s="43"/>
      <c r="M762" s="49"/>
      <c r="N762" s="49"/>
      <c r="O762" s="49"/>
      <c r="P762" s="49"/>
      <c r="Q762" s="41"/>
    </row>
    <row r="763" spans="7:17">
      <c r="G763" s="48"/>
      <c r="H763" s="6"/>
      <c r="I763" s="6"/>
      <c r="K763" s="43"/>
      <c r="L763" s="43"/>
      <c r="M763" s="49"/>
      <c r="N763" s="49"/>
      <c r="O763" s="49"/>
      <c r="P763" s="49"/>
      <c r="Q763" s="41"/>
    </row>
    <row r="764" spans="7:17">
      <c r="G764" s="48"/>
      <c r="H764" s="6"/>
      <c r="I764" s="6"/>
      <c r="K764" s="43"/>
      <c r="L764" s="43"/>
      <c r="M764" s="49"/>
      <c r="N764" s="49"/>
      <c r="O764" s="49"/>
      <c r="P764" s="49"/>
      <c r="Q764" s="41"/>
    </row>
    <row r="765" spans="7:17">
      <c r="G765" s="48"/>
      <c r="H765" s="6"/>
      <c r="I765" s="6"/>
      <c r="K765" s="43"/>
      <c r="L765" s="43"/>
      <c r="M765" s="49"/>
      <c r="N765" s="49"/>
      <c r="O765" s="49"/>
      <c r="P765" s="49"/>
      <c r="Q765" s="41"/>
    </row>
    <row r="766" spans="7:17">
      <c r="G766" s="48"/>
      <c r="H766" s="6"/>
      <c r="I766" s="6"/>
      <c r="K766" s="43"/>
      <c r="L766" s="43"/>
      <c r="M766" s="49"/>
      <c r="N766" s="49"/>
      <c r="O766" s="49"/>
      <c r="P766" s="49"/>
      <c r="Q766" s="41"/>
    </row>
    <row r="767" spans="7:17">
      <c r="G767" s="48"/>
      <c r="H767" s="6"/>
      <c r="I767" s="6"/>
      <c r="K767" s="43"/>
      <c r="L767" s="43"/>
      <c r="M767" s="49"/>
      <c r="N767" s="49"/>
      <c r="O767" s="49"/>
      <c r="P767" s="49"/>
      <c r="Q767" s="41"/>
    </row>
    <row r="768" spans="7:17">
      <c r="G768" s="48"/>
      <c r="H768" s="6"/>
      <c r="I768" s="6"/>
      <c r="K768" s="43"/>
      <c r="L768" s="43"/>
      <c r="M768" s="49"/>
      <c r="N768" s="49"/>
      <c r="O768" s="49"/>
      <c r="P768" s="49"/>
      <c r="Q768" s="41"/>
    </row>
    <row r="769" spans="7:17">
      <c r="G769" s="48"/>
      <c r="H769" s="6"/>
      <c r="I769" s="6"/>
      <c r="K769" s="43"/>
      <c r="L769" s="43"/>
      <c r="M769" s="49"/>
      <c r="N769" s="49"/>
      <c r="O769" s="49"/>
      <c r="P769" s="49"/>
      <c r="Q769" s="41"/>
    </row>
    <row r="770" spans="7:17">
      <c r="G770" s="48"/>
      <c r="H770" s="6"/>
      <c r="I770" s="6"/>
      <c r="K770" s="43"/>
      <c r="L770" s="43"/>
      <c r="M770" s="49"/>
      <c r="N770" s="49"/>
      <c r="O770" s="49"/>
      <c r="P770" s="49"/>
      <c r="Q770" s="41"/>
    </row>
    <row r="771" spans="7:17">
      <c r="G771" s="48"/>
      <c r="H771" s="6"/>
      <c r="I771" s="6"/>
      <c r="K771" s="43"/>
      <c r="L771" s="43"/>
      <c r="M771" s="49"/>
      <c r="N771" s="49"/>
      <c r="O771" s="49"/>
      <c r="P771" s="49"/>
      <c r="Q771" s="41"/>
    </row>
    <row r="772" spans="7:17">
      <c r="G772" s="48"/>
      <c r="H772" s="6"/>
      <c r="I772" s="6"/>
      <c r="K772" s="43"/>
      <c r="L772" s="43"/>
      <c r="M772" s="49"/>
      <c r="N772" s="49"/>
      <c r="O772" s="49"/>
      <c r="P772" s="49"/>
      <c r="Q772" s="41"/>
    </row>
    <row r="773" spans="7:17">
      <c r="G773" s="48"/>
      <c r="H773" s="6"/>
      <c r="I773" s="6"/>
      <c r="K773" s="43"/>
      <c r="L773" s="43"/>
      <c r="M773" s="49"/>
      <c r="N773" s="49"/>
      <c r="O773" s="49"/>
      <c r="P773" s="49"/>
      <c r="Q773" s="41"/>
    </row>
    <row r="774" spans="7:17">
      <c r="G774" s="48"/>
      <c r="H774" s="6"/>
      <c r="I774" s="6"/>
      <c r="K774" s="43"/>
      <c r="L774" s="43"/>
      <c r="M774" s="49"/>
      <c r="N774" s="49"/>
      <c r="O774" s="49"/>
      <c r="P774" s="49"/>
      <c r="Q774" s="41"/>
    </row>
    <row r="775" spans="7:17">
      <c r="G775" s="48"/>
      <c r="H775" s="6"/>
      <c r="I775" s="6"/>
      <c r="K775" s="43"/>
      <c r="L775" s="43"/>
      <c r="M775" s="49"/>
      <c r="N775" s="49"/>
      <c r="O775" s="49"/>
      <c r="P775" s="49"/>
      <c r="Q775" s="41"/>
    </row>
    <row r="776" spans="7:17">
      <c r="G776" s="48"/>
      <c r="H776" s="6"/>
      <c r="I776" s="6"/>
      <c r="K776" s="43"/>
      <c r="L776" s="43"/>
      <c r="M776" s="49"/>
      <c r="N776" s="49"/>
      <c r="O776" s="49"/>
      <c r="P776" s="49"/>
      <c r="Q776" s="41"/>
    </row>
    <row r="777" spans="7:17">
      <c r="G777" s="48"/>
      <c r="H777" s="6"/>
      <c r="I777" s="6"/>
      <c r="K777" s="43"/>
      <c r="L777" s="43"/>
      <c r="M777" s="49"/>
      <c r="N777" s="49"/>
      <c r="O777" s="49"/>
      <c r="P777" s="49"/>
      <c r="Q777" s="41"/>
    </row>
    <row r="778" spans="7:17">
      <c r="G778" s="48"/>
      <c r="H778" s="6"/>
      <c r="I778" s="6"/>
      <c r="K778" s="43"/>
      <c r="L778" s="43"/>
      <c r="M778" s="49"/>
      <c r="N778" s="49"/>
      <c r="O778" s="49"/>
      <c r="P778" s="49"/>
      <c r="Q778" s="41"/>
    </row>
    <row r="779" spans="7:17">
      <c r="G779" s="48"/>
      <c r="H779" s="6"/>
      <c r="I779" s="6"/>
      <c r="K779" s="43"/>
      <c r="L779" s="43"/>
      <c r="M779" s="49"/>
      <c r="N779" s="49"/>
      <c r="O779" s="49"/>
      <c r="P779" s="49"/>
      <c r="Q779" s="41"/>
    </row>
    <row r="780" spans="7:17">
      <c r="G780" s="48"/>
      <c r="H780" s="6"/>
      <c r="I780" s="6"/>
      <c r="K780" s="43"/>
      <c r="L780" s="43"/>
      <c r="M780" s="49"/>
      <c r="N780" s="49"/>
      <c r="O780" s="49"/>
      <c r="P780" s="49"/>
      <c r="Q780" s="41"/>
    </row>
    <row r="781" spans="7:17">
      <c r="G781" s="48"/>
      <c r="H781" s="6"/>
      <c r="I781" s="6"/>
      <c r="K781" s="43"/>
      <c r="L781" s="43"/>
      <c r="M781" s="49"/>
      <c r="N781" s="49"/>
      <c r="O781" s="49"/>
      <c r="P781" s="49"/>
      <c r="Q781" s="41"/>
    </row>
    <row r="782" spans="7:17">
      <c r="G782" s="48"/>
      <c r="H782" s="6"/>
      <c r="I782" s="6"/>
      <c r="K782" s="43"/>
      <c r="L782" s="43"/>
      <c r="M782" s="49"/>
      <c r="N782" s="49"/>
      <c r="O782" s="49"/>
      <c r="P782" s="49"/>
      <c r="Q782" s="41"/>
    </row>
    <row r="783" spans="7:17">
      <c r="G783" s="48"/>
      <c r="H783" s="6"/>
      <c r="I783" s="6"/>
      <c r="K783" s="43"/>
      <c r="L783" s="43"/>
      <c r="M783" s="49"/>
      <c r="N783" s="49"/>
      <c r="O783" s="49"/>
      <c r="P783" s="49"/>
      <c r="Q783" s="41"/>
    </row>
    <row r="784" spans="7:17">
      <c r="G784" s="48"/>
      <c r="H784" s="6"/>
      <c r="I784" s="6"/>
      <c r="K784" s="43"/>
      <c r="L784" s="43"/>
      <c r="M784" s="49"/>
      <c r="N784" s="49"/>
      <c r="O784" s="49"/>
      <c r="P784" s="49"/>
      <c r="Q784" s="41"/>
    </row>
    <row r="785" spans="7:17">
      <c r="G785" s="48"/>
      <c r="H785" s="6"/>
      <c r="I785" s="6"/>
      <c r="K785" s="43"/>
      <c r="L785" s="43"/>
      <c r="M785" s="49"/>
      <c r="N785" s="49"/>
      <c r="O785" s="49"/>
      <c r="P785" s="49"/>
      <c r="Q785" s="41"/>
    </row>
    <row r="786" spans="7:17">
      <c r="G786" s="48"/>
      <c r="H786" s="6"/>
      <c r="I786" s="6"/>
      <c r="K786" s="43"/>
      <c r="L786" s="43"/>
      <c r="M786" s="49"/>
      <c r="N786" s="49"/>
      <c r="O786" s="49"/>
      <c r="P786" s="49"/>
      <c r="Q786" s="41"/>
    </row>
    <row r="787" spans="7:17">
      <c r="G787" s="48"/>
      <c r="H787" s="6"/>
      <c r="I787" s="6"/>
      <c r="K787" s="43"/>
      <c r="L787" s="43"/>
      <c r="M787" s="49"/>
      <c r="N787" s="49"/>
      <c r="O787" s="49"/>
      <c r="P787" s="49"/>
      <c r="Q787" s="41"/>
    </row>
    <row r="788" spans="7:17">
      <c r="G788" s="48"/>
      <c r="H788" s="6"/>
      <c r="I788" s="6"/>
      <c r="K788" s="43"/>
      <c r="L788" s="43"/>
      <c r="M788" s="49"/>
      <c r="N788" s="49"/>
      <c r="O788" s="49"/>
      <c r="P788" s="49"/>
      <c r="Q788" s="41"/>
    </row>
    <row r="789" spans="7:17">
      <c r="G789" s="48"/>
      <c r="H789" s="6"/>
      <c r="I789" s="6"/>
      <c r="K789" s="43"/>
      <c r="L789" s="43"/>
      <c r="M789" s="49"/>
      <c r="N789" s="49"/>
      <c r="O789" s="49"/>
      <c r="P789" s="49"/>
      <c r="Q789" s="41"/>
    </row>
    <row r="790" spans="7:17">
      <c r="G790" s="48"/>
      <c r="H790" s="6"/>
      <c r="I790" s="6"/>
      <c r="K790" s="43"/>
      <c r="L790" s="43"/>
      <c r="M790" s="49"/>
      <c r="N790" s="49"/>
      <c r="O790" s="49"/>
      <c r="P790" s="49"/>
      <c r="Q790" s="41"/>
    </row>
    <row r="791" spans="7:17">
      <c r="G791" s="48"/>
      <c r="H791" s="6"/>
      <c r="I791" s="6"/>
      <c r="K791" s="43"/>
      <c r="L791" s="43"/>
      <c r="M791" s="49"/>
      <c r="N791" s="49"/>
      <c r="O791" s="49"/>
      <c r="P791" s="49"/>
      <c r="Q791" s="41"/>
    </row>
    <row r="792" spans="7:17">
      <c r="G792" s="48"/>
      <c r="H792" s="6"/>
      <c r="I792" s="6"/>
      <c r="K792" s="43"/>
      <c r="L792" s="43"/>
      <c r="M792" s="49"/>
      <c r="N792" s="49"/>
      <c r="O792" s="49"/>
      <c r="P792" s="49"/>
      <c r="Q792" s="41"/>
    </row>
    <row r="793" spans="7:17">
      <c r="G793" s="48"/>
      <c r="H793" s="6"/>
      <c r="I793" s="6"/>
      <c r="K793" s="43"/>
      <c r="L793" s="43"/>
      <c r="M793" s="49"/>
      <c r="N793" s="49"/>
      <c r="O793" s="49"/>
      <c r="P793" s="49"/>
      <c r="Q793" s="41"/>
    </row>
    <row r="794" spans="7:17">
      <c r="G794" s="48"/>
      <c r="H794" s="6"/>
      <c r="I794" s="6"/>
      <c r="K794" s="43"/>
      <c r="L794" s="43"/>
      <c r="M794" s="49"/>
      <c r="N794" s="49"/>
      <c r="O794" s="49"/>
      <c r="P794" s="49"/>
      <c r="Q794" s="41"/>
    </row>
    <row r="795" spans="7:17">
      <c r="G795" s="48"/>
      <c r="H795" s="6"/>
      <c r="I795" s="6"/>
      <c r="K795" s="43"/>
      <c r="L795" s="43"/>
      <c r="M795" s="49"/>
      <c r="N795" s="49"/>
      <c r="O795" s="49"/>
      <c r="P795" s="49"/>
      <c r="Q795" s="41"/>
    </row>
    <row r="796" spans="7:17">
      <c r="G796" s="48"/>
      <c r="H796" s="6"/>
      <c r="I796" s="6"/>
      <c r="K796" s="43"/>
      <c r="L796" s="43"/>
      <c r="M796" s="49"/>
      <c r="N796" s="49"/>
      <c r="O796" s="49"/>
      <c r="P796" s="49"/>
      <c r="Q796" s="41"/>
    </row>
    <row r="797" spans="7:17">
      <c r="G797" s="48"/>
      <c r="H797" s="6"/>
      <c r="I797" s="6"/>
      <c r="K797" s="43"/>
      <c r="L797" s="43"/>
      <c r="M797" s="49"/>
      <c r="N797" s="49"/>
      <c r="O797" s="49"/>
      <c r="P797" s="49"/>
      <c r="Q797" s="41"/>
    </row>
    <row r="798" spans="7:17">
      <c r="G798" s="48"/>
      <c r="H798" s="6"/>
      <c r="I798" s="6"/>
      <c r="K798" s="43"/>
      <c r="L798" s="43"/>
      <c r="M798" s="49"/>
      <c r="N798" s="49"/>
      <c r="O798" s="49"/>
      <c r="P798" s="49"/>
      <c r="Q798" s="41"/>
    </row>
    <row r="799" spans="7:17">
      <c r="G799" s="48"/>
      <c r="H799" s="6"/>
      <c r="I799" s="6"/>
      <c r="K799" s="43"/>
      <c r="L799" s="43"/>
      <c r="M799" s="49"/>
      <c r="N799" s="49"/>
      <c r="O799" s="49"/>
      <c r="P799" s="49"/>
      <c r="Q799" s="41"/>
    </row>
    <row r="800" spans="7:17">
      <c r="G800" s="48"/>
      <c r="H800" s="6"/>
      <c r="I800" s="6"/>
      <c r="K800" s="43"/>
      <c r="L800" s="43"/>
      <c r="M800" s="49"/>
      <c r="N800" s="49"/>
      <c r="O800" s="49"/>
      <c r="P800" s="49"/>
      <c r="Q800" s="41"/>
    </row>
    <row r="801" spans="7:17">
      <c r="G801" s="48"/>
      <c r="H801" s="6"/>
      <c r="I801" s="6"/>
      <c r="K801" s="43"/>
      <c r="L801" s="43"/>
      <c r="M801" s="49"/>
      <c r="N801" s="49"/>
      <c r="O801" s="49"/>
      <c r="P801" s="49"/>
      <c r="Q801" s="41"/>
    </row>
    <row r="802" spans="7:17">
      <c r="G802" s="48"/>
      <c r="H802" s="6"/>
      <c r="I802" s="6"/>
      <c r="K802" s="43"/>
      <c r="L802" s="43"/>
      <c r="M802" s="49"/>
      <c r="N802" s="49"/>
      <c r="O802" s="49"/>
      <c r="P802" s="49"/>
      <c r="Q802" s="41"/>
    </row>
    <row r="803" spans="7:17">
      <c r="G803" s="48"/>
      <c r="H803" s="6"/>
      <c r="I803" s="6"/>
      <c r="K803" s="43"/>
      <c r="L803" s="43"/>
      <c r="M803" s="49"/>
      <c r="N803" s="49"/>
      <c r="O803" s="49"/>
      <c r="P803" s="49"/>
      <c r="Q803" s="41"/>
    </row>
    <row r="804" spans="7:17">
      <c r="G804" s="48"/>
      <c r="H804" s="6"/>
      <c r="I804" s="6"/>
      <c r="K804" s="43"/>
      <c r="L804" s="43"/>
      <c r="M804" s="49"/>
      <c r="N804" s="49"/>
      <c r="O804" s="49"/>
      <c r="P804" s="49"/>
      <c r="Q804" s="41"/>
    </row>
    <row r="805" spans="7:17">
      <c r="G805" s="48"/>
      <c r="H805" s="6"/>
      <c r="I805" s="6"/>
      <c r="K805" s="43"/>
      <c r="L805" s="43"/>
      <c r="M805" s="49"/>
      <c r="N805" s="49"/>
      <c r="O805" s="49"/>
      <c r="P805" s="49"/>
      <c r="Q805" s="41"/>
    </row>
    <row r="806" spans="7:17">
      <c r="G806" s="48"/>
      <c r="H806" s="6"/>
      <c r="I806" s="6"/>
      <c r="K806" s="43"/>
      <c r="L806" s="43"/>
      <c r="M806" s="49"/>
      <c r="N806" s="49"/>
      <c r="O806" s="49"/>
      <c r="P806" s="49"/>
      <c r="Q806" s="41"/>
    </row>
    <row r="807" spans="7:17">
      <c r="G807" s="48"/>
      <c r="H807" s="6"/>
      <c r="I807" s="6"/>
      <c r="K807" s="43"/>
      <c r="L807" s="43"/>
      <c r="M807" s="49"/>
      <c r="N807" s="49"/>
      <c r="O807" s="49"/>
      <c r="P807" s="49"/>
      <c r="Q807" s="41"/>
    </row>
    <row r="808" spans="7:17">
      <c r="G808" s="48"/>
      <c r="H808" s="6"/>
      <c r="I808" s="6"/>
      <c r="K808" s="43"/>
      <c r="L808" s="43"/>
      <c r="M808" s="49"/>
      <c r="N808" s="49"/>
      <c r="O808" s="49"/>
      <c r="P808" s="49"/>
      <c r="Q808" s="41"/>
    </row>
    <row r="809" spans="7:17">
      <c r="G809" s="48"/>
      <c r="H809" s="6"/>
      <c r="I809" s="6"/>
      <c r="K809" s="43"/>
      <c r="L809" s="43"/>
      <c r="M809" s="49"/>
      <c r="N809" s="49"/>
      <c r="O809" s="49"/>
      <c r="P809" s="49"/>
      <c r="Q809" s="41"/>
    </row>
    <row r="810" spans="7:17">
      <c r="G810" s="48"/>
      <c r="H810" s="6"/>
      <c r="I810" s="6"/>
      <c r="K810" s="43"/>
      <c r="L810" s="43"/>
      <c r="M810" s="49"/>
      <c r="N810" s="49"/>
      <c r="O810" s="49"/>
      <c r="P810" s="49"/>
      <c r="Q810" s="41"/>
    </row>
    <row r="811" spans="7:17">
      <c r="G811" s="48"/>
      <c r="H811" s="6"/>
      <c r="I811" s="6"/>
      <c r="K811" s="43"/>
      <c r="L811" s="43"/>
      <c r="M811" s="49"/>
      <c r="N811" s="49"/>
      <c r="O811" s="49"/>
      <c r="P811" s="49"/>
      <c r="Q811" s="41"/>
    </row>
    <row r="812" spans="7:17">
      <c r="G812" s="48"/>
      <c r="H812" s="6"/>
      <c r="I812" s="6"/>
      <c r="K812" s="43"/>
      <c r="L812" s="43"/>
      <c r="M812" s="49"/>
      <c r="N812" s="49"/>
      <c r="O812" s="49"/>
      <c r="P812" s="49"/>
      <c r="Q812" s="41"/>
    </row>
    <row r="813" spans="7:17">
      <c r="G813" s="48"/>
      <c r="H813" s="6"/>
      <c r="I813" s="6"/>
      <c r="K813" s="43"/>
      <c r="L813" s="43"/>
      <c r="M813" s="49"/>
      <c r="N813" s="49"/>
      <c r="O813" s="49"/>
      <c r="P813" s="49"/>
      <c r="Q813" s="41"/>
    </row>
    <row r="814" spans="7:17">
      <c r="G814" s="48"/>
      <c r="H814" s="6"/>
      <c r="I814" s="6"/>
      <c r="K814" s="43"/>
      <c r="L814" s="43"/>
      <c r="M814" s="49"/>
      <c r="N814" s="49"/>
      <c r="O814" s="49"/>
      <c r="P814" s="49"/>
      <c r="Q814" s="41"/>
    </row>
    <row r="815" spans="7:17">
      <c r="G815" s="48"/>
      <c r="H815" s="6"/>
      <c r="I815" s="6"/>
      <c r="K815" s="43"/>
      <c r="L815" s="43"/>
      <c r="M815" s="49"/>
      <c r="N815" s="49"/>
      <c r="O815" s="49"/>
      <c r="P815" s="49"/>
      <c r="Q815" s="41"/>
    </row>
    <row r="816" spans="7:17">
      <c r="G816" s="48"/>
      <c r="H816" s="6"/>
      <c r="I816" s="6"/>
      <c r="K816" s="43"/>
      <c r="L816" s="43"/>
      <c r="M816" s="49"/>
      <c r="N816" s="49"/>
      <c r="O816" s="49"/>
      <c r="P816" s="49"/>
      <c r="Q816" s="41"/>
    </row>
    <row r="817" spans="7:17">
      <c r="G817" s="48"/>
      <c r="H817" s="6"/>
      <c r="I817" s="6"/>
      <c r="K817" s="43"/>
      <c r="L817" s="43"/>
      <c r="M817" s="49"/>
      <c r="N817" s="49"/>
      <c r="O817" s="49"/>
      <c r="P817" s="49"/>
      <c r="Q817" s="41"/>
    </row>
    <row r="818" spans="7:17">
      <c r="G818" s="48"/>
      <c r="H818" s="6"/>
      <c r="I818" s="6"/>
      <c r="K818" s="43"/>
      <c r="L818" s="43"/>
      <c r="M818" s="49"/>
      <c r="N818" s="49"/>
      <c r="O818" s="49"/>
      <c r="P818" s="49"/>
      <c r="Q818" s="41"/>
    </row>
    <row r="819" spans="7:17">
      <c r="G819" s="48"/>
      <c r="H819" s="6"/>
      <c r="I819" s="6"/>
      <c r="K819" s="43"/>
      <c r="L819" s="43"/>
      <c r="M819" s="49"/>
      <c r="N819" s="49"/>
      <c r="O819" s="49"/>
      <c r="P819" s="49"/>
      <c r="Q819" s="41"/>
    </row>
    <row r="820" spans="7:17">
      <c r="G820" s="48"/>
      <c r="H820" s="6"/>
      <c r="I820" s="6"/>
      <c r="K820" s="43"/>
      <c r="L820" s="43"/>
      <c r="M820" s="49"/>
      <c r="N820" s="49"/>
      <c r="O820" s="49"/>
      <c r="P820" s="49"/>
      <c r="Q820" s="41"/>
    </row>
    <row r="821" spans="7:17">
      <c r="G821" s="48"/>
      <c r="H821" s="6"/>
      <c r="I821" s="6"/>
      <c r="K821" s="43"/>
      <c r="L821" s="43"/>
      <c r="M821" s="49"/>
      <c r="N821" s="49"/>
      <c r="O821" s="49"/>
      <c r="P821" s="49"/>
      <c r="Q821" s="41"/>
    </row>
    <row r="822" spans="7:17">
      <c r="G822" s="48"/>
      <c r="H822" s="6"/>
      <c r="I822" s="6"/>
      <c r="K822" s="43"/>
      <c r="L822" s="43"/>
      <c r="M822" s="49"/>
      <c r="N822" s="49"/>
      <c r="O822" s="49"/>
      <c r="P822" s="49"/>
      <c r="Q822" s="41"/>
    </row>
    <row r="823" spans="7:17">
      <c r="G823" s="48"/>
      <c r="H823" s="6"/>
      <c r="I823" s="6"/>
      <c r="K823" s="43"/>
      <c r="L823" s="43"/>
      <c r="M823" s="49"/>
      <c r="N823" s="49"/>
      <c r="O823" s="49"/>
      <c r="P823" s="49"/>
      <c r="Q823" s="41"/>
    </row>
    <row r="824" spans="7:17">
      <c r="G824" s="48"/>
      <c r="H824" s="6"/>
      <c r="I824" s="6"/>
      <c r="K824" s="43"/>
      <c r="L824" s="43"/>
      <c r="M824" s="49"/>
      <c r="N824" s="49"/>
      <c r="O824" s="49"/>
      <c r="P824" s="49"/>
      <c r="Q824" s="41"/>
    </row>
    <row r="825" spans="7:17">
      <c r="G825" s="48"/>
      <c r="H825" s="6"/>
      <c r="I825" s="6"/>
      <c r="K825" s="43"/>
      <c r="L825" s="43"/>
      <c r="M825" s="49"/>
      <c r="N825" s="49"/>
      <c r="O825" s="49"/>
      <c r="P825" s="49"/>
      <c r="Q825" s="41"/>
    </row>
    <row r="826" spans="7:17">
      <c r="G826" s="48"/>
      <c r="H826" s="6"/>
      <c r="I826" s="6"/>
      <c r="K826" s="43"/>
      <c r="L826" s="43"/>
      <c r="M826" s="49"/>
      <c r="N826" s="49"/>
      <c r="O826" s="49"/>
      <c r="P826" s="49"/>
      <c r="Q826" s="41"/>
    </row>
    <row r="827" spans="7:17">
      <c r="G827" s="48"/>
      <c r="H827" s="6"/>
      <c r="I827" s="6"/>
      <c r="K827" s="43"/>
      <c r="L827" s="43"/>
      <c r="M827" s="49"/>
      <c r="N827" s="49"/>
      <c r="O827" s="49"/>
      <c r="P827" s="49"/>
      <c r="Q827" s="41"/>
    </row>
    <row r="828" spans="7:17">
      <c r="G828" s="48"/>
      <c r="H828" s="6"/>
      <c r="I828" s="6"/>
      <c r="K828" s="43"/>
      <c r="L828" s="43"/>
      <c r="M828" s="49"/>
      <c r="N828" s="49"/>
      <c r="O828" s="49"/>
      <c r="P828" s="49"/>
      <c r="Q828" s="41"/>
    </row>
    <row r="829" spans="7:17">
      <c r="G829" s="48"/>
      <c r="H829" s="6"/>
      <c r="I829" s="6"/>
      <c r="K829" s="43"/>
      <c r="L829" s="43"/>
      <c r="M829" s="49"/>
      <c r="N829" s="49"/>
      <c r="O829" s="49"/>
      <c r="P829" s="49"/>
      <c r="Q829" s="41"/>
    </row>
    <row r="830" spans="7:17">
      <c r="G830" s="48"/>
      <c r="H830" s="6"/>
      <c r="I830" s="6"/>
      <c r="K830" s="43"/>
      <c r="L830" s="43"/>
      <c r="M830" s="49"/>
      <c r="N830" s="49"/>
      <c r="O830" s="49"/>
      <c r="P830" s="49"/>
      <c r="Q830" s="41"/>
    </row>
    <row r="831" spans="7:17">
      <c r="G831" s="48"/>
      <c r="H831" s="6"/>
      <c r="I831" s="6"/>
      <c r="K831" s="43"/>
      <c r="L831" s="43"/>
      <c r="M831" s="49"/>
      <c r="N831" s="49"/>
      <c r="O831" s="49"/>
      <c r="P831" s="49"/>
      <c r="Q831" s="41"/>
    </row>
    <row r="832" spans="7:17">
      <c r="G832" s="48"/>
      <c r="H832" s="6"/>
      <c r="I832" s="6"/>
      <c r="K832" s="43"/>
      <c r="L832" s="43"/>
      <c r="M832" s="49"/>
      <c r="N832" s="49"/>
      <c r="O832" s="49"/>
      <c r="P832" s="49"/>
      <c r="Q832" s="41"/>
    </row>
    <row r="833" spans="7:17">
      <c r="G833" s="48"/>
      <c r="H833" s="6"/>
      <c r="I833" s="6"/>
      <c r="K833" s="43"/>
      <c r="L833" s="43"/>
      <c r="M833" s="49"/>
      <c r="N833" s="49"/>
      <c r="O833" s="49"/>
      <c r="P833" s="49"/>
      <c r="Q833" s="41"/>
    </row>
    <row r="834" spans="7:17">
      <c r="G834" s="48"/>
      <c r="H834" s="6"/>
      <c r="I834" s="6"/>
      <c r="K834" s="43"/>
      <c r="L834" s="43"/>
      <c r="M834" s="49"/>
      <c r="N834" s="49"/>
      <c r="O834" s="49"/>
      <c r="P834" s="49"/>
      <c r="Q834" s="41"/>
    </row>
    <row r="835" spans="7:17">
      <c r="G835" s="48"/>
      <c r="H835" s="6"/>
      <c r="I835" s="6"/>
      <c r="K835" s="43"/>
      <c r="L835" s="43"/>
      <c r="M835" s="49"/>
      <c r="N835" s="49"/>
      <c r="O835" s="49"/>
      <c r="P835" s="49"/>
      <c r="Q835" s="41"/>
    </row>
    <row r="836" spans="7:17">
      <c r="G836" s="48"/>
      <c r="H836" s="6"/>
      <c r="I836" s="6"/>
      <c r="K836" s="43"/>
      <c r="L836" s="43"/>
      <c r="M836" s="49"/>
      <c r="N836" s="49"/>
      <c r="O836" s="49"/>
      <c r="P836" s="49"/>
      <c r="Q836" s="41"/>
    </row>
    <row r="837" spans="7:17">
      <c r="G837" s="48"/>
      <c r="H837" s="6"/>
      <c r="I837" s="6"/>
      <c r="K837" s="43"/>
      <c r="L837" s="43"/>
      <c r="M837" s="49"/>
      <c r="N837" s="49"/>
      <c r="O837" s="49"/>
      <c r="P837" s="49"/>
      <c r="Q837" s="41"/>
    </row>
    <row r="838" spans="7:17">
      <c r="G838" s="48"/>
      <c r="H838" s="6"/>
      <c r="I838" s="6"/>
      <c r="K838" s="43"/>
      <c r="L838" s="43"/>
      <c r="M838" s="49"/>
      <c r="N838" s="49"/>
      <c r="O838" s="49"/>
      <c r="P838" s="49"/>
      <c r="Q838" s="41"/>
    </row>
    <row r="839" spans="7:17">
      <c r="G839" s="48"/>
      <c r="H839" s="6"/>
      <c r="I839" s="6"/>
      <c r="K839" s="43"/>
      <c r="L839" s="43"/>
      <c r="M839" s="49"/>
      <c r="N839" s="49"/>
      <c r="O839" s="49"/>
      <c r="P839" s="49"/>
      <c r="Q839" s="41"/>
    </row>
    <row r="840" spans="7:17">
      <c r="G840" s="48"/>
      <c r="H840" s="6"/>
      <c r="I840" s="6"/>
      <c r="K840" s="43"/>
      <c r="L840" s="43"/>
      <c r="M840" s="49"/>
      <c r="N840" s="49"/>
      <c r="O840" s="49"/>
      <c r="P840" s="49"/>
      <c r="Q840" s="41"/>
    </row>
    <row r="841" spans="7:17">
      <c r="G841" s="48"/>
      <c r="H841" s="6"/>
      <c r="I841" s="6"/>
      <c r="K841" s="43"/>
      <c r="L841" s="43"/>
      <c r="M841" s="49"/>
      <c r="N841" s="49"/>
      <c r="O841" s="49"/>
      <c r="P841" s="49"/>
      <c r="Q841" s="41"/>
    </row>
    <row r="842" spans="7:17">
      <c r="G842" s="48"/>
      <c r="H842" s="6"/>
      <c r="I842" s="6"/>
      <c r="K842" s="43"/>
      <c r="L842" s="43"/>
      <c r="M842" s="49"/>
      <c r="N842" s="49"/>
      <c r="O842" s="49"/>
      <c r="P842" s="49"/>
      <c r="Q842" s="41"/>
    </row>
    <row r="843" spans="7:17">
      <c r="G843" s="48"/>
      <c r="H843" s="6"/>
      <c r="I843" s="6"/>
      <c r="K843" s="43"/>
      <c r="L843" s="43"/>
      <c r="M843" s="49"/>
      <c r="N843" s="49"/>
      <c r="O843" s="49"/>
      <c r="P843" s="49"/>
      <c r="Q843" s="41"/>
    </row>
    <row r="844" spans="7:17">
      <c r="G844" s="48"/>
      <c r="H844" s="6"/>
      <c r="I844" s="6"/>
      <c r="K844" s="43"/>
      <c r="L844" s="43"/>
      <c r="M844" s="49"/>
      <c r="N844" s="49"/>
      <c r="O844" s="49"/>
      <c r="P844" s="49"/>
      <c r="Q844" s="41"/>
    </row>
    <row r="845" spans="7:17">
      <c r="G845" s="48"/>
      <c r="H845" s="6"/>
      <c r="I845" s="6"/>
      <c r="K845" s="43"/>
      <c r="L845" s="43"/>
      <c r="M845" s="49"/>
      <c r="N845" s="49"/>
      <c r="O845" s="49"/>
      <c r="P845" s="49"/>
      <c r="Q845" s="41"/>
    </row>
    <row r="846" spans="7:17">
      <c r="G846" s="48"/>
      <c r="H846" s="6"/>
      <c r="I846" s="6"/>
      <c r="K846" s="43"/>
      <c r="L846" s="43"/>
      <c r="M846" s="49"/>
      <c r="N846" s="49"/>
      <c r="O846" s="49"/>
      <c r="P846" s="49"/>
      <c r="Q846" s="41"/>
    </row>
    <row r="847" spans="7:17">
      <c r="G847" s="48"/>
      <c r="H847" s="6"/>
      <c r="I847" s="6"/>
      <c r="K847" s="43"/>
      <c r="L847" s="43"/>
      <c r="M847" s="49"/>
      <c r="N847" s="49"/>
      <c r="O847" s="49"/>
      <c r="P847" s="49"/>
      <c r="Q847" s="41"/>
    </row>
    <row r="848" spans="7:17">
      <c r="G848" s="48"/>
      <c r="H848" s="6"/>
      <c r="I848" s="6"/>
      <c r="K848" s="43"/>
      <c r="L848" s="43"/>
      <c r="M848" s="49"/>
      <c r="N848" s="49"/>
      <c r="O848" s="49"/>
      <c r="P848" s="49"/>
      <c r="Q848" s="41"/>
    </row>
    <row r="849" spans="7:17">
      <c r="G849" s="48"/>
      <c r="H849" s="6"/>
      <c r="I849" s="6"/>
      <c r="K849" s="43"/>
      <c r="L849" s="43"/>
      <c r="M849" s="49"/>
      <c r="N849" s="49"/>
      <c r="O849" s="49"/>
      <c r="P849" s="49"/>
      <c r="Q849" s="41"/>
    </row>
    <row r="850" spans="7:17">
      <c r="G850" s="48"/>
      <c r="H850" s="6"/>
      <c r="I850" s="6"/>
      <c r="K850" s="43"/>
      <c r="L850" s="43"/>
      <c r="M850" s="49"/>
      <c r="N850" s="49"/>
      <c r="O850" s="49"/>
      <c r="P850" s="49"/>
      <c r="Q850" s="41"/>
    </row>
    <row r="851" spans="7:17">
      <c r="G851" s="48"/>
      <c r="H851" s="6"/>
      <c r="I851" s="6"/>
      <c r="K851" s="43"/>
      <c r="L851" s="43"/>
      <c r="M851" s="49"/>
      <c r="N851" s="49"/>
      <c r="O851" s="49"/>
      <c r="P851" s="49"/>
      <c r="Q851" s="41"/>
    </row>
    <row r="852" spans="7:17">
      <c r="G852" s="48"/>
      <c r="H852" s="6"/>
      <c r="I852" s="6"/>
      <c r="K852" s="43"/>
      <c r="L852" s="43"/>
      <c r="M852" s="49"/>
      <c r="N852" s="49"/>
      <c r="O852" s="49"/>
      <c r="P852" s="49"/>
      <c r="Q852" s="41"/>
    </row>
    <row r="853" spans="7:17">
      <c r="G853" s="48"/>
      <c r="H853" s="6"/>
      <c r="I853" s="6"/>
      <c r="K853" s="43"/>
      <c r="L853" s="43"/>
      <c r="M853" s="49"/>
      <c r="N853" s="49"/>
      <c r="O853" s="49"/>
      <c r="P853" s="49"/>
      <c r="Q853" s="41"/>
    </row>
    <row r="854" spans="7:17">
      <c r="G854" s="48"/>
      <c r="H854" s="6"/>
      <c r="I854" s="6"/>
      <c r="K854" s="43"/>
      <c r="L854" s="43"/>
      <c r="M854" s="49"/>
      <c r="N854" s="49"/>
      <c r="O854" s="49"/>
      <c r="P854" s="49"/>
      <c r="Q854" s="41"/>
    </row>
    <row r="855" spans="7:17">
      <c r="G855" s="48"/>
      <c r="H855" s="6"/>
      <c r="I855" s="6"/>
      <c r="K855" s="43"/>
      <c r="L855" s="43"/>
      <c r="M855" s="49"/>
      <c r="N855" s="49"/>
      <c r="O855" s="49"/>
      <c r="P855" s="49"/>
      <c r="Q855" s="41"/>
    </row>
    <row r="856" spans="7:17">
      <c r="G856" s="48"/>
      <c r="H856" s="6"/>
      <c r="I856" s="6"/>
      <c r="K856" s="43"/>
      <c r="L856" s="43"/>
      <c r="M856" s="49"/>
      <c r="N856" s="49"/>
      <c r="O856" s="49"/>
      <c r="P856" s="49"/>
      <c r="Q856" s="41"/>
    </row>
    <row r="857" spans="7:17">
      <c r="G857" s="48"/>
      <c r="H857" s="6"/>
      <c r="I857" s="6"/>
      <c r="K857" s="43"/>
      <c r="L857" s="43"/>
      <c r="M857" s="49"/>
      <c r="N857" s="49"/>
      <c r="O857" s="49"/>
      <c r="P857" s="49"/>
      <c r="Q857" s="41"/>
    </row>
    <row r="858" spans="7:17">
      <c r="G858" s="48"/>
      <c r="H858" s="6"/>
      <c r="I858" s="6"/>
      <c r="K858" s="43"/>
      <c r="L858" s="43"/>
      <c r="M858" s="49"/>
      <c r="N858" s="49"/>
      <c r="O858" s="49"/>
      <c r="P858" s="49"/>
      <c r="Q858" s="41"/>
    </row>
    <row r="859" spans="7:17">
      <c r="G859" s="48"/>
      <c r="H859" s="6"/>
      <c r="I859" s="6"/>
      <c r="K859" s="43"/>
      <c r="L859" s="43"/>
      <c r="M859" s="49"/>
      <c r="N859" s="49"/>
      <c r="O859" s="49"/>
      <c r="P859" s="49"/>
      <c r="Q859" s="41"/>
    </row>
    <row r="860" spans="7:17">
      <c r="G860" s="48"/>
      <c r="H860" s="6"/>
      <c r="I860" s="6"/>
      <c r="K860" s="43"/>
      <c r="L860" s="43"/>
      <c r="M860" s="49"/>
      <c r="N860" s="49"/>
      <c r="O860" s="49"/>
      <c r="P860" s="49"/>
      <c r="Q860" s="41"/>
    </row>
    <row r="861" spans="7:17">
      <c r="G861" s="48"/>
      <c r="H861" s="6"/>
      <c r="I861" s="6"/>
      <c r="K861" s="43"/>
      <c r="L861" s="43"/>
      <c r="M861" s="49"/>
      <c r="N861" s="49"/>
      <c r="O861" s="49"/>
      <c r="P861" s="49"/>
      <c r="Q861" s="41"/>
    </row>
    <row r="862" spans="7:17">
      <c r="G862" s="48"/>
      <c r="H862" s="6"/>
      <c r="I862" s="6"/>
      <c r="K862" s="43"/>
      <c r="L862" s="43"/>
      <c r="M862" s="49"/>
      <c r="N862" s="49"/>
      <c r="O862" s="49"/>
      <c r="P862" s="49"/>
      <c r="Q862" s="41"/>
    </row>
    <row r="863" spans="7:17">
      <c r="G863" s="48"/>
      <c r="H863" s="6"/>
      <c r="I863" s="6"/>
      <c r="K863" s="43"/>
      <c r="L863" s="43"/>
      <c r="M863" s="49"/>
      <c r="N863" s="49"/>
      <c r="O863" s="49"/>
      <c r="P863" s="49"/>
      <c r="Q863" s="41"/>
    </row>
    <row r="864" spans="7:17">
      <c r="G864" s="48"/>
      <c r="H864" s="6"/>
      <c r="I864" s="6"/>
      <c r="K864" s="43"/>
      <c r="L864" s="43"/>
      <c r="M864" s="49"/>
      <c r="N864" s="49"/>
      <c r="O864" s="49"/>
      <c r="P864" s="49"/>
      <c r="Q864" s="41"/>
    </row>
    <row r="865" spans="7:17">
      <c r="G865" s="48"/>
      <c r="H865" s="6"/>
      <c r="I865" s="6"/>
      <c r="K865" s="43"/>
      <c r="L865" s="43"/>
      <c r="M865" s="49"/>
      <c r="N865" s="49"/>
      <c r="O865" s="49"/>
      <c r="P865" s="49"/>
      <c r="Q865" s="41"/>
    </row>
    <row r="866" spans="7:17">
      <c r="G866" s="48"/>
      <c r="H866" s="6"/>
      <c r="I866" s="6"/>
      <c r="K866" s="43"/>
      <c r="L866" s="43"/>
      <c r="M866" s="49"/>
      <c r="N866" s="49"/>
      <c r="O866" s="49"/>
      <c r="P866" s="49"/>
      <c r="Q866" s="41"/>
    </row>
    <row r="867" spans="7:17">
      <c r="G867" s="48"/>
      <c r="H867" s="6"/>
      <c r="I867" s="6"/>
      <c r="K867" s="43"/>
      <c r="L867" s="43"/>
      <c r="M867" s="49"/>
      <c r="N867" s="49"/>
      <c r="O867" s="49"/>
      <c r="P867" s="49"/>
      <c r="Q867" s="41"/>
    </row>
    <row r="868" spans="7:17">
      <c r="G868" s="48"/>
      <c r="H868" s="6"/>
      <c r="I868" s="6"/>
      <c r="K868" s="43"/>
      <c r="L868" s="43"/>
      <c r="M868" s="49"/>
      <c r="N868" s="49"/>
      <c r="O868" s="49"/>
      <c r="P868" s="49"/>
      <c r="Q868" s="41"/>
    </row>
    <row r="869" spans="7:17">
      <c r="G869" s="48"/>
      <c r="H869" s="6"/>
      <c r="I869" s="6"/>
      <c r="K869" s="43"/>
      <c r="L869" s="43"/>
      <c r="M869" s="49"/>
      <c r="N869" s="49"/>
      <c r="O869" s="49"/>
      <c r="P869" s="49"/>
      <c r="Q869" s="41"/>
    </row>
    <row r="870" spans="7:17">
      <c r="G870" s="48"/>
      <c r="H870" s="6"/>
      <c r="I870" s="6"/>
      <c r="K870" s="43"/>
      <c r="L870" s="43"/>
      <c r="M870" s="49"/>
      <c r="N870" s="49"/>
      <c r="O870" s="49"/>
      <c r="P870" s="49"/>
      <c r="Q870" s="41"/>
    </row>
    <row r="871" spans="7:17">
      <c r="G871" s="48"/>
      <c r="H871" s="6"/>
      <c r="I871" s="6"/>
      <c r="K871" s="43"/>
      <c r="L871" s="43"/>
      <c r="M871" s="49"/>
      <c r="N871" s="49"/>
      <c r="O871" s="49"/>
      <c r="P871" s="49"/>
      <c r="Q871" s="41"/>
    </row>
    <row r="872" spans="7:17">
      <c r="G872" s="48"/>
      <c r="H872" s="6"/>
      <c r="I872" s="6"/>
      <c r="K872" s="43"/>
      <c r="L872" s="43"/>
      <c r="M872" s="49"/>
      <c r="N872" s="49"/>
      <c r="O872" s="49"/>
      <c r="P872" s="49"/>
      <c r="Q872" s="41"/>
    </row>
    <row r="873" spans="7:17">
      <c r="G873" s="48"/>
      <c r="H873" s="6"/>
      <c r="I873" s="6"/>
      <c r="K873" s="43"/>
      <c r="L873" s="43"/>
      <c r="M873" s="49"/>
      <c r="N873" s="49"/>
      <c r="O873" s="49"/>
      <c r="P873" s="49"/>
      <c r="Q873" s="41"/>
    </row>
    <row r="874" spans="7:17">
      <c r="G874" s="48"/>
      <c r="H874" s="6"/>
      <c r="I874" s="6"/>
      <c r="K874" s="43"/>
      <c r="L874" s="43"/>
      <c r="M874" s="49"/>
      <c r="N874" s="49"/>
      <c r="O874" s="49"/>
      <c r="P874" s="49"/>
      <c r="Q874" s="41"/>
    </row>
    <row r="875" spans="7:17">
      <c r="G875" s="48"/>
      <c r="H875" s="6"/>
      <c r="I875" s="6"/>
      <c r="K875" s="43"/>
      <c r="L875" s="43"/>
      <c r="M875" s="49"/>
      <c r="N875" s="49"/>
      <c r="O875" s="49"/>
      <c r="P875" s="49"/>
      <c r="Q875" s="41"/>
    </row>
    <row r="876" spans="7:17">
      <c r="G876" s="48"/>
      <c r="H876" s="6"/>
      <c r="I876" s="6"/>
      <c r="K876" s="43"/>
      <c r="L876" s="43"/>
      <c r="M876" s="49"/>
      <c r="N876" s="49"/>
      <c r="O876" s="49"/>
      <c r="P876" s="49"/>
      <c r="Q876" s="41"/>
    </row>
    <row r="877" spans="7:17">
      <c r="G877" s="48"/>
      <c r="H877" s="6"/>
      <c r="I877" s="6"/>
      <c r="K877" s="43"/>
      <c r="L877" s="43"/>
      <c r="M877" s="49"/>
      <c r="N877" s="49"/>
      <c r="O877" s="49"/>
      <c r="P877" s="49"/>
      <c r="Q877" s="41"/>
    </row>
    <row r="878" spans="7:17">
      <c r="G878" s="48"/>
      <c r="H878" s="6"/>
      <c r="I878" s="6"/>
      <c r="K878" s="43"/>
      <c r="L878" s="43"/>
      <c r="M878" s="49"/>
      <c r="N878" s="49"/>
      <c r="O878" s="49"/>
      <c r="P878" s="49"/>
      <c r="Q878" s="41"/>
    </row>
    <row r="879" spans="7:17">
      <c r="G879" s="48"/>
      <c r="H879" s="6"/>
      <c r="I879" s="6"/>
      <c r="K879" s="43"/>
      <c r="L879" s="43"/>
      <c r="M879" s="49"/>
      <c r="N879" s="49"/>
      <c r="O879" s="49"/>
      <c r="P879" s="49"/>
      <c r="Q879" s="41"/>
    </row>
    <row r="880" spans="7:17">
      <c r="G880" s="48"/>
      <c r="H880" s="6"/>
      <c r="I880" s="6"/>
      <c r="K880" s="43"/>
      <c r="L880" s="43"/>
      <c r="M880" s="49"/>
      <c r="N880" s="49"/>
      <c r="O880" s="49"/>
      <c r="P880" s="49"/>
      <c r="Q880" s="41"/>
    </row>
    <row r="881" spans="7:17">
      <c r="G881" s="48"/>
      <c r="H881" s="6"/>
      <c r="I881" s="6"/>
      <c r="K881" s="43"/>
      <c r="L881" s="43"/>
      <c r="M881" s="49"/>
      <c r="N881" s="49"/>
      <c r="O881" s="49"/>
      <c r="P881" s="49"/>
      <c r="Q881" s="41"/>
    </row>
    <row r="882" spans="7:17">
      <c r="G882" s="48"/>
      <c r="H882" s="6"/>
      <c r="I882" s="6"/>
      <c r="K882" s="43"/>
      <c r="L882" s="43"/>
      <c r="M882" s="49"/>
      <c r="N882" s="49"/>
      <c r="O882" s="49"/>
      <c r="P882" s="49"/>
      <c r="Q882" s="41"/>
    </row>
    <row r="883" spans="7:17">
      <c r="G883" s="48"/>
      <c r="H883" s="6"/>
      <c r="I883" s="6"/>
      <c r="K883" s="43"/>
      <c r="L883" s="43"/>
      <c r="M883" s="49"/>
      <c r="N883" s="49"/>
      <c r="O883" s="49"/>
      <c r="P883" s="49"/>
      <c r="Q883" s="41"/>
    </row>
    <row r="884" spans="7:17">
      <c r="G884" s="48"/>
      <c r="H884" s="6"/>
      <c r="I884" s="6"/>
      <c r="K884" s="43"/>
      <c r="L884" s="43"/>
      <c r="M884" s="49"/>
      <c r="N884" s="49"/>
      <c r="O884" s="49"/>
      <c r="P884" s="49"/>
      <c r="Q884" s="41"/>
    </row>
    <row r="885" spans="7:17">
      <c r="G885" s="48"/>
      <c r="H885" s="6"/>
      <c r="I885" s="6"/>
      <c r="K885" s="43"/>
      <c r="L885" s="43"/>
      <c r="M885" s="49"/>
      <c r="N885" s="49"/>
      <c r="O885" s="49"/>
      <c r="P885" s="49"/>
      <c r="Q885" s="41"/>
    </row>
    <row r="886" spans="7:17">
      <c r="G886" s="48"/>
      <c r="H886" s="6"/>
      <c r="I886" s="6"/>
      <c r="K886" s="43"/>
      <c r="L886" s="43"/>
      <c r="M886" s="49"/>
      <c r="N886" s="49"/>
      <c r="O886" s="49"/>
      <c r="P886" s="49"/>
      <c r="Q886" s="41"/>
    </row>
    <row r="887" spans="7:17">
      <c r="G887" s="48"/>
      <c r="H887" s="6"/>
      <c r="I887" s="6"/>
      <c r="K887" s="43"/>
      <c r="L887" s="43"/>
      <c r="M887" s="49"/>
      <c r="N887" s="49"/>
      <c r="O887" s="49"/>
      <c r="P887" s="49"/>
      <c r="Q887" s="41"/>
    </row>
    <row r="888" spans="7:17">
      <c r="G888" s="48"/>
      <c r="H888" s="6"/>
      <c r="I888" s="6"/>
      <c r="K888" s="43"/>
      <c r="L888" s="43"/>
      <c r="M888" s="49"/>
      <c r="N888" s="49"/>
      <c r="O888" s="49"/>
      <c r="P888" s="49"/>
      <c r="Q888" s="41"/>
    </row>
    <row r="889" spans="7:17">
      <c r="G889" s="48"/>
      <c r="H889" s="6"/>
      <c r="I889" s="6"/>
      <c r="K889" s="43"/>
      <c r="L889" s="43"/>
      <c r="M889" s="49"/>
      <c r="N889" s="49"/>
      <c r="O889" s="49"/>
      <c r="P889" s="49"/>
      <c r="Q889" s="41"/>
    </row>
    <row r="890" spans="7:17">
      <c r="G890" s="48"/>
      <c r="H890" s="6"/>
      <c r="I890" s="6"/>
      <c r="K890" s="43"/>
      <c r="L890" s="43"/>
      <c r="M890" s="49"/>
      <c r="N890" s="49"/>
      <c r="O890" s="49"/>
      <c r="P890" s="49"/>
      <c r="Q890" s="41"/>
    </row>
    <row r="891" spans="7:17">
      <c r="G891" s="48"/>
      <c r="H891" s="6"/>
      <c r="I891" s="6"/>
      <c r="K891" s="43"/>
      <c r="L891" s="43"/>
      <c r="M891" s="49"/>
      <c r="N891" s="49"/>
      <c r="O891" s="49"/>
      <c r="P891" s="49"/>
      <c r="Q891" s="41"/>
    </row>
    <row r="892" spans="7:17">
      <c r="G892" s="48"/>
      <c r="H892" s="6"/>
      <c r="I892" s="6"/>
      <c r="K892" s="43"/>
      <c r="L892" s="43"/>
      <c r="M892" s="49"/>
      <c r="N892" s="49"/>
      <c r="O892" s="49"/>
      <c r="P892" s="49"/>
      <c r="Q892" s="41"/>
    </row>
    <row r="893" spans="7:17">
      <c r="G893" s="48"/>
      <c r="H893" s="6"/>
      <c r="I893" s="6"/>
      <c r="K893" s="43"/>
      <c r="L893" s="43"/>
      <c r="M893" s="49"/>
      <c r="N893" s="49"/>
      <c r="O893" s="49"/>
      <c r="P893" s="49"/>
      <c r="Q893" s="41"/>
    </row>
    <row r="894" spans="7:17">
      <c r="G894" s="48"/>
      <c r="H894" s="6"/>
      <c r="I894" s="6"/>
      <c r="K894" s="43"/>
      <c r="L894" s="43"/>
      <c r="M894" s="49"/>
      <c r="N894" s="49"/>
      <c r="O894" s="49"/>
      <c r="P894" s="49"/>
      <c r="Q894" s="41"/>
    </row>
    <row r="895" spans="7:17">
      <c r="G895" s="48"/>
      <c r="H895" s="6"/>
      <c r="I895" s="6"/>
      <c r="K895" s="43"/>
      <c r="L895" s="43"/>
      <c r="M895" s="49"/>
      <c r="N895" s="49"/>
      <c r="O895" s="49"/>
      <c r="P895" s="49"/>
      <c r="Q895" s="41"/>
    </row>
    <row r="896" spans="7:17">
      <c r="G896" s="48"/>
      <c r="H896" s="6"/>
      <c r="I896" s="6"/>
      <c r="K896" s="43"/>
      <c r="L896" s="43"/>
      <c r="M896" s="49"/>
      <c r="N896" s="49"/>
      <c r="O896" s="49"/>
      <c r="P896" s="49"/>
      <c r="Q896" s="41"/>
    </row>
    <row r="897" spans="7:17">
      <c r="G897" s="48"/>
      <c r="H897" s="6"/>
      <c r="I897" s="6"/>
      <c r="K897" s="43"/>
      <c r="L897" s="43"/>
      <c r="M897" s="49"/>
      <c r="N897" s="49"/>
      <c r="O897" s="49"/>
      <c r="P897" s="49"/>
      <c r="Q897" s="41"/>
    </row>
    <row r="898" spans="7:17">
      <c r="G898" s="48"/>
      <c r="H898" s="6"/>
      <c r="I898" s="6"/>
      <c r="K898" s="43"/>
      <c r="L898" s="43"/>
      <c r="M898" s="49"/>
      <c r="N898" s="49"/>
      <c r="O898" s="49"/>
      <c r="P898" s="49"/>
      <c r="Q898" s="41"/>
    </row>
    <row r="899" spans="7:17">
      <c r="G899" s="48"/>
      <c r="H899" s="6"/>
      <c r="I899" s="6"/>
      <c r="K899" s="43"/>
      <c r="L899" s="43"/>
      <c r="M899" s="49"/>
      <c r="N899" s="49"/>
      <c r="O899" s="49"/>
      <c r="P899" s="49"/>
      <c r="Q899" s="41"/>
    </row>
    <row r="900" spans="7:17">
      <c r="G900" s="48"/>
      <c r="H900" s="6"/>
      <c r="I900" s="6"/>
      <c r="K900" s="43"/>
      <c r="L900" s="43"/>
      <c r="M900" s="49"/>
      <c r="N900" s="49"/>
      <c r="O900" s="49"/>
      <c r="P900" s="49"/>
      <c r="Q900" s="41"/>
    </row>
    <row r="901" spans="7:17">
      <c r="G901" s="48"/>
      <c r="H901" s="6"/>
      <c r="I901" s="6"/>
      <c r="K901" s="43"/>
      <c r="L901" s="43"/>
      <c r="M901" s="49"/>
      <c r="N901" s="49"/>
      <c r="O901" s="49"/>
      <c r="P901" s="49"/>
      <c r="Q901" s="41"/>
    </row>
    <row r="902" spans="7:17">
      <c r="G902" s="48"/>
      <c r="H902" s="6"/>
      <c r="I902" s="6"/>
      <c r="K902" s="43"/>
      <c r="L902" s="43"/>
      <c r="M902" s="49"/>
      <c r="N902" s="49"/>
      <c r="O902" s="49"/>
      <c r="P902" s="49"/>
      <c r="Q902" s="41"/>
    </row>
    <row r="903" spans="7:17">
      <c r="G903" s="48"/>
      <c r="H903" s="6"/>
      <c r="I903" s="6"/>
      <c r="K903" s="43"/>
      <c r="L903" s="43"/>
      <c r="M903" s="49"/>
      <c r="N903" s="49"/>
      <c r="O903" s="49"/>
      <c r="P903" s="49"/>
      <c r="Q903" s="41"/>
    </row>
    <row r="904" spans="7:17">
      <c r="G904" s="48"/>
      <c r="H904" s="6"/>
      <c r="I904" s="6"/>
      <c r="K904" s="43"/>
      <c r="L904" s="43"/>
      <c r="M904" s="49"/>
      <c r="N904" s="49"/>
      <c r="O904" s="49"/>
      <c r="P904" s="49"/>
      <c r="Q904" s="41"/>
    </row>
    <row r="905" spans="7:17">
      <c r="G905" s="48"/>
      <c r="H905" s="6"/>
      <c r="I905" s="6"/>
      <c r="K905" s="43"/>
      <c r="L905" s="43"/>
      <c r="M905" s="49"/>
      <c r="N905" s="49"/>
      <c r="O905" s="49"/>
      <c r="P905" s="49"/>
      <c r="Q905" s="41"/>
    </row>
    <row r="906" spans="7:17">
      <c r="G906" s="48"/>
      <c r="H906" s="6"/>
      <c r="I906" s="6"/>
      <c r="K906" s="43"/>
      <c r="L906" s="43"/>
      <c r="M906" s="49"/>
      <c r="N906" s="49"/>
      <c r="O906" s="49"/>
      <c r="P906" s="49"/>
      <c r="Q906" s="41"/>
    </row>
    <row r="907" spans="7:17">
      <c r="G907" s="48"/>
      <c r="H907" s="6"/>
      <c r="I907" s="6"/>
      <c r="K907" s="43"/>
      <c r="L907" s="43"/>
      <c r="M907" s="49"/>
      <c r="N907" s="49"/>
      <c r="O907" s="49"/>
      <c r="P907" s="49"/>
      <c r="Q907" s="41"/>
    </row>
    <row r="908" spans="7:17">
      <c r="G908" s="48"/>
      <c r="H908" s="6"/>
      <c r="I908" s="6"/>
      <c r="K908" s="43"/>
      <c r="L908" s="43"/>
      <c r="M908" s="49"/>
      <c r="N908" s="49"/>
      <c r="O908" s="49"/>
      <c r="P908" s="49"/>
      <c r="Q908" s="41"/>
    </row>
    <row r="909" spans="7:17">
      <c r="G909" s="48"/>
      <c r="H909" s="6"/>
      <c r="I909" s="6"/>
      <c r="K909" s="43"/>
      <c r="L909" s="43"/>
      <c r="M909" s="49"/>
      <c r="N909" s="49"/>
      <c r="O909" s="49"/>
      <c r="P909" s="49"/>
      <c r="Q909" s="41"/>
    </row>
    <row r="910" spans="7:17">
      <c r="G910" s="48"/>
      <c r="H910" s="6"/>
      <c r="I910" s="6"/>
      <c r="K910" s="43"/>
      <c r="L910" s="43"/>
      <c r="M910" s="49"/>
      <c r="N910" s="49"/>
      <c r="O910" s="49"/>
      <c r="P910" s="49"/>
      <c r="Q910" s="41"/>
    </row>
    <row r="911" spans="7:17">
      <c r="G911" s="48"/>
      <c r="H911" s="6"/>
      <c r="I911" s="6"/>
      <c r="K911" s="43"/>
      <c r="L911" s="43"/>
      <c r="M911" s="49"/>
      <c r="N911" s="49"/>
      <c r="O911" s="49"/>
      <c r="P911" s="49"/>
      <c r="Q911" s="41"/>
    </row>
    <row r="912" spans="7:17">
      <c r="G912" s="48"/>
      <c r="H912" s="6"/>
      <c r="I912" s="6"/>
      <c r="K912" s="43"/>
      <c r="L912" s="43"/>
      <c r="M912" s="49"/>
      <c r="N912" s="49"/>
      <c r="O912" s="49"/>
      <c r="P912" s="49"/>
      <c r="Q912" s="41"/>
    </row>
    <row r="913" spans="7:17">
      <c r="G913" s="48"/>
      <c r="H913" s="6"/>
      <c r="I913" s="6"/>
      <c r="K913" s="43"/>
      <c r="L913" s="43"/>
      <c r="M913" s="49"/>
      <c r="N913" s="49"/>
      <c r="O913" s="49"/>
      <c r="P913" s="49"/>
      <c r="Q913" s="41"/>
    </row>
    <row r="914" spans="7:17">
      <c r="G914" s="48"/>
      <c r="H914" s="6"/>
      <c r="I914" s="6"/>
      <c r="K914" s="43"/>
      <c r="L914" s="43"/>
      <c r="M914" s="49"/>
      <c r="N914" s="49"/>
      <c r="O914" s="49"/>
      <c r="P914" s="49"/>
      <c r="Q914" s="41"/>
    </row>
    <row r="915" spans="7:17">
      <c r="G915" s="48"/>
      <c r="H915" s="6"/>
      <c r="I915" s="6"/>
      <c r="K915" s="43"/>
      <c r="L915" s="43"/>
      <c r="M915" s="49"/>
      <c r="N915" s="49"/>
      <c r="O915" s="49"/>
      <c r="P915" s="49"/>
      <c r="Q915" s="41"/>
    </row>
    <row r="916" spans="7:17">
      <c r="G916" s="48"/>
      <c r="H916" s="6"/>
      <c r="I916" s="6"/>
      <c r="K916" s="43"/>
      <c r="L916" s="43"/>
      <c r="M916" s="49"/>
      <c r="N916" s="49"/>
      <c r="O916" s="49"/>
      <c r="P916" s="49"/>
      <c r="Q916" s="41"/>
    </row>
    <row r="917" spans="7:17">
      <c r="G917" s="48"/>
      <c r="H917" s="6"/>
      <c r="I917" s="6"/>
      <c r="K917" s="43"/>
      <c r="L917" s="43"/>
      <c r="M917" s="49"/>
      <c r="N917" s="49"/>
      <c r="O917" s="49"/>
      <c r="P917" s="49"/>
      <c r="Q917" s="41"/>
    </row>
    <row r="918" spans="7:17">
      <c r="G918" s="48"/>
      <c r="H918" s="6"/>
      <c r="I918" s="6"/>
      <c r="K918" s="43"/>
      <c r="L918" s="43"/>
      <c r="M918" s="49"/>
      <c r="N918" s="49"/>
      <c r="O918" s="49"/>
      <c r="P918" s="49"/>
      <c r="Q918" s="41"/>
    </row>
    <row r="919" spans="7:17">
      <c r="G919" s="48"/>
      <c r="H919" s="6"/>
      <c r="I919" s="6"/>
      <c r="K919" s="43"/>
      <c r="L919" s="43"/>
      <c r="M919" s="49"/>
      <c r="N919" s="49"/>
      <c r="O919" s="49"/>
      <c r="P919" s="49"/>
      <c r="Q919" s="41"/>
    </row>
    <row r="920" spans="7:17">
      <c r="G920" s="48"/>
      <c r="H920" s="6"/>
      <c r="I920" s="6"/>
      <c r="K920" s="43"/>
      <c r="L920" s="43"/>
      <c r="M920" s="49"/>
      <c r="N920" s="49"/>
      <c r="O920" s="49"/>
      <c r="P920" s="49"/>
      <c r="Q920" s="41"/>
    </row>
    <row r="921" spans="7:17">
      <c r="G921" s="48"/>
      <c r="H921" s="6"/>
      <c r="I921" s="6"/>
      <c r="K921" s="43"/>
      <c r="L921" s="43"/>
      <c r="M921" s="49"/>
      <c r="N921" s="49"/>
      <c r="O921" s="49"/>
      <c r="P921" s="49"/>
      <c r="Q921" s="41"/>
    </row>
    <row r="922" spans="7:17">
      <c r="G922" s="48"/>
      <c r="H922" s="6"/>
      <c r="I922" s="6"/>
      <c r="K922" s="43"/>
      <c r="L922" s="43"/>
      <c r="M922" s="49"/>
      <c r="N922" s="49"/>
      <c r="O922" s="49"/>
      <c r="P922" s="49"/>
      <c r="Q922" s="41"/>
    </row>
    <row r="923" spans="7:17">
      <c r="G923" s="48"/>
      <c r="H923" s="6"/>
      <c r="I923" s="6"/>
      <c r="K923" s="43"/>
      <c r="L923" s="43"/>
      <c r="M923" s="49"/>
      <c r="N923" s="49"/>
      <c r="O923" s="49"/>
      <c r="P923" s="49"/>
      <c r="Q923" s="41"/>
    </row>
    <row r="924" spans="7:17">
      <c r="G924" s="48"/>
      <c r="H924" s="6"/>
      <c r="I924" s="6"/>
      <c r="K924" s="43"/>
      <c r="L924" s="43"/>
      <c r="M924" s="49"/>
      <c r="N924" s="49"/>
      <c r="O924" s="49"/>
      <c r="P924" s="49"/>
      <c r="Q924" s="41"/>
    </row>
    <row r="925" spans="7:17">
      <c r="G925" s="48"/>
      <c r="H925" s="6"/>
      <c r="I925" s="6"/>
      <c r="K925" s="43"/>
      <c r="L925" s="43"/>
      <c r="M925" s="49"/>
      <c r="N925" s="49"/>
      <c r="O925" s="49"/>
      <c r="P925" s="49"/>
      <c r="Q925" s="41"/>
    </row>
    <row r="926" spans="7:17">
      <c r="G926" s="48"/>
      <c r="H926" s="6"/>
      <c r="I926" s="6"/>
      <c r="K926" s="43"/>
      <c r="L926" s="43"/>
      <c r="M926" s="49"/>
      <c r="N926" s="49"/>
      <c r="O926" s="49"/>
      <c r="P926" s="49"/>
      <c r="Q926" s="41"/>
    </row>
    <row r="927" spans="7:17">
      <c r="G927" s="48"/>
      <c r="H927" s="6"/>
      <c r="I927" s="6"/>
      <c r="K927" s="43"/>
      <c r="L927" s="43"/>
      <c r="M927" s="49"/>
      <c r="N927" s="49"/>
      <c r="O927" s="49"/>
      <c r="P927" s="49"/>
      <c r="Q927" s="41"/>
    </row>
    <row r="928" spans="7:17">
      <c r="G928" s="48"/>
      <c r="H928" s="6"/>
      <c r="I928" s="6"/>
      <c r="K928" s="43"/>
      <c r="L928" s="43"/>
      <c r="M928" s="49"/>
      <c r="N928" s="49"/>
      <c r="O928" s="49"/>
      <c r="P928" s="49"/>
      <c r="Q928" s="41"/>
    </row>
    <row r="929" spans="7:17">
      <c r="G929" s="48"/>
      <c r="H929" s="6"/>
      <c r="I929" s="6"/>
      <c r="K929" s="43"/>
      <c r="L929" s="43"/>
      <c r="M929" s="49"/>
      <c r="N929" s="49"/>
      <c r="O929" s="49"/>
      <c r="P929" s="49"/>
      <c r="Q929" s="41"/>
    </row>
    <row r="930" spans="7:17">
      <c r="G930" s="48"/>
      <c r="H930" s="6"/>
      <c r="I930" s="6"/>
      <c r="K930" s="43"/>
      <c r="L930" s="43"/>
      <c r="M930" s="49"/>
      <c r="N930" s="49"/>
      <c r="O930" s="49"/>
      <c r="P930" s="49"/>
      <c r="Q930" s="41"/>
    </row>
    <row r="931" spans="7:17">
      <c r="G931" s="48"/>
      <c r="H931" s="6"/>
      <c r="I931" s="6"/>
      <c r="K931" s="43"/>
      <c r="L931" s="43"/>
      <c r="M931" s="49"/>
      <c r="N931" s="49"/>
      <c r="O931" s="49"/>
      <c r="P931" s="49"/>
      <c r="Q931" s="41"/>
    </row>
    <row r="932" spans="7:17">
      <c r="G932" s="48"/>
      <c r="H932" s="6"/>
      <c r="I932" s="6"/>
      <c r="K932" s="43"/>
      <c r="L932" s="43"/>
      <c r="M932" s="49"/>
      <c r="N932" s="49"/>
      <c r="O932" s="49"/>
      <c r="P932" s="49"/>
      <c r="Q932" s="41"/>
    </row>
    <row r="933" spans="7:17">
      <c r="G933" s="48"/>
      <c r="H933" s="6"/>
      <c r="I933" s="6"/>
      <c r="K933" s="43"/>
      <c r="L933" s="43"/>
      <c r="M933" s="49"/>
      <c r="N933" s="49"/>
      <c r="O933" s="49"/>
      <c r="P933" s="49"/>
      <c r="Q933" s="41"/>
    </row>
    <row r="934" spans="7:17">
      <c r="G934" s="48"/>
      <c r="H934" s="6"/>
      <c r="I934" s="6"/>
      <c r="K934" s="43"/>
      <c r="L934" s="43"/>
      <c r="M934" s="49"/>
      <c r="N934" s="49"/>
      <c r="O934" s="49"/>
      <c r="P934" s="49"/>
      <c r="Q934" s="41"/>
    </row>
    <row r="935" spans="7:17">
      <c r="G935" s="48"/>
      <c r="H935" s="6"/>
      <c r="I935" s="6"/>
      <c r="K935" s="43"/>
      <c r="L935" s="43"/>
      <c r="M935" s="49"/>
      <c r="N935" s="49"/>
      <c r="O935" s="49"/>
      <c r="P935" s="49"/>
      <c r="Q935" s="41"/>
    </row>
    <row r="936" spans="7:17">
      <c r="G936" s="48"/>
      <c r="H936" s="6"/>
      <c r="I936" s="6"/>
      <c r="K936" s="43"/>
      <c r="L936" s="43"/>
      <c r="M936" s="49"/>
      <c r="N936" s="49"/>
      <c r="O936" s="49"/>
      <c r="P936" s="49"/>
      <c r="Q936" s="41"/>
    </row>
    <row r="937" spans="7:17">
      <c r="G937" s="48"/>
      <c r="H937" s="6"/>
      <c r="I937" s="6"/>
      <c r="K937" s="43"/>
      <c r="L937" s="43"/>
      <c r="M937" s="49"/>
      <c r="N937" s="49"/>
      <c r="O937" s="49"/>
      <c r="P937" s="49"/>
      <c r="Q937" s="41"/>
    </row>
    <row r="938" spans="7:17">
      <c r="G938" s="48"/>
      <c r="H938" s="6"/>
      <c r="I938" s="6"/>
      <c r="K938" s="43"/>
      <c r="L938" s="43"/>
      <c r="M938" s="49"/>
      <c r="N938" s="49"/>
      <c r="O938" s="49"/>
      <c r="P938" s="49"/>
      <c r="Q938" s="41"/>
    </row>
    <row r="939" spans="7:17">
      <c r="G939" s="48"/>
      <c r="H939" s="6"/>
      <c r="I939" s="6"/>
      <c r="K939" s="43"/>
      <c r="L939" s="43"/>
      <c r="M939" s="49"/>
      <c r="N939" s="49"/>
      <c r="O939" s="49"/>
      <c r="P939" s="49"/>
      <c r="Q939" s="41"/>
    </row>
    <row r="940" spans="7:17">
      <c r="G940" s="48"/>
      <c r="H940" s="6"/>
      <c r="I940" s="6"/>
      <c r="K940" s="43"/>
      <c r="L940" s="43"/>
      <c r="M940" s="49"/>
      <c r="N940" s="49"/>
      <c r="O940" s="49"/>
      <c r="P940" s="49"/>
      <c r="Q940" s="41"/>
    </row>
    <row r="941" spans="7:17">
      <c r="G941" s="48"/>
      <c r="H941" s="6"/>
      <c r="I941" s="6"/>
      <c r="K941" s="43"/>
      <c r="L941" s="43"/>
      <c r="M941" s="49"/>
      <c r="N941" s="49"/>
      <c r="O941" s="49"/>
      <c r="P941" s="49"/>
      <c r="Q941" s="41"/>
    </row>
    <row r="942" spans="7:17">
      <c r="G942" s="48"/>
      <c r="H942" s="6"/>
      <c r="I942" s="6"/>
      <c r="K942" s="43"/>
      <c r="L942" s="43"/>
      <c r="M942" s="49"/>
      <c r="N942" s="49"/>
      <c r="O942" s="49"/>
      <c r="P942" s="49"/>
      <c r="Q942" s="41"/>
    </row>
    <row r="943" spans="7:17">
      <c r="G943" s="48"/>
      <c r="H943" s="6"/>
      <c r="I943" s="6"/>
      <c r="K943" s="43"/>
      <c r="L943" s="43"/>
      <c r="M943" s="49"/>
      <c r="N943" s="49"/>
      <c r="O943" s="49"/>
      <c r="P943" s="49"/>
      <c r="Q943" s="41"/>
    </row>
    <row r="944" spans="7:17">
      <c r="G944" s="48"/>
      <c r="H944" s="6"/>
      <c r="I944" s="6"/>
      <c r="K944" s="43"/>
      <c r="L944" s="43"/>
      <c r="M944" s="49"/>
      <c r="N944" s="49"/>
      <c r="O944" s="49"/>
      <c r="P944" s="49"/>
      <c r="Q944" s="41"/>
    </row>
    <row r="945" spans="7:17">
      <c r="G945" s="48"/>
      <c r="H945" s="6"/>
      <c r="I945" s="6"/>
      <c r="K945" s="43"/>
      <c r="L945" s="43"/>
      <c r="M945" s="49"/>
      <c r="N945" s="49"/>
      <c r="O945" s="49"/>
      <c r="P945" s="49"/>
      <c r="Q945" s="41"/>
    </row>
    <row r="946" spans="7:17">
      <c r="G946" s="48"/>
      <c r="H946" s="6"/>
      <c r="I946" s="6"/>
      <c r="K946" s="43"/>
      <c r="L946" s="43"/>
      <c r="M946" s="49"/>
      <c r="N946" s="49"/>
      <c r="O946" s="49"/>
      <c r="P946" s="49"/>
      <c r="Q946" s="41"/>
    </row>
    <row r="947" spans="7:17">
      <c r="G947" s="48"/>
      <c r="H947" s="6"/>
      <c r="I947" s="6"/>
      <c r="K947" s="43"/>
      <c r="L947" s="43"/>
      <c r="M947" s="49"/>
      <c r="N947" s="49"/>
      <c r="O947" s="49"/>
      <c r="P947" s="49"/>
      <c r="Q947" s="41"/>
    </row>
    <row r="948" spans="7:17">
      <c r="G948" s="48"/>
      <c r="H948" s="6"/>
      <c r="I948" s="6"/>
      <c r="K948" s="43"/>
      <c r="L948" s="43"/>
      <c r="M948" s="49"/>
      <c r="N948" s="49"/>
      <c r="O948" s="49"/>
      <c r="P948" s="49"/>
      <c r="Q948" s="41"/>
    </row>
    <row r="949" spans="7:17">
      <c r="G949" s="48"/>
      <c r="H949" s="6"/>
      <c r="I949" s="6"/>
      <c r="K949" s="43"/>
      <c r="L949" s="43"/>
      <c r="M949" s="49"/>
      <c r="N949" s="49"/>
      <c r="O949" s="49"/>
      <c r="P949" s="49"/>
      <c r="Q949" s="41"/>
    </row>
    <row r="950" spans="7:17">
      <c r="G950" s="48"/>
      <c r="H950" s="6"/>
      <c r="I950" s="6"/>
      <c r="K950" s="43"/>
      <c r="L950" s="43"/>
      <c r="M950" s="49"/>
      <c r="N950" s="49"/>
      <c r="O950" s="49"/>
      <c r="P950" s="49"/>
      <c r="Q950" s="41"/>
    </row>
    <row r="951" spans="7:17">
      <c r="G951" s="48"/>
      <c r="H951" s="6"/>
      <c r="I951" s="6"/>
      <c r="K951" s="43"/>
      <c r="L951" s="43"/>
      <c r="M951" s="49"/>
      <c r="N951" s="49"/>
      <c r="O951" s="49"/>
      <c r="P951" s="49"/>
      <c r="Q951" s="41"/>
    </row>
    <row r="952" spans="7:17">
      <c r="G952" s="48"/>
      <c r="H952" s="6"/>
      <c r="I952" s="6"/>
      <c r="K952" s="43"/>
      <c r="L952" s="43"/>
      <c r="M952" s="49"/>
      <c r="N952" s="49"/>
      <c r="O952" s="49"/>
      <c r="P952" s="49"/>
      <c r="Q952" s="41"/>
    </row>
    <row r="953" spans="7:17">
      <c r="G953" s="48"/>
      <c r="H953" s="6"/>
      <c r="I953" s="6"/>
      <c r="K953" s="43"/>
      <c r="L953" s="43"/>
      <c r="M953" s="49"/>
      <c r="N953" s="49"/>
      <c r="O953" s="49"/>
      <c r="P953" s="49"/>
      <c r="Q953" s="41"/>
    </row>
    <row r="954" spans="7:17">
      <c r="G954" s="48"/>
      <c r="H954" s="6"/>
      <c r="I954" s="6"/>
      <c r="K954" s="43"/>
      <c r="L954" s="43"/>
      <c r="M954" s="49"/>
      <c r="N954" s="49"/>
      <c r="O954" s="49"/>
      <c r="P954" s="49"/>
      <c r="Q954" s="41"/>
    </row>
    <row r="955" spans="7:17">
      <c r="G955" s="48"/>
      <c r="H955" s="6"/>
      <c r="I955" s="6"/>
      <c r="K955" s="43"/>
      <c r="L955" s="43"/>
      <c r="M955" s="49"/>
      <c r="N955" s="49"/>
      <c r="O955" s="49"/>
      <c r="P955" s="49"/>
      <c r="Q955" s="41"/>
    </row>
    <row r="956" spans="7:17">
      <c r="G956" s="48"/>
      <c r="H956" s="6"/>
      <c r="I956" s="6"/>
      <c r="K956" s="43"/>
      <c r="L956" s="43"/>
      <c r="M956" s="49"/>
      <c r="N956" s="49"/>
      <c r="O956" s="49"/>
      <c r="P956" s="49"/>
      <c r="Q956" s="41"/>
    </row>
    <row r="957" spans="7:17">
      <c r="G957" s="48"/>
      <c r="H957" s="6"/>
      <c r="I957" s="6"/>
      <c r="K957" s="43"/>
      <c r="L957" s="43"/>
      <c r="M957" s="49"/>
      <c r="N957" s="49"/>
      <c r="O957" s="49"/>
      <c r="P957" s="49"/>
      <c r="Q957" s="41"/>
    </row>
    <row r="958" spans="7:17">
      <c r="G958" s="48"/>
      <c r="H958" s="6"/>
      <c r="I958" s="6"/>
      <c r="K958" s="43"/>
      <c r="L958" s="43"/>
      <c r="M958" s="49"/>
      <c r="N958" s="49"/>
      <c r="O958" s="49"/>
      <c r="P958" s="49"/>
      <c r="Q958" s="41"/>
    </row>
    <row r="959" spans="7:17">
      <c r="G959" s="48"/>
      <c r="H959" s="6"/>
      <c r="I959" s="6"/>
      <c r="K959" s="43"/>
      <c r="L959" s="43"/>
      <c r="M959" s="49"/>
      <c r="N959" s="49"/>
      <c r="O959" s="49"/>
      <c r="P959" s="49"/>
      <c r="Q959" s="41"/>
    </row>
    <row r="960" spans="7:17">
      <c r="G960" s="48"/>
      <c r="H960" s="6"/>
      <c r="I960" s="6"/>
      <c r="K960" s="43"/>
      <c r="L960" s="43"/>
      <c r="M960" s="49"/>
      <c r="N960" s="49"/>
      <c r="O960" s="49"/>
      <c r="P960" s="49"/>
      <c r="Q960" s="41"/>
    </row>
    <row r="961" spans="7:17">
      <c r="G961" s="48"/>
      <c r="H961" s="6"/>
      <c r="I961" s="6"/>
      <c r="K961" s="43"/>
      <c r="L961" s="43"/>
      <c r="M961" s="49"/>
      <c r="N961" s="49"/>
      <c r="O961" s="49"/>
      <c r="P961" s="49"/>
      <c r="Q961" s="41"/>
    </row>
    <row r="962" spans="7:17">
      <c r="G962" s="48"/>
      <c r="H962" s="6"/>
      <c r="I962" s="6"/>
      <c r="K962" s="43"/>
      <c r="L962" s="43"/>
      <c r="M962" s="49"/>
      <c r="N962" s="49"/>
      <c r="O962" s="49"/>
      <c r="P962" s="49"/>
      <c r="Q962" s="41"/>
    </row>
    <row r="963" spans="7:17">
      <c r="G963" s="48"/>
      <c r="H963" s="6"/>
      <c r="I963" s="6"/>
      <c r="K963" s="43"/>
      <c r="L963" s="43"/>
      <c r="M963" s="49"/>
      <c r="N963" s="49"/>
      <c r="O963" s="49"/>
      <c r="P963" s="49"/>
      <c r="Q963" s="41"/>
    </row>
    <row r="964" spans="7:17">
      <c r="G964" s="48"/>
      <c r="H964" s="6"/>
      <c r="I964" s="6"/>
      <c r="K964" s="43"/>
      <c r="L964" s="43"/>
      <c r="M964" s="49"/>
      <c r="N964" s="49"/>
      <c r="O964" s="49"/>
      <c r="P964" s="49"/>
      <c r="Q964" s="41"/>
    </row>
    <row r="965" spans="7:17">
      <c r="G965" s="48"/>
      <c r="H965" s="6"/>
      <c r="I965" s="6"/>
      <c r="K965" s="43"/>
      <c r="L965" s="43"/>
      <c r="M965" s="49"/>
      <c r="N965" s="49"/>
      <c r="O965" s="49"/>
      <c r="P965" s="49"/>
      <c r="Q965" s="41"/>
    </row>
    <row r="966" spans="7:17">
      <c r="G966" s="48"/>
      <c r="H966" s="6"/>
      <c r="I966" s="6"/>
      <c r="K966" s="43"/>
      <c r="L966" s="43"/>
      <c r="M966" s="49"/>
      <c r="N966" s="49"/>
      <c r="O966" s="49"/>
      <c r="P966" s="49"/>
      <c r="Q966" s="41"/>
    </row>
    <row r="967" spans="7:17">
      <c r="G967" s="48"/>
      <c r="H967" s="6"/>
      <c r="I967" s="6"/>
      <c r="K967" s="43"/>
      <c r="L967" s="43"/>
      <c r="M967" s="49"/>
      <c r="N967" s="49"/>
      <c r="O967" s="49"/>
      <c r="P967" s="49"/>
      <c r="Q967" s="41"/>
    </row>
    <row r="968" spans="7:17">
      <c r="G968" s="48"/>
      <c r="H968" s="6"/>
      <c r="I968" s="6"/>
      <c r="K968" s="43"/>
      <c r="L968" s="43"/>
      <c r="M968" s="49"/>
      <c r="N968" s="49"/>
      <c r="O968" s="49"/>
      <c r="P968" s="49"/>
      <c r="Q968" s="41"/>
    </row>
    <row r="969" spans="7:17">
      <c r="G969" s="48"/>
      <c r="H969" s="6"/>
      <c r="I969" s="6"/>
      <c r="K969" s="43"/>
      <c r="L969" s="43"/>
      <c r="M969" s="49"/>
      <c r="N969" s="49"/>
      <c r="O969" s="49"/>
      <c r="P969" s="49"/>
      <c r="Q969" s="41"/>
    </row>
    <row r="970" spans="7:17">
      <c r="G970" s="48"/>
      <c r="H970" s="6"/>
      <c r="I970" s="6"/>
      <c r="K970" s="43"/>
      <c r="L970" s="43"/>
      <c r="M970" s="49"/>
      <c r="N970" s="49"/>
      <c r="O970" s="49"/>
      <c r="P970" s="49"/>
      <c r="Q970" s="41"/>
    </row>
    <row r="971" spans="7:17">
      <c r="G971" s="48"/>
      <c r="H971" s="6"/>
      <c r="I971" s="6"/>
      <c r="K971" s="43"/>
      <c r="L971" s="43"/>
      <c r="M971" s="49"/>
      <c r="N971" s="49"/>
      <c r="O971" s="49"/>
      <c r="P971" s="49"/>
      <c r="Q971" s="41"/>
    </row>
    <row r="972" spans="7:17">
      <c r="G972" s="48"/>
      <c r="H972" s="6"/>
      <c r="I972" s="6"/>
      <c r="K972" s="43"/>
      <c r="L972" s="43"/>
      <c r="M972" s="49"/>
      <c r="N972" s="49"/>
      <c r="O972" s="49"/>
      <c r="P972" s="49"/>
      <c r="Q972" s="41"/>
    </row>
    <row r="973" spans="7:17">
      <c r="G973" s="48"/>
      <c r="H973" s="6"/>
      <c r="I973" s="6"/>
      <c r="K973" s="43"/>
      <c r="L973" s="43"/>
      <c r="M973" s="49"/>
      <c r="N973" s="49"/>
      <c r="O973" s="49"/>
      <c r="P973" s="49"/>
      <c r="Q973" s="41"/>
    </row>
    <row r="974" spans="7:17">
      <c r="G974" s="48"/>
      <c r="H974" s="6"/>
      <c r="I974" s="6"/>
      <c r="K974" s="43"/>
      <c r="L974" s="43"/>
      <c r="M974" s="49"/>
      <c r="N974" s="49"/>
      <c r="O974" s="49"/>
      <c r="P974" s="49"/>
      <c r="Q974" s="41"/>
    </row>
    <row r="975" spans="7:17">
      <c r="G975" s="48"/>
      <c r="H975" s="6"/>
      <c r="I975" s="6"/>
      <c r="K975" s="43"/>
      <c r="L975" s="43"/>
      <c r="M975" s="49"/>
      <c r="N975" s="49"/>
      <c r="O975" s="49"/>
      <c r="P975" s="49"/>
      <c r="Q975" s="41"/>
    </row>
    <row r="976" spans="7:17">
      <c r="G976" s="48"/>
      <c r="H976" s="6"/>
      <c r="I976" s="6"/>
      <c r="K976" s="43"/>
      <c r="L976" s="43"/>
      <c r="M976" s="49"/>
      <c r="N976" s="49"/>
      <c r="O976" s="49"/>
      <c r="P976" s="49"/>
      <c r="Q976" s="41"/>
    </row>
    <row r="977" spans="7:17">
      <c r="G977" s="48"/>
      <c r="H977" s="6"/>
      <c r="I977" s="6"/>
      <c r="K977" s="43"/>
      <c r="L977" s="43"/>
      <c r="M977" s="49"/>
      <c r="N977" s="49"/>
      <c r="O977" s="49"/>
      <c r="P977" s="49"/>
      <c r="Q977" s="41"/>
    </row>
    <row r="978" spans="7:17">
      <c r="G978" s="48"/>
      <c r="H978" s="6"/>
      <c r="I978" s="6"/>
      <c r="K978" s="43"/>
      <c r="L978" s="43"/>
      <c r="M978" s="49"/>
      <c r="N978" s="49"/>
      <c r="O978" s="49"/>
      <c r="P978" s="49"/>
      <c r="Q978" s="41"/>
    </row>
    <row r="979" spans="7:17">
      <c r="G979" s="48"/>
      <c r="H979" s="6"/>
      <c r="I979" s="6"/>
      <c r="K979" s="43"/>
      <c r="L979" s="43"/>
      <c r="M979" s="49"/>
      <c r="N979" s="49"/>
      <c r="O979" s="49"/>
      <c r="P979" s="49"/>
      <c r="Q979" s="41"/>
    </row>
    <row r="980" spans="7:17">
      <c r="G980" s="48"/>
      <c r="H980" s="6"/>
      <c r="I980" s="6"/>
      <c r="K980" s="43"/>
      <c r="L980" s="43"/>
      <c r="M980" s="49"/>
      <c r="N980" s="49"/>
      <c r="O980" s="49"/>
      <c r="P980" s="49"/>
      <c r="Q980" s="41"/>
    </row>
    <row r="981" spans="7:17">
      <c r="G981" s="48"/>
      <c r="H981" s="6"/>
      <c r="I981" s="6"/>
      <c r="K981" s="43"/>
      <c r="L981" s="43"/>
      <c r="M981" s="49"/>
      <c r="N981" s="49"/>
      <c r="O981" s="49"/>
      <c r="P981" s="49"/>
      <c r="Q981" s="41"/>
    </row>
    <row r="982" spans="7:17">
      <c r="G982" s="48"/>
      <c r="H982" s="6"/>
      <c r="I982" s="6"/>
      <c r="K982" s="43"/>
      <c r="L982" s="43"/>
      <c r="M982" s="49"/>
      <c r="N982" s="49"/>
      <c r="O982" s="49"/>
      <c r="P982" s="49"/>
      <c r="Q982" s="41"/>
    </row>
    <row r="983" spans="7:17">
      <c r="G983" s="48"/>
      <c r="H983" s="6"/>
      <c r="I983" s="6"/>
      <c r="K983" s="43"/>
      <c r="L983" s="43"/>
      <c r="M983" s="49"/>
      <c r="N983" s="49"/>
      <c r="O983" s="49"/>
      <c r="P983" s="49"/>
      <c r="Q983" s="41"/>
    </row>
    <row r="984" spans="7:17">
      <c r="G984" s="48"/>
      <c r="H984" s="6"/>
      <c r="I984" s="6"/>
      <c r="K984" s="43"/>
      <c r="L984" s="43"/>
      <c r="M984" s="49"/>
      <c r="N984" s="49"/>
      <c r="O984" s="49"/>
      <c r="P984" s="49"/>
      <c r="Q984" s="41"/>
    </row>
    <row r="985" spans="7:17">
      <c r="G985" s="48"/>
      <c r="H985" s="6"/>
      <c r="I985" s="6"/>
      <c r="K985" s="43"/>
      <c r="L985" s="43"/>
      <c r="M985" s="49"/>
      <c r="N985" s="49"/>
      <c r="O985" s="49"/>
      <c r="P985" s="49"/>
      <c r="Q985" s="41"/>
    </row>
    <row r="986" spans="7:17">
      <c r="G986" s="48"/>
      <c r="H986" s="6"/>
      <c r="I986" s="6"/>
      <c r="K986" s="43"/>
      <c r="L986" s="43"/>
      <c r="M986" s="49"/>
      <c r="N986" s="49"/>
      <c r="O986" s="49"/>
      <c r="P986" s="49"/>
      <c r="Q986" s="41"/>
    </row>
    <row r="987" spans="7:17">
      <c r="G987" s="48"/>
      <c r="H987" s="6"/>
      <c r="I987" s="6"/>
      <c r="K987" s="43"/>
      <c r="L987" s="43"/>
      <c r="M987" s="49"/>
      <c r="N987" s="49"/>
      <c r="O987" s="49"/>
      <c r="P987" s="49"/>
      <c r="Q987" s="41"/>
    </row>
    <row r="988" spans="7:17">
      <c r="G988" s="48"/>
      <c r="H988" s="6"/>
      <c r="I988" s="6"/>
      <c r="K988" s="43"/>
      <c r="L988" s="43"/>
      <c r="M988" s="49"/>
      <c r="N988" s="49"/>
      <c r="O988" s="49"/>
      <c r="P988" s="49"/>
      <c r="Q988" s="41"/>
    </row>
    <row r="989" spans="7:17">
      <c r="G989" s="48"/>
      <c r="H989" s="6"/>
      <c r="I989" s="6"/>
      <c r="K989" s="43"/>
      <c r="L989" s="43"/>
      <c r="M989" s="49"/>
      <c r="N989" s="49"/>
      <c r="O989" s="49"/>
      <c r="P989" s="49"/>
      <c r="Q989" s="41"/>
    </row>
    <row r="990" spans="7:17">
      <c r="G990" s="48"/>
      <c r="H990" s="6"/>
      <c r="I990" s="6"/>
      <c r="K990" s="43"/>
      <c r="L990" s="43"/>
      <c r="M990" s="49"/>
      <c r="N990" s="49"/>
      <c r="O990" s="49"/>
      <c r="P990" s="49"/>
      <c r="Q990" s="41"/>
    </row>
    <row r="991" spans="7:17">
      <c r="G991" s="48"/>
      <c r="H991" s="6"/>
      <c r="I991" s="6"/>
      <c r="K991" s="43"/>
      <c r="L991" s="43"/>
      <c r="M991" s="49"/>
      <c r="N991" s="49"/>
      <c r="O991" s="49"/>
      <c r="P991" s="49"/>
      <c r="Q991" s="41"/>
    </row>
    <row r="992" spans="7:17">
      <c r="G992" s="48"/>
      <c r="H992" s="6"/>
      <c r="I992" s="6"/>
      <c r="K992" s="43"/>
      <c r="L992" s="43"/>
      <c r="M992" s="49"/>
      <c r="N992" s="49"/>
      <c r="O992" s="49"/>
      <c r="P992" s="49"/>
      <c r="Q992" s="41"/>
    </row>
    <row r="993" spans="7:17">
      <c r="G993" s="48"/>
      <c r="H993" s="6"/>
      <c r="I993" s="6"/>
      <c r="K993" s="43"/>
      <c r="L993" s="43"/>
      <c r="M993" s="49"/>
      <c r="N993" s="49"/>
      <c r="O993" s="49"/>
      <c r="P993" s="49"/>
      <c r="Q993" s="41"/>
    </row>
    <row r="994" spans="7:17">
      <c r="G994" s="48"/>
      <c r="H994" s="6"/>
      <c r="I994" s="6"/>
      <c r="K994" s="43"/>
      <c r="L994" s="43"/>
      <c r="M994" s="49"/>
      <c r="N994" s="49"/>
      <c r="O994" s="49"/>
      <c r="P994" s="49"/>
      <c r="Q994" s="41"/>
    </row>
    <row r="995" spans="7:17">
      <c r="G995" s="48"/>
      <c r="H995" s="6"/>
      <c r="I995" s="6"/>
      <c r="K995" s="43"/>
      <c r="L995" s="43"/>
      <c r="M995" s="49"/>
      <c r="N995" s="49"/>
      <c r="O995" s="49"/>
      <c r="P995" s="49"/>
      <c r="Q995" s="41"/>
    </row>
    <row r="996" spans="7:17">
      <c r="G996" s="48"/>
      <c r="H996" s="6"/>
      <c r="I996" s="6"/>
      <c r="K996" s="43"/>
      <c r="L996" s="43"/>
      <c r="M996" s="49"/>
      <c r="N996" s="49"/>
      <c r="O996" s="49"/>
      <c r="P996" s="49"/>
      <c r="Q996" s="41"/>
    </row>
    <row r="997" spans="7:17">
      <c r="G997" s="48"/>
      <c r="H997" s="6"/>
      <c r="I997" s="6"/>
      <c r="K997" s="43"/>
      <c r="L997" s="43"/>
      <c r="M997" s="49"/>
      <c r="N997" s="49"/>
      <c r="O997" s="49"/>
      <c r="P997" s="49"/>
      <c r="Q997" s="41"/>
    </row>
    <row r="998" spans="7:17">
      <c r="G998" s="48"/>
      <c r="H998" s="6"/>
      <c r="I998" s="6"/>
      <c r="K998" s="43"/>
      <c r="L998" s="43"/>
      <c r="M998" s="49"/>
      <c r="N998" s="49"/>
      <c r="O998" s="49"/>
      <c r="P998" s="49"/>
      <c r="Q998" s="41"/>
    </row>
    <row r="999" spans="7:17">
      <c r="G999" s="48"/>
      <c r="H999" s="6"/>
      <c r="I999" s="6"/>
      <c r="K999" s="43"/>
      <c r="L999" s="43"/>
      <c r="M999" s="49"/>
      <c r="N999" s="49"/>
      <c r="O999" s="49"/>
      <c r="P999" s="49"/>
      <c r="Q999" s="41"/>
    </row>
    <row r="1000" spans="7:17">
      <c r="G1000" s="48"/>
      <c r="H1000" s="6"/>
      <c r="I1000" s="6"/>
      <c r="K1000" s="43"/>
      <c r="L1000" s="43"/>
      <c r="M1000" s="49"/>
      <c r="N1000" s="49"/>
      <c r="O1000" s="49"/>
      <c r="P1000" s="49"/>
      <c r="Q1000" s="41"/>
    </row>
  </sheetData>
  <dataValidations count="1">
    <dataValidation type="list" allowBlank="1" showErrorMessage="1" sqref="G2:G1000" xr:uid="{00000000-0002-0000-0100-000000000000}">
      <formula1>"in use,not in use"</formula1>
    </dataValidation>
  </dataValidations>
  <hyperlinks>
    <hyperlink ref="C2" r:id="rId1" xr:uid="{00000000-0004-0000-0100-000000000000}"/>
    <hyperlink ref="N2" r:id="rId2" xr:uid="{00000000-0004-0000-0100-000001000000}"/>
    <hyperlink ref="P2" r:id="rId3" xr:uid="{00000000-0004-0000-0100-000002000000}"/>
    <hyperlink ref="Q2" r:id="rId4" xr:uid="{00000000-0004-0000-0100-000003000000}"/>
    <hyperlink ref="C3" r:id="rId5" xr:uid="{00000000-0004-0000-0100-000004000000}"/>
    <hyperlink ref="N3" r:id="rId6" xr:uid="{00000000-0004-0000-0100-000005000000}"/>
    <hyperlink ref="P3" r:id="rId7" xr:uid="{00000000-0004-0000-0100-000006000000}"/>
    <hyperlink ref="Q3" r:id="rId8" xr:uid="{00000000-0004-0000-0100-000007000000}"/>
    <hyperlink ref="C4" r:id="rId9" xr:uid="{00000000-0004-0000-0100-000008000000}"/>
    <hyperlink ref="N4" r:id="rId10" xr:uid="{00000000-0004-0000-0100-000009000000}"/>
    <hyperlink ref="P4" r:id="rId11" xr:uid="{00000000-0004-0000-0100-00000A000000}"/>
    <hyperlink ref="Q4" r:id="rId12" xr:uid="{00000000-0004-0000-0100-00000B000000}"/>
    <hyperlink ref="C5" r:id="rId13" xr:uid="{00000000-0004-0000-0100-00000C000000}"/>
    <hyperlink ref="N5" r:id="rId14" xr:uid="{00000000-0004-0000-0100-00000D000000}"/>
    <hyperlink ref="P5" r:id="rId15" xr:uid="{00000000-0004-0000-0100-00000E000000}"/>
    <hyperlink ref="Q5" r:id="rId16" xr:uid="{00000000-0004-0000-0100-00000F000000}"/>
    <hyperlink ref="C6" r:id="rId17" xr:uid="{00000000-0004-0000-0100-000010000000}"/>
    <hyperlink ref="P6" r:id="rId18" xr:uid="{00000000-0004-0000-0100-000011000000}"/>
    <hyperlink ref="Q6" r:id="rId19" xr:uid="{00000000-0004-0000-0100-000012000000}"/>
    <hyperlink ref="C7" r:id="rId20" xr:uid="{00000000-0004-0000-0100-000013000000}"/>
    <hyperlink ref="N7" r:id="rId21" xr:uid="{00000000-0004-0000-0100-000014000000}"/>
    <hyperlink ref="P7" r:id="rId22" xr:uid="{00000000-0004-0000-0100-000015000000}"/>
    <hyperlink ref="Q7" r:id="rId23" xr:uid="{00000000-0004-0000-0100-000016000000}"/>
    <hyperlink ref="C8" r:id="rId24" xr:uid="{00000000-0004-0000-0100-000017000000}"/>
    <hyperlink ref="P8" r:id="rId25" xr:uid="{00000000-0004-0000-0100-000018000000}"/>
    <hyperlink ref="C9" r:id="rId26" xr:uid="{00000000-0004-0000-0100-000019000000}"/>
    <hyperlink ref="P9" r:id="rId27" xr:uid="{00000000-0004-0000-0100-00001A000000}"/>
    <hyperlink ref="C10" r:id="rId28" xr:uid="{00000000-0004-0000-0100-00001B000000}"/>
    <hyperlink ref="N10" r:id="rId29" xr:uid="{00000000-0004-0000-0100-00001C000000}"/>
    <hyperlink ref="P10" r:id="rId30" xr:uid="{00000000-0004-0000-0100-00001D000000}"/>
    <hyperlink ref="Q10" r:id="rId31" xr:uid="{00000000-0004-0000-0100-00001E000000}"/>
    <hyperlink ref="C11" r:id="rId32" xr:uid="{00000000-0004-0000-0100-00001F000000}"/>
    <hyperlink ref="N11" r:id="rId33" xr:uid="{00000000-0004-0000-0100-000020000000}"/>
    <hyperlink ref="P11" r:id="rId34" xr:uid="{00000000-0004-0000-0100-000021000000}"/>
    <hyperlink ref="Q11" r:id="rId35" xr:uid="{00000000-0004-0000-0100-000022000000}"/>
    <hyperlink ref="C12" r:id="rId36" xr:uid="{00000000-0004-0000-0100-000023000000}"/>
    <hyperlink ref="P12" r:id="rId37" xr:uid="{00000000-0004-0000-0100-000024000000}"/>
    <hyperlink ref="Q12" r:id="rId38" xr:uid="{00000000-0004-0000-0100-000025000000}"/>
    <hyperlink ref="C13" r:id="rId39" xr:uid="{00000000-0004-0000-0100-000026000000}"/>
    <hyperlink ref="M13" r:id="rId40" xr:uid="{00000000-0004-0000-0100-000027000000}"/>
    <hyperlink ref="N13" r:id="rId41" xr:uid="{00000000-0004-0000-0100-000028000000}"/>
    <hyperlink ref="O13" r:id="rId42" xr:uid="{00000000-0004-0000-0100-000029000000}"/>
    <hyperlink ref="P13" r:id="rId43" xr:uid="{00000000-0004-0000-0100-00002A000000}"/>
    <hyperlink ref="Q13" r:id="rId44" xr:uid="{00000000-0004-0000-0100-00002B000000}"/>
    <hyperlink ref="C14" r:id="rId45" xr:uid="{00000000-0004-0000-0100-00002C000000}"/>
    <hyperlink ref="M14" r:id="rId46" xr:uid="{00000000-0004-0000-0100-00002D000000}"/>
    <hyperlink ref="N14" r:id="rId47" xr:uid="{00000000-0004-0000-0100-00002E000000}"/>
    <hyperlink ref="O14" r:id="rId48" xr:uid="{00000000-0004-0000-0100-00002F000000}"/>
    <hyperlink ref="P14" r:id="rId49" xr:uid="{00000000-0004-0000-0100-000030000000}"/>
    <hyperlink ref="Q14" r:id="rId50" xr:uid="{00000000-0004-0000-0100-000031000000}"/>
    <hyperlink ref="C15" r:id="rId51" xr:uid="{00000000-0004-0000-0100-000032000000}"/>
    <hyperlink ref="M15" r:id="rId52" xr:uid="{00000000-0004-0000-0100-000033000000}"/>
    <hyperlink ref="N15" r:id="rId53" xr:uid="{00000000-0004-0000-0100-000034000000}"/>
    <hyperlink ref="O15" r:id="rId54" xr:uid="{00000000-0004-0000-0100-000035000000}"/>
    <hyperlink ref="P15" r:id="rId55" xr:uid="{00000000-0004-0000-0100-000036000000}"/>
    <hyperlink ref="Q15" r:id="rId56" xr:uid="{00000000-0004-0000-0100-000037000000}"/>
    <hyperlink ref="C16" r:id="rId57" xr:uid="{00000000-0004-0000-0100-000038000000}"/>
    <hyperlink ref="P16" r:id="rId58" xr:uid="{00000000-0004-0000-0100-000039000000}"/>
    <hyperlink ref="C17" r:id="rId59" xr:uid="{00000000-0004-0000-0100-00003A000000}"/>
    <hyperlink ref="M17" r:id="rId60" xr:uid="{00000000-0004-0000-0100-00003B000000}"/>
    <hyperlink ref="N17" r:id="rId61" xr:uid="{00000000-0004-0000-0100-00003C000000}"/>
    <hyperlink ref="O17" r:id="rId62" xr:uid="{00000000-0004-0000-0100-00003D000000}"/>
    <hyperlink ref="P17" r:id="rId63" xr:uid="{00000000-0004-0000-0100-00003E000000}"/>
    <hyperlink ref="Q17" r:id="rId64" xr:uid="{00000000-0004-0000-0100-00003F000000}"/>
    <hyperlink ref="C18" r:id="rId65" xr:uid="{00000000-0004-0000-0100-000040000000}"/>
    <hyperlink ref="P18" r:id="rId66" xr:uid="{00000000-0004-0000-0100-000041000000}"/>
    <hyperlink ref="Q18" r:id="rId67" xr:uid="{00000000-0004-0000-0100-000042000000}"/>
    <hyperlink ref="C19" r:id="rId68" xr:uid="{00000000-0004-0000-0100-000043000000}"/>
    <hyperlink ref="P19" r:id="rId69" xr:uid="{00000000-0004-0000-0100-000044000000}"/>
    <hyperlink ref="Q19" r:id="rId70" xr:uid="{00000000-0004-0000-0100-000045000000}"/>
    <hyperlink ref="C20" r:id="rId71" xr:uid="{00000000-0004-0000-0100-000046000000}"/>
    <hyperlink ref="M20" r:id="rId72" xr:uid="{00000000-0004-0000-0100-000047000000}"/>
    <hyperlink ref="N20" r:id="rId73" xr:uid="{00000000-0004-0000-0100-000048000000}"/>
    <hyperlink ref="O20" r:id="rId74" xr:uid="{00000000-0004-0000-0100-000049000000}"/>
    <hyperlink ref="P20" r:id="rId75" xr:uid="{00000000-0004-0000-0100-00004A000000}"/>
    <hyperlink ref="Q20" r:id="rId76" xr:uid="{00000000-0004-0000-0100-00004B000000}"/>
    <hyperlink ref="C21" r:id="rId77" xr:uid="{00000000-0004-0000-0100-00004C000000}"/>
    <hyperlink ref="M21" r:id="rId78" xr:uid="{00000000-0004-0000-0100-00004D000000}"/>
    <hyperlink ref="N21" r:id="rId79" xr:uid="{00000000-0004-0000-0100-00004E000000}"/>
    <hyperlink ref="O21" r:id="rId80" xr:uid="{00000000-0004-0000-0100-00004F000000}"/>
    <hyperlink ref="P21" r:id="rId81" xr:uid="{00000000-0004-0000-0100-000050000000}"/>
    <hyperlink ref="C22" r:id="rId82" xr:uid="{00000000-0004-0000-0100-000051000000}"/>
    <hyperlink ref="P22" r:id="rId83" xr:uid="{00000000-0004-0000-0100-000052000000}"/>
    <hyperlink ref="Q22" r:id="rId84" xr:uid="{00000000-0004-0000-0100-000053000000}"/>
    <hyperlink ref="C23" r:id="rId85" xr:uid="{00000000-0004-0000-0100-000054000000}"/>
    <hyperlink ref="P23" r:id="rId86" xr:uid="{00000000-0004-0000-0100-000055000000}"/>
    <hyperlink ref="Q23" r:id="rId87" xr:uid="{00000000-0004-0000-0100-000056000000}"/>
    <hyperlink ref="C24" r:id="rId88" xr:uid="{00000000-0004-0000-0100-000057000000}"/>
    <hyperlink ref="P24" r:id="rId89" xr:uid="{00000000-0004-0000-0100-000058000000}"/>
    <hyperlink ref="Q24" r:id="rId90" xr:uid="{00000000-0004-0000-0100-000059000000}"/>
    <hyperlink ref="C25" r:id="rId91" xr:uid="{00000000-0004-0000-0100-00005A000000}"/>
    <hyperlink ref="P25" r:id="rId92" xr:uid="{00000000-0004-0000-0100-00005B000000}"/>
    <hyperlink ref="Q25" r:id="rId93" xr:uid="{00000000-0004-0000-0100-00005C000000}"/>
    <hyperlink ref="C26" r:id="rId94" xr:uid="{00000000-0004-0000-0100-00005D000000}"/>
    <hyperlink ref="P26" r:id="rId95" xr:uid="{00000000-0004-0000-0100-00005E000000}"/>
    <hyperlink ref="Q26" r:id="rId96" xr:uid="{00000000-0004-0000-0100-00005F000000}"/>
    <hyperlink ref="C27" r:id="rId97" xr:uid="{00000000-0004-0000-0100-000060000000}"/>
    <hyperlink ref="P27" r:id="rId98" xr:uid="{00000000-0004-0000-0100-000061000000}"/>
    <hyperlink ref="Q27" r:id="rId99" xr:uid="{00000000-0004-0000-0100-000062000000}"/>
    <hyperlink ref="C28" r:id="rId100" xr:uid="{00000000-0004-0000-0100-000063000000}"/>
    <hyperlink ref="M28" r:id="rId101" xr:uid="{00000000-0004-0000-0100-000064000000}"/>
    <hyperlink ref="N28" r:id="rId102" xr:uid="{00000000-0004-0000-0100-000065000000}"/>
    <hyperlink ref="O28" r:id="rId103" xr:uid="{00000000-0004-0000-0100-000066000000}"/>
    <hyperlink ref="P28" r:id="rId104" xr:uid="{00000000-0004-0000-0100-000067000000}"/>
    <hyperlink ref="Q28" r:id="rId105" xr:uid="{00000000-0004-0000-0100-000068000000}"/>
    <hyperlink ref="M29" r:id="rId106" xr:uid="{00000000-0004-0000-0100-000069000000}"/>
    <hyperlink ref="O29" r:id="rId107" xr:uid="{00000000-0004-0000-0100-00006A000000}"/>
    <hyperlink ref="P29" r:id="rId108" xr:uid="{00000000-0004-0000-0100-00006B000000}"/>
    <hyperlink ref="C30" r:id="rId109" xr:uid="{00000000-0004-0000-0100-00006C000000}"/>
    <hyperlink ref="M30" r:id="rId110" xr:uid="{00000000-0004-0000-0100-00006D000000}"/>
    <hyperlink ref="N30" r:id="rId111" xr:uid="{00000000-0004-0000-0100-00006E000000}"/>
    <hyperlink ref="O30" r:id="rId112" xr:uid="{00000000-0004-0000-0100-00006F000000}"/>
    <hyperlink ref="P30" r:id="rId113" xr:uid="{00000000-0004-0000-0100-000070000000}"/>
    <hyperlink ref="Q30" r:id="rId114" xr:uid="{00000000-0004-0000-0100-000071000000}"/>
    <hyperlink ref="C31" r:id="rId115" xr:uid="{00000000-0004-0000-0100-000072000000}"/>
    <hyperlink ref="P31" r:id="rId116" xr:uid="{00000000-0004-0000-0100-000073000000}"/>
    <hyperlink ref="C32" r:id="rId117" xr:uid="{00000000-0004-0000-0100-000074000000}"/>
    <hyperlink ref="P32" r:id="rId118" xr:uid="{00000000-0004-0000-0100-000075000000}"/>
    <hyperlink ref="Q32" r:id="rId119" xr:uid="{00000000-0004-0000-0100-000076000000}"/>
    <hyperlink ref="C33" r:id="rId120" xr:uid="{00000000-0004-0000-0100-000077000000}"/>
    <hyperlink ref="Q33" r:id="rId121" xr:uid="{00000000-0004-0000-0100-000078000000}"/>
    <hyperlink ref="C34" r:id="rId122" xr:uid="{00000000-0004-0000-0100-000079000000}"/>
    <hyperlink ref="P34" r:id="rId123" xr:uid="{00000000-0004-0000-0100-00007A000000}"/>
    <hyperlink ref="C35" r:id="rId124" xr:uid="{00000000-0004-0000-0100-00007B000000}"/>
    <hyperlink ref="M35" r:id="rId125" xr:uid="{00000000-0004-0000-0100-00007C000000}"/>
    <hyperlink ref="N35" r:id="rId126" xr:uid="{00000000-0004-0000-0100-00007D000000}"/>
    <hyperlink ref="O35" r:id="rId127" xr:uid="{00000000-0004-0000-0100-00007E000000}"/>
    <hyperlink ref="P35" r:id="rId128" xr:uid="{00000000-0004-0000-0100-00007F000000}"/>
    <hyperlink ref="Q35" r:id="rId129" xr:uid="{00000000-0004-0000-0100-000080000000}"/>
    <hyperlink ref="C36" r:id="rId130" xr:uid="{00000000-0004-0000-0100-000081000000}"/>
    <hyperlink ref="M36" r:id="rId131" xr:uid="{00000000-0004-0000-0100-000082000000}"/>
    <hyperlink ref="N36" r:id="rId132" xr:uid="{00000000-0004-0000-0100-000083000000}"/>
    <hyperlink ref="O36" r:id="rId133" xr:uid="{00000000-0004-0000-0100-000084000000}"/>
    <hyperlink ref="P36" r:id="rId134" xr:uid="{00000000-0004-0000-0100-000085000000}"/>
    <hyperlink ref="Q36" r:id="rId135" xr:uid="{00000000-0004-0000-0100-000086000000}"/>
    <hyperlink ref="C37" r:id="rId136" xr:uid="{00000000-0004-0000-0100-000087000000}"/>
    <hyperlink ref="M37" r:id="rId137" xr:uid="{00000000-0004-0000-0100-000088000000}"/>
    <hyperlink ref="N37" r:id="rId138" xr:uid="{00000000-0004-0000-0100-000089000000}"/>
    <hyperlink ref="O37" r:id="rId139" xr:uid="{00000000-0004-0000-0100-00008A000000}"/>
    <hyperlink ref="P37" r:id="rId140" xr:uid="{00000000-0004-0000-0100-00008B000000}"/>
    <hyperlink ref="Q37" r:id="rId141" xr:uid="{00000000-0004-0000-0100-00008C000000}"/>
    <hyperlink ref="C38" r:id="rId142" xr:uid="{00000000-0004-0000-0100-00008D000000}"/>
    <hyperlink ref="N38" r:id="rId143" xr:uid="{00000000-0004-0000-0100-00008E000000}"/>
    <hyperlink ref="P38" r:id="rId144" xr:uid="{00000000-0004-0000-0100-00008F000000}"/>
    <hyperlink ref="Q38" r:id="rId145" xr:uid="{00000000-0004-0000-0100-000090000000}"/>
    <hyperlink ref="C39" r:id="rId146" xr:uid="{00000000-0004-0000-0100-000091000000}"/>
    <hyperlink ref="P39" r:id="rId147" xr:uid="{00000000-0004-0000-0100-000092000000}"/>
    <hyperlink ref="Q39" r:id="rId148" xr:uid="{00000000-0004-0000-0100-000093000000}"/>
    <hyperlink ref="C40" r:id="rId149" xr:uid="{00000000-0004-0000-0100-000094000000}"/>
    <hyperlink ref="N40" r:id="rId150" xr:uid="{00000000-0004-0000-0100-000095000000}"/>
    <hyperlink ref="P40" r:id="rId151" xr:uid="{00000000-0004-0000-0100-000096000000}"/>
    <hyperlink ref="Q40" r:id="rId152" xr:uid="{00000000-0004-0000-0100-000097000000}"/>
    <hyperlink ref="C41" r:id="rId153" xr:uid="{00000000-0004-0000-0100-000098000000}"/>
    <hyperlink ref="M41" r:id="rId154" xr:uid="{00000000-0004-0000-0100-000099000000}"/>
    <hyperlink ref="N41" r:id="rId155" xr:uid="{00000000-0004-0000-0100-00009A000000}"/>
    <hyperlink ref="O41" r:id="rId156" xr:uid="{00000000-0004-0000-0100-00009B000000}"/>
    <hyperlink ref="P41" r:id="rId157" xr:uid="{00000000-0004-0000-0100-00009C000000}"/>
    <hyperlink ref="Q41" r:id="rId158" xr:uid="{00000000-0004-0000-0100-00009D000000}"/>
    <hyperlink ref="C42" r:id="rId159" xr:uid="{00000000-0004-0000-0100-00009E000000}"/>
    <hyperlink ref="M42" r:id="rId160" xr:uid="{00000000-0004-0000-0100-00009F000000}"/>
    <hyperlink ref="N42" r:id="rId161" xr:uid="{00000000-0004-0000-0100-0000A0000000}"/>
    <hyperlink ref="O42" r:id="rId162" xr:uid="{00000000-0004-0000-0100-0000A1000000}"/>
    <hyperlink ref="P42" r:id="rId163" xr:uid="{00000000-0004-0000-0100-0000A2000000}"/>
    <hyperlink ref="Q42" r:id="rId164" xr:uid="{00000000-0004-0000-0100-0000A3000000}"/>
    <hyperlink ref="C43" r:id="rId165" xr:uid="{00000000-0004-0000-0100-0000A4000000}"/>
    <hyperlink ref="M43" r:id="rId166" xr:uid="{00000000-0004-0000-0100-0000A5000000}"/>
    <hyperlink ref="O43" r:id="rId167" xr:uid="{00000000-0004-0000-0100-0000A6000000}"/>
    <hyperlink ref="P43" r:id="rId168" xr:uid="{00000000-0004-0000-0100-0000A7000000}"/>
    <hyperlink ref="Q43" r:id="rId169" xr:uid="{00000000-0004-0000-0100-0000A8000000}"/>
    <hyperlink ref="C44" r:id="rId170" xr:uid="{00000000-0004-0000-0100-0000A9000000}"/>
    <hyperlink ref="P44" r:id="rId171" xr:uid="{00000000-0004-0000-0100-0000AA000000}"/>
    <hyperlink ref="Q44" r:id="rId172" xr:uid="{00000000-0004-0000-0100-0000AB000000}"/>
    <hyperlink ref="C45" r:id="rId173" xr:uid="{00000000-0004-0000-0100-0000AC000000}"/>
    <hyperlink ref="P45" r:id="rId174" xr:uid="{00000000-0004-0000-0100-0000AD000000}"/>
    <hyperlink ref="Q45" r:id="rId175" xr:uid="{00000000-0004-0000-0100-0000AE000000}"/>
    <hyperlink ref="C46" r:id="rId176" xr:uid="{00000000-0004-0000-0100-0000AF000000}"/>
    <hyperlink ref="M46" r:id="rId177" xr:uid="{00000000-0004-0000-0100-0000B0000000}"/>
    <hyperlink ref="O46" r:id="rId178" xr:uid="{00000000-0004-0000-0100-0000B1000000}"/>
    <hyperlink ref="P46" r:id="rId179" xr:uid="{00000000-0004-0000-0100-0000B2000000}"/>
    <hyperlink ref="Q46" r:id="rId180" xr:uid="{00000000-0004-0000-0100-0000B3000000}"/>
    <hyperlink ref="C47" r:id="rId181" xr:uid="{00000000-0004-0000-0100-0000B4000000}"/>
    <hyperlink ref="M47" r:id="rId182" xr:uid="{00000000-0004-0000-0100-0000B5000000}"/>
    <hyperlink ref="N47" r:id="rId183" xr:uid="{00000000-0004-0000-0100-0000B6000000}"/>
    <hyperlink ref="O47" r:id="rId184" xr:uid="{00000000-0004-0000-0100-0000B7000000}"/>
    <hyperlink ref="P47" r:id="rId185" xr:uid="{00000000-0004-0000-0100-0000B8000000}"/>
    <hyperlink ref="Q47" r:id="rId186" xr:uid="{00000000-0004-0000-0100-0000B9000000}"/>
    <hyperlink ref="C48" r:id="rId187" xr:uid="{00000000-0004-0000-0100-0000BA000000}"/>
    <hyperlink ref="P48" r:id="rId188" xr:uid="{00000000-0004-0000-0100-0000BB000000}"/>
    <hyperlink ref="Q48" r:id="rId189" xr:uid="{00000000-0004-0000-0100-0000BC000000}"/>
    <hyperlink ref="C49" r:id="rId190" xr:uid="{00000000-0004-0000-0100-0000BD000000}"/>
    <hyperlink ref="M49" r:id="rId191" xr:uid="{00000000-0004-0000-0100-0000BE000000}"/>
    <hyperlink ref="O49" r:id="rId192" xr:uid="{00000000-0004-0000-0100-0000BF000000}"/>
    <hyperlink ref="P49" r:id="rId193" xr:uid="{00000000-0004-0000-0100-0000C0000000}"/>
    <hyperlink ref="Q49" r:id="rId194" xr:uid="{00000000-0004-0000-0100-0000C1000000}"/>
    <hyperlink ref="C50" r:id="rId195" xr:uid="{00000000-0004-0000-0100-0000C2000000}"/>
    <hyperlink ref="M50" r:id="rId196" xr:uid="{00000000-0004-0000-0100-0000C3000000}"/>
    <hyperlink ref="O50" r:id="rId197" xr:uid="{00000000-0004-0000-0100-0000C4000000}"/>
    <hyperlink ref="P50" r:id="rId198" xr:uid="{00000000-0004-0000-0100-0000C5000000}"/>
    <hyperlink ref="Q50" r:id="rId199" xr:uid="{00000000-0004-0000-0100-0000C6000000}"/>
    <hyperlink ref="C51" r:id="rId200" xr:uid="{00000000-0004-0000-0100-0000C7000000}"/>
    <hyperlink ref="M51" r:id="rId201" xr:uid="{00000000-0004-0000-0100-0000C8000000}"/>
    <hyperlink ref="N51" r:id="rId202" xr:uid="{00000000-0004-0000-0100-0000C9000000}"/>
    <hyperlink ref="O51" r:id="rId203" xr:uid="{00000000-0004-0000-0100-0000CA000000}"/>
    <hyperlink ref="P51" r:id="rId204" xr:uid="{00000000-0004-0000-0100-0000CB000000}"/>
    <hyperlink ref="Q51" r:id="rId205" xr:uid="{00000000-0004-0000-0100-0000CC000000}"/>
    <hyperlink ref="C52" r:id="rId206" xr:uid="{00000000-0004-0000-0100-0000CD000000}"/>
    <hyperlink ref="M52" r:id="rId207" xr:uid="{00000000-0004-0000-0100-0000CE000000}"/>
    <hyperlink ref="O52" r:id="rId208" xr:uid="{00000000-0004-0000-0100-0000CF000000}"/>
    <hyperlink ref="P52" r:id="rId209" xr:uid="{00000000-0004-0000-0100-0000D0000000}"/>
    <hyperlink ref="Q52" r:id="rId210" xr:uid="{00000000-0004-0000-0100-0000D1000000}"/>
    <hyperlink ref="C53" r:id="rId211" xr:uid="{00000000-0004-0000-0100-0000D2000000}"/>
    <hyperlink ref="M53" r:id="rId212" xr:uid="{00000000-0004-0000-0100-0000D3000000}"/>
    <hyperlink ref="N53" r:id="rId213" xr:uid="{00000000-0004-0000-0100-0000D4000000}"/>
    <hyperlink ref="O53" r:id="rId214" xr:uid="{00000000-0004-0000-0100-0000D5000000}"/>
    <hyperlink ref="P53" r:id="rId215" xr:uid="{00000000-0004-0000-0100-0000D6000000}"/>
    <hyperlink ref="Q53" r:id="rId216" xr:uid="{00000000-0004-0000-0100-0000D7000000}"/>
    <hyperlink ref="C54" r:id="rId217" xr:uid="{00000000-0004-0000-0100-0000D8000000}"/>
    <hyperlink ref="P54" r:id="rId218" xr:uid="{00000000-0004-0000-0100-0000D9000000}"/>
    <hyperlink ref="Q54" r:id="rId219" xr:uid="{00000000-0004-0000-0100-0000DA000000}"/>
    <hyperlink ref="C55" r:id="rId220" xr:uid="{00000000-0004-0000-0100-0000DB000000}"/>
    <hyperlink ref="M55" r:id="rId221" xr:uid="{00000000-0004-0000-0100-0000DC000000}"/>
    <hyperlink ref="O55" r:id="rId222" xr:uid="{00000000-0004-0000-0100-0000DD000000}"/>
    <hyperlink ref="P55" r:id="rId223" xr:uid="{00000000-0004-0000-0100-0000DE000000}"/>
    <hyperlink ref="Q55" r:id="rId224" xr:uid="{00000000-0004-0000-0100-0000DF000000}"/>
    <hyperlink ref="C56" r:id="rId225" xr:uid="{00000000-0004-0000-0100-0000E0000000}"/>
    <hyperlink ref="P56" r:id="rId226" xr:uid="{00000000-0004-0000-0100-0000E1000000}"/>
    <hyperlink ref="Q56" r:id="rId227" xr:uid="{00000000-0004-0000-0100-0000E2000000}"/>
    <hyperlink ref="C57" r:id="rId228" xr:uid="{00000000-0004-0000-0100-0000E3000000}"/>
    <hyperlink ref="P57" r:id="rId229" xr:uid="{00000000-0004-0000-0100-0000E4000000}"/>
    <hyperlink ref="Q57" r:id="rId230" xr:uid="{00000000-0004-0000-0100-0000E5000000}"/>
    <hyperlink ref="C58" r:id="rId231" xr:uid="{00000000-0004-0000-0100-0000E6000000}"/>
    <hyperlink ref="P58" r:id="rId232" xr:uid="{00000000-0004-0000-0100-0000E7000000}"/>
    <hyperlink ref="Q58" r:id="rId233" xr:uid="{00000000-0004-0000-0100-0000E8000000}"/>
    <hyperlink ref="C59" r:id="rId234" xr:uid="{00000000-0004-0000-0100-0000E9000000}"/>
    <hyperlink ref="M59" r:id="rId235" xr:uid="{00000000-0004-0000-0100-0000EA000000}"/>
    <hyperlink ref="N59" r:id="rId236" xr:uid="{00000000-0004-0000-0100-0000EB000000}"/>
    <hyperlink ref="O59" r:id="rId237" xr:uid="{00000000-0004-0000-0100-0000EC000000}"/>
    <hyperlink ref="P59" r:id="rId238" xr:uid="{00000000-0004-0000-0100-0000ED000000}"/>
    <hyperlink ref="Q59" r:id="rId239" xr:uid="{00000000-0004-0000-0100-0000EE000000}"/>
    <hyperlink ref="C60" r:id="rId240" xr:uid="{00000000-0004-0000-0100-0000EF000000}"/>
    <hyperlink ref="P60" r:id="rId241" xr:uid="{00000000-0004-0000-0100-0000F0000000}"/>
    <hyperlink ref="Q60" r:id="rId242" xr:uid="{00000000-0004-0000-0100-0000F1000000}"/>
    <hyperlink ref="C61" r:id="rId243" xr:uid="{00000000-0004-0000-0100-0000F2000000}"/>
    <hyperlink ref="P61" r:id="rId244" xr:uid="{00000000-0004-0000-0100-0000F3000000}"/>
    <hyperlink ref="Q61" r:id="rId245" xr:uid="{00000000-0004-0000-0100-0000F4000000}"/>
    <hyperlink ref="C62" r:id="rId246" xr:uid="{00000000-0004-0000-0100-0000F5000000}"/>
    <hyperlink ref="P62" r:id="rId247" xr:uid="{00000000-0004-0000-0100-0000F6000000}"/>
    <hyperlink ref="Q62" r:id="rId248" xr:uid="{00000000-0004-0000-0100-0000F7000000}"/>
    <hyperlink ref="C63" r:id="rId249" xr:uid="{00000000-0004-0000-0100-0000F8000000}"/>
    <hyperlink ref="M63" r:id="rId250" xr:uid="{00000000-0004-0000-0100-0000F9000000}"/>
    <hyperlink ref="O63" r:id="rId251" xr:uid="{00000000-0004-0000-0100-0000FA000000}"/>
    <hyperlink ref="P63" r:id="rId252" xr:uid="{00000000-0004-0000-0100-0000FB000000}"/>
    <hyperlink ref="Q63" r:id="rId253" xr:uid="{00000000-0004-0000-0100-0000FC000000}"/>
    <hyperlink ref="C64" r:id="rId254" xr:uid="{00000000-0004-0000-0100-0000FD000000}"/>
    <hyperlink ref="P64" r:id="rId255" xr:uid="{00000000-0004-0000-0100-0000FE000000}"/>
    <hyperlink ref="C65" r:id="rId256" xr:uid="{00000000-0004-0000-0100-0000FF000000}"/>
    <hyperlink ref="N65" r:id="rId257" xr:uid="{00000000-0004-0000-0100-000000010000}"/>
    <hyperlink ref="P65" r:id="rId258" xr:uid="{00000000-0004-0000-0100-000001010000}"/>
    <hyperlink ref="Q65" r:id="rId259" xr:uid="{00000000-0004-0000-0100-000002010000}"/>
    <hyperlink ref="C66" r:id="rId260" xr:uid="{00000000-0004-0000-0100-000003010000}"/>
    <hyperlink ref="P66" r:id="rId261" xr:uid="{00000000-0004-0000-0100-000004010000}"/>
    <hyperlink ref="Q66" r:id="rId262" xr:uid="{00000000-0004-0000-0100-000005010000}"/>
    <hyperlink ref="C67" r:id="rId263" xr:uid="{00000000-0004-0000-0100-000006010000}"/>
    <hyperlink ref="P67" r:id="rId264" xr:uid="{00000000-0004-0000-0100-000007010000}"/>
    <hyperlink ref="Q67" r:id="rId265" xr:uid="{00000000-0004-0000-0100-000008010000}"/>
    <hyperlink ref="C68" r:id="rId266" xr:uid="{00000000-0004-0000-0100-000009010000}"/>
    <hyperlink ref="P68" r:id="rId267" xr:uid="{00000000-0004-0000-0100-00000A010000}"/>
    <hyperlink ref="Q68" r:id="rId268" xr:uid="{00000000-0004-0000-0100-00000B010000}"/>
    <hyperlink ref="C69" r:id="rId269" xr:uid="{00000000-0004-0000-0100-00000C010000}"/>
    <hyperlink ref="N69" r:id="rId270" xr:uid="{00000000-0004-0000-0100-00000D010000}"/>
    <hyperlink ref="P69" r:id="rId271" xr:uid="{00000000-0004-0000-0100-00000E010000}"/>
    <hyperlink ref="Q69" r:id="rId272" xr:uid="{00000000-0004-0000-0100-00000F010000}"/>
    <hyperlink ref="C70" r:id="rId273" xr:uid="{00000000-0004-0000-0100-000010010000}"/>
    <hyperlink ref="N70" r:id="rId274" xr:uid="{00000000-0004-0000-0100-000011010000}"/>
    <hyperlink ref="P70" r:id="rId275" xr:uid="{00000000-0004-0000-0100-000012010000}"/>
    <hyperlink ref="Q70" r:id="rId276" xr:uid="{00000000-0004-0000-0100-000013010000}"/>
    <hyperlink ref="C71" r:id="rId277" xr:uid="{00000000-0004-0000-0100-000014010000}"/>
    <hyperlink ref="M71" r:id="rId278" xr:uid="{00000000-0004-0000-0100-000015010000}"/>
    <hyperlink ref="N71" r:id="rId279" xr:uid="{00000000-0004-0000-0100-000016010000}"/>
    <hyperlink ref="O71" r:id="rId280" xr:uid="{00000000-0004-0000-0100-000017010000}"/>
    <hyperlink ref="P71" r:id="rId281" xr:uid="{00000000-0004-0000-0100-000018010000}"/>
    <hyperlink ref="Q71" r:id="rId282" xr:uid="{00000000-0004-0000-0100-000019010000}"/>
    <hyperlink ref="C72" r:id="rId283" xr:uid="{00000000-0004-0000-0100-00001A010000}"/>
    <hyperlink ref="M72" r:id="rId284" xr:uid="{00000000-0004-0000-0100-00001B010000}"/>
    <hyperlink ref="N72" r:id="rId285" xr:uid="{00000000-0004-0000-0100-00001C010000}"/>
    <hyperlink ref="O72" r:id="rId286" xr:uid="{00000000-0004-0000-0100-00001D010000}"/>
    <hyperlink ref="P72" r:id="rId287" xr:uid="{00000000-0004-0000-0100-00001E010000}"/>
    <hyperlink ref="Q72" r:id="rId288" xr:uid="{00000000-0004-0000-0100-00001F010000}"/>
    <hyperlink ref="C73" r:id="rId289" xr:uid="{00000000-0004-0000-0100-000020010000}"/>
    <hyperlink ref="M73" r:id="rId290" xr:uid="{00000000-0004-0000-0100-000021010000}"/>
    <hyperlink ref="O73" r:id="rId291" xr:uid="{00000000-0004-0000-0100-000022010000}"/>
    <hyperlink ref="P73" r:id="rId292" xr:uid="{00000000-0004-0000-0100-000023010000}"/>
    <hyperlink ref="Q73" r:id="rId293" xr:uid="{00000000-0004-0000-0100-000024010000}"/>
    <hyperlink ref="C74" r:id="rId294" xr:uid="{00000000-0004-0000-0100-000025010000}"/>
    <hyperlink ref="M74" r:id="rId295" xr:uid="{00000000-0004-0000-0100-000026010000}"/>
    <hyperlink ref="N74" r:id="rId296" xr:uid="{00000000-0004-0000-0100-000027010000}"/>
    <hyperlink ref="O74" r:id="rId297" xr:uid="{00000000-0004-0000-0100-000028010000}"/>
    <hyperlink ref="P74" r:id="rId298" xr:uid="{00000000-0004-0000-0100-000029010000}"/>
    <hyperlink ref="Q74" r:id="rId299" xr:uid="{00000000-0004-0000-0100-00002A010000}"/>
    <hyperlink ref="C75" r:id="rId300" xr:uid="{00000000-0004-0000-0100-00002B010000}"/>
    <hyperlink ref="P75" r:id="rId301" xr:uid="{00000000-0004-0000-0100-00002C010000}"/>
    <hyperlink ref="Q75" r:id="rId302" xr:uid="{00000000-0004-0000-0100-00002D010000}"/>
    <hyperlink ref="C76" r:id="rId303" xr:uid="{00000000-0004-0000-0100-00002E010000}"/>
    <hyperlink ref="M76" r:id="rId304" xr:uid="{00000000-0004-0000-0100-00002F010000}"/>
    <hyperlink ref="N76" r:id="rId305" xr:uid="{00000000-0004-0000-0100-000030010000}"/>
    <hyperlink ref="O76" r:id="rId306" xr:uid="{00000000-0004-0000-0100-000031010000}"/>
    <hyperlink ref="P76" r:id="rId307" xr:uid="{00000000-0004-0000-0100-000032010000}"/>
    <hyperlink ref="Q76" r:id="rId308" xr:uid="{00000000-0004-0000-0100-000033010000}"/>
    <hyperlink ref="C77" r:id="rId309" xr:uid="{00000000-0004-0000-0100-000034010000}"/>
    <hyperlink ref="P77" r:id="rId310" xr:uid="{00000000-0004-0000-0100-000035010000}"/>
    <hyperlink ref="Q77" r:id="rId311" xr:uid="{00000000-0004-0000-0100-000036010000}"/>
    <hyperlink ref="C78" r:id="rId312" xr:uid="{00000000-0004-0000-0100-000037010000}"/>
    <hyperlink ref="P78" r:id="rId313" xr:uid="{00000000-0004-0000-0100-000038010000}"/>
    <hyperlink ref="C79" r:id="rId314" xr:uid="{00000000-0004-0000-0100-000039010000}"/>
    <hyperlink ref="P79" r:id="rId315" xr:uid="{00000000-0004-0000-0100-00003A010000}"/>
    <hyperlink ref="C80" r:id="rId316" xr:uid="{00000000-0004-0000-0100-00003B010000}"/>
    <hyperlink ref="P80" r:id="rId317" xr:uid="{00000000-0004-0000-0100-00003C010000}"/>
    <hyperlink ref="Q80" r:id="rId318" xr:uid="{00000000-0004-0000-0100-00003D010000}"/>
    <hyperlink ref="C81" r:id="rId319" xr:uid="{00000000-0004-0000-0100-00003E010000}"/>
    <hyperlink ref="P81" r:id="rId320" xr:uid="{00000000-0004-0000-0100-00003F010000}"/>
    <hyperlink ref="C82" r:id="rId321" xr:uid="{00000000-0004-0000-0100-000040010000}"/>
    <hyperlink ref="M82" r:id="rId322" xr:uid="{00000000-0004-0000-0100-000041010000}"/>
    <hyperlink ref="O82" r:id="rId323" xr:uid="{00000000-0004-0000-0100-000042010000}"/>
    <hyperlink ref="P82" r:id="rId324" xr:uid="{00000000-0004-0000-0100-000043010000}"/>
    <hyperlink ref="Q82" r:id="rId325" xr:uid="{00000000-0004-0000-0100-000044010000}"/>
    <hyperlink ref="C83" r:id="rId326" xr:uid="{00000000-0004-0000-0100-000045010000}"/>
    <hyperlink ref="P83" r:id="rId327" xr:uid="{00000000-0004-0000-0100-000046010000}"/>
    <hyperlink ref="C84" r:id="rId328" xr:uid="{00000000-0004-0000-0100-000047010000}"/>
    <hyperlink ref="P84" r:id="rId329" xr:uid="{00000000-0004-0000-0100-000048010000}"/>
    <hyperlink ref="C85" r:id="rId330" xr:uid="{00000000-0004-0000-0100-000049010000}"/>
    <hyperlink ref="P85" r:id="rId331" xr:uid="{00000000-0004-0000-0100-00004A010000}"/>
    <hyperlink ref="Q85" r:id="rId332" xr:uid="{00000000-0004-0000-0100-00004B010000}"/>
    <hyperlink ref="C86" r:id="rId333" xr:uid="{00000000-0004-0000-0100-00004C010000}"/>
    <hyperlink ref="P86" r:id="rId334" xr:uid="{00000000-0004-0000-0100-00004D010000}"/>
    <hyperlink ref="Q86" r:id="rId335" xr:uid="{00000000-0004-0000-0100-00004E010000}"/>
    <hyperlink ref="C87" r:id="rId336" xr:uid="{00000000-0004-0000-0100-00004F010000}"/>
    <hyperlink ref="M87" r:id="rId337" xr:uid="{00000000-0004-0000-0100-000050010000}"/>
    <hyperlink ref="O87" r:id="rId338" xr:uid="{00000000-0004-0000-0100-000051010000}"/>
    <hyperlink ref="P87" r:id="rId339" xr:uid="{00000000-0004-0000-0100-000052010000}"/>
    <hyperlink ref="Q87" r:id="rId340" xr:uid="{00000000-0004-0000-0100-000053010000}"/>
    <hyperlink ref="C88" r:id="rId341" xr:uid="{00000000-0004-0000-0100-000054010000}"/>
    <hyperlink ref="P88" r:id="rId342" xr:uid="{00000000-0004-0000-0100-000055010000}"/>
    <hyperlink ref="Q88" r:id="rId343" xr:uid="{00000000-0004-0000-0100-000056010000}"/>
    <hyperlink ref="C89" r:id="rId344" xr:uid="{00000000-0004-0000-0100-000057010000}"/>
    <hyperlink ref="P89" r:id="rId345" xr:uid="{00000000-0004-0000-0100-000058010000}"/>
    <hyperlink ref="Q89" r:id="rId346" xr:uid="{00000000-0004-0000-0100-000059010000}"/>
    <hyperlink ref="C90" r:id="rId347" xr:uid="{00000000-0004-0000-0100-00005A010000}"/>
    <hyperlink ref="P90" r:id="rId348" xr:uid="{00000000-0004-0000-0100-00005B010000}"/>
    <hyperlink ref="Q90" r:id="rId349" xr:uid="{00000000-0004-0000-0100-00005C010000}"/>
    <hyperlink ref="C91" r:id="rId350" xr:uid="{00000000-0004-0000-0100-00005D010000}"/>
    <hyperlink ref="P91" r:id="rId351" xr:uid="{00000000-0004-0000-0100-00005E010000}"/>
    <hyperlink ref="Q91" r:id="rId352" xr:uid="{00000000-0004-0000-0100-00005F010000}"/>
    <hyperlink ref="C92" r:id="rId353" xr:uid="{00000000-0004-0000-0100-000060010000}"/>
    <hyperlink ref="Q92" r:id="rId354" xr:uid="{00000000-0004-0000-0100-000061010000}"/>
    <hyperlink ref="C93" r:id="rId355" xr:uid="{00000000-0004-0000-0100-000062010000}"/>
    <hyperlink ref="M93" r:id="rId356" xr:uid="{00000000-0004-0000-0100-000063010000}"/>
    <hyperlink ref="O93" r:id="rId357" xr:uid="{00000000-0004-0000-0100-000064010000}"/>
    <hyperlink ref="P93" r:id="rId358" xr:uid="{00000000-0004-0000-0100-000065010000}"/>
    <hyperlink ref="Q93" r:id="rId359" xr:uid="{00000000-0004-0000-0100-000066010000}"/>
    <hyperlink ref="C94" r:id="rId360" xr:uid="{00000000-0004-0000-0100-000067010000}"/>
    <hyperlink ref="P94" r:id="rId361" xr:uid="{00000000-0004-0000-0100-000068010000}"/>
    <hyperlink ref="Q94" r:id="rId362" xr:uid="{00000000-0004-0000-0100-000069010000}"/>
    <hyperlink ref="C95" r:id="rId363" xr:uid="{00000000-0004-0000-0100-00006A010000}"/>
    <hyperlink ref="N95" r:id="rId364" xr:uid="{00000000-0004-0000-0100-00006B010000}"/>
    <hyperlink ref="P95" r:id="rId365" xr:uid="{00000000-0004-0000-0100-00006C010000}"/>
    <hyperlink ref="Q95" r:id="rId366" xr:uid="{00000000-0004-0000-0100-00006D010000}"/>
    <hyperlink ref="C96" r:id="rId367" xr:uid="{00000000-0004-0000-0100-00006E010000}"/>
    <hyperlink ref="P96" r:id="rId368" xr:uid="{00000000-0004-0000-0100-00006F010000}"/>
    <hyperlink ref="Q96" r:id="rId369" xr:uid="{00000000-0004-0000-0100-000070010000}"/>
    <hyperlink ref="C97" r:id="rId370" xr:uid="{00000000-0004-0000-0100-000071010000}"/>
    <hyperlink ref="M97" r:id="rId371" xr:uid="{00000000-0004-0000-0100-000072010000}"/>
    <hyperlink ref="N97" r:id="rId372" xr:uid="{00000000-0004-0000-0100-000073010000}"/>
    <hyperlink ref="O97" r:id="rId373" xr:uid="{00000000-0004-0000-0100-000074010000}"/>
    <hyperlink ref="P97" r:id="rId374" xr:uid="{00000000-0004-0000-0100-000075010000}"/>
    <hyperlink ref="Q97" r:id="rId375" xr:uid="{00000000-0004-0000-0100-000076010000}"/>
    <hyperlink ref="C98" r:id="rId376" xr:uid="{00000000-0004-0000-0100-000077010000}"/>
    <hyperlink ref="P98" r:id="rId377" xr:uid="{00000000-0004-0000-0100-000078010000}"/>
    <hyperlink ref="C99" r:id="rId378" xr:uid="{00000000-0004-0000-0100-000079010000}"/>
    <hyperlink ref="P99" r:id="rId379" xr:uid="{00000000-0004-0000-0100-00007A010000}"/>
    <hyperlink ref="Q99" r:id="rId380" xr:uid="{00000000-0004-0000-0100-00007B010000}"/>
    <hyperlink ref="C100" r:id="rId381" xr:uid="{00000000-0004-0000-0100-00007C010000}"/>
    <hyperlink ref="P100" r:id="rId382" xr:uid="{00000000-0004-0000-0100-00007D010000}"/>
    <hyperlink ref="Q100" r:id="rId383" xr:uid="{00000000-0004-0000-0100-00007E010000}"/>
    <hyperlink ref="C101" r:id="rId384" xr:uid="{00000000-0004-0000-0100-00007F010000}"/>
    <hyperlink ref="M101" r:id="rId385" xr:uid="{00000000-0004-0000-0100-000080010000}"/>
    <hyperlink ref="N101" r:id="rId386" xr:uid="{00000000-0004-0000-0100-000081010000}"/>
    <hyperlink ref="O101" r:id="rId387" xr:uid="{00000000-0004-0000-0100-000082010000}"/>
    <hyperlink ref="P101" r:id="rId388" xr:uid="{00000000-0004-0000-0100-000083010000}"/>
    <hyperlink ref="Q101" r:id="rId389" xr:uid="{00000000-0004-0000-0100-000084010000}"/>
    <hyperlink ref="C102" r:id="rId390" xr:uid="{00000000-0004-0000-0100-000085010000}"/>
    <hyperlink ref="P102" r:id="rId391" xr:uid="{00000000-0004-0000-0100-000086010000}"/>
    <hyperlink ref="Q102" r:id="rId392" xr:uid="{00000000-0004-0000-0100-000087010000}"/>
    <hyperlink ref="C103" r:id="rId393" xr:uid="{00000000-0004-0000-0100-000088010000}"/>
    <hyperlink ref="P103" r:id="rId394" xr:uid="{00000000-0004-0000-0100-000089010000}"/>
    <hyperlink ref="Q103" r:id="rId395" xr:uid="{00000000-0004-0000-0100-00008A010000}"/>
    <hyperlink ref="C104" r:id="rId396" xr:uid="{00000000-0004-0000-0100-00008B010000}"/>
    <hyperlink ref="M104" r:id="rId397" xr:uid="{00000000-0004-0000-0100-00008C010000}"/>
    <hyperlink ref="N104" r:id="rId398" xr:uid="{00000000-0004-0000-0100-00008D010000}"/>
    <hyperlink ref="O104" r:id="rId399" xr:uid="{00000000-0004-0000-0100-00008E010000}"/>
    <hyperlink ref="P104" r:id="rId400" xr:uid="{00000000-0004-0000-0100-00008F010000}"/>
    <hyperlink ref="Q104" r:id="rId401" xr:uid="{00000000-0004-0000-0100-000090010000}"/>
    <hyperlink ref="C105" r:id="rId402" xr:uid="{00000000-0004-0000-0100-000091010000}"/>
    <hyperlink ref="M105" r:id="rId403" xr:uid="{00000000-0004-0000-0100-000092010000}"/>
    <hyperlink ref="N105" r:id="rId404" xr:uid="{00000000-0004-0000-0100-000093010000}"/>
    <hyperlink ref="O105" r:id="rId405" xr:uid="{00000000-0004-0000-0100-000094010000}"/>
    <hyperlink ref="P105" r:id="rId406" xr:uid="{00000000-0004-0000-0100-000095010000}"/>
    <hyperlink ref="Q105" r:id="rId407" xr:uid="{00000000-0004-0000-0100-000096010000}"/>
    <hyperlink ref="C106" r:id="rId408" xr:uid="{00000000-0004-0000-0100-000097010000}"/>
    <hyperlink ref="M106" r:id="rId409" xr:uid="{00000000-0004-0000-0100-000098010000}"/>
    <hyperlink ref="N106" r:id="rId410" xr:uid="{00000000-0004-0000-0100-000099010000}"/>
    <hyperlink ref="O106" r:id="rId411" xr:uid="{00000000-0004-0000-0100-00009A010000}"/>
    <hyperlink ref="Q106" r:id="rId412" xr:uid="{00000000-0004-0000-0100-00009B010000}"/>
    <hyperlink ref="C107" r:id="rId413" xr:uid="{00000000-0004-0000-0100-00009C010000}"/>
    <hyperlink ref="P107" r:id="rId414" xr:uid="{00000000-0004-0000-0100-00009D010000}"/>
    <hyperlink ref="C108" r:id="rId415" xr:uid="{00000000-0004-0000-0100-00009E010000}"/>
    <hyperlink ref="P108" r:id="rId416" xr:uid="{00000000-0004-0000-0100-00009F010000}"/>
    <hyperlink ref="Q108" r:id="rId417" xr:uid="{00000000-0004-0000-0100-0000A0010000}"/>
    <hyperlink ref="C109" r:id="rId418" xr:uid="{00000000-0004-0000-0100-0000A1010000}"/>
    <hyperlink ref="M109" r:id="rId419" xr:uid="{00000000-0004-0000-0100-0000A2010000}"/>
    <hyperlink ref="N109" r:id="rId420" xr:uid="{00000000-0004-0000-0100-0000A3010000}"/>
    <hyperlink ref="O109" r:id="rId421" xr:uid="{00000000-0004-0000-0100-0000A4010000}"/>
    <hyperlink ref="Q109" r:id="rId422" xr:uid="{00000000-0004-0000-0100-0000A5010000}"/>
    <hyperlink ref="C110" r:id="rId423" xr:uid="{00000000-0004-0000-0100-0000A6010000}"/>
    <hyperlink ref="M110" r:id="rId424" xr:uid="{00000000-0004-0000-0100-0000A7010000}"/>
    <hyperlink ref="N110" r:id="rId425" xr:uid="{00000000-0004-0000-0100-0000A8010000}"/>
    <hyperlink ref="O110" r:id="rId426" xr:uid="{00000000-0004-0000-0100-0000A9010000}"/>
    <hyperlink ref="P110" r:id="rId427" xr:uid="{00000000-0004-0000-0100-0000AA010000}"/>
    <hyperlink ref="Q110" r:id="rId428" xr:uid="{00000000-0004-0000-0100-0000AB010000}"/>
    <hyperlink ref="C111" r:id="rId429" xr:uid="{00000000-0004-0000-0100-0000AC010000}"/>
    <hyperlink ref="P111" r:id="rId430" xr:uid="{00000000-0004-0000-0100-0000AD010000}"/>
    <hyperlink ref="Q111" r:id="rId431" xr:uid="{00000000-0004-0000-0100-0000AE010000}"/>
    <hyperlink ref="C112" r:id="rId432" xr:uid="{00000000-0004-0000-0100-0000AF010000}"/>
    <hyperlink ref="N112" r:id="rId433" xr:uid="{00000000-0004-0000-0100-0000B0010000}"/>
    <hyperlink ref="Q112" r:id="rId434" xr:uid="{00000000-0004-0000-0100-0000B1010000}"/>
    <hyperlink ref="C113" r:id="rId435" xr:uid="{00000000-0004-0000-0100-0000B2010000}"/>
    <hyperlink ref="M113" r:id="rId436" xr:uid="{00000000-0004-0000-0100-0000B3010000}"/>
    <hyperlink ref="N113" r:id="rId437" xr:uid="{00000000-0004-0000-0100-0000B4010000}"/>
    <hyperlink ref="O113" r:id="rId438" xr:uid="{00000000-0004-0000-0100-0000B5010000}"/>
    <hyperlink ref="Q113" r:id="rId439" xr:uid="{00000000-0004-0000-0100-0000B6010000}"/>
    <hyperlink ref="C114" r:id="rId440" xr:uid="{00000000-0004-0000-0100-0000B7010000}"/>
    <hyperlink ref="P114" r:id="rId441" xr:uid="{00000000-0004-0000-0100-0000B8010000}"/>
    <hyperlink ref="Q114" r:id="rId442" xr:uid="{00000000-0004-0000-0100-0000B9010000}"/>
    <hyperlink ref="C115" r:id="rId443" xr:uid="{00000000-0004-0000-0100-0000BA010000}"/>
    <hyperlink ref="P115" r:id="rId444" xr:uid="{00000000-0004-0000-0100-0000BB010000}"/>
    <hyperlink ref="C116" r:id="rId445" xr:uid="{00000000-0004-0000-0100-0000BC010000}"/>
    <hyperlink ref="P116" r:id="rId446" xr:uid="{00000000-0004-0000-0100-0000BD010000}"/>
    <hyperlink ref="C117" r:id="rId447" xr:uid="{00000000-0004-0000-0100-0000BE010000}"/>
    <hyperlink ref="P117" r:id="rId448" xr:uid="{00000000-0004-0000-0100-0000BF010000}"/>
    <hyperlink ref="Q117" r:id="rId449" xr:uid="{00000000-0004-0000-0100-0000C0010000}"/>
    <hyperlink ref="C118" r:id="rId450" xr:uid="{00000000-0004-0000-0100-0000C1010000}"/>
    <hyperlink ref="P118" r:id="rId451" xr:uid="{00000000-0004-0000-0100-0000C2010000}"/>
    <hyperlink ref="C119" r:id="rId452" xr:uid="{00000000-0004-0000-0100-0000C3010000}"/>
    <hyperlink ref="P119" r:id="rId453" xr:uid="{00000000-0004-0000-0100-0000C4010000}"/>
    <hyperlink ref="C120" r:id="rId454" xr:uid="{00000000-0004-0000-0100-0000C5010000}"/>
    <hyperlink ref="P120" r:id="rId455" xr:uid="{00000000-0004-0000-0100-0000C6010000}"/>
    <hyperlink ref="C121" r:id="rId456" xr:uid="{00000000-0004-0000-0100-0000C7010000}"/>
    <hyperlink ref="P121" r:id="rId457" xr:uid="{00000000-0004-0000-0100-0000C8010000}"/>
    <hyperlink ref="C122" r:id="rId458" xr:uid="{00000000-0004-0000-0100-0000C9010000}"/>
    <hyperlink ref="P122" r:id="rId459" xr:uid="{00000000-0004-0000-0100-0000CA010000}"/>
    <hyperlink ref="Q122" r:id="rId460" xr:uid="{00000000-0004-0000-0100-0000CB010000}"/>
    <hyperlink ref="C123" r:id="rId461" xr:uid="{00000000-0004-0000-0100-0000CC010000}"/>
    <hyperlink ref="M123" r:id="rId462" xr:uid="{00000000-0004-0000-0100-0000CD010000}"/>
    <hyperlink ref="O123" r:id="rId463" xr:uid="{00000000-0004-0000-0100-0000CE010000}"/>
    <hyperlink ref="P123" r:id="rId464" xr:uid="{00000000-0004-0000-0100-0000CF010000}"/>
    <hyperlink ref="Q123" r:id="rId465" xr:uid="{00000000-0004-0000-0100-0000D0010000}"/>
    <hyperlink ref="C124" r:id="rId466" xr:uid="{00000000-0004-0000-0100-0000D1010000}"/>
    <hyperlink ref="P124" r:id="rId467" xr:uid="{00000000-0004-0000-0100-0000D2010000}"/>
    <hyperlink ref="C125" r:id="rId468" xr:uid="{00000000-0004-0000-0100-0000D3010000}"/>
    <hyperlink ref="M125" r:id="rId469" xr:uid="{00000000-0004-0000-0100-0000D4010000}"/>
    <hyperlink ref="N125" r:id="rId470" xr:uid="{00000000-0004-0000-0100-0000D5010000}"/>
    <hyperlink ref="O125" r:id="rId471" xr:uid="{00000000-0004-0000-0100-0000D6010000}"/>
    <hyperlink ref="Q125" r:id="rId472" xr:uid="{00000000-0004-0000-0100-0000D7010000}"/>
    <hyperlink ref="C126" r:id="rId473" xr:uid="{00000000-0004-0000-0100-0000D8010000}"/>
    <hyperlink ref="P126" r:id="rId474" xr:uid="{00000000-0004-0000-0100-0000D9010000}"/>
    <hyperlink ref="Q126" r:id="rId475" xr:uid="{00000000-0004-0000-0100-0000DA010000}"/>
    <hyperlink ref="C127" r:id="rId476" xr:uid="{00000000-0004-0000-0100-0000DB010000}"/>
    <hyperlink ref="N127" r:id="rId477" xr:uid="{00000000-0004-0000-0100-0000DC010000}"/>
    <hyperlink ref="P127" r:id="rId478" xr:uid="{00000000-0004-0000-0100-0000DD010000}"/>
    <hyperlink ref="Q127" r:id="rId479" xr:uid="{00000000-0004-0000-0100-0000DE010000}"/>
    <hyperlink ref="C128" r:id="rId480" xr:uid="{00000000-0004-0000-0100-0000DF010000}"/>
    <hyperlink ref="P128" r:id="rId481" xr:uid="{00000000-0004-0000-0100-0000E0010000}"/>
    <hyperlink ref="Q128" r:id="rId482" xr:uid="{00000000-0004-0000-0100-0000E1010000}"/>
    <hyperlink ref="C129" r:id="rId483" xr:uid="{00000000-0004-0000-0100-0000E2010000}"/>
    <hyperlink ref="M129" r:id="rId484" xr:uid="{00000000-0004-0000-0100-0000E3010000}"/>
    <hyperlink ref="O129" r:id="rId485" xr:uid="{00000000-0004-0000-0100-0000E4010000}"/>
    <hyperlink ref="P129" r:id="rId486" xr:uid="{00000000-0004-0000-0100-0000E5010000}"/>
    <hyperlink ref="Q129" r:id="rId487" xr:uid="{00000000-0004-0000-0100-0000E6010000}"/>
    <hyperlink ref="C130" r:id="rId488" xr:uid="{00000000-0004-0000-0100-0000E7010000}"/>
    <hyperlink ref="M130" r:id="rId489" xr:uid="{00000000-0004-0000-0100-0000E8010000}"/>
    <hyperlink ref="O130" r:id="rId490" xr:uid="{00000000-0004-0000-0100-0000E9010000}"/>
    <hyperlink ref="P130" r:id="rId491" xr:uid="{00000000-0004-0000-0100-0000EA010000}"/>
    <hyperlink ref="Q130" r:id="rId492" xr:uid="{00000000-0004-0000-0100-0000EB010000}"/>
    <hyperlink ref="C131" r:id="rId493" xr:uid="{00000000-0004-0000-0100-0000EC010000}"/>
    <hyperlink ref="M131" r:id="rId494" xr:uid="{00000000-0004-0000-0100-0000ED010000}"/>
    <hyperlink ref="O131" r:id="rId495" xr:uid="{00000000-0004-0000-0100-0000EE010000}"/>
    <hyperlink ref="P131" r:id="rId496" xr:uid="{00000000-0004-0000-0100-0000EF010000}"/>
    <hyperlink ref="Q131" r:id="rId497" xr:uid="{00000000-0004-0000-0100-0000F0010000}"/>
    <hyperlink ref="C132" r:id="rId498" xr:uid="{00000000-0004-0000-0100-0000F1010000}"/>
    <hyperlink ref="M132" r:id="rId499" xr:uid="{00000000-0004-0000-0100-0000F2010000}"/>
    <hyperlink ref="O132" r:id="rId500" xr:uid="{00000000-0004-0000-0100-0000F3010000}"/>
    <hyperlink ref="P132" r:id="rId501" xr:uid="{00000000-0004-0000-0100-0000F4010000}"/>
    <hyperlink ref="Q132" r:id="rId502" xr:uid="{00000000-0004-0000-0100-0000F5010000}"/>
    <hyperlink ref="C133" r:id="rId503" xr:uid="{00000000-0004-0000-0100-0000F6010000}"/>
    <hyperlink ref="M133" r:id="rId504" xr:uid="{00000000-0004-0000-0100-0000F7010000}"/>
    <hyperlink ref="O133" r:id="rId505" xr:uid="{00000000-0004-0000-0100-0000F8010000}"/>
    <hyperlink ref="P133" r:id="rId506" xr:uid="{00000000-0004-0000-0100-0000F9010000}"/>
    <hyperlink ref="Q133" r:id="rId507" xr:uid="{00000000-0004-0000-0100-0000FA010000}"/>
    <hyperlink ref="C134" r:id="rId508" xr:uid="{00000000-0004-0000-0100-0000FB010000}"/>
    <hyperlink ref="M134" r:id="rId509" xr:uid="{00000000-0004-0000-0100-0000FC010000}"/>
    <hyperlink ref="O134" r:id="rId510" xr:uid="{00000000-0004-0000-0100-0000FD010000}"/>
    <hyperlink ref="P134" r:id="rId511" xr:uid="{00000000-0004-0000-0100-0000FE010000}"/>
    <hyperlink ref="Q134" r:id="rId512" xr:uid="{00000000-0004-0000-0100-0000FF010000}"/>
    <hyperlink ref="C135" r:id="rId513" xr:uid="{00000000-0004-0000-0100-000000020000}"/>
    <hyperlink ref="M135" r:id="rId514" xr:uid="{00000000-0004-0000-0100-000001020000}"/>
    <hyperlink ref="N135" r:id="rId515" xr:uid="{00000000-0004-0000-0100-000002020000}"/>
    <hyperlink ref="O135" r:id="rId516" xr:uid="{00000000-0004-0000-0100-000003020000}"/>
    <hyperlink ref="Q135" r:id="rId517" xr:uid="{00000000-0004-0000-0100-000004020000}"/>
    <hyperlink ref="C136" r:id="rId518" xr:uid="{00000000-0004-0000-0100-000005020000}"/>
    <hyperlink ref="P136" r:id="rId519" xr:uid="{00000000-0004-0000-0100-000006020000}"/>
    <hyperlink ref="Q136" r:id="rId520" xr:uid="{00000000-0004-0000-0100-000007020000}"/>
    <hyperlink ref="C137" r:id="rId521" xr:uid="{00000000-0004-0000-0100-000008020000}"/>
    <hyperlink ref="P137" r:id="rId522" xr:uid="{00000000-0004-0000-0100-000009020000}"/>
    <hyperlink ref="Q137" r:id="rId523" xr:uid="{00000000-0004-0000-0100-00000A020000}"/>
    <hyperlink ref="C138" r:id="rId524" xr:uid="{00000000-0004-0000-0100-00000B020000}"/>
    <hyperlink ref="C139" r:id="rId525" xr:uid="{00000000-0004-0000-0100-00000C020000}"/>
    <hyperlink ref="P139" r:id="rId526" xr:uid="{00000000-0004-0000-0100-00000D020000}"/>
    <hyperlink ref="C140" r:id="rId527" xr:uid="{00000000-0004-0000-0100-00000E020000}"/>
    <hyperlink ref="P140" r:id="rId528" xr:uid="{00000000-0004-0000-0100-00000F020000}"/>
    <hyperlink ref="Q140" r:id="rId529" xr:uid="{00000000-0004-0000-0100-000010020000}"/>
    <hyperlink ref="C141" r:id="rId530" xr:uid="{00000000-0004-0000-0100-000011020000}"/>
    <hyperlink ref="C142" r:id="rId531" xr:uid="{00000000-0004-0000-0100-000012020000}"/>
    <hyperlink ref="P142" r:id="rId532" xr:uid="{00000000-0004-0000-0100-000013020000}"/>
    <hyperlink ref="C143" r:id="rId533" xr:uid="{00000000-0004-0000-0100-000014020000}"/>
    <hyperlink ref="P143" r:id="rId534" xr:uid="{00000000-0004-0000-0100-000015020000}"/>
    <hyperlink ref="C144" r:id="rId535" xr:uid="{00000000-0004-0000-0100-000016020000}"/>
    <hyperlink ref="P144" r:id="rId536" xr:uid="{00000000-0004-0000-0100-000017020000}"/>
    <hyperlink ref="Q144" r:id="rId537" xr:uid="{00000000-0004-0000-0100-000018020000}"/>
    <hyperlink ref="C145" r:id="rId538" xr:uid="{00000000-0004-0000-0100-000019020000}"/>
    <hyperlink ref="P145" r:id="rId539" xr:uid="{00000000-0004-0000-0100-00001A020000}"/>
    <hyperlink ref="Q145" r:id="rId540" xr:uid="{00000000-0004-0000-0100-00001B020000}"/>
    <hyperlink ref="C146" r:id="rId541" xr:uid="{00000000-0004-0000-0100-00001C020000}"/>
    <hyperlink ref="P146" r:id="rId542" xr:uid="{00000000-0004-0000-0100-00001D020000}"/>
    <hyperlink ref="C147" r:id="rId543" xr:uid="{00000000-0004-0000-0100-00001E020000}"/>
    <hyperlink ref="P147" r:id="rId544" xr:uid="{00000000-0004-0000-0100-00001F020000}"/>
    <hyperlink ref="C148" r:id="rId545" xr:uid="{00000000-0004-0000-0100-000020020000}"/>
    <hyperlink ref="P148" r:id="rId546" xr:uid="{00000000-0004-0000-0100-000021020000}"/>
    <hyperlink ref="C149" r:id="rId547" xr:uid="{00000000-0004-0000-0100-000022020000}"/>
    <hyperlink ref="P149" r:id="rId548" xr:uid="{00000000-0004-0000-0100-000023020000}"/>
    <hyperlink ref="C150" r:id="rId549" xr:uid="{00000000-0004-0000-0100-000024020000}"/>
    <hyperlink ref="P150" r:id="rId550" xr:uid="{00000000-0004-0000-0100-000025020000}"/>
    <hyperlink ref="Q150" r:id="rId551" xr:uid="{00000000-0004-0000-0100-000026020000}"/>
    <hyperlink ref="C151" r:id="rId552" xr:uid="{00000000-0004-0000-0100-000027020000}"/>
    <hyperlink ref="P151" r:id="rId553" xr:uid="{00000000-0004-0000-0100-000028020000}"/>
    <hyperlink ref="C152" r:id="rId554" xr:uid="{00000000-0004-0000-0100-000029020000}"/>
    <hyperlink ref="P152" r:id="rId555" xr:uid="{00000000-0004-0000-0100-00002A020000}"/>
    <hyperlink ref="C153" r:id="rId556" xr:uid="{00000000-0004-0000-0100-00002B020000}"/>
    <hyperlink ref="P153" r:id="rId557" xr:uid="{00000000-0004-0000-0100-00002C020000}"/>
    <hyperlink ref="C154" r:id="rId558" xr:uid="{00000000-0004-0000-0100-00002D020000}"/>
    <hyperlink ref="M154" r:id="rId559" xr:uid="{00000000-0004-0000-0100-00002E020000}"/>
    <hyperlink ref="O154" r:id="rId560" xr:uid="{00000000-0004-0000-0100-00002F020000}"/>
    <hyperlink ref="P154" r:id="rId561" xr:uid="{00000000-0004-0000-0100-000030020000}"/>
    <hyperlink ref="Q154" r:id="rId562" xr:uid="{00000000-0004-0000-0100-000031020000}"/>
    <hyperlink ref="C155" r:id="rId563" xr:uid="{00000000-0004-0000-0100-000032020000}"/>
    <hyperlink ref="M155" r:id="rId564" xr:uid="{00000000-0004-0000-0100-000033020000}"/>
    <hyperlink ref="O155" r:id="rId565" xr:uid="{00000000-0004-0000-0100-000034020000}"/>
    <hyperlink ref="P155" r:id="rId566" xr:uid="{00000000-0004-0000-0100-000035020000}"/>
    <hyperlink ref="Q155" r:id="rId567" xr:uid="{00000000-0004-0000-0100-000036020000}"/>
    <hyperlink ref="C156" r:id="rId568" xr:uid="{00000000-0004-0000-0100-000037020000}"/>
    <hyperlink ref="P156" r:id="rId569" xr:uid="{00000000-0004-0000-0100-000038020000}"/>
    <hyperlink ref="C157" r:id="rId570" xr:uid="{00000000-0004-0000-0100-000039020000}"/>
    <hyperlink ref="M157" r:id="rId571" xr:uid="{00000000-0004-0000-0100-00003A020000}"/>
    <hyperlink ref="N157" r:id="rId572" xr:uid="{00000000-0004-0000-0100-00003B020000}"/>
    <hyperlink ref="O157" r:id="rId573" xr:uid="{00000000-0004-0000-0100-00003C020000}"/>
    <hyperlink ref="P157" r:id="rId574" xr:uid="{00000000-0004-0000-0100-00003D020000}"/>
    <hyperlink ref="Q157" r:id="rId575" xr:uid="{00000000-0004-0000-0100-00003E020000}"/>
    <hyperlink ref="C158" r:id="rId576" xr:uid="{00000000-0004-0000-0100-00003F020000}"/>
    <hyperlink ref="C159" r:id="rId577" xr:uid="{00000000-0004-0000-0100-000040020000}"/>
    <hyperlink ref="P159" r:id="rId578" xr:uid="{00000000-0004-0000-0100-000041020000}"/>
    <hyperlink ref="C160" r:id="rId579" xr:uid="{00000000-0004-0000-0100-000042020000}"/>
    <hyperlink ref="M160" r:id="rId580" xr:uid="{00000000-0004-0000-0100-000043020000}"/>
    <hyperlink ref="O160" r:id="rId581" xr:uid="{00000000-0004-0000-0100-000044020000}"/>
    <hyperlink ref="P160" r:id="rId582" xr:uid="{00000000-0004-0000-0100-000045020000}"/>
    <hyperlink ref="Q160" r:id="rId583" xr:uid="{00000000-0004-0000-0100-000046020000}"/>
    <hyperlink ref="C161" r:id="rId584" xr:uid="{00000000-0004-0000-0100-000047020000}"/>
    <hyperlink ref="M161" r:id="rId585" xr:uid="{00000000-0004-0000-0100-000048020000}"/>
    <hyperlink ref="O161" r:id="rId586" xr:uid="{00000000-0004-0000-0100-000049020000}"/>
    <hyperlink ref="P161" r:id="rId587" xr:uid="{00000000-0004-0000-0100-00004A020000}"/>
    <hyperlink ref="Q161" r:id="rId588" xr:uid="{00000000-0004-0000-0100-00004B020000}"/>
    <hyperlink ref="C162" r:id="rId589" xr:uid="{00000000-0004-0000-0100-00004C020000}"/>
    <hyperlink ref="P162" r:id="rId590" xr:uid="{00000000-0004-0000-0100-00004D020000}"/>
    <hyperlink ref="C163" r:id="rId591" xr:uid="{00000000-0004-0000-0100-00004E020000}"/>
    <hyperlink ref="M163" r:id="rId592" xr:uid="{00000000-0004-0000-0100-00004F020000}"/>
    <hyperlink ref="O163" r:id="rId593" xr:uid="{00000000-0004-0000-0100-000050020000}"/>
    <hyperlink ref="P163" r:id="rId594" xr:uid="{00000000-0004-0000-0100-000051020000}"/>
    <hyperlink ref="Q163" r:id="rId595" xr:uid="{00000000-0004-0000-0100-000052020000}"/>
    <hyperlink ref="C164" r:id="rId596" xr:uid="{00000000-0004-0000-0100-000053020000}"/>
    <hyperlink ref="M164" r:id="rId597" xr:uid="{00000000-0004-0000-0100-000054020000}"/>
    <hyperlink ref="O164" r:id="rId598" xr:uid="{00000000-0004-0000-0100-000055020000}"/>
    <hyperlink ref="P164" r:id="rId599" xr:uid="{00000000-0004-0000-0100-000056020000}"/>
    <hyperlink ref="Q164" r:id="rId600" xr:uid="{00000000-0004-0000-0100-000057020000}"/>
    <hyperlink ref="C165" r:id="rId601" xr:uid="{00000000-0004-0000-0100-000058020000}"/>
    <hyperlink ref="M165" r:id="rId602" xr:uid="{00000000-0004-0000-0100-000059020000}"/>
    <hyperlink ref="O165" r:id="rId603" xr:uid="{00000000-0004-0000-0100-00005A020000}"/>
    <hyperlink ref="P165" r:id="rId604" xr:uid="{00000000-0004-0000-0100-00005B020000}"/>
    <hyperlink ref="Q165" r:id="rId605" xr:uid="{00000000-0004-0000-0100-00005C020000}"/>
    <hyperlink ref="C166" r:id="rId606" xr:uid="{00000000-0004-0000-0100-00005D020000}"/>
    <hyperlink ref="M166" r:id="rId607" xr:uid="{00000000-0004-0000-0100-00005E020000}"/>
    <hyperlink ref="N166" r:id="rId608" xr:uid="{00000000-0004-0000-0100-00005F020000}"/>
    <hyperlink ref="O166" r:id="rId609" xr:uid="{00000000-0004-0000-0100-000060020000}"/>
    <hyperlink ref="P166" r:id="rId610" xr:uid="{00000000-0004-0000-0100-000061020000}"/>
    <hyperlink ref="Q166" r:id="rId611" xr:uid="{00000000-0004-0000-0100-000062020000}"/>
    <hyperlink ref="C167" r:id="rId612" xr:uid="{00000000-0004-0000-0100-000063020000}"/>
    <hyperlink ref="P167" r:id="rId613" xr:uid="{00000000-0004-0000-0100-000064020000}"/>
    <hyperlink ref="Q167" r:id="rId614" xr:uid="{00000000-0004-0000-0100-000065020000}"/>
    <hyperlink ref="C168" r:id="rId615" xr:uid="{00000000-0004-0000-0100-000066020000}"/>
    <hyperlink ref="M168" r:id="rId616" xr:uid="{00000000-0004-0000-0100-000067020000}"/>
    <hyperlink ref="N168" r:id="rId617" xr:uid="{00000000-0004-0000-0100-000068020000}"/>
    <hyperlink ref="O168" r:id="rId618" xr:uid="{00000000-0004-0000-0100-000069020000}"/>
    <hyperlink ref="Q168" r:id="rId619" xr:uid="{00000000-0004-0000-0100-00006A020000}"/>
    <hyperlink ref="C169" r:id="rId620" xr:uid="{00000000-0004-0000-0100-00006B020000}"/>
    <hyperlink ref="P169" r:id="rId621" xr:uid="{00000000-0004-0000-0100-00006C020000}"/>
    <hyperlink ref="C170" r:id="rId622" xr:uid="{00000000-0004-0000-0100-00006D020000}"/>
    <hyperlink ref="P170" r:id="rId623" xr:uid="{00000000-0004-0000-0100-00006E020000}"/>
    <hyperlink ref="C171" r:id="rId624" xr:uid="{00000000-0004-0000-0100-00006F020000}"/>
    <hyperlink ref="M171" r:id="rId625" xr:uid="{00000000-0004-0000-0100-000070020000}"/>
    <hyperlink ref="N171" r:id="rId626" xr:uid="{00000000-0004-0000-0100-000071020000}"/>
    <hyperlink ref="O171" r:id="rId627" xr:uid="{00000000-0004-0000-0100-000072020000}"/>
    <hyperlink ref="C172" r:id="rId628" xr:uid="{00000000-0004-0000-0100-000073020000}"/>
    <hyperlink ref="M172" r:id="rId629" xr:uid="{00000000-0004-0000-0100-000074020000}"/>
    <hyperlink ref="N172" r:id="rId630" xr:uid="{00000000-0004-0000-0100-000075020000}"/>
    <hyperlink ref="O172" r:id="rId631" xr:uid="{00000000-0004-0000-0100-000076020000}"/>
    <hyperlink ref="C173" r:id="rId632" xr:uid="{00000000-0004-0000-0100-000077020000}"/>
    <hyperlink ref="P173" r:id="rId633" xr:uid="{00000000-0004-0000-0100-000078020000}"/>
    <hyperlink ref="C174" r:id="rId634" xr:uid="{00000000-0004-0000-0100-000079020000}"/>
    <hyperlink ref="M174" r:id="rId635" xr:uid="{00000000-0004-0000-0100-00007A020000}"/>
    <hyperlink ref="N174" r:id="rId636" xr:uid="{00000000-0004-0000-0100-00007B020000}"/>
    <hyperlink ref="O174" r:id="rId637" xr:uid="{00000000-0004-0000-0100-00007C020000}"/>
    <hyperlink ref="C175" r:id="rId638" xr:uid="{00000000-0004-0000-0100-00007D020000}"/>
    <hyperlink ref="N175" r:id="rId639" xr:uid="{00000000-0004-0000-0100-00007E020000}"/>
    <hyperlink ref="C176" r:id="rId640" xr:uid="{00000000-0004-0000-0100-00007F020000}"/>
    <hyperlink ref="N176" r:id="rId641" xr:uid="{00000000-0004-0000-0100-000080020000}"/>
  </hyperlinks>
  <pageMargins left="0.7" right="0.7" top="0.75" bottom="0.75" header="0.3" footer="0.3"/>
  <pageSetup paperSize="9" orientation="portrait" r:id="rId64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806E2-66C6-4B75-B4AC-136749C1F5C9}">
  <dimension ref="A1:K173"/>
  <sheetViews>
    <sheetView workbookViewId="0">
      <selection sqref="A1:K173"/>
    </sheetView>
  </sheetViews>
  <sheetFormatPr defaultRowHeight="13.2"/>
  <sheetData>
    <row r="1" spans="1:11" ht="52.8">
      <c r="A1" s="71" t="s">
        <v>1070</v>
      </c>
      <c r="B1" s="71" t="s">
        <v>1</v>
      </c>
      <c r="C1" s="71" t="s">
        <v>2546</v>
      </c>
      <c r="D1" s="71" t="s">
        <v>2547</v>
      </c>
      <c r="E1" s="71" t="s">
        <v>2548</v>
      </c>
      <c r="F1" s="71" t="s">
        <v>2549</v>
      </c>
      <c r="G1" s="71" t="s">
        <v>2550</v>
      </c>
      <c r="H1" s="71" t="s">
        <v>2551</v>
      </c>
      <c r="I1" s="3" t="s">
        <v>10</v>
      </c>
      <c r="J1" s="3" t="s">
        <v>11</v>
      </c>
      <c r="K1" s="71" t="s">
        <v>1076</v>
      </c>
    </row>
    <row r="2" spans="1:11" ht="409.6">
      <c r="A2" s="73">
        <v>1</v>
      </c>
      <c r="B2" s="85" t="str">
        <f>VLOOKUP(A2,[1]vaccines!A:B,2)</f>
        <v>BCG_Microgen</v>
      </c>
      <c r="C2" s="72" t="s">
        <v>2552</v>
      </c>
      <c r="D2" s="72" t="s">
        <v>2553</v>
      </c>
      <c r="E2" s="59">
        <v>45461</v>
      </c>
      <c r="F2" s="85"/>
      <c r="G2" s="85"/>
      <c r="H2" s="86" t="s">
        <v>1079</v>
      </c>
      <c r="I2" s="59">
        <v>45105</v>
      </c>
      <c r="J2" s="66">
        <v>45517</v>
      </c>
      <c r="K2" s="87" t="s">
        <v>2554</v>
      </c>
    </row>
    <row r="3" spans="1:11" ht="409.6">
      <c r="A3" s="73">
        <v>2</v>
      </c>
      <c r="B3" s="85" t="str">
        <f>VLOOKUP(A3,[1]vaccines!A:B,2)</f>
        <v>BCG_M_Microgen</v>
      </c>
      <c r="C3" s="72" t="s">
        <v>2555</v>
      </c>
      <c r="D3" s="72" t="s">
        <v>2556</v>
      </c>
      <c r="E3" s="59">
        <v>45461</v>
      </c>
      <c r="F3" s="85"/>
      <c r="G3" s="85"/>
      <c r="H3" s="86" t="s">
        <v>1082</v>
      </c>
      <c r="I3" s="59">
        <v>45107</v>
      </c>
      <c r="J3" s="66">
        <v>45517</v>
      </c>
      <c r="K3" s="87" t="s">
        <v>2557</v>
      </c>
    </row>
    <row r="4" spans="1:11" ht="409.6">
      <c r="A4" s="73">
        <v>3</v>
      </c>
      <c r="B4" s="85" t="str">
        <f>VLOOKUP(A4,[1]vaccines!A:B,2)</f>
        <v>BCG_Gamaleya</v>
      </c>
      <c r="C4" s="72" t="s">
        <v>2558</v>
      </c>
      <c r="D4" s="72" t="s">
        <v>2559</v>
      </c>
      <c r="E4" s="59">
        <v>45769</v>
      </c>
      <c r="F4" s="73">
        <v>1</v>
      </c>
      <c r="G4" s="73">
        <v>0</v>
      </c>
      <c r="H4" s="86" t="s">
        <v>1085</v>
      </c>
      <c r="I4" s="59">
        <v>45108</v>
      </c>
      <c r="J4" s="66">
        <v>45801</v>
      </c>
      <c r="K4" s="88"/>
    </row>
    <row r="5" spans="1:11" ht="409.6">
      <c r="A5" s="73">
        <v>4</v>
      </c>
      <c r="B5" s="85" t="str">
        <f>VLOOKUP(A5,[1]vaccines!A:B,2)</f>
        <v>BCG_M_Gamaleya</v>
      </c>
      <c r="C5" s="72" t="s">
        <v>2560</v>
      </c>
      <c r="D5" s="72" t="s">
        <v>2561</v>
      </c>
      <c r="E5" s="59">
        <v>45771</v>
      </c>
      <c r="F5" s="73">
        <v>1</v>
      </c>
      <c r="G5" s="73">
        <v>0</v>
      </c>
      <c r="H5" s="86" t="s">
        <v>1088</v>
      </c>
      <c r="I5" s="59">
        <f>I4</f>
        <v>45108</v>
      </c>
      <c r="J5" s="66">
        <v>45818</v>
      </c>
      <c r="K5" s="88"/>
    </row>
    <row r="6" spans="1:11" ht="409.6">
      <c r="A6" s="73">
        <v>5</v>
      </c>
      <c r="B6" s="85" t="str">
        <f>VLOOKUP(A6,[1]vaccines!A:B,2)</f>
        <v>Infanrix</v>
      </c>
      <c r="C6" s="72" t="s">
        <v>2562</v>
      </c>
      <c r="D6" s="72" t="s">
        <v>2563</v>
      </c>
      <c r="E6" s="59">
        <v>44211</v>
      </c>
      <c r="F6" s="85"/>
      <c r="G6" s="85"/>
      <c r="H6" s="86" t="s">
        <v>1091</v>
      </c>
      <c r="I6" s="59">
        <v>45105</v>
      </c>
      <c r="J6" s="66">
        <v>45481</v>
      </c>
      <c r="K6" s="87" t="s">
        <v>2554</v>
      </c>
    </row>
    <row r="7" spans="1:11" ht="409.6">
      <c r="A7" s="73">
        <v>6</v>
      </c>
      <c r="B7" s="85" t="str">
        <f>VLOOKUP(A7,[1]vaccines!A:B,2)</f>
        <v>AKDS_Microgen</v>
      </c>
      <c r="C7" s="72" t="s">
        <v>2564</v>
      </c>
      <c r="D7" s="72" t="s">
        <v>2565</v>
      </c>
      <c r="E7" s="59">
        <v>45415</v>
      </c>
      <c r="F7" s="85"/>
      <c r="G7" s="85"/>
      <c r="H7" s="86" t="s">
        <v>1094</v>
      </c>
      <c r="I7" s="43">
        <v>45115</v>
      </c>
      <c r="J7" s="66">
        <v>45461</v>
      </c>
      <c r="K7" s="88"/>
    </row>
    <row r="8" spans="1:11" ht="409.6">
      <c r="A8" s="73">
        <v>7</v>
      </c>
      <c r="B8" s="85" t="str">
        <f>VLOOKUP(A8,[1]vaccines!A:B,2)</f>
        <v>AKDS_Biomed</v>
      </c>
      <c r="C8" s="72" t="s">
        <v>2566</v>
      </c>
      <c r="D8" s="72" t="s">
        <v>2567</v>
      </c>
      <c r="E8" s="43">
        <v>41388</v>
      </c>
      <c r="F8" s="74">
        <v>1</v>
      </c>
      <c r="G8" s="74">
        <v>0</v>
      </c>
      <c r="H8" s="89" t="s">
        <v>1097</v>
      </c>
      <c r="I8" s="43">
        <v>45115</v>
      </c>
      <c r="J8" s="43"/>
      <c r="K8" s="88"/>
    </row>
    <row r="9" spans="1:11" ht="409.6">
      <c r="A9" s="73">
        <v>8</v>
      </c>
      <c r="B9" s="85" t="str">
        <f>VLOOKUP(A9,[1]vaccines!A:B,2)</f>
        <v>Bubo_kok</v>
      </c>
      <c r="C9" s="72" t="s">
        <v>2568</v>
      </c>
      <c r="D9" s="72" t="s">
        <v>2569</v>
      </c>
      <c r="E9" s="43">
        <v>40395</v>
      </c>
      <c r="F9" s="74">
        <v>1</v>
      </c>
      <c r="G9" s="74">
        <v>0</v>
      </c>
      <c r="H9" s="89" t="s">
        <v>1100</v>
      </c>
      <c r="I9" s="43">
        <v>45115</v>
      </c>
      <c r="J9" s="43"/>
      <c r="K9" s="88"/>
    </row>
    <row r="10" spans="1:11" ht="409.6">
      <c r="A10" s="73">
        <v>9</v>
      </c>
      <c r="B10" s="85" t="str">
        <f>VLOOKUP(A10,[1]vaccines!A:B,2)</f>
        <v>Pentaxim</v>
      </c>
      <c r="C10" s="72" t="s">
        <v>2570</v>
      </c>
      <c r="D10" s="72" t="s">
        <v>2571</v>
      </c>
      <c r="E10" s="59">
        <v>45980</v>
      </c>
      <c r="F10" s="73">
        <v>1</v>
      </c>
      <c r="G10" s="73">
        <v>0</v>
      </c>
      <c r="H10" s="86" t="s">
        <v>1104</v>
      </c>
      <c r="I10" s="59">
        <f t="shared" ref="I10:I11" si="0">I9</f>
        <v>45115</v>
      </c>
      <c r="J10" s="66">
        <v>46204</v>
      </c>
      <c r="K10" s="90" t="s">
        <v>2572</v>
      </c>
    </row>
    <row r="11" spans="1:11" ht="409.6">
      <c r="A11" s="73">
        <v>10</v>
      </c>
      <c r="B11" s="85" t="str">
        <f>VLOOKUP(A11,[1]vaccines!A:B,2)</f>
        <v>Infanrix_Hexa</v>
      </c>
      <c r="C11" s="72" t="s">
        <v>2573</v>
      </c>
      <c r="D11" s="72" t="s">
        <v>2574</v>
      </c>
      <c r="E11" s="59">
        <v>45953</v>
      </c>
      <c r="F11" s="73">
        <v>1</v>
      </c>
      <c r="G11" s="73">
        <v>0</v>
      </c>
      <c r="H11" s="86" t="s">
        <v>1108</v>
      </c>
      <c r="I11" s="59">
        <f t="shared" si="0"/>
        <v>45115</v>
      </c>
      <c r="J11" s="66">
        <v>46000</v>
      </c>
      <c r="K11" s="88"/>
    </row>
    <row r="12" spans="1:11" ht="409.6">
      <c r="A12" s="73">
        <v>11</v>
      </c>
      <c r="B12" s="85" t="str">
        <f>VLOOKUP(A12,[1]vaccines!A:B,2)</f>
        <v>Bubo_M</v>
      </c>
      <c r="C12" s="72" t="s">
        <v>2575</v>
      </c>
      <c r="D12" s="72" t="s">
        <v>2576</v>
      </c>
      <c r="E12" s="59">
        <v>46136</v>
      </c>
      <c r="F12" s="73">
        <v>1</v>
      </c>
      <c r="G12" s="73">
        <v>0</v>
      </c>
      <c r="H12" s="86" t="s">
        <v>1111</v>
      </c>
      <c r="I12" s="59">
        <v>45116</v>
      </c>
      <c r="J12" s="66">
        <v>46188</v>
      </c>
      <c r="K12" s="88"/>
    </row>
    <row r="13" spans="1:11" ht="409.6">
      <c r="A13" s="73">
        <v>12</v>
      </c>
      <c r="B13" s="85" t="str">
        <f>VLOOKUP(A13,[1]vaccines!A:B,2)</f>
        <v>AD_M_Microgen</v>
      </c>
      <c r="C13" s="72" t="s">
        <v>2577</v>
      </c>
      <c r="D13" s="72" t="s">
        <v>2578</v>
      </c>
      <c r="E13" s="59">
        <v>45482</v>
      </c>
      <c r="F13" s="85"/>
      <c r="G13" s="85"/>
      <c r="H13" s="86" t="s">
        <v>1114</v>
      </c>
      <c r="I13" s="59">
        <f t="shared" ref="I13:I15" si="1">I12</f>
        <v>45116</v>
      </c>
      <c r="J13" s="66">
        <v>45518</v>
      </c>
      <c r="K13" s="87" t="s">
        <v>2557</v>
      </c>
    </row>
    <row r="14" spans="1:11" ht="409.6">
      <c r="A14" s="73">
        <v>13</v>
      </c>
      <c r="B14" s="85" t="str">
        <f>VLOOKUP(A14,[1]vaccines!A:B,2)</f>
        <v>ADS_Microgen</v>
      </c>
      <c r="C14" s="72" t="s">
        <v>2579</v>
      </c>
      <c r="D14" s="72" t="s">
        <v>2580</v>
      </c>
      <c r="E14" s="59">
        <v>45488</v>
      </c>
      <c r="F14" s="85"/>
      <c r="G14" s="85"/>
      <c r="H14" s="86" t="s">
        <v>1117</v>
      </c>
      <c r="I14" s="59">
        <f t="shared" si="1"/>
        <v>45116</v>
      </c>
      <c r="J14" s="66">
        <v>45518</v>
      </c>
      <c r="K14" s="88"/>
    </row>
    <row r="15" spans="1:11" ht="409.6">
      <c r="A15" s="73">
        <v>14</v>
      </c>
      <c r="B15" s="85" t="str">
        <f>VLOOKUP(A15,[1]vaccines!A:B,2)</f>
        <v>ADS_M_Microgen</v>
      </c>
      <c r="C15" s="72" t="s">
        <v>2581</v>
      </c>
      <c r="D15" s="72" t="s">
        <v>2582</v>
      </c>
      <c r="E15" s="59">
        <v>45623</v>
      </c>
      <c r="F15" s="73">
        <v>1</v>
      </c>
      <c r="G15" s="73">
        <v>0</v>
      </c>
      <c r="H15" s="86" t="s">
        <v>1121</v>
      </c>
      <c r="I15" s="59">
        <f t="shared" si="1"/>
        <v>45116</v>
      </c>
      <c r="J15" s="66">
        <v>45861</v>
      </c>
      <c r="K15" s="88"/>
    </row>
    <row r="16" spans="1:11" ht="409.6">
      <c r="A16" s="73">
        <v>15</v>
      </c>
      <c r="B16" s="85" t="str">
        <f>VLOOKUP(A16,[1]vaccines!A:B,2)</f>
        <v>ADS_M_Biomed</v>
      </c>
      <c r="C16" s="72" t="s">
        <v>2583</v>
      </c>
      <c r="D16" s="72" t="s">
        <v>2584</v>
      </c>
      <c r="E16" s="43">
        <v>41046</v>
      </c>
      <c r="F16" s="74">
        <v>1</v>
      </c>
      <c r="G16" s="74">
        <v>0</v>
      </c>
      <c r="H16" s="89" t="s">
        <v>1124</v>
      </c>
      <c r="I16" s="43">
        <v>45116</v>
      </c>
      <c r="J16" s="43"/>
      <c r="K16" s="88"/>
    </row>
    <row r="17" spans="1:11" ht="409.6">
      <c r="A17" s="73">
        <v>16</v>
      </c>
      <c r="B17" s="85" t="str">
        <f>VLOOKUP(A17,[1]vaccines!A:B,2)</f>
        <v>Adacel</v>
      </c>
      <c r="C17" s="72" t="s">
        <v>2585</v>
      </c>
      <c r="D17" s="72" t="s">
        <v>2586</v>
      </c>
      <c r="E17" s="59">
        <v>45456</v>
      </c>
      <c r="F17" s="85"/>
      <c r="G17" s="85"/>
      <c r="H17" s="86" t="s">
        <v>1127</v>
      </c>
      <c r="I17" s="59">
        <v>45117</v>
      </c>
      <c r="J17" s="66">
        <v>45589</v>
      </c>
      <c r="K17" s="88"/>
    </row>
    <row r="18" spans="1:11" ht="409.6">
      <c r="A18" s="73">
        <v>17</v>
      </c>
      <c r="B18" s="85" t="str">
        <f>VLOOKUP(A18,[1]vaccines!A:B,2)</f>
        <v>Algavac_M</v>
      </c>
      <c r="C18" s="72" t="s">
        <v>2587</v>
      </c>
      <c r="D18" s="72" t="s">
        <v>2588</v>
      </c>
      <c r="E18" s="43">
        <v>43369</v>
      </c>
      <c r="F18" s="74">
        <v>1</v>
      </c>
      <c r="G18" s="74">
        <v>0</v>
      </c>
      <c r="H18" s="89" t="s">
        <v>1130</v>
      </c>
      <c r="I18" s="43">
        <v>45117</v>
      </c>
      <c r="J18" s="43"/>
      <c r="K18" s="88"/>
    </row>
    <row r="19" spans="1:11" ht="409.6">
      <c r="A19" s="73">
        <v>18</v>
      </c>
      <c r="B19" s="85" t="str">
        <f>VLOOKUP(A19,[1]vaccines!A:B,2)</f>
        <v>Algavac</v>
      </c>
      <c r="C19" s="72" t="s">
        <v>2589</v>
      </c>
      <c r="D19" s="72" t="s">
        <v>2590</v>
      </c>
      <c r="E19" s="59">
        <v>46111</v>
      </c>
      <c r="F19" s="73">
        <v>1</v>
      </c>
      <c r="G19" s="73">
        <v>0</v>
      </c>
      <c r="H19" s="86" t="s">
        <v>1133</v>
      </c>
      <c r="I19" s="59">
        <f>I18</f>
        <v>45117</v>
      </c>
      <c r="J19" s="66">
        <v>46188</v>
      </c>
      <c r="K19" s="88"/>
    </row>
    <row r="20" spans="1:11" ht="409.6">
      <c r="A20" s="73">
        <v>19</v>
      </c>
      <c r="B20" s="85" t="str">
        <f>VLOOKUP(A20,[1]vaccines!A:B,2)</f>
        <v>Havrix_720</v>
      </c>
      <c r="C20" s="72" t="s">
        <v>2591</v>
      </c>
      <c r="D20" s="72" t="s">
        <v>2592</v>
      </c>
      <c r="E20" s="59">
        <v>45490</v>
      </c>
      <c r="F20" s="85"/>
      <c r="G20" s="85"/>
      <c r="H20" s="86" t="s">
        <v>1136</v>
      </c>
      <c r="I20" s="43">
        <v>45119</v>
      </c>
      <c r="J20" s="66">
        <v>45558</v>
      </c>
      <c r="K20" s="88"/>
    </row>
    <row r="21" spans="1:11" ht="409.6">
      <c r="A21" s="73">
        <v>20</v>
      </c>
      <c r="B21" s="85" t="str">
        <f>VLOOKUP(A21,[1]vaccines!A:B,2)</f>
        <v>Havrix_1440</v>
      </c>
      <c r="C21" s="72" t="s">
        <v>2593</v>
      </c>
      <c r="D21" s="72" t="s">
        <v>2594</v>
      </c>
      <c r="E21" s="59">
        <v>45490</v>
      </c>
      <c r="F21" s="73"/>
      <c r="G21" s="73"/>
      <c r="H21" s="86" t="s">
        <v>1136</v>
      </c>
      <c r="I21" s="43">
        <v>45119</v>
      </c>
      <c r="J21" s="66">
        <v>45558</v>
      </c>
      <c r="K21" s="88"/>
    </row>
    <row r="22" spans="1:11" ht="409.6">
      <c r="A22" s="73">
        <v>21</v>
      </c>
      <c r="B22" s="85" t="str">
        <f>VLOOKUP(A22,[1]vaccines!A:B,2)</f>
        <v>Avaxim_80</v>
      </c>
      <c r="C22" s="72" t="s">
        <v>2595</v>
      </c>
      <c r="D22" s="72" t="s">
        <v>2596</v>
      </c>
      <c r="E22" s="43">
        <v>42367</v>
      </c>
      <c r="F22" s="74">
        <v>2</v>
      </c>
      <c r="G22" s="74">
        <v>1</v>
      </c>
      <c r="H22" s="89" t="s">
        <v>2597</v>
      </c>
      <c r="I22" s="43">
        <v>45119</v>
      </c>
      <c r="J22" s="43"/>
      <c r="K22" s="88"/>
    </row>
    <row r="23" spans="1:11" ht="409.6">
      <c r="A23" s="73">
        <v>22</v>
      </c>
      <c r="B23" s="85" t="str">
        <f>VLOOKUP(A23,[1]vaccines!A:B,2)</f>
        <v>Avaxim_160</v>
      </c>
      <c r="C23" s="72" t="s">
        <v>2598</v>
      </c>
      <c r="D23" s="72" t="s">
        <v>2599</v>
      </c>
      <c r="E23" s="43">
        <v>42131</v>
      </c>
      <c r="F23" s="74">
        <v>1</v>
      </c>
      <c r="G23" s="74">
        <v>0</v>
      </c>
      <c r="H23" s="89" t="s">
        <v>1144</v>
      </c>
      <c r="I23" s="43">
        <v>45119</v>
      </c>
      <c r="J23" s="43"/>
      <c r="K23" s="88"/>
    </row>
    <row r="24" spans="1:11" ht="409.6">
      <c r="A24" s="73">
        <v>23</v>
      </c>
      <c r="B24" s="85" t="str">
        <f>VLOOKUP(A24,[1]vaccines!A:B,2)</f>
        <v>Regevac_0_5</v>
      </c>
      <c r="C24" s="72" t="s">
        <v>2600</v>
      </c>
      <c r="D24" s="72" t="s">
        <v>2601</v>
      </c>
      <c r="E24" s="59">
        <v>45216</v>
      </c>
      <c r="F24" s="73">
        <v>1</v>
      </c>
      <c r="G24" s="73">
        <v>0</v>
      </c>
      <c r="H24" s="86" t="s">
        <v>1147</v>
      </c>
      <c r="I24" s="59">
        <f t="shared" ref="I24:I25" si="2">I23</f>
        <v>45119</v>
      </c>
      <c r="J24" s="66">
        <v>45988</v>
      </c>
      <c r="K24" s="88"/>
    </row>
    <row r="25" spans="1:11" ht="409.6">
      <c r="A25" s="73">
        <v>24</v>
      </c>
      <c r="B25" s="85" t="str">
        <f>VLOOKUP(A25,[1]vaccines!A:B,2)</f>
        <v>HepB_Combiotech_0_5</v>
      </c>
      <c r="C25" s="72" t="s">
        <v>2602</v>
      </c>
      <c r="D25" s="72" t="s">
        <v>2603</v>
      </c>
      <c r="E25" s="59">
        <v>46056</v>
      </c>
      <c r="F25" s="73">
        <v>1</v>
      </c>
      <c r="G25" s="73">
        <v>0</v>
      </c>
      <c r="H25" s="86" t="s">
        <v>1150</v>
      </c>
      <c r="I25" s="59">
        <f t="shared" si="2"/>
        <v>45119</v>
      </c>
      <c r="J25" s="66">
        <v>46130</v>
      </c>
      <c r="K25" s="88"/>
    </row>
    <row r="26" spans="1:11" ht="409.6">
      <c r="A26" s="73">
        <v>25</v>
      </c>
      <c r="B26" s="85" t="str">
        <f>VLOOKUP(A26,[1]vaccines!A:B,2)</f>
        <v>Euvax_B_0_5</v>
      </c>
      <c r="C26" s="72" t="s">
        <v>2604</v>
      </c>
      <c r="D26" s="72" t="s">
        <v>2605</v>
      </c>
      <c r="E26" s="43">
        <v>42410</v>
      </c>
      <c r="F26" s="74">
        <v>2</v>
      </c>
      <c r="G26" s="74">
        <v>1</v>
      </c>
      <c r="H26" s="89" t="s">
        <v>1153</v>
      </c>
      <c r="I26" s="43">
        <v>45120</v>
      </c>
      <c r="J26" s="43"/>
      <c r="K26" s="88"/>
    </row>
    <row r="27" spans="1:11" ht="409.6">
      <c r="A27" s="73">
        <v>26</v>
      </c>
      <c r="B27" s="85" t="str">
        <f>VLOOKUP(A27,[1]vaccines!A:B,2)</f>
        <v>Euvax_B_1_0</v>
      </c>
      <c r="C27" s="72" t="s">
        <v>2606</v>
      </c>
      <c r="D27" s="72" t="s">
        <v>2607</v>
      </c>
      <c r="E27" s="43">
        <v>42410</v>
      </c>
      <c r="F27" s="74">
        <v>2</v>
      </c>
      <c r="G27" s="74">
        <v>1</v>
      </c>
      <c r="H27" s="89" t="s">
        <v>1153</v>
      </c>
      <c r="I27" s="43">
        <v>45120</v>
      </c>
      <c r="J27" s="43"/>
      <c r="K27" s="88"/>
    </row>
    <row r="28" spans="1:11" ht="409.6">
      <c r="A28" s="73">
        <v>27</v>
      </c>
      <c r="B28" s="85" t="str">
        <f>VLOOKUP(A28,[1]vaccines!A:B,2)</f>
        <v>Cervarix</v>
      </c>
      <c r="C28" s="72" t="s">
        <v>2608</v>
      </c>
      <c r="D28" s="72" t="s">
        <v>2609</v>
      </c>
      <c r="E28" s="59">
        <v>45513</v>
      </c>
      <c r="F28" s="85"/>
      <c r="G28" s="85"/>
      <c r="H28" s="86" t="s">
        <v>1158</v>
      </c>
      <c r="I28" s="59">
        <f>I27</f>
        <v>45120</v>
      </c>
      <c r="J28" s="66">
        <v>45589</v>
      </c>
      <c r="K28" s="88"/>
    </row>
    <row r="29" spans="1:11" ht="409.6">
      <c r="A29" s="73">
        <v>28</v>
      </c>
      <c r="B29" s="85" t="str">
        <f>VLOOKUP(A29,[1]vaccines!A:B,2)</f>
        <v>Gardasil_4</v>
      </c>
      <c r="C29" s="72" t="s">
        <v>2610</v>
      </c>
      <c r="D29" s="72" t="s">
        <v>2611</v>
      </c>
      <c r="E29" s="59">
        <v>45386</v>
      </c>
      <c r="F29" s="85"/>
      <c r="G29" s="85"/>
      <c r="H29" s="86" t="s">
        <v>1161</v>
      </c>
      <c r="I29" s="43">
        <v>45120</v>
      </c>
      <c r="J29" s="43">
        <v>45483</v>
      </c>
      <c r="K29" s="88"/>
    </row>
    <row r="30" spans="1:11" ht="409.6">
      <c r="A30" s="73">
        <v>29</v>
      </c>
      <c r="B30" s="85" t="str">
        <f>VLOOKUP(A30,[1]vaccines!A:B,2)</f>
        <v>Sputnik</v>
      </c>
      <c r="C30" s="72" t="s">
        <v>2612</v>
      </c>
      <c r="D30" s="72" t="s">
        <v>2613</v>
      </c>
      <c r="E30" s="59">
        <v>45839</v>
      </c>
      <c r="F30" s="73">
        <v>1</v>
      </c>
      <c r="G30" s="73">
        <v>0</v>
      </c>
      <c r="H30" s="86" t="s">
        <v>1164</v>
      </c>
      <c r="I30" s="59">
        <v>45121</v>
      </c>
      <c r="J30" s="66">
        <v>45923</v>
      </c>
      <c r="K30" s="88"/>
    </row>
    <row r="31" spans="1:11" ht="409.6">
      <c r="A31" s="73">
        <v>30</v>
      </c>
      <c r="B31" s="85" t="str">
        <f>VLOOKUP(A31,[1]vaccines!A:B,2)</f>
        <v>Sputnik_Lyo</v>
      </c>
      <c r="C31" s="72" t="s">
        <v>2614</v>
      </c>
      <c r="D31" s="72" t="s">
        <v>2615</v>
      </c>
      <c r="E31" s="43">
        <v>44631</v>
      </c>
      <c r="F31" s="74">
        <v>2</v>
      </c>
      <c r="G31" s="74">
        <v>1</v>
      </c>
      <c r="H31" s="89" t="s">
        <v>2616</v>
      </c>
      <c r="I31" s="43">
        <v>45121</v>
      </c>
      <c r="J31" s="43"/>
      <c r="K31" s="88"/>
    </row>
    <row r="32" spans="1:11" ht="409.6">
      <c r="A32" s="73">
        <v>31</v>
      </c>
      <c r="B32" s="85" t="str">
        <f>VLOOKUP(A32,[1]vaccines!A:B,2)</f>
        <v>EpiVacCorona</v>
      </c>
      <c r="C32" s="72" t="s">
        <v>2617</v>
      </c>
      <c r="D32" s="72" t="s">
        <v>2618</v>
      </c>
      <c r="E32" s="43">
        <v>44911</v>
      </c>
      <c r="F32" s="74">
        <v>1</v>
      </c>
      <c r="G32" s="74">
        <v>0</v>
      </c>
      <c r="H32" s="89" t="s">
        <v>1170</v>
      </c>
      <c r="I32" s="43">
        <v>45122</v>
      </c>
      <c r="J32" s="43"/>
      <c r="K32" s="88"/>
    </row>
    <row r="33" spans="1:11" ht="409.6">
      <c r="A33" s="73">
        <v>32</v>
      </c>
      <c r="B33" s="85" t="str">
        <f>VLOOKUP(A33,[1]vaccines!A:B,2)</f>
        <v>Grippol_Microgen</v>
      </c>
      <c r="C33" s="72" t="s">
        <v>2619</v>
      </c>
      <c r="D33" s="72" t="s">
        <v>2620</v>
      </c>
      <c r="E33" s="43">
        <v>41411</v>
      </c>
      <c r="F33" s="74">
        <v>1</v>
      </c>
      <c r="G33" s="74">
        <v>0</v>
      </c>
      <c r="H33" s="89" t="s">
        <v>1173</v>
      </c>
      <c r="I33" s="43">
        <v>45122</v>
      </c>
      <c r="J33" s="43"/>
      <c r="K33" s="87" t="s">
        <v>2557</v>
      </c>
    </row>
    <row r="34" spans="1:11" ht="409.6">
      <c r="A34" s="73">
        <v>33</v>
      </c>
      <c r="B34" s="85" t="str">
        <f>VLOOKUP(A34,[1]vaccines!A:B,2)</f>
        <v>Grippol_Petrovax</v>
      </c>
      <c r="C34" s="72" t="s">
        <v>2621</v>
      </c>
      <c r="D34" s="72" t="s">
        <v>2622</v>
      </c>
      <c r="E34" s="43">
        <v>40634</v>
      </c>
      <c r="F34" s="74">
        <v>1</v>
      </c>
      <c r="G34" s="74">
        <v>0</v>
      </c>
      <c r="H34" s="89" t="s">
        <v>1176</v>
      </c>
      <c r="I34" s="43">
        <v>45122</v>
      </c>
      <c r="J34" s="43"/>
      <c r="K34" s="88"/>
    </row>
    <row r="35" spans="1:11" ht="409.6">
      <c r="A35" s="73">
        <v>34</v>
      </c>
      <c r="B35" s="85" t="str">
        <f>VLOOKUP(A35,[1]vaccines!A:B,2)</f>
        <v>Grippol_plus_0_5</v>
      </c>
      <c r="C35" s="72" t="s">
        <v>2623</v>
      </c>
      <c r="D35" s="72" t="s">
        <v>2624</v>
      </c>
      <c r="E35" s="59">
        <v>45182</v>
      </c>
      <c r="F35" s="85"/>
      <c r="G35" s="85"/>
      <c r="H35" s="86" t="s">
        <v>1179</v>
      </c>
      <c r="I35" s="43">
        <v>45122</v>
      </c>
      <c r="J35" s="43">
        <v>45483</v>
      </c>
      <c r="K35" s="88"/>
    </row>
    <row r="36" spans="1:11" ht="409.6">
      <c r="A36" s="73">
        <v>35</v>
      </c>
      <c r="B36" s="85" t="str">
        <f>VLOOKUP(A36,[1]vaccines!A:B,2)</f>
        <v>Sovigripp</v>
      </c>
      <c r="C36" s="72" t="s">
        <v>2625</v>
      </c>
      <c r="D36" s="72" t="s">
        <v>2626</v>
      </c>
      <c r="E36" s="59">
        <v>45580</v>
      </c>
      <c r="F36" s="85"/>
      <c r="G36" s="85"/>
      <c r="H36" s="86" t="s">
        <v>1182</v>
      </c>
      <c r="I36" s="59">
        <f>I35</f>
        <v>45122</v>
      </c>
      <c r="J36" s="66">
        <v>45622</v>
      </c>
      <c r="K36" s="88"/>
    </row>
    <row r="37" spans="1:11" ht="409.6">
      <c r="A37" s="73">
        <v>36</v>
      </c>
      <c r="B37" s="85" t="str">
        <f>VLOOKUP(A37,[1]vaccines!A:B,2)</f>
        <v>Ultrix</v>
      </c>
      <c r="C37" s="72" t="s">
        <v>2627</v>
      </c>
      <c r="D37" s="72" t="s">
        <v>2628</v>
      </c>
      <c r="E37" s="59">
        <v>45211</v>
      </c>
      <c r="F37" s="85"/>
      <c r="G37" s="85"/>
      <c r="H37" s="86" t="s">
        <v>1185</v>
      </c>
      <c r="I37" s="43">
        <v>45123</v>
      </c>
      <c r="J37" s="43">
        <v>45483</v>
      </c>
      <c r="K37" s="88"/>
    </row>
    <row r="38" spans="1:11" ht="409.6">
      <c r="A38" s="73">
        <v>37</v>
      </c>
      <c r="B38" s="85" t="str">
        <f>VLOOKUP(A38,[1]vaccines!A:B,2)</f>
        <v>Flu_M</v>
      </c>
      <c r="C38" s="72" t="s">
        <v>2629</v>
      </c>
      <c r="D38" s="72" t="s">
        <v>2630</v>
      </c>
      <c r="E38" s="59">
        <v>46035</v>
      </c>
      <c r="F38" s="73">
        <v>1</v>
      </c>
      <c r="G38" s="73">
        <v>0</v>
      </c>
      <c r="H38" s="86" t="s">
        <v>1188</v>
      </c>
      <c r="I38" s="59">
        <f>I37</f>
        <v>45123</v>
      </c>
      <c r="J38" s="66">
        <v>46130</v>
      </c>
      <c r="K38" s="88"/>
    </row>
    <row r="39" spans="1:11" ht="409.6">
      <c r="A39" s="73">
        <v>38</v>
      </c>
      <c r="B39" s="85" t="str">
        <f>VLOOKUP(A39,[1]vaccines!A:B,2)</f>
        <v>Vaxigrip</v>
      </c>
      <c r="C39" s="72" t="s">
        <v>2631</v>
      </c>
      <c r="D39" s="72" t="s">
        <v>2632</v>
      </c>
      <c r="E39" s="43">
        <v>43598</v>
      </c>
      <c r="F39" s="74">
        <v>1</v>
      </c>
      <c r="G39" s="74">
        <v>0</v>
      </c>
      <c r="H39" s="89" t="s">
        <v>1651</v>
      </c>
      <c r="I39" s="43">
        <v>45123</v>
      </c>
      <c r="J39" s="43"/>
      <c r="K39" s="88"/>
    </row>
    <row r="40" spans="1:11" ht="409.6">
      <c r="A40" s="73">
        <v>39</v>
      </c>
      <c r="B40" s="85" t="str">
        <f>VLOOKUP(A40,[1]vaccines!A:B,2)</f>
        <v>Influvac</v>
      </c>
      <c r="C40" s="72" t="s">
        <v>2633</v>
      </c>
      <c r="D40" s="72" t="s">
        <v>2634</v>
      </c>
      <c r="E40" s="59">
        <v>46066</v>
      </c>
      <c r="F40" s="73">
        <v>1</v>
      </c>
      <c r="G40" s="73">
        <v>0</v>
      </c>
      <c r="H40" s="86" t="s">
        <v>1194</v>
      </c>
      <c r="I40" s="59">
        <f>I39</f>
        <v>45123</v>
      </c>
      <c r="J40" s="66">
        <v>46130</v>
      </c>
      <c r="K40" s="88"/>
    </row>
    <row r="41" spans="1:11" ht="409.6">
      <c r="A41" s="73">
        <v>40</v>
      </c>
      <c r="B41" s="85" t="str">
        <f>VLOOKUP(A41,[1]vaccines!A:B,2)</f>
        <v>Ultrix_quadri</v>
      </c>
      <c r="C41" s="72" t="s">
        <v>2635</v>
      </c>
      <c r="D41" s="72" t="s">
        <v>2636</v>
      </c>
      <c r="E41" s="59">
        <v>45524</v>
      </c>
      <c r="F41" s="85"/>
      <c r="G41" s="85"/>
      <c r="H41" s="86" t="s">
        <v>1197</v>
      </c>
      <c r="I41" s="43">
        <v>45124</v>
      </c>
      <c r="J41" s="66">
        <v>45589</v>
      </c>
      <c r="K41" s="88"/>
    </row>
    <row r="42" spans="1:11" ht="409.6">
      <c r="A42" s="73">
        <v>41</v>
      </c>
      <c r="B42" s="85" t="str">
        <f>VLOOKUP(A42,[1]vaccines!A:B,2)</f>
        <v>Grippol_quadrivalent</v>
      </c>
      <c r="C42" s="72" t="s">
        <v>2637</v>
      </c>
      <c r="D42" s="72" t="s">
        <v>2638</v>
      </c>
      <c r="E42" s="59">
        <v>45727</v>
      </c>
      <c r="F42" s="73">
        <v>1</v>
      </c>
      <c r="G42" s="73">
        <v>0</v>
      </c>
      <c r="H42" s="86" t="s">
        <v>1200</v>
      </c>
      <c r="I42" s="59">
        <f>I41</f>
        <v>45124</v>
      </c>
      <c r="J42" s="66">
        <v>45818</v>
      </c>
      <c r="K42" s="88"/>
    </row>
    <row r="43" spans="1:11" ht="409.6">
      <c r="A43" s="73">
        <v>42</v>
      </c>
      <c r="B43" s="85" t="str">
        <f>VLOOKUP(A43,[1]vaccines!A:B,2)</f>
        <v>measles_Microgen</v>
      </c>
      <c r="C43" s="72" t="s">
        <v>2639</v>
      </c>
      <c r="D43" s="72" t="s">
        <v>2640</v>
      </c>
      <c r="E43" s="59">
        <v>45404</v>
      </c>
      <c r="F43" s="85"/>
      <c r="G43" s="85"/>
      <c r="H43" s="86" t="s">
        <v>1203</v>
      </c>
      <c r="I43" s="43">
        <v>45124</v>
      </c>
      <c r="J43" s="59">
        <v>45483</v>
      </c>
      <c r="K43" s="87" t="s">
        <v>2557</v>
      </c>
    </row>
    <row r="44" spans="1:11" ht="409.6">
      <c r="A44" s="73">
        <v>43</v>
      </c>
      <c r="B44" s="85" t="str">
        <f>VLOOKUP(A44,[1]vaccines!A:B,2)</f>
        <v>measles_Serum_India</v>
      </c>
      <c r="C44" s="72" t="s">
        <v>2641</v>
      </c>
      <c r="D44" s="72" t="s">
        <v>2642</v>
      </c>
      <c r="E44" s="59">
        <v>45981</v>
      </c>
      <c r="F44" s="73">
        <v>1</v>
      </c>
      <c r="G44" s="73">
        <v>0</v>
      </c>
      <c r="H44" s="86" t="s">
        <v>1206</v>
      </c>
      <c r="I44" s="59">
        <f>I43</f>
        <v>45124</v>
      </c>
      <c r="J44" s="66">
        <v>46053</v>
      </c>
      <c r="K44" s="88"/>
    </row>
    <row r="45" spans="1:11" ht="409.6">
      <c r="A45" s="73">
        <v>44</v>
      </c>
      <c r="B45" s="85" t="str">
        <f>VLOOKUP(A45,[1]vaccines!A:B,2)</f>
        <v>measles_Vector</v>
      </c>
      <c r="C45" s="72" t="s">
        <v>2643</v>
      </c>
      <c r="D45" s="72" t="s">
        <v>2644</v>
      </c>
      <c r="E45" s="43">
        <v>39421</v>
      </c>
      <c r="F45" s="74">
        <v>1</v>
      </c>
      <c r="G45" s="74">
        <v>0</v>
      </c>
      <c r="H45" s="89" t="s">
        <v>1209</v>
      </c>
      <c r="I45" s="43">
        <v>45124</v>
      </c>
      <c r="J45" s="43"/>
      <c r="K45" s="88"/>
    </row>
    <row r="46" spans="1:11" ht="409.6">
      <c r="A46" s="73">
        <v>45</v>
      </c>
      <c r="B46" s="85" t="str">
        <f>VLOOKUP(A46,[1]vaccines!A:B,2)</f>
        <v>measles_mumps_Microgen</v>
      </c>
      <c r="C46" s="72" t="s">
        <v>2645</v>
      </c>
      <c r="D46" s="72" t="s">
        <v>2646</v>
      </c>
      <c r="E46" s="59">
        <v>45460</v>
      </c>
      <c r="F46" s="85"/>
      <c r="G46" s="85"/>
      <c r="H46" s="86" t="s">
        <v>1212</v>
      </c>
      <c r="I46" s="59">
        <f t="shared" ref="I46:I47" si="3">I45</f>
        <v>45124</v>
      </c>
      <c r="J46" s="66">
        <v>45589</v>
      </c>
      <c r="K46" s="88"/>
    </row>
    <row r="47" spans="1:11" ht="409.6">
      <c r="A47" s="73">
        <v>46</v>
      </c>
      <c r="B47" s="85" t="str">
        <f>VLOOKUP(A47,[1]vaccines!A:B,2)</f>
        <v>Vactrivir</v>
      </c>
      <c r="C47" s="72" t="s">
        <v>2647</v>
      </c>
      <c r="D47" s="72" t="s">
        <v>2648</v>
      </c>
      <c r="E47" s="59">
        <v>45817</v>
      </c>
      <c r="F47" s="73">
        <v>1</v>
      </c>
      <c r="G47" s="73">
        <v>0</v>
      </c>
      <c r="H47" s="86" t="s">
        <v>1215</v>
      </c>
      <c r="I47" s="59">
        <f t="shared" si="3"/>
        <v>45124</v>
      </c>
      <c r="J47" s="66">
        <v>45830</v>
      </c>
      <c r="K47" s="88"/>
    </row>
    <row r="48" spans="1:11" ht="409.6">
      <c r="A48" s="73">
        <v>47</v>
      </c>
      <c r="B48" s="85" t="str">
        <f>VLOOKUP(A48,[1]vaccines!A:B,2)</f>
        <v>MMR_II</v>
      </c>
      <c r="C48" s="72" t="s">
        <v>2649</v>
      </c>
      <c r="D48" s="72" t="s">
        <v>2650</v>
      </c>
      <c r="E48" s="43">
        <v>43959</v>
      </c>
      <c r="F48" s="74">
        <v>5</v>
      </c>
      <c r="G48" s="74">
        <v>5</v>
      </c>
      <c r="H48" s="89" t="s">
        <v>2651</v>
      </c>
      <c r="I48" s="43">
        <v>45124</v>
      </c>
      <c r="J48" s="43"/>
      <c r="K48" s="88"/>
    </row>
    <row r="49" spans="1:11" ht="409.6">
      <c r="A49" s="73">
        <v>48</v>
      </c>
      <c r="B49" s="85" t="str">
        <f>VLOOKUP(A49,[1]vaccines!A:B,2)</f>
        <v>MenA_Microgen</v>
      </c>
      <c r="C49" s="72" t="s">
        <v>2652</v>
      </c>
      <c r="D49" s="72" t="s">
        <v>2653</v>
      </c>
      <c r="E49" s="59">
        <v>45414</v>
      </c>
      <c r="F49" s="85"/>
      <c r="G49" s="85"/>
      <c r="H49" s="86" t="s">
        <v>1221</v>
      </c>
      <c r="I49" s="59">
        <f t="shared" ref="I49:I52" si="4">I48</f>
        <v>45124</v>
      </c>
      <c r="J49" s="59">
        <v>45460</v>
      </c>
      <c r="K49" s="88"/>
    </row>
    <row r="50" spans="1:11" ht="409.6">
      <c r="A50" s="73">
        <v>49</v>
      </c>
      <c r="B50" s="85" t="str">
        <f>VLOOKUP(A50,[1]vaccines!A:B,2)</f>
        <v>MeningoVac_A_C</v>
      </c>
      <c r="C50" s="72" t="s">
        <v>2654</v>
      </c>
      <c r="D50" s="72" t="s">
        <v>2655</v>
      </c>
      <c r="E50" s="66">
        <v>45414</v>
      </c>
      <c r="F50" s="85"/>
      <c r="G50" s="85"/>
      <c r="H50" s="86" t="s">
        <v>1674</v>
      </c>
      <c r="I50" s="66">
        <f t="shared" si="4"/>
        <v>45124</v>
      </c>
      <c r="J50" s="66">
        <v>45460</v>
      </c>
      <c r="K50" s="88"/>
    </row>
    <row r="51" spans="1:11" ht="409.6">
      <c r="A51" s="73">
        <v>50</v>
      </c>
      <c r="B51" s="85" t="str">
        <f>VLOOKUP(A51,[1]vaccines!A:B,2)</f>
        <v>Menactra</v>
      </c>
      <c r="C51" s="72" t="s">
        <v>2656</v>
      </c>
      <c r="D51" s="72" t="s">
        <v>2657</v>
      </c>
      <c r="E51" s="59">
        <v>45188</v>
      </c>
      <c r="F51" s="85"/>
      <c r="G51" s="85"/>
      <c r="H51" s="86" t="s">
        <v>1226</v>
      </c>
      <c r="I51" s="66">
        <f t="shared" si="4"/>
        <v>45124</v>
      </c>
      <c r="J51" s="66">
        <v>45483</v>
      </c>
      <c r="K51" s="88"/>
    </row>
    <row r="52" spans="1:11" ht="409.6">
      <c r="A52" s="73">
        <v>51</v>
      </c>
      <c r="B52" s="85" t="str">
        <f>VLOOKUP(A52,[1]vaccines!A:B,2)</f>
        <v>mumps_Microgen</v>
      </c>
      <c r="C52" s="72" t="s">
        <v>2658</v>
      </c>
      <c r="D52" s="72" t="s">
        <v>2659</v>
      </c>
      <c r="E52" s="59">
        <v>45454</v>
      </c>
      <c r="F52" s="85"/>
      <c r="G52" s="85"/>
      <c r="H52" s="86" t="s">
        <v>1229</v>
      </c>
      <c r="I52" s="59">
        <f t="shared" si="4"/>
        <v>45124</v>
      </c>
      <c r="J52" s="66">
        <v>45589</v>
      </c>
      <c r="K52" s="88"/>
    </row>
    <row r="53" spans="1:11" ht="409.6">
      <c r="A53" s="73">
        <v>52</v>
      </c>
      <c r="B53" s="85" t="str">
        <f>VLOOKUP(A53,[1]vaccines!A:B,2)</f>
        <v>Prevenar_13</v>
      </c>
      <c r="C53" s="72" t="s">
        <v>2660</v>
      </c>
      <c r="D53" s="72" t="s">
        <v>2661</v>
      </c>
      <c r="E53" s="59">
        <v>45267</v>
      </c>
      <c r="F53" s="85"/>
      <c r="G53" s="85"/>
      <c r="H53" s="86" t="s">
        <v>1232</v>
      </c>
      <c r="I53" s="43">
        <v>45125</v>
      </c>
      <c r="J53" s="66">
        <v>45481</v>
      </c>
      <c r="K53" s="87" t="s">
        <v>2557</v>
      </c>
    </row>
    <row r="54" spans="1:11" ht="409.6">
      <c r="A54" s="73">
        <v>53</v>
      </c>
      <c r="B54" s="85" t="str">
        <f>VLOOKUP(A54,[1]vaccines!A:B,2)</f>
        <v>Synflorix</v>
      </c>
      <c r="C54" s="72" t="s">
        <v>2662</v>
      </c>
      <c r="D54" s="72" t="s">
        <v>2663</v>
      </c>
      <c r="E54" s="43">
        <v>43605</v>
      </c>
      <c r="F54" s="74">
        <v>1</v>
      </c>
      <c r="G54" s="74">
        <v>0</v>
      </c>
      <c r="H54" s="89" t="s">
        <v>1235</v>
      </c>
      <c r="I54" s="43">
        <v>45125</v>
      </c>
      <c r="J54" s="43"/>
      <c r="K54" s="88"/>
    </row>
    <row r="55" spans="1:11" ht="409.6">
      <c r="A55" s="73">
        <v>54</v>
      </c>
      <c r="B55" s="85" t="str">
        <f>VLOOKUP(A55,[1]vaccines!A:B,2)</f>
        <v>Pneumovax_23</v>
      </c>
      <c r="C55" s="72" t="s">
        <v>2664</v>
      </c>
      <c r="D55" s="72" t="s">
        <v>2665</v>
      </c>
      <c r="E55" s="59">
        <v>45051</v>
      </c>
      <c r="F55" s="85"/>
      <c r="G55" s="85"/>
      <c r="H55" s="86" t="s">
        <v>1238</v>
      </c>
      <c r="I55" s="59">
        <f>I54</f>
        <v>45125</v>
      </c>
      <c r="J55" s="66">
        <v>45489</v>
      </c>
      <c r="K55" s="88"/>
    </row>
    <row r="56" spans="1:11" ht="409.6">
      <c r="A56" s="73">
        <v>55</v>
      </c>
      <c r="B56" s="85" t="str">
        <f>VLOOKUP(A56,[1]vaccines!A:B,2)</f>
        <v>MonoVac_Polio</v>
      </c>
      <c r="C56" s="72" t="s">
        <v>2666</v>
      </c>
      <c r="D56" s="72" t="s">
        <v>2667</v>
      </c>
      <c r="E56" s="43">
        <v>44454</v>
      </c>
      <c r="F56" s="74">
        <v>1</v>
      </c>
      <c r="G56" s="74">
        <v>1</v>
      </c>
      <c r="H56" s="89" t="s">
        <v>2668</v>
      </c>
      <c r="I56" s="43">
        <v>45125</v>
      </c>
      <c r="J56" s="43"/>
      <c r="K56" s="88"/>
    </row>
    <row r="57" spans="1:11" ht="409.6">
      <c r="A57" s="73">
        <v>56</v>
      </c>
      <c r="B57" s="85" t="str">
        <f>VLOOKUP(A57,[1]vaccines!A:B,2)</f>
        <v>BiVac_Polio</v>
      </c>
      <c r="C57" s="72" t="s">
        <v>2669</v>
      </c>
      <c r="D57" s="72" t="s">
        <v>2670</v>
      </c>
      <c r="E57" s="59">
        <v>45736</v>
      </c>
      <c r="F57" s="73">
        <v>1</v>
      </c>
      <c r="G57" s="73">
        <v>0</v>
      </c>
      <c r="H57" s="86" t="s">
        <v>1244</v>
      </c>
      <c r="I57" s="59">
        <f t="shared" ref="I57:I59" si="5">I56</f>
        <v>45125</v>
      </c>
      <c r="J57" s="66">
        <v>45988</v>
      </c>
      <c r="K57" s="88"/>
    </row>
    <row r="58" spans="1:11" ht="409.6">
      <c r="A58" s="73">
        <v>57</v>
      </c>
      <c r="B58" s="85" t="str">
        <f>VLOOKUP(A58,[1]vaccines!A:B,2)</f>
        <v>Polymilex</v>
      </c>
      <c r="C58" s="72" t="s">
        <v>2671</v>
      </c>
      <c r="D58" s="72" t="s">
        <v>2672</v>
      </c>
      <c r="E58" s="59">
        <v>45623</v>
      </c>
      <c r="F58" s="73">
        <v>1</v>
      </c>
      <c r="G58" s="73">
        <v>0</v>
      </c>
      <c r="H58" s="86" t="s">
        <v>1247</v>
      </c>
      <c r="I58" s="59">
        <f t="shared" si="5"/>
        <v>45125</v>
      </c>
      <c r="J58" s="66">
        <v>45715</v>
      </c>
      <c r="K58" s="88"/>
    </row>
    <row r="59" spans="1:11" ht="409.6">
      <c r="A59" s="73">
        <v>58</v>
      </c>
      <c r="B59" s="85" t="str">
        <f>VLOOKUP(A59,[1]vaccines!A:B,2)</f>
        <v>COCAV</v>
      </c>
      <c r="C59" s="72" t="s">
        <v>2673</v>
      </c>
      <c r="D59" s="72" t="s">
        <v>2674</v>
      </c>
      <c r="E59" s="59">
        <v>45631</v>
      </c>
      <c r="F59" s="85"/>
      <c r="G59" s="85"/>
      <c r="H59" s="86" t="s">
        <v>1249</v>
      </c>
      <c r="I59" s="59">
        <f t="shared" si="5"/>
        <v>45125</v>
      </c>
      <c r="J59" s="66">
        <v>45678</v>
      </c>
      <c r="K59" s="88"/>
    </row>
    <row r="60" spans="1:11" ht="409.6">
      <c r="A60" s="73">
        <v>59</v>
      </c>
      <c r="B60" s="85" t="str">
        <f>VLOOKUP(A60,[1]vaccines!A:B,2)</f>
        <v>rabies_Chumakov</v>
      </c>
      <c r="C60" s="72" t="s">
        <v>2675</v>
      </c>
      <c r="D60" s="72" t="s">
        <v>2676</v>
      </c>
      <c r="E60" s="43">
        <v>44862</v>
      </c>
      <c r="F60" s="74">
        <v>1</v>
      </c>
      <c r="G60" s="74">
        <v>0</v>
      </c>
      <c r="H60" s="89" t="s">
        <v>1250</v>
      </c>
      <c r="I60" s="43">
        <v>45125</v>
      </c>
      <c r="J60" s="43"/>
      <c r="K60" s="88"/>
    </row>
    <row r="61" spans="1:11" ht="409.6">
      <c r="A61" s="73">
        <v>60</v>
      </c>
      <c r="B61" s="85" t="str">
        <f>VLOOKUP(A61,[1]vaccines!A:B,2)</f>
        <v>Rabivac_Vnukovo_32</v>
      </c>
      <c r="C61" s="72" t="s">
        <v>2677</v>
      </c>
      <c r="D61" s="72" t="s">
        <v>2678</v>
      </c>
      <c r="E61" s="43">
        <v>40925</v>
      </c>
      <c r="F61" s="74">
        <v>1</v>
      </c>
      <c r="G61" s="74">
        <v>0</v>
      </c>
      <c r="H61" s="89" t="s">
        <v>1251</v>
      </c>
      <c r="I61" s="43">
        <v>45125</v>
      </c>
      <c r="J61" s="43"/>
      <c r="K61" s="88"/>
    </row>
    <row r="62" spans="1:11" ht="409.6">
      <c r="A62" s="73">
        <v>61</v>
      </c>
      <c r="B62" s="85" t="str">
        <f>VLOOKUP(A62,[1]vaccines!A:B,2)</f>
        <v>RotaTeq</v>
      </c>
      <c r="C62" s="72" t="s">
        <v>2679</v>
      </c>
      <c r="D62" s="72" t="s">
        <v>2680</v>
      </c>
      <c r="E62" s="43">
        <v>43844</v>
      </c>
      <c r="F62" s="74">
        <v>3</v>
      </c>
      <c r="G62" s="74">
        <v>1</v>
      </c>
      <c r="H62" s="89" t="s">
        <v>2681</v>
      </c>
      <c r="I62" s="43">
        <v>45127</v>
      </c>
      <c r="J62" s="43"/>
      <c r="K62" s="88"/>
    </row>
    <row r="63" spans="1:11" ht="409.6">
      <c r="A63" s="73">
        <v>62</v>
      </c>
      <c r="B63" s="85" t="str">
        <f>VLOOKUP(A63,[1]vaccines!A:B,2)</f>
        <v>rubella_Microgen</v>
      </c>
      <c r="C63" s="72" t="s">
        <v>2682</v>
      </c>
      <c r="D63" s="72" t="s">
        <v>2683</v>
      </c>
      <c r="E63" s="59">
        <v>45531</v>
      </c>
      <c r="F63" s="85"/>
      <c r="G63" s="85"/>
      <c r="H63" s="86" t="s">
        <v>1256</v>
      </c>
      <c r="I63" s="59">
        <f>I62</f>
        <v>45127</v>
      </c>
      <c r="J63" s="66">
        <v>45589</v>
      </c>
      <c r="K63" s="87" t="s">
        <v>2557</v>
      </c>
    </row>
    <row r="64" spans="1:11" ht="409.6">
      <c r="A64" s="73">
        <v>63</v>
      </c>
      <c r="B64" s="85" t="str">
        <f>VLOOKUP(A64,[1]vaccines!A:B,2)</f>
        <v>rubella_Serum</v>
      </c>
      <c r="C64" s="72" t="s">
        <v>2684</v>
      </c>
      <c r="D64" s="72" t="s">
        <v>2685</v>
      </c>
      <c r="E64" s="43">
        <v>40142</v>
      </c>
      <c r="F64" s="74">
        <v>1</v>
      </c>
      <c r="G64" s="74">
        <v>0</v>
      </c>
      <c r="H64" s="89" t="s">
        <v>1259</v>
      </c>
      <c r="I64" s="43">
        <v>45127</v>
      </c>
      <c r="J64" s="43"/>
      <c r="K64" s="88"/>
    </row>
    <row r="65" spans="1:11" ht="409.6">
      <c r="A65" s="73">
        <v>64</v>
      </c>
      <c r="B65" s="85" t="str">
        <f>VLOOKUP(A65,[1]vaccines!A:B,2)</f>
        <v>AS_Microgen</v>
      </c>
      <c r="C65" s="72" t="s">
        <v>2686</v>
      </c>
      <c r="D65" s="72" t="s">
        <v>2687</v>
      </c>
      <c r="E65" s="59">
        <v>45607</v>
      </c>
      <c r="F65" s="73">
        <v>1</v>
      </c>
      <c r="G65" s="73">
        <v>0</v>
      </c>
      <c r="H65" s="86" t="s">
        <v>1262</v>
      </c>
      <c r="I65" s="59">
        <f>I64</f>
        <v>45127</v>
      </c>
      <c r="J65" s="66">
        <v>46053</v>
      </c>
      <c r="K65" s="88"/>
    </row>
    <row r="66" spans="1:11" ht="409.6">
      <c r="A66" s="73">
        <v>65</v>
      </c>
      <c r="B66" s="85" t="str">
        <f>VLOOKUP(A66,[1]vaccines!A:B,2)</f>
        <v>AS_Biomed</v>
      </c>
      <c r="C66" s="72" t="s">
        <v>2688</v>
      </c>
      <c r="D66" s="72" t="s">
        <v>2689</v>
      </c>
      <c r="E66" s="43">
        <v>41047</v>
      </c>
      <c r="F66" s="74">
        <v>1</v>
      </c>
      <c r="G66" s="74">
        <v>0</v>
      </c>
      <c r="H66" s="89" t="s">
        <v>1265</v>
      </c>
      <c r="I66" s="43">
        <v>45128</v>
      </c>
      <c r="J66" s="43"/>
      <c r="K66" s="88"/>
    </row>
    <row r="67" spans="1:11" ht="409.6">
      <c r="A67" s="73">
        <v>66</v>
      </c>
      <c r="B67" s="85" t="str">
        <f>VLOOKUP(A67,[1]vaccines!A:B,2)</f>
        <v>Vaqta_25</v>
      </c>
      <c r="C67" s="72" t="s">
        <v>2690</v>
      </c>
      <c r="D67" s="72" t="s">
        <v>2691</v>
      </c>
      <c r="E67" s="43">
        <v>41780</v>
      </c>
      <c r="F67" s="74">
        <v>1</v>
      </c>
      <c r="G67" s="74">
        <v>0</v>
      </c>
      <c r="H67" s="89" t="s">
        <v>1268</v>
      </c>
      <c r="I67" s="43">
        <v>45128</v>
      </c>
      <c r="J67" s="43"/>
      <c r="K67" s="88"/>
    </row>
    <row r="68" spans="1:11" ht="409.6">
      <c r="A68" s="73">
        <v>67</v>
      </c>
      <c r="B68" s="85" t="str">
        <f>VLOOKUP(A68,[1]vaccines!A:B,2)</f>
        <v>Vaqta_50</v>
      </c>
      <c r="C68" s="72" t="s">
        <v>2692</v>
      </c>
      <c r="D68" s="72" t="s">
        <v>2693</v>
      </c>
      <c r="E68" s="43">
        <v>41780</v>
      </c>
      <c r="F68" s="74">
        <v>1</v>
      </c>
      <c r="G68" s="74">
        <v>0</v>
      </c>
      <c r="H68" s="89" t="s">
        <v>1268</v>
      </c>
      <c r="I68" s="43">
        <v>45128</v>
      </c>
      <c r="J68" s="43"/>
      <c r="K68" s="88"/>
    </row>
    <row r="69" spans="1:11" ht="409.6">
      <c r="A69" s="73">
        <v>68</v>
      </c>
      <c r="B69" s="85" t="str">
        <f>VLOOKUP(A69,[1]vaccines!A:B,2)</f>
        <v>Klesh_E_Vac_0_5</v>
      </c>
      <c r="C69" s="72" t="s">
        <v>2694</v>
      </c>
      <c r="D69" s="72" t="s">
        <v>2695</v>
      </c>
      <c r="E69" s="59">
        <v>45904</v>
      </c>
      <c r="F69" s="73">
        <v>1</v>
      </c>
      <c r="G69" s="73">
        <v>0</v>
      </c>
      <c r="H69" s="86" t="s">
        <v>1273</v>
      </c>
      <c r="I69" s="59">
        <f t="shared" ref="I69:I74" si="6">I68</f>
        <v>45128</v>
      </c>
      <c r="J69" s="66">
        <v>45988</v>
      </c>
      <c r="K69" s="88"/>
    </row>
    <row r="70" spans="1:11" ht="409.6">
      <c r="A70" s="73">
        <v>69</v>
      </c>
      <c r="B70" s="85" t="str">
        <f>VLOOKUP(A70,[1]vaccines!A:B,2)</f>
        <v>Klesh_E_Vac_0_25</v>
      </c>
      <c r="C70" s="72" t="s">
        <v>2696</v>
      </c>
      <c r="D70" s="72" t="s">
        <v>2697</v>
      </c>
      <c r="E70" s="59">
        <v>45904</v>
      </c>
      <c r="F70" s="73">
        <v>1</v>
      </c>
      <c r="G70" s="73">
        <v>0</v>
      </c>
      <c r="H70" s="86" t="s">
        <v>1273</v>
      </c>
      <c r="I70" s="59">
        <f t="shared" si="6"/>
        <v>45128</v>
      </c>
      <c r="J70" s="66">
        <v>45988</v>
      </c>
      <c r="K70" s="88"/>
    </row>
    <row r="71" spans="1:11" ht="409.6">
      <c r="A71" s="73">
        <v>70</v>
      </c>
      <c r="B71" s="85" t="str">
        <f>VLOOKUP(A71,[1]vaccines!A:B,2)</f>
        <v>EnceVir_0_5</v>
      </c>
      <c r="C71" s="72" t="s">
        <v>2698</v>
      </c>
      <c r="D71" s="72" t="s">
        <v>2699</v>
      </c>
      <c r="E71" s="59">
        <v>45510</v>
      </c>
      <c r="F71" s="85"/>
      <c r="G71" s="85"/>
      <c r="H71" s="86" t="s">
        <v>1278</v>
      </c>
      <c r="I71" s="59">
        <f t="shared" si="6"/>
        <v>45128</v>
      </c>
      <c r="J71" s="66">
        <v>45589</v>
      </c>
      <c r="K71" s="88"/>
    </row>
    <row r="72" spans="1:11" ht="409.6">
      <c r="A72" s="73">
        <v>71</v>
      </c>
      <c r="B72" s="85" t="str">
        <f>VLOOKUP(A72,[1]vaccines!A:B,2)</f>
        <v>EnceVir_Neo_kids</v>
      </c>
      <c r="C72" s="72" t="s">
        <v>2700</v>
      </c>
      <c r="D72" s="72" t="s">
        <v>2701</v>
      </c>
      <c r="E72" s="59">
        <v>45520</v>
      </c>
      <c r="F72" s="85"/>
      <c r="G72" s="85"/>
      <c r="H72" s="86" t="s">
        <v>1281</v>
      </c>
      <c r="I72" s="59">
        <f t="shared" si="6"/>
        <v>45128</v>
      </c>
      <c r="J72" s="66">
        <v>45589</v>
      </c>
      <c r="K72" s="87" t="s">
        <v>2557</v>
      </c>
    </row>
    <row r="73" spans="1:11" ht="409.6">
      <c r="A73" s="73">
        <v>72</v>
      </c>
      <c r="B73" s="85" t="str">
        <f>VLOOKUP(A73,[1]vaccines!A:B,2)</f>
        <v>TBE_Chumakov_lyo</v>
      </c>
      <c r="C73" s="72" t="s">
        <v>2702</v>
      </c>
      <c r="D73" s="72" t="s">
        <v>2703</v>
      </c>
      <c r="E73" s="59">
        <v>45727</v>
      </c>
      <c r="F73" s="73">
        <v>1</v>
      </c>
      <c r="G73" s="73">
        <v>0</v>
      </c>
      <c r="H73" s="86" t="s">
        <v>1284</v>
      </c>
      <c r="I73" s="59">
        <f t="shared" si="6"/>
        <v>45128</v>
      </c>
      <c r="J73" s="66">
        <v>45750</v>
      </c>
      <c r="K73" s="87" t="s">
        <v>2557</v>
      </c>
    </row>
    <row r="74" spans="1:11" ht="409.6">
      <c r="A74" s="73">
        <v>73</v>
      </c>
      <c r="B74" s="85" t="str">
        <f>VLOOKUP(A74,[1]vaccines!A:B,2)</f>
        <v>Varilrix</v>
      </c>
      <c r="C74" s="72" t="s">
        <v>2704</v>
      </c>
      <c r="D74" s="72" t="s">
        <v>2705</v>
      </c>
      <c r="E74" s="59">
        <v>45439</v>
      </c>
      <c r="F74" s="73">
        <v>1</v>
      </c>
      <c r="G74" s="73">
        <v>0</v>
      </c>
      <c r="H74" s="86" t="s">
        <v>1287</v>
      </c>
      <c r="I74" s="59">
        <f t="shared" si="6"/>
        <v>45128</v>
      </c>
      <c r="J74" s="59">
        <v>45830</v>
      </c>
      <c r="K74" s="88"/>
    </row>
    <row r="75" spans="1:11" ht="409.6">
      <c r="A75" s="73">
        <v>74</v>
      </c>
      <c r="B75" s="85" t="str">
        <f>VLOOKUP(A75,[1]vaccines!A:B,2)</f>
        <v>YF_Chumakov_lyo</v>
      </c>
      <c r="C75" s="72" t="s">
        <v>2706</v>
      </c>
      <c r="D75" s="72" t="s">
        <v>2707</v>
      </c>
      <c r="E75" s="43">
        <v>44540</v>
      </c>
      <c r="F75" s="74">
        <v>1</v>
      </c>
      <c r="G75" s="74">
        <v>0</v>
      </c>
      <c r="H75" s="89" t="s">
        <v>2708</v>
      </c>
      <c r="I75" s="43">
        <v>45129</v>
      </c>
      <c r="J75" s="43"/>
      <c r="K75" s="88"/>
    </row>
    <row r="76" spans="1:11" ht="409.6">
      <c r="A76" s="73">
        <v>75</v>
      </c>
      <c r="B76" s="85" t="str">
        <f>VLOOKUP(A76,[1]vaccines!A:B,2)</f>
        <v>tularemia_Microgen</v>
      </c>
      <c r="C76" s="72" t="s">
        <v>2709</v>
      </c>
      <c r="D76" s="72" t="s">
        <v>2710</v>
      </c>
      <c r="E76" s="59">
        <v>45562</v>
      </c>
      <c r="F76" s="85"/>
      <c r="G76" s="85"/>
      <c r="H76" s="86" t="s">
        <v>1294</v>
      </c>
      <c r="I76" s="59">
        <f>I75</f>
        <v>45129</v>
      </c>
      <c r="J76" s="66">
        <v>45589</v>
      </c>
      <c r="K76" s="88"/>
    </row>
    <row r="77" spans="1:11" ht="409.6">
      <c r="A77" s="73">
        <v>76</v>
      </c>
      <c r="B77" s="85" t="str">
        <f>VLOOKUP(A77,[1]vaccines!A:B,2)</f>
        <v>plague_molecular_lyo_RPN</v>
      </c>
      <c r="C77" s="72" t="s">
        <v>2711</v>
      </c>
      <c r="D77" s="72" t="s">
        <v>2712</v>
      </c>
      <c r="E77" s="43">
        <v>43209</v>
      </c>
      <c r="F77" s="74">
        <v>1</v>
      </c>
      <c r="G77" s="74">
        <v>0</v>
      </c>
      <c r="H77" s="89" t="s">
        <v>2713</v>
      </c>
      <c r="I77" s="43">
        <v>45129</v>
      </c>
      <c r="J77" s="43"/>
      <c r="K77" s="88"/>
    </row>
    <row r="78" spans="1:11" ht="409.6">
      <c r="A78" s="73">
        <v>77</v>
      </c>
      <c r="B78" s="85" t="str">
        <f>VLOOKUP(A78,[1]vaccines!A:B,2)</f>
        <v>plague_live_lyo_48_NII_Minoborony</v>
      </c>
      <c r="C78" s="72" t="s">
        <v>2714</v>
      </c>
      <c r="D78" s="72" t="s">
        <v>2715</v>
      </c>
      <c r="E78" s="43">
        <v>40675</v>
      </c>
      <c r="F78" s="74">
        <v>1</v>
      </c>
      <c r="G78" s="74">
        <v>1</v>
      </c>
      <c r="H78" s="89" t="s">
        <v>2716</v>
      </c>
      <c r="I78" s="43">
        <v>45129</v>
      </c>
      <c r="J78" s="43"/>
      <c r="K78" s="88"/>
    </row>
    <row r="79" spans="1:11" ht="409.6">
      <c r="A79" s="73">
        <v>78</v>
      </c>
      <c r="B79" s="85" t="str">
        <f>VLOOKUP(A79,[1]vaccines!A:B,2)</f>
        <v>plague_live_tablets_48_NII_Minoborony</v>
      </c>
      <c r="C79" s="72" t="s">
        <v>2717</v>
      </c>
      <c r="D79" s="72" t="s">
        <v>2718</v>
      </c>
      <c r="E79" s="43">
        <v>41270</v>
      </c>
      <c r="F79" s="74">
        <v>2</v>
      </c>
      <c r="G79" s="74">
        <v>1</v>
      </c>
      <c r="H79" s="89" t="s">
        <v>2719</v>
      </c>
      <c r="I79" s="43">
        <v>45129</v>
      </c>
      <c r="J79" s="43"/>
      <c r="K79" s="88"/>
    </row>
    <row r="80" spans="1:11" ht="409.6">
      <c r="A80" s="73">
        <v>79</v>
      </c>
      <c r="B80" s="85" t="str">
        <f>VLOOKUP(A80,[1]vaccines!A:B,2)</f>
        <v>plague_live_lyo_RPN</v>
      </c>
      <c r="C80" s="72" t="s">
        <v>2720</v>
      </c>
      <c r="D80" s="72" t="s">
        <v>2721</v>
      </c>
      <c r="E80" s="43">
        <v>44158</v>
      </c>
      <c r="F80" s="74">
        <v>1</v>
      </c>
      <c r="G80" s="74">
        <v>0</v>
      </c>
      <c r="H80" s="89" t="s">
        <v>1307</v>
      </c>
      <c r="I80" s="43">
        <v>45129</v>
      </c>
      <c r="J80" s="43"/>
      <c r="K80" s="88"/>
    </row>
    <row r="81" spans="1:11" ht="409.6">
      <c r="A81" s="73">
        <v>80</v>
      </c>
      <c r="B81" s="85" t="str">
        <f>VLOOKUP(A81,[1]vaccines!A:B,2)</f>
        <v>brucellosis_therapeutic_48_NII_Minoborony</v>
      </c>
      <c r="C81" s="72" t="s">
        <v>2722</v>
      </c>
      <c r="D81" s="72" t="s">
        <v>2723</v>
      </c>
      <c r="E81" s="43">
        <v>41270</v>
      </c>
      <c r="F81" s="74">
        <v>2</v>
      </c>
      <c r="G81" s="74">
        <v>1</v>
      </c>
      <c r="H81" s="89" t="s">
        <v>2724</v>
      </c>
      <c r="I81" s="43">
        <v>45130</v>
      </c>
      <c r="J81" s="43"/>
      <c r="K81" s="88"/>
    </row>
    <row r="82" spans="1:11" ht="409.6">
      <c r="A82" s="73">
        <v>81</v>
      </c>
      <c r="B82" s="85" t="str">
        <f>VLOOKUP(A82,[1]vaccines!A:B,2)</f>
        <v>brucellosis_prophylactic_Microgen</v>
      </c>
      <c r="C82" s="72" t="s">
        <v>2725</v>
      </c>
      <c r="D82" s="72" t="s">
        <v>2726</v>
      </c>
      <c r="E82" s="59">
        <v>45743</v>
      </c>
      <c r="F82" s="73">
        <v>1</v>
      </c>
      <c r="G82" s="73">
        <v>0</v>
      </c>
      <c r="H82" s="86" t="s">
        <v>1313</v>
      </c>
      <c r="I82" s="59">
        <f>I81</f>
        <v>45130</v>
      </c>
      <c r="J82" s="66">
        <v>45798</v>
      </c>
      <c r="K82" s="88"/>
    </row>
    <row r="83" spans="1:11" ht="409.6">
      <c r="A83" s="73">
        <v>82</v>
      </c>
      <c r="B83" s="85" t="str">
        <f>VLOOKUP(A83,[1]vaccines!A:B,2)</f>
        <v>anthrax_live_48_NII_Minoborony</v>
      </c>
      <c r="C83" s="72" t="s">
        <v>2727</v>
      </c>
      <c r="D83" s="72" t="s">
        <v>2728</v>
      </c>
      <c r="E83" s="43">
        <v>43754</v>
      </c>
      <c r="F83" s="74">
        <v>1</v>
      </c>
      <c r="G83" s="74">
        <v>0</v>
      </c>
      <c r="H83" s="89" t="s">
        <v>1316</v>
      </c>
      <c r="I83" s="43">
        <v>45130</v>
      </c>
      <c r="J83" s="43"/>
      <c r="K83" s="87" t="s">
        <v>2557</v>
      </c>
    </row>
    <row r="84" spans="1:11" ht="409.6">
      <c r="A84" s="73">
        <v>83</v>
      </c>
      <c r="B84" s="85" t="str">
        <f>VLOOKUP(A84,[1]vaccines!A:B,2)</f>
        <v>anthrax_combined_48_NII_Minoborony</v>
      </c>
      <c r="C84" s="72" t="s">
        <v>2729</v>
      </c>
      <c r="D84" s="72" t="s">
        <v>2730</v>
      </c>
      <c r="E84" s="43">
        <v>41148</v>
      </c>
      <c r="F84" s="74">
        <v>2</v>
      </c>
      <c r="G84" s="74">
        <v>1</v>
      </c>
      <c r="H84" s="89" t="s">
        <v>2731</v>
      </c>
      <c r="I84" s="43">
        <v>45130</v>
      </c>
      <c r="J84" s="43"/>
      <c r="K84" s="88"/>
    </row>
    <row r="85" spans="1:11" ht="409.6">
      <c r="A85" s="73">
        <v>84</v>
      </c>
      <c r="B85" s="85" t="str">
        <f>VLOOKUP(A85,[1]vaccines!A:B,2)</f>
        <v>Rabipur</v>
      </c>
      <c r="C85" s="72" t="s">
        <v>2732</v>
      </c>
      <c r="D85" s="72" t="s">
        <v>2733</v>
      </c>
      <c r="E85" s="43">
        <v>42996</v>
      </c>
      <c r="F85" s="74">
        <v>1</v>
      </c>
      <c r="G85" s="74">
        <v>0</v>
      </c>
      <c r="H85" s="89" t="s">
        <v>1321</v>
      </c>
      <c r="I85" s="43">
        <v>45130</v>
      </c>
      <c r="J85" s="43"/>
      <c r="K85" s="88"/>
    </row>
    <row r="86" spans="1:11" ht="409.6">
      <c r="A86" s="73">
        <v>85</v>
      </c>
      <c r="B86" s="85" t="str">
        <f>VLOOKUP(A86,[1]vaccines!A:B,2)</f>
        <v>leptospirosis_Rostov_NII</v>
      </c>
      <c r="C86" s="72" t="s">
        <v>2734</v>
      </c>
      <c r="D86" s="72" t="s">
        <v>2735</v>
      </c>
      <c r="E86" s="43">
        <v>43881</v>
      </c>
      <c r="F86" s="74">
        <v>1</v>
      </c>
      <c r="G86" s="74">
        <v>0</v>
      </c>
      <c r="H86" s="89" t="s">
        <v>1323</v>
      </c>
      <c r="I86" s="43">
        <v>45130</v>
      </c>
      <c r="J86" s="43"/>
      <c r="K86" s="88"/>
    </row>
    <row r="87" spans="1:11" ht="409.6">
      <c r="A87" s="73">
        <v>86</v>
      </c>
      <c r="B87" s="85" t="str">
        <f>VLOOKUP(A87,[1]vaccines!A:B,2)</f>
        <v>Q_fever_M_44_Microgen</v>
      </c>
      <c r="C87" s="72" t="s">
        <v>2736</v>
      </c>
      <c r="D87" s="72" t="s">
        <v>2737</v>
      </c>
      <c r="E87" s="59">
        <v>45691</v>
      </c>
      <c r="F87" s="73">
        <v>1</v>
      </c>
      <c r="G87" s="73">
        <v>0</v>
      </c>
      <c r="H87" s="86" t="s">
        <v>1327</v>
      </c>
      <c r="I87" s="59">
        <f>I86</f>
        <v>45130</v>
      </c>
      <c r="J87" s="66">
        <v>45716</v>
      </c>
      <c r="K87" s="88"/>
    </row>
    <row r="88" spans="1:11" ht="409.6">
      <c r="A88" s="73">
        <v>87</v>
      </c>
      <c r="B88" s="85" t="str">
        <f>VLOOKUP(A88,[1]vaccines!A:B,2)</f>
        <v>cholera_NII_Microb</v>
      </c>
      <c r="C88" s="72" t="s">
        <v>2738</v>
      </c>
      <c r="D88" s="72" t="s">
        <v>2739</v>
      </c>
      <c r="E88" s="43">
        <v>44705</v>
      </c>
      <c r="F88" s="74">
        <v>1</v>
      </c>
      <c r="G88" s="74">
        <v>0</v>
      </c>
      <c r="H88" s="89" t="s">
        <v>2740</v>
      </c>
      <c r="I88" s="43">
        <v>45130</v>
      </c>
      <c r="J88" s="43"/>
      <c r="K88" s="88"/>
    </row>
    <row r="89" spans="1:11" ht="409.6">
      <c r="A89" s="73">
        <v>88</v>
      </c>
      <c r="B89" s="85" t="str">
        <f>VLOOKUP(A89,[1]vaccines!A:B,2)</f>
        <v>Vianvac</v>
      </c>
      <c r="C89" s="72" t="s">
        <v>2741</v>
      </c>
      <c r="D89" s="72" t="s">
        <v>2742</v>
      </c>
      <c r="E89" s="59">
        <v>46036</v>
      </c>
      <c r="F89" s="73">
        <v>1</v>
      </c>
      <c r="G89" s="73">
        <v>0</v>
      </c>
      <c r="H89" s="86" t="s">
        <v>1333</v>
      </c>
      <c r="I89" s="59">
        <f>I88</f>
        <v>45130</v>
      </c>
      <c r="J89" s="66">
        <v>46130</v>
      </c>
      <c r="K89" s="88"/>
    </row>
    <row r="90" spans="1:11" ht="409.6">
      <c r="A90" s="73">
        <v>89</v>
      </c>
      <c r="B90" s="85" t="str">
        <f>VLOOKUP(A90,[1]vaccines!A:B,2)</f>
        <v>Typhivac</v>
      </c>
      <c r="C90" s="72" t="s">
        <v>2743</v>
      </c>
      <c r="D90" s="72" t="s">
        <v>2744</v>
      </c>
      <c r="E90" s="43">
        <v>42762</v>
      </c>
      <c r="F90" s="74">
        <v>1</v>
      </c>
      <c r="G90" s="74">
        <v>0</v>
      </c>
      <c r="H90" s="89" t="s">
        <v>1336</v>
      </c>
      <c r="I90" s="43">
        <v>45130</v>
      </c>
      <c r="J90" s="43"/>
      <c r="K90" s="88"/>
    </row>
    <row r="91" spans="1:11" ht="409.6">
      <c r="A91" s="73">
        <v>90</v>
      </c>
      <c r="B91" s="85" t="str">
        <f>VLOOKUP(A91,[1]vaccines!A:B,2)</f>
        <v>Shigellvac</v>
      </c>
      <c r="C91" s="72" t="s">
        <v>2745</v>
      </c>
      <c r="D91" s="72" t="s">
        <v>2746</v>
      </c>
      <c r="E91" s="59">
        <v>46015</v>
      </c>
      <c r="F91" s="73">
        <v>1</v>
      </c>
      <c r="G91" s="73">
        <v>0</v>
      </c>
      <c r="H91" s="86" t="s">
        <v>1339</v>
      </c>
      <c r="I91" s="59">
        <f>I90</f>
        <v>45130</v>
      </c>
      <c r="J91" s="66">
        <v>46130</v>
      </c>
      <c r="K91" s="88"/>
    </row>
    <row r="92" spans="1:11" ht="409.6">
      <c r="A92" s="73">
        <v>91</v>
      </c>
      <c r="B92" s="85" t="str">
        <f>VLOOKUP(A92,[1]vaccines!A:B,2)</f>
        <v>CoviVac</v>
      </c>
      <c r="C92" s="72" t="s">
        <v>2747</v>
      </c>
      <c r="D92" s="72" t="s">
        <v>2748</v>
      </c>
      <c r="E92" s="43">
        <v>44378</v>
      </c>
      <c r="F92" s="74">
        <v>1</v>
      </c>
      <c r="G92" s="74">
        <v>1</v>
      </c>
      <c r="H92" s="89" t="s">
        <v>2749</v>
      </c>
      <c r="I92" s="43">
        <v>45130</v>
      </c>
      <c r="J92" s="43"/>
      <c r="K92" s="88"/>
    </row>
    <row r="93" spans="1:11" ht="409.6">
      <c r="A93" s="73">
        <v>92</v>
      </c>
      <c r="B93" s="85" t="str">
        <f>VLOOKUP(A93,[1]vaccines!A:B,2)</f>
        <v>Sputnik_light</v>
      </c>
      <c r="C93" s="72" t="s">
        <v>2750</v>
      </c>
      <c r="D93" s="72" t="s">
        <v>2751</v>
      </c>
      <c r="E93" s="59">
        <v>45810</v>
      </c>
      <c r="F93" s="73">
        <v>1</v>
      </c>
      <c r="G93" s="73">
        <v>0</v>
      </c>
      <c r="H93" s="86" t="s">
        <v>1343</v>
      </c>
      <c r="I93" s="59">
        <f>I92</f>
        <v>45130</v>
      </c>
      <c r="J93" s="66">
        <v>45830</v>
      </c>
      <c r="K93" s="87" t="s">
        <v>2557</v>
      </c>
    </row>
    <row r="94" spans="1:11" ht="409.6">
      <c r="A94" s="73">
        <v>93</v>
      </c>
      <c r="B94" s="85" t="str">
        <f>VLOOKUP(A94,[1]vaccines!A:B,2)</f>
        <v>Sputnik_M</v>
      </c>
      <c r="C94" s="72" t="s">
        <v>2752</v>
      </c>
      <c r="D94" s="72" t="s">
        <v>2753</v>
      </c>
      <c r="E94" s="43">
        <v>44524</v>
      </c>
      <c r="F94" s="74">
        <v>1</v>
      </c>
      <c r="G94" s="74">
        <v>0</v>
      </c>
      <c r="H94" s="89" t="s">
        <v>1346</v>
      </c>
      <c r="I94" s="43">
        <v>45130</v>
      </c>
      <c r="J94" s="43"/>
      <c r="K94" s="88"/>
    </row>
    <row r="95" spans="1:11" ht="409.6">
      <c r="A95" s="73">
        <v>94</v>
      </c>
      <c r="B95" s="85" t="str">
        <f>VLOOKUP(A95,[1]vaccines!A:B,2)</f>
        <v>Convacel</v>
      </c>
      <c r="C95" s="72" t="s">
        <v>2754</v>
      </c>
      <c r="D95" s="72" t="s">
        <v>2755</v>
      </c>
      <c r="E95" s="59">
        <v>46009</v>
      </c>
      <c r="F95" s="73">
        <v>1</v>
      </c>
      <c r="G95" s="73">
        <v>0</v>
      </c>
      <c r="H95" s="86" t="s">
        <v>1350</v>
      </c>
      <c r="I95" s="59">
        <f>I94</f>
        <v>45130</v>
      </c>
      <c r="J95" s="66">
        <v>46053</v>
      </c>
      <c r="K95" s="88"/>
    </row>
    <row r="96" spans="1:11" ht="409.6">
      <c r="A96" s="73">
        <v>95</v>
      </c>
      <c r="B96" s="85" t="str">
        <f>VLOOKUP(A96,[1]vaccines!A:B,2)</f>
        <v>Aurora</v>
      </c>
      <c r="C96" s="72" t="s">
        <v>2756</v>
      </c>
      <c r="D96" s="72" t="s">
        <v>2757</v>
      </c>
      <c r="E96" s="43">
        <v>44434</v>
      </c>
      <c r="F96" s="74">
        <v>1</v>
      </c>
      <c r="G96" s="74">
        <v>0</v>
      </c>
      <c r="H96" s="89" t="s">
        <v>2758</v>
      </c>
      <c r="I96" s="43">
        <v>45130</v>
      </c>
      <c r="J96" s="43"/>
      <c r="K96" s="88"/>
    </row>
    <row r="97" spans="1:11" ht="409.6">
      <c r="A97" s="73">
        <v>96</v>
      </c>
      <c r="B97" s="85" t="str">
        <f>VLOOKUP(A97,[1]vaccines!A:B,2)</f>
        <v>Rota_V_Aid</v>
      </c>
      <c r="C97" s="72" t="s">
        <v>2759</v>
      </c>
      <c r="D97" s="72" t="s">
        <v>2760</v>
      </c>
      <c r="E97" s="59">
        <v>45594</v>
      </c>
      <c r="F97" s="85"/>
      <c r="G97" s="85"/>
      <c r="H97" s="86" t="s">
        <v>1356</v>
      </c>
      <c r="I97" s="59">
        <f>I96</f>
        <v>45130</v>
      </c>
      <c r="J97" s="59">
        <v>45629</v>
      </c>
      <c r="K97" s="88"/>
    </row>
    <row r="98" spans="1:11" ht="409.6">
      <c r="A98" s="73">
        <v>97</v>
      </c>
      <c r="B98" s="85" t="str">
        <f>VLOOKUP(A98,[1]vaccines!A:B,2)</f>
        <v>Hib_Rostov</v>
      </c>
      <c r="C98" s="72" t="s">
        <v>2761</v>
      </c>
      <c r="D98" s="72" t="s">
        <v>2762</v>
      </c>
      <c r="E98" s="43">
        <v>42577</v>
      </c>
      <c r="F98" s="74">
        <v>1</v>
      </c>
      <c r="G98" s="74">
        <v>0</v>
      </c>
      <c r="H98" s="89" t="s">
        <v>1359</v>
      </c>
      <c r="I98" s="43">
        <v>45130</v>
      </c>
      <c r="J98" s="43"/>
      <c r="K98" s="88"/>
    </row>
    <row r="99" spans="1:11" ht="409.6">
      <c r="A99" s="73">
        <v>98</v>
      </c>
      <c r="B99" s="85" t="str">
        <f>VLOOKUP(A99,[1]vaccines!A:B,2)</f>
        <v>HepB_Combiotech_1_0</v>
      </c>
      <c r="C99" s="72" t="s">
        <v>2763</v>
      </c>
      <c r="D99" s="72" t="s">
        <v>2764</v>
      </c>
      <c r="E99" s="59">
        <v>46056</v>
      </c>
      <c r="F99" s="73">
        <v>1</v>
      </c>
      <c r="G99" s="73">
        <v>0</v>
      </c>
      <c r="H99" s="86" t="s">
        <v>1150</v>
      </c>
      <c r="I99" s="59">
        <f t="shared" ref="I99:I101" si="7">I98</f>
        <v>45130</v>
      </c>
      <c r="J99" s="66">
        <v>46130</v>
      </c>
      <c r="K99" s="88"/>
    </row>
    <row r="100" spans="1:11" ht="409.6">
      <c r="A100" s="73">
        <v>99</v>
      </c>
      <c r="B100" s="85" t="str">
        <f>VLOOKUP(A100,[1]vaccines!A:B,2)</f>
        <v>Regevac_1_0</v>
      </c>
      <c r="C100" s="72" t="s">
        <v>2765</v>
      </c>
      <c r="D100" s="72" t="s">
        <v>2766</v>
      </c>
      <c r="E100" s="59">
        <v>45216</v>
      </c>
      <c r="F100" s="73">
        <v>1</v>
      </c>
      <c r="G100" s="73">
        <v>0</v>
      </c>
      <c r="H100" s="86" t="s">
        <v>1147</v>
      </c>
      <c r="I100" s="59">
        <f t="shared" si="7"/>
        <v>45130</v>
      </c>
      <c r="J100" s="66">
        <v>45988</v>
      </c>
      <c r="K100" s="88"/>
    </row>
    <row r="101" spans="1:11" ht="409.6">
      <c r="A101" s="73">
        <v>100</v>
      </c>
      <c r="B101" s="85" t="str">
        <f>VLOOKUP(A101,[1]vaccines!A:B,2)</f>
        <v>Priorix_Tetra</v>
      </c>
      <c r="C101" s="72" t="s">
        <v>2767</v>
      </c>
      <c r="D101" s="72" t="s">
        <v>2768</v>
      </c>
      <c r="E101" s="59">
        <v>45453</v>
      </c>
      <c r="F101" s="85"/>
      <c r="G101" s="85"/>
      <c r="H101" s="86" t="s">
        <v>1366</v>
      </c>
      <c r="I101" s="59">
        <f t="shared" si="7"/>
        <v>45130</v>
      </c>
      <c r="J101" s="66">
        <v>45510</v>
      </c>
      <c r="K101" s="88"/>
    </row>
    <row r="102" spans="1:11" ht="409.6">
      <c r="A102" s="73">
        <v>101</v>
      </c>
      <c r="B102" s="85" t="str">
        <f>VLOOKUP(A102,[1]vaccines!A:B,2)</f>
        <v>Menveo</v>
      </c>
      <c r="C102" s="72" t="s">
        <v>2769</v>
      </c>
      <c r="D102" s="72" t="s">
        <v>2770</v>
      </c>
      <c r="E102" s="43">
        <v>45015</v>
      </c>
      <c r="F102" s="74">
        <v>5</v>
      </c>
      <c r="G102" s="74">
        <v>4</v>
      </c>
      <c r="H102" s="89" t="s">
        <v>2771</v>
      </c>
      <c r="I102" s="43">
        <v>45130</v>
      </c>
      <c r="J102" s="43"/>
      <c r="K102" s="88"/>
    </row>
    <row r="103" spans="1:11" ht="409.6">
      <c r="A103" s="73">
        <v>102</v>
      </c>
      <c r="B103" s="85" t="str">
        <f>VLOOKUP(A103,[1]vaccines!A:B,2)</f>
        <v>Sputnik_intranasal</v>
      </c>
      <c r="C103" s="72" t="s">
        <v>2772</v>
      </c>
      <c r="D103" s="72" t="s">
        <v>2773</v>
      </c>
      <c r="E103" s="43">
        <v>44651</v>
      </c>
      <c r="F103" s="74">
        <v>1</v>
      </c>
      <c r="G103" s="74">
        <v>0</v>
      </c>
      <c r="H103" s="89" t="s">
        <v>1372</v>
      </c>
      <c r="I103" s="43">
        <v>45130</v>
      </c>
      <c r="J103" s="43"/>
      <c r="K103" s="87" t="s">
        <v>2557</v>
      </c>
    </row>
    <row r="104" spans="1:11" ht="409.6">
      <c r="A104" s="73">
        <v>103</v>
      </c>
      <c r="B104" s="85" t="str">
        <f>VLOOKUP(A104,[1]vaccines!A:B,2)</f>
        <v>Grippol_plus_0_25</v>
      </c>
      <c r="C104" s="72" t="s">
        <v>2774</v>
      </c>
      <c r="D104" s="72" t="s">
        <v>2775</v>
      </c>
      <c r="E104" s="59">
        <v>45182</v>
      </c>
      <c r="F104" s="85"/>
      <c r="G104" s="85"/>
      <c r="H104" s="86" t="s">
        <v>1179</v>
      </c>
      <c r="I104" s="43">
        <v>45130</v>
      </c>
      <c r="J104" s="43">
        <v>45483</v>
      </c>
      <c r="K104" s="88"/>
    </row>
    <row r="105" spans="1:11" ht="409.6">
      <c r="A105" s="73">
        <v>104</v>
      </c>
      <c r="B105" s="85" t="str">
        <f>VLOOKUP(A105,[1]vaccines!A:B,2)</f>
        <v>Flu_M_Tetra</v>
      </c>
      <c r="C105" s="72" t="s">
        <v>2776</v>
      </c>
      <c r="D105" s="72" t="s">
        <v>2777</v>
      </c>
      <c r="E105" s="59">
        <v>45741</v>
      </c>
      <c r="F105" s="73">
        <v>1</v>
      </c>
      <c r="G105" s="73">
        <v>0</v>
      </c>
      <c r="H105" s="86" t="s">
        <v>1377</v>
      </c>
      <c r="I105" s="59">
        <f t="shared" ref="I105:I106" si="8">I104</f>
        <v>45130</v>
      </c>
      <c r="J105" s="66">
        <v>45798</v>
      </c>
      <c r="K105" s="88"/>
    </row>
    <row r="106" spans="1:11" ht="409.6">
      <c r="A106" s="73">
        <v>105</v>
      </c>
      <c r="B106" s="85" t="str">
        <f>VLOOKUP(A106,[1]vaccines!A:B,2)</f>
        <v>Vaxigrip_Tetra</v>
      </c>
      <c r="C106" s="72" t="s">
        <v>2778</v>
      </c>
      <c r="D106" s="72" t="s">
        <v>2779</v>
      </c>
      <c r="E106" s="59">
        <v>45300</v>
      </c>
      <c r="F106" s="85"/>
      <c r="G106" s="85"/>
      <c r="H106" s="86" t="s">
        <v>1380</v>
      </c>
      <c r="I106" s="59">
        <f t="shared" si="8"/>
        <v>45130</v>
      </c>
      <c r="J106" s="66">
        <v>45489</v>
      </c>
      <c r="K106" s="88"/>
    </row>
    <row r="107" spans="1:11" ht="409.6">
      <c r="A107" s="73">
        <v>106</v>
      </c>
      <c r="B107" s="85" t="str">
        <f>VLOOKUP(A107,[1]vaccines!A:B,2)</f>
        <v>Ocavax</v>
      </c>
      <c r="C107" s="72" t="s">
        <v>2780</v>
      </c>
      <c r="D107" s="72" t="s">
        <v>2781</v>
      </c>
      <c r="E107" s="43">
        <v>40233</v>
      </c>
      <c r="F107" s="74">
        <v>1</v>
      </c>
      <c r="G107" s="74">
        <v>0</v>
      </c>
      <c r="H107" s="89" t="s">
        <v>1383</v>
      </c>
      <c r="I107" s="43">
        <v>45130</v>
      </c>
      <c r="J107" s="43"/>
      <c r="K107" s="88"/>
    </row>
    <row r="108" spans="1:11" ht="409.6">
      <c r="A108" s="73">
        <v>107</v>
      </c>
      <c r="B108" s="85" t="str">
        <f>VLOOKUP(A108,[1]vaccines!A:B,2)</f>
        <v>Pneumo_23</v>
      </c>
      <c r="C108" s="72" t="s">
        <v>2782</v>
      </c>
      <c r="D108" s="72" t="s">
        <v>2783</v>
      </c>
      <c r="E108" s="43">
        <v>41688</v>
      </c>
      <c r="F108" s="74">
        <v>1</v>
      </c>
      <c r="G108" s="74">
        <v>0</v>
      </c>
      <c r="H108" s="89" t="s">
        <v>1386</v>
      </c>
      <c r="I108" s="43">
        <v>45130</v>
      </c>
      <c r="J108" s="43"/>
      <c r="K108" s="88"/>
    </row>
    <row r="109" spans="1:11" ht="409.6">
      <c r="A109" s="73">
        <v>108</v>
      </c>
      <c r="B109" s="85" t="str">
        <f>VLOOKUP(A109,[1]vaccines!A:B,2)</f>
        <v>Varivax</v>
      </c>
      <c r="C109" s="72" t="s">
        <v>2784</v>
      </c>
      <c r="D109" s="72" t="s">
        <v>2785</v>
      </c>
      <c r="E109" s="59">
        <v>45126</v>
      </c>
      <c r="F109" s="85"/>
      <c r="G109" s="85"/>
      <c r="H109" s="86" t="s">
        <v>1389</v>
      </c>
      <c r="I109" s="43">
        <v>45131</v>
      </c>
      <c r="J109" s="66">
        <v>45489</v>
      </c>
      <c r="K109" s="88"/>
    </row>
    <row r="110" spans="1:11" ht="409.6">
      <c r="A110" s="73">
        <v>109</v>
      </c>
      <c r="B110" s="85" t="str">
        <f>VLOOKUP(A110,[1]vaccines!A:B,2)</f>
        <v>Pneumotex</v>
      </c>
      <c r="C110" s="72" t="s">
        <v>2786</v>
      </c>
      <c r="D110" s="72" t="s">
        <v>2787</v>
      </c>
      <c r="E110" s="59">
        <v>45777</v>
      </c>
      <c r="F110" s="73">
        <v>1</v>
      </c>
      <c r="G110" s="73">
        <v>0</v>
      </c>
      <c r="H110" s="86" t="s">
        <v>1392</v>
      </c>
      <c r="I110" s="43">
        <v>45131</v>
      </c>
      <c r="J110" s="66">
        <v>45818</v>
      </c>
      <c r="K110" s="88"/>
    </row>
    <row r="111" spans="1:11" ht="409.6">
      <c r="A111" s="73">
        <v>110</v>
      </c>
      <c r="B111" s="85" t="str">
        <f>VLOOKUP(A111,[1]vaccines!A:B,2)</f>
        <v>Priorix</v>
      </c>
      <c r="C111" s="72" t="s">
        <v>2788</v>
      </c>
      <c r="D111" s="72" t="s">
        <v>2789</v>
      </c>
      <c r="E111" s="43">
        <v>43388</v>
      </c>
      <c r="F111" s="74">
        <v>5</v>
      </c>
      <c r="G111" s="74">
        <v>6</v>
      </c>
      <c r="H111" s="89" t="s">
        <v>2790</v>
      </c>
      <c r="I111" s="43">
        <v>45131</v>
      </c>
      <c r="J111" s="43"/>
      <c r="K111" s="88"/>
    </row>
    <row r="112" spans="1:11" ht="409.6">
      <c r="A112" s="73">
        <v>111</v>
      </c>
      <c r="B112" s="85" t="str">
        <f>VLOOKUP(A112,[1]vaccines!A:B,2)</f>
        <v>MenQuadfi</v>
      </c>
      <c r="C112" s="72" t="s">
        <v>2791</v>
      </c>
      <c r="D112" s="72" t="s">
        <v>2792</v>
      </c>
      <c r="E112" s="59">
        <v>45932</v>
      </c>
      <c r="F112" s="73">
        <v>1</v>
      </c>
      <c r="G112" s="73">
        <v>0</v>
      </c>
      <c r="H112" s="86" t="s">
        <v>1398</v>
      </c>
      <c r="I112" s="43">
        <v>45131</v>
      </c>
      <c r="J112" s="66">
        <v>46072</v>
      </c>
      <c r="K112" s="88"/>
    </row>
    <row r="113" spans="1:11" ht="409.6">
      <c r="A113" s="73">
        <v>112</v>
      </c>
      <c r="B113" s="85" t="str">
        <f>VLOOKUP(A113,[1]vaccines!A:B,2)</f>
        <v>Bexsero</v>
      </c>
      <c r="C113" s="72" t="s">
        <v>2793</v>
      </c>
      <c r="D113" s="72" t="s">
        <v>2794</v>
      </c>
      <c r="E113" s="59">
        <v>45391</v>
      </c>
      <c r="F113" s="85"/>
      <c r="G113" s="85"/>
      <c r="H113" s="86" t="s">
        <v>1401</v>
      </c>
      <c r="I113" s="43">
        <v>45131</v>
      </c>
      <c r="J113" s="66">
        <v>45489</v>
      </c>
      <c r="K113" s="87" t="s">
        <v>2557</v>
      </c>
    </row>
    <row r="114" spans="1:11" ht="409.6">
      <c r="A114" s="73">
        <v>113</v>
      </c>
      <c r="B114" s="85" t="str">
        <f>VLOOKUP(A114,[1]vaccines!A:B,2)</f>
        <v>Sputnik_D</v>
      </c>
      <c r="C114" s="72" t="s">
        <v>2795</v>
      </c>
      <c r="D114" s="72" t="s">
        <v>2796</v>
      </c>
      <c r="E114" s="43">
        <v>45030</v>
      </c>
      <c r="F114" s="74">
        <v>1</v>
      </c>
      <c r="G114" s="74">
        <v>0</v>
      </c>
      <c r="H114" s="89" t="s">
        <v>2797</v>
      </c>
      <c r="I114" s="43">
        <v>45131</v>
      </c>
      <c r="J114" s="43"/>
      <c r="K114" s="88"/>
    </row>
    <row r="115" spans="1:11" ht="409.6">
      <c r="A115" s="73">
        <v>114</v>
      </c>
      <c r="B115" s="85" t="str">
        <f>VLOOKUP(A115,[1]vaccines!A:B,2)</f>
        <v>Encepur_0_25</v>
      </c>
      <c r="C115" s="72" t="s">
        <v>2798</v>
      </c>
      <c r="D115" s="72" t="s">
        <v>2799</v>
      </c>
      <c r="E115" s="43">
        <v>40252</v>
      </c>
      <c r="F115" s="74">
        <v>1</v>
      </c>
      <c r="G115" s="74">
        <v>0</v>
      </c>
      <c r="H115" s="89" t="s">
        <v>1407</v>
      </c>
      <c r="I115" s="43">
        <v>45131</v>
      </c>
      <c r="J115" s="43"/>
      <c r="K115" s="88"/>
    </row>
    <row r="116" spans="1:11" ht="409.6">
      <c r="A116" s="73">
        <v>115</v>
      </c>
      <c r="B116" s="85" t="str">
        <f>VLOOKUP(A116,[1]vaccines!A:B,2)</f>
        <v>Encepur_0_5</v>
      </c>
      <c r="C116" s="72" t="s">
        <v>2800</v>
      </c>
      <c r="D116" s="72" t="s">
        <v>2801</v>
      </c>
      <c r="E116" s="43">
        <v>39878</v>
      </c>
      <c r="F116" s="74">
        <v>1</v>
      </c>
      <c r="G116" s="74">
        <v>0</v>
      </c>
      <c r="H116" s="89" t="s">
        <v>1410</v>
      </c>
      <c r="I116" s="43">
        <v>45131</v>
      </c>
      <c r="J116" s="43"/>
      <c r="K116" s="88"/>
    </row>
    <row r="117" spans="1:11" ht="409.6">
      <c r="A117" s="73">
        <v>116</v>
      </c>
      <c r="B117" s="85" t="str">
        <f>VLOOKUP(A117,[1]vaccines!A:B,2)</f>
        <v>Poliovaccine</v>
      </c>
      <c r="C117" s="72" t="s">
        <v>2802</v>
      </c>
      <c r="D117" s="72" t="s">
        <v>2803</v>
      </c>
      <c r="E117" s="43">
        <v>44476</v>
      </c>
      <c r="F117" s="74">
        <v>1</v>
      </c>
      <c r="G117" s="74">
        <v>0</v>
      </c>
      <c r="H117" s="89" t="s">
        <v>2804</v>
      </c>
      <c r="I117" s="43">
        <v>45131</v>
      </c>
      <c r="J117" s="43"/>
      <c r="K117" s="88"/>
    </row>
    <row r="118" spans="1:11" ht="409.6">
      <c r="A118" s="73">
        <v>117</v>
      </c>
      <c r="B118" s="85" t="str">
        <f>VLOOKUP(A118,[1]vaccines!A:B,2)</f>
        <v>Act_Hib</v>
      </c>
      <c r="C118" s="72" t="s">
        <v>2805</v>
      </c>
      <c r="D118" s="72" t="s">
        <v>2806</v>
      </c>
      <c r="E118" s="43">
        <v>43055</v>
      </c>
      <c r="F118" s="74">
        <v>2</v>
      </c>
      <c r="G118" s="74">
        <v>2</v>
      </c>
      <c r="H118" s="89" t="s">
        <v>2807</v>
      </c>
      <c r="I118" s="43">
        <v>45131</v>
      </c>
      <c r="J118" s="43"/>
      <c r="K118" s="88"/>
    </row>
    <row r="119" spans="1:11" ht="409.6">
      <c r="A119" s="73">
        <v>118</v>
      </c>
      <c r="B119" s="85" t="str">
        <f>VLOOKUP(A119,[1]vaccines!A:B,2)</f>
        <v>Hiberix</v>
      </c>
      <c r="C119" s="72" t="s">
        <v>2808</v>
      </c>
      <c r="D119" s="72" t="s">
        <v>2809</v>
      </c>
      <c r="E119" s="43">
        <v>42809</v>
      </c>
      <c r="F119" s="74">
        <v>4</v>
      </c>
      <c r="G119" s="74">
        <v>3</v>
      </c>
      <c r="H119" s="89" t="s">
        <v>2810</v>
      </c>
      <c r="I119" s="43">
        <v>45131</v>
      </c>
      <c r="J119" s="43"/>
      <c r="K119" s="88"/>
    </row>
    <row r="120" spans="1:11" ht="409.6">
      <c r="A120" s="73">
        <v>119</v>
      </c>
      <c r="B120" s="85" t="str">
        <f>VLOOKUP(A120,[1]vaccines!A:B,2)</f>
        <v>FSME_Immun_Junior</v>
      </c>
      <c r="C120" s="72" t="s">
        <v>2811</v>
      </c>
      <c r="D120" s="72" t="s">
        <v>2812</v>
      </c>
      <c r="E120" s="43">
        <v>43115</v>
      </c>
      <c r="F120" s="74">
        <v>1</v>
      </c>
      <c r="G120" s="74">
        <v>0</v>
      </c>
      <c r="H120" s="89" t="s">
        <v>1420</v>
      </c>
      <c r="I120" s="43">
        <v>45131</v>
      </c>
      <c r="J120" s="43"/>
      <c r="K120" s="88"/>
    </row>
    <row r="121" spans="1:11" ht="409.6">
      <c r="A121" s="73">
        <v>120</v>
      </c>
      <c r="B121" s="85" t="str">
        <f>VLOOKUP(A121,[1]vaccines!A:B,2)</f>
        <v>FSME_Immun</v>
      </c>
      <c r="C121" s="72" t="s">
        <v>2813</v>
      </c>
      <c r="D121" s="72" t="s">
        <v>2814</v>
      </c>
      <c r="E121" s="43">
        <v>44169</v>
      </c>
      <c r="F121" s="74">
        <v>1</v>
      </c>
      <c r="G121" s="74">
        <v>0</v>
      </c>
      <c r="H121" s="89" t="s">
        <v>1423</v>
      </c>
      <c r="I121" s="43">
        <v>45131</v>
      </c>
      <c r="J121" s="43"/>
      <c r="K121" s="88"/>
    </row>
    <row r="122" spans="1:11" ht="409.6">
      <c r="A122" s="73">
        <v>121</v>
      </c>
      <c r="B122" s="85" t="str">
        <f>VLOOKUP(A122,[1]vaccines!A:B,2)</f>
        <v>SciBiVac</v>
      </c>
      <c r="C122" s="72" t="s">
        <v>2815</v>
      </c>
      <c r="D122" s="72" t="s">
        <v>2816</v>
      </c>
      <c r="E122" s="43">
        <v>44762</v>
      </c>
      <c r="F122" s="74">
        <v>1</v>
      </c>
      <c r="G122" s="74">
        <v>0</v>
      </c>
      <c r="H122" s="89" t="s">
        <v>1426</v>
      </c>
      <c r="I122" s="43">
        <v>45131</v>
      </c>
      <c r="J122" s="43"/>
      <c r="K122" s="88"/>
    </row>
    <row r="123" spans="1:11" ht="409.6">
      <c r="A123" s="73">
        <v>122</v>
      </c>
      <c r="B123" s="85" t="str">
        <f>VLOOKUP(A123,[1]vaccines!A:B,2)</f>
        <v>Pentavaccina</v>
      </c>
      <c r="C123" s="72" t="s">
        <v>2817</v>
      </c>
      <c r="D123" s="72" t="s">
        <v>2818</v>
      </c>
      <c r="E123" s="66">
        <v>45320</v>
      </c>
      <c r="F123" s="85"/>
      <c r="G123" s="85"/>
      <c r="H123" s="86" t="s">
        <v>1429</v>
      </c>
      <c r="I123" s="43">
        <v>45131</v>
      </c>
      <c r="J123" s="66">
        <v>45460</v>
      </c>
      <c r="K123" s="87" t="s">
        <v>2557</v>
      </c>
    </row>
    <row r="124" spans="1:11" ht="409.6">
      <c r="A124" s="73">
        <v>123</v>
      </c>
      <c r="B124" s="85" t="str">
        <f>VLOOKUP(A124,[1]vaccines!A:B,2)</f>
        <v>Vitagerpavac</v>
      </c>
      <c r="C124" s="72" t="s">
        <v>2819</v>
      </c>
      <c r="D124" s="72" t="s">
        <v>2820</v>
      </c>
      <c r="E124" s="59">
        <v>40255</v>
      </c>
      <c r="F124" s="73">
        <v>1</v>
      </c>
      <c r="G124" s="73">
        <v>0</v>
      </c>
      <c r="H124" s="86" t="s">
        <v>1432</v>
      </c>
      <c r="I124" s="43">
        <v>45169</v>
      </c>
      <c r="J124" s="43"/>
      <c r="K124" s="87" t="s">
        <v>2554</v>
      </c>
    </row>
    <row r="125" spans="1:11" ht="409.6">
      <c r="A125" s="85">
        <v>124</v>
      </c>
      <c r="B125" s="85" t="s">
        <v>777</v>
      </c>
      <c r="C125" s="72" t="s">
        <v>2821</v>
      </c>
      <c r="D125" s="72" t="s">
        <v>2822</v>
      </c>
      <c r="E125" s="59">
        <v>45440</v>
      </c>
      <c r="F125" s="85"/>
      <c r="G125" s="85"/>
      <c r="H125" s="86" t="s">
        <v>1435</v>
      </c>
      <c r="I125" s="59">
        <v>45447</v>
      </c>
      <c r="J125" s="59">
        <v>45589</v>
      </c>
      <c r="K125" s="88"/>
    </row>
    <row r="126" spans="1:11" ht="409.6">
      <c r="A126" s="85">
        <v>125</v>
      </c>
      <c r="B126" s="85" t="str">
        <f>VLOOKUP(A126,[1]vaccines!A:B,2)</f>
        <v>Trivaid</v>
      </c>
      <c r="C126" s="72" t="s">
        <v>2823</v>
      </c>
      <c r="D126" s="72" t="s">
        <v>2824</v>
      </c>
      <c r="E126" s="59">
        <v>45996</v>
      </c>
      <c r="F126" s="73">
        <v>1</v>
      </c>
      <c r="G126" s="73">
        <v>0</v>
      </c>
      <c r="H126" s="86" t="s">
        <v>1438</v>
      </c>
      <c r="I126" s="59">
        <v>45436</v>
      </c>
      <c r="J126" s="59">
        <v>46053</v>
      </c>
      <c r="K126" s="88"/>
    </row>
    <row r="127" spans="1:11" ht="409.6">
      <c r="A127" s="85">
        <v>126</v>
      </c>
      <c r="B127" s="85" t="str">
        <f>VLOOKUP(A127,[1]vaccines!A:B,2)</f>
        <v>BabyHib</v>
      </c>
      <c r="C127" s="72" t="s">
        <v>2825</v>
      </c>
      <c r="D127" s="72" t="s">
        <v>2826</v>
      </c>
      <c r="E127" s="59">
        <v>45938</v>
      </c>
      <c r="F127" s="73">
        <v>1</v>
      </c>
      <c r="G127" s="73">
        <v>0</v>
      </c>
      <c r="H127" s="86" t="s">
        <v>1441</v>
      </c>
      <c r="I127" s="59">
        <v>45436</v>
      </c>
      <c r="J127" s="59">
        <v>45988</v>
      </c>
      <c r="K127" s="88"/>
    </row>
    <row r="128" spans="1:11" ht="409.6">
      <c r="A128" s="85">
        <v>127</v>
      </c>
      <c r="B128" s="85" t="str">
        <f>VLOOKUP(A128,[1]vaccines!A:B,2)</f>
        <v>AD_M_Biomed</v>
      </c>
      <c r="C128" s="72" t="s">
        <v>2827</v>
      </c>
      <c r="D128" s="72" t="s">
        <v>2828</v>
      </c>
      <c r="E128" s="59">
        <v>41046</v>
      </c>
      <c r="F128" s="73">
        <v>1</v>
      </c>
      <c r="G128" s="73">
        <v>0</v>
      </c>
      <c r="H128" s="86" t="s">
        <v>1444</v>
      </c>
      <c r="I128" s="59">
        <v>45461</v>
      </c>
      <c r="J128" s="43"/>
      <c r="K128" s="88"/>
    </row>
    <row r="129" spans="1:11" ht="409.6">
      <c r="A129" s="85">
        <v>128</v>
      </c>
      <c r="B129" s="85" t="str">
        <f>VLOOKUP(A129,[1]vaccines!A:B,2)</f>
        <v>AS_D_Microgen</v>
      </c>
      <c r="C129" s="72" t="s">
        <v>2829</v>
      </c>
      <c r="D129" s="72" t="s">
        <v>2830</v>
      </c>
      <c r="E129" s="59">
        <v>45266</v>
      </c>
      <c r="F129" s="85"/>
      <c r="G129" s="85"/>
      <c r="H129" s="86" t="s">
        <v>1447</v>
      </c>
      <c r="I129" s="59">
        <v>45461</v>
      </c>
      <c r="J129" s="43"/>
      <c r="K129" s="88"/>
    </row>
    <row r="130" spans="1:11" ht="409.6">
      <c r="A130" s="85">
        <v>129</v>
      </c>
      <c r="B130" s="85" t="str">
        <f>VLOOKUP(A130,[1]vaccines!A:B,2)</f>
        <v>Variola</v>
      </c>
      <c r="C130" s="72" t="s">
        <v>2831</v>
      </c>
      <c r="D130" s="72" t="s">
        <v>2832</v>
      </c>
      <c r="E130" s="59">
        <v>45252</v>
      </c>
      <c r="F130" s="85"/>
      <c r="G130" s="85"/>
      <c r="H130" s="86" t="s">
        <v>1450</v>
      </c>
      <c r="I130" s="59">
        <v>45461</v>
      </c>
      <c r="J130" s="43"/>
      <c r="K130" s="88"/>
    </row>
    <row r="131" spans="1:11" ht="409.6">
      <c r="A131" s="85">
        <v>130</v>
      </c>
      <c r="B131" s="85" t="str">
        <f>VLOOKUP(A131,[1]vaccines!A:B,2)</f>
        <v>AKDS_HepB_Microgen</v>
      </c>
      <c r="C131" s="72" t="s">
        <v>2833</v>
      </c>
      <c r="D131" s="72" t="s">
        <v>2834</v>
      </c>
      <c r="E131" s="59">
        <v>45135</v>
      </c>
      <c r="F131" s="85"/>
      <c r="G131" s="85"/>
      <c r="H131" s="86" t="s">
        <v>1453</v>
      </c>
      <c r="I131" s="59">
        <v>45464</v>
      </c>
      <c r="J131" s="43"/>
      <c r="K131" s="88"/>
    </row>
    <row r="132" spans="1:11" ht="409.6">
      <c r="A132" s="85">
        <v>131</v>
      </c>
      <c r="B132" s="85" t="str">
        <f>VLOOKUP(A132,[1]vaccines!A:B,2)</f>
        <v>Rickettsia</v>
      </c>
      <c r="C132" s="72" t="s">
        <v>2835</v>
      </c>
      <c r="D132" s="72" t="s">
        <v>2836</v>
      </c>
      <c r="E132" s="59">
        <v>45107</v>
      </c>
      <c r="F132" s="85"/>
      <c r="G132" s="85"/>
      <c r="H132" s="86" t="s">
        <v>1456</v>
      </c>
      <c r="I132" s="59">
        <v>45464</v>
      </c>
      <c r="J132" s="43"/>
      <c r="K132" s="88"/>
    </row>
    <row r="133" spans="1:11" ht="409.6">
      <c r="A133" s="85">
        <v>132</v>
      </c>
      <c r="B133" s="85" t="str">
        <f>VLOOKUP(A133,[1]vaccines!A:B,2)</f>
        <v>OspaVir</v>
      </c>
      <c r="C133" s="72" t="s">
        <v>2837</v>
      </c>
      <c r="D133" s="72" t="s">
        <v>2838</v>
      </c>
      <c r="E133" s="59">
        <v>45077</v>
      </c>
      <c r="F133" s="85"/>
      <c r="G133" s="85"/>
      <c r="H133" s="86" t="s">
        <v>1459</v>
      </c>
      <c r="I133" s="59">
        <v>45464</v>
      </c>
      <c r="J133" s="43"/>
      <c r="K133" s="88"/>
    </row>
    <row r="134" spans="1:11" ht="409.6">
      <c r="A134" s="85">
        <v>133</v>
      </c>
      <c r="B134" s="85" t="str">
        <f>VLOOKUP(A134,[1]vaccines!A:B,2)</f>
        <v>Gonovaccina_therapeutic</v>
      </c>
      <c r="C134" s="72" t="s">
        <v>2839</v>
      </c>
      <c r="D134" s="72" t="s">
        <v>2840</v>
      </c>
      <c r="E134" s="59">
        <v>44942</v>
      </c>
      <c r="F134" s="85"/>
      <c r="G134" s="85"/>
      <c r="H134" s="86" t="s">
        <v>1462</v>
      </c>
      <c r="I134" s="59">
        <v>45464</v>
      </c>
      <c r="J134" s="43"/>
      <c r="K134" s="88"/>
    </row>
    <row r="135" spans="1:11" ht="409.6">
      <c r="A135" s="85">
        <v>134</v>
      </c>
      <c r="B135" s="85" t="str">
        <f>VLOOKUP(A135,[1]vaccines!A:B,2)</f>
        <v>OrtopoxVac</v>
      </c>
      <c r="C135" s="72" t="s">
        <v>2841</v>
      </c>
      <c r="D135" s="72" t="s">
        <v>2842</v>
      </c>
      <c r="E135" s="43">
        <v>45147</v>
      </c>
      <c r="F135" s="88"/>
      <c r="G135" s="88"/>
      <c r="H135" s="89" t="s">
        <v>1465</v>
      </c>
      <c r="I135" s="43">
        <v>45465</v>
      </c>
      <c r="J135" s="43"/>
      <c r="K135" s="88"/>
    </row>
    <row r="136" spans="1:11" ht="409.6">
      <c r="A136" s="85">
        <v>135</v>
      </c>
      <c r="B136" s="85" t="str">
        <f>VLOOKUP(A136,[1]vaccines!A:B,2)</f>
        <v>FlexVac</v>
      </c>
      <c r="C136" s="72" t="s">
        <v>2843</v>
      </c>
      <c r="D136" s="72" t="s">
        <v>2844</v>
      </c>
      <c r="E136" s="59">
        <v>46126</v>
      </c>
      <c r="F136" s="73">
        <v>1</v>
      </c>
      <c r="G136" s="73">
        <v>0</v>
      </c>
      <c r="H136" s="86" t="s">
        <v>1468</v>
      </c>
      <c r="I136" s="59">
        <v>45465</v>
      </c>
      <c r="J136" s="59">
        <v>46188</v>
      </c>
      <c r="K136" s="88"/>
    </row>
    <row r="137" spans="1:11" ht="409.6">
      <c r="A137" s="85">
        <v>136</v>
      </c>
      <c r="B137" s="85" t="str">
        <f>VLOOKUP(A137,[1]vaccines!A:B,2)</f>
        <v>SinSaVac</v>
      </c>
      <c r="C137" s="72" t="s">
        <v>2845</v>
      </c>
      <c r="D137" s="72" t="s">
        <v>2846</v>
      </c>
      <c r="E137" s="59">
        <v>44537</v>
      </c>
      <c r="F137" s="73">
        <v>1</v>
      </c>
      <c r="G137" s="73">
        <v>0</v>
      </c>
      <c r="H137" s="86" t="s">
        <v>1471</v>
      </c>
      <c r="I137" s="59">
        <v>45465</v>
      </c>
      <c r="J137" s="43"/>
      <c r="K137" s="88"/>
    </row>
    <row r="138" spans="1:11" ht="409.6">
      <c r="A138" s="85">
        <v>138</v>
      </c>
      <c r="B138" s="85" t="str">
        <f>VLOOKUP(A138,[1]vaccines!A:B,2)</f>
        <v>EpiVacEbola</v>
      </c>
      <c r="C138" s="72" t="s">
        <v>2847</v>
      </c>
      <c r="D138" s="72" t="s">
        <v>2848</v>
      </c>
      <c r="E138" s="59">
        <v>43185</v>
      </c>
      <c r="F138" s="73">
        <v>1</v>
      </c>
      <c r="G138" s="73">
        <v>0</v>
      </c>
      <c r="H138" s="86" t="s">
        <v>1474</v>
      </c>
      <c r="I138" s="59">
        <v>45465</v>
      </c>
      <c r="J138" s="43"/>
      <c r="K138" s="88"/>
    </row>
    <row r="139" spans="1:11" ht="409.6">
      <c r="A139" s="85">
        <v>139</v>
      </c>
      <c r="B139" s="85" t="str">
        <f>VLOOKUP(A139,[1]vaccines!A:B,2)</f>
        <v>GamEvac_Combi</v>
      </c>
      <c r="C139" s="72" t="s">
        <v>2849</v>
      </c>
      <c r="D139" s="72" t="s">
        <v>2850</v>
      </c>
      <c r="E139" s="59">
        <v>46099</v>
      </c>
      <c r="F139" s="73">
        <v>1</v>
      </c>
      <c r="G139" s="73">
        <v>0</v>
      </c>
      <c r="H139" s="86" t="s">
        <v>1477</v>
      </c>
      <c r="I139" s="59">
        <v>46131</v>
      </c>
      <c r="J139" s="43"/>
      <c r="K139" s="88"/>
    </row>
    <row r="140" spans="1:11" ht="409.6">
      <c r="A140" s="85">
        <v>141</v>
      </c>
      <c r="B140" s="85" t="str">
        <f>VLOOKUP(A140,[1]vaccines!A:B,2)</f>
        <v>Staphylococcus_therapeutic_Biomed</v>
      </c>
      <c r="C140" s="72" t="s">
        <v>2851</v>
      </c>
      <c r="D140" s="72" t="s">
        <v>2852</v>
      </c>
      <c r="E140" s="59">
        <v>43388</v>
      </c>
      <c r="F140" s="73">
        <v>1</v>
      </c>
      <c r="G140" s="73">
        <v>0</v>
      </c>
      <c r="H140" s="86" t="s">
        <v>1480</v>
      </c>
      <c r="I140" s="59">
        <v>45465</v>
      </c>
      <c r="J140" s="43"/>
      <c r="K140" s="88"/>
    </row>
    <row r="141" spans="1:11" ht="409.6">
      <c r="A141" s="85">
        <v>142</v>
      </c>
      <c r="B141" s="85" t="str">
        <f>VLOOKUP(A141,[1]vaccines!A:B,2)</f>
        <v>Pseudovac</v>
      </c>
      <c r="C141" s="72" t="s">
        <v>2853</v>
      </c>
      <c r="D141" s="72" t="s">
        <v>2854</v>
      </c>
      <c r="E141" s="59">
        <v>42809</v>
      </c>
      <c r="F141" s="73">
        <v>1</v>
      </c>
      <c r="G141" s="73">
        <v>0</v>
      </c>
      <c r="H141" s="86" t="s">
        <v>1483</v>
      </c>
      <c r="I141" s="59">
        <v>45466</v>
      </c>
      <c r="J141" s="43"/>
      <c r="K141" s="88"/>
    </row>
    <row r="142" spans="1:11" ht="409.6">
      <c r="A142" s="85">
        <v>143</v>
      </c>
      <c r="B142" s="85" t="str">
        <f>VLOOKUP(A142,[1]vaccines!A:B,2)</f>
        <v>SPSA_therapeutic</v>
      </c>
      <c r="C142" s="72" t="s">
        <v>2855</v>
      </c>
      <c r="D142" s="72" t="s">
        <v>2856</v>
      </c>
      <c r="E142" s="59">
        <v>40819</v>
      </c>
      <c r="F142" s="73">
        <v>1</v>
      </c>
      <c r="G142" s="73">
        <v>0</v>
      </c>
      <c r="H142" s="86" t="s">
        <v>1486</v>
      </c>
      <c r="I142" s="59">
        <v>45466</v>
      </c>
      <c r="J142" s="43"/>
      <c r="K142" s="88"/>
    </row>
    <row r="143" spans="1:11" ht="409.6">
      <c r="A143" s="85">
        <v>144</v>
      </c>
      <c r="B143" s="85" t="str">
        <f>VLOOKUP(A143,[1]vaccines!A:B,2)</f>
        <v>HepB_Serum_India_0_5</v>
      </c>
      <c r="C143" s="72" t="s">
        <v>2857</v>
      </c>
      <c r="D143" s="72" t="s">
        <v>2858</v>
      </c>
      <c r="E143" s="59">
        <v>45981</v>
      </c>
      <c r="F143" s="73">
        <v>1</v>
      </c>
      <c r="G143" s="73">
        <v>0</v>
      </c>
      <c r="H143" s="86" t="s">
        <v>1489</v>
      </c>
      <c r="I143" s="59">
        <v>45466</v>
      </c>
      <c r="J143" s="59">
        <v>46053</v>
      </c>
      <c r="K143" s="88"/>
    </row>
    <row r="144" spans="1:11" ht="409.6">
      <c r="A144" s="85">
        <v>145</v>
      </c>
      <c r="B144" s="85" t="str">
        <f>VLOOKUP(A144,[1]vaccines!A:B,2)</f>
        <v>Polio_1_2_3</v>
      </c>
      <c r="C144" s="72" t="s">
        <v>2859</v>
      </c>
      <c r="D144" s="72" t="s">
        <v>2860</v>
      </c>
      <c r="E144" s="59">
        <v>45275</v>
      </c>
      <c r="F144" s="73">
        <v>1</v>
      </c>
      <c r="G144" s="73">
        <v>0</v>
      </c>
      <c r="H144" s="86" t="s">
        <v>1492</v>
      </c>
      <c r="I144" s="59">
        <v>45466</v>
      </c>
      <c r="J144" s="43"/>
      <c r="K144" s="88"/>
    </row>
    <row r="145" spans="1:11" ht="409.6">
      <c r="A145" s="85">
        <v>146</v>
      </c>
      <c r="B145" s="85" t="str">
        <f>VLOOKUP(A145,[1]vaccines!A:B,2)</f>
        <v>TEOVac_chew_tablets</v>
      </c>
      <c r="C145" s="72" t="s">
        <v>2861</v>
      </c>
      <c r="D145" s="72" t="s">
        <v>2862</v>
      </c>
      <c r="E145" s="59">
        <v>40396</v>
      </c>
      <c r="F145" s="73">
        <v>1</v>
      </c>
      <c r="G145" s="73">
        <v>0</v>
      </c>
      <c r="H145" s="86" t="s">
        <v>1495</v>
      </c>
      <c r="I145" s="59">
        <v>45467</v>
      </c>
      <c r="J145" s="43"/>
      <c r="K145" s="88"/>
    </row>
    <row r="146" spans="1:11" ht="409.6">
      <c r="A146" s="85">
        <v>147</v>
      </c>
      <c r="B146" s="85" t="str">
        <f>VLOOKUP(A146,[1]vaccines!A:B,2)</f>
        <v>TEOVac_tablets</v>
      </c>
      <c r="C146" s="72" t="s">
        <v>2863</v>
      </c>
      <c r="D146" s="72" t="s">
        <v>2864</v>
      </c>
      <c r="E146" s="59">
        <v>40392</v>
      </c>
      <c r="F146" s="73">
        <v>1</v>
      </c>
      <c r="G146" s="73">
        <v>0</v>
      </c>
      <c r="H146" s="86" t="s">
        <v>1497</v>
      </c>
      <c r="I146" s="59">
        <v>45467</v>
      </c>
      <c r="J146" s="43"/>
      <c r="K146" s="88"/>
    </row>
    <row r="147" spans="1:11" ht="409.6">
      <c r="A147" s="74">
        <v>148</v>
      </c>
      <c r="B147" s="85" t="str">
        <f>VLOOKUP(A147,[1]vaccines!A:B,2)</f>
        <v>Uro_BCG_therapeutic</v>
      </c>
      <c r="C147" s="72" t="s">
        <v>2865</v>
      </c>
      <c r="D147" s="72" t="s">
        <v>2866</v>
      </c>
      <c r="E147" s="59">
        <v>42947</v>
      </c>
      <c r="F147" s="73">
        <v>1</v>
      </c>
      <c r="G147" s="73">
        <v>0</v>
      </c>
      <c r="H147" s="86" t="s">
        <v>1499</v>
      </c>
      <c r="I147" s="59">
        <v>45494</v>
      </c>
      <c r="J147" s="43"/>
      <c r="K147" s="88"/>
    </row>
    <row r="148" spans="1:11" ht="409.6">
      <c r="A148" s="85">
        <v>149</v>
      </c>
      <c r="B148" s="85" t="str">
        <f>VLOOKUP(A148,[1]vaccines!A:B,2)</f>
        <v>Flu_Microgen</v>
      </c>
      <c r="C148" s="72" t="s">
        <v>2867</v>
      </c>
      <c r="D148" s="72" t="s">
        <v>2868</v>
      </c>
      <c r="E148" s="59">
        <v>40940</v>
      </c>
      <c r="F148" s="73">
        <v>1</v>
      </c>
      <c r="G148" s="73">
        <v>0</v>
      </c>
      <c r="H148" s="86" t="s">
        <v>1502</v>
      </c>
      <c r="I148" s="59">
        <v>45494</v>
      </c>
      <c r="J148" s="43"/>
      <c r="K148" s="88"/>
    </row>
    <row r="149" spans="1:11" ht="409.6">
      <c r="A149" s="74">
        <v>150</v>
      </c>
      <c r="B149" s="85" t="str">
        <f>VLOOKUP(A149,[1]vaccines!A:B,2)</f>
        <v>MonoGrippol_plus</v>
      </c>
      <c r="C149" s="72" t="s">
        <v>2869</v>
      </c>
      <c r="D149" s="72" t="s">
        <v>2870</v>
      </c>
      <c r="E149" s="59">
        <v>42719</v>
      </c>
      <c r="F149" s="73">
        <v>1</v>
      </c>
      <c r="G149" s="73">
        <v>0</v>
      </c>
      <c r="H149" s="86" t="s">
        <v>1505</v>
      </c>
      <c r="I149" s="59">
        <v>45494</v>
      </c>
      <c r="J149" s="43"/>
      <c r="K149" s="88"/>
    </row>
    <row r="150" spans="1:11" ht="409.6">
      <c r="A150" s="85">
        <v>151</v>
      </c>
      <c r="B150" s="85" t="str">
        <f>VLOOKUP(A150,[1]vaccines!A:B,2)</f>
        <v>MonoGrippol_Neo</v>
      </c>
      <c r="C150" s="72" t="s">
        <v>2869</v>
      </c>
      <c r="D150" s="72" t="s">
        <v>2870</v>
      </c>
      <c r="E150" s="59">
        <v>40353</v>
      </c>
      <c r="F150" s="73">
        <v>2</v>
      </c>
      <c r="G150" s="73">
        <v>1</v>
      </c>
      <c r="H150" s="86" t="s">
        <v>2871</v>
      </c>
      <c r="I150" s="59">
        <v>45494</v>
      </c>
      <c r="J150" s="43"/>
      <c r="K150" s="88"/>
    </row>
    <row r="151" spans="1:11" ht="409.6">
      <c r="A151" s="74">
        <v>152</v>
      </c>
      <c r="B151" s="85" t="str">
        <f>VLOOKUP(A151,[1]vaccines!A:B,2)</f>
        <v>MonoGrippol</v>
      </c>
      <c r="C151" s="72" t="s">
        <v>2872</v>
      </c>
      <c r="D151" s="72" t="s">
        <v>2873</v>
      </c>
      <c r="E151" s="59">
        <v>40102</v>
      </c>
      <c r="F151" s="73">
        <v>1</v>
      </c>
      <c r="G151" s="73">
        <v>0</v>
      </c>
      <c r="H151" s="86" t="s">
        <v>1510</v>
      </c>
      <c r="I151" s="59">
        <v>45494</v>
      </c>
      <c r="J151" s="43"/>
      <c r="K151" s="88"/>
    </row>
    <row r="152" spans="1:11" ht="409.6">
      <c r="A152" s="85">
        <v>153</v>
      </c>
      <c r="B152" s="85" t="str">
        <f>VLOOKUP(A152,[1]vaccines!A:B,2)</f>
        <v>Influvir</v>
      </c>
      <c r="C152" s="72" t="s">
        <v>2874</v>
      </c>
      <c r="D152" s="72" t="s">
        <v>2875</v>
      </c>
      <c r="E152" s="59">
        <v>45681</v>
      </c>
      <c r="F152" s="73">
        <v>1</v>
      </c>
      <c r="G152" s="73">
        <v>0</v>
      </c>
      <c r="H152" s="86" t="s">
        <v>1512</v>
      </c>
      <c r="I152" s="59">
        <v>45494</v>
      </c>
      <c r="J152" s="59">
        <v>45717</v>
      </c>
      <c r="K152" s="88"/>
    </row>
    <row r="153" spans="1:11" ht="409.6">
      <c r="A153" s="74">
        <v>154</v>
      </c>
      <c r="B153" s="85" t="str">
        <f>VLOOKUP(A153,[1]vaccines!A:B,2)</f>
        <v>Pandeflu</v>
      </c>
      <c r="C153" s="72" t="s">
        <v>2876</v>
      </c>
      <c r="D153" s="72" t="s">
        <v>2877</v>
      </c>
      <c r="E153" s="59">
        <v>45719</v>
      </c>
      <c r="F153" s="73">
        <v>1</v>
      </c>
      <c r="G153" s="73">
        <v>0</v>
      </c>
      <c r="H153" s="86" t="s">
        <v>1515</v>
      </c>
      <c r="I153" s="59">
        <v>45494</v>
      </c>
      <c r="J153" s="59">
        <v>45750</v>
      </c>
      <c r="K153" s="88"/>
    </row>
    <row r="154" spans="1:11" ht="409.6">
      <c r="A154" s="85">
        <v>155</v>
      </c>
      <c r="B154" s="85" t="str">
        <f>VLOOKUP(A154,[1]vaccines!A:B,2)</f>
        <v>Grippol_Neo</v>
      </c>
      <c r="C154" s="72" t="s">
        <v>2878</v>
      </c>
      <c r="D154" s="72" t="s">
        <v>2879</v>
      </c>
      <c r="E154" s="59">
        <v>40332</v>
      </c>
      <c r="F154" s="73">
        <v>1</v>
      </c>
      <c r="G154" s="73">
        <v>1</v>
      </c>
      <c r="H154" s="86" t="s">
        <v>2880</v>
      </c>
      <c r="I154" s="59">
        <v>45494</v>
      </c>
      <c r="J154" s="43"/>
      <c r="K154" s="88"/>
    </row>
    <row r="155" spans="1:11" ht="409.6">
      <c r="A155" s="74">
        <v>156</v>
      </c>
      <c r="B155" s="85" t="str">
        <f>VLOOKUP(A155,[1]vaccines!A:B,2)</f>
        <v>Ultravac</v>
      </c>
      <c r="C155" s="72" t="s">
        <v>2881</v>
      </c>
      <c r="D155" s="72" t="s">
        <v>2882</v>
      </c>
      <c r="E155" s="59">
        <v>45569</v>
      </c>
      <c r="F155" s="85"/>
      <c r="G155" s="85"/>
      <c r="H155" s="86" t="s">
        <v>1521</v>
      </c>
      <c r="I155" s="59">
        <v>45494</v>
      </c>
      <c r="J155" s="59">
        <v>45622</v>
      </c>
      <c r="K155" s="88"/>
    </row>
    <row r="156" spans="1:11" ht="409.6">
      <c r="A156" s="74">
        <v>158</v>
      </c>
      <c r="B156" s="85" t="str">
        <f>VLOOKUP(A156,[1]vaccines!A:B,2)</f>
        <v>Gerpovax_therapeutic</v>
      </c>
      <c r="C156" s="72" t="s">
        <v>2883</v>
      </c>
      <c r="D156" s="72" t="s">
        <v>2884</v>
      </c>
      <c r="E156" s="59">
        <v>43808</v>
      </c>
      <c r="F156" s="73">
        <v>1</v>
      </c>
      <c r="G156" s="73">
        <v>0</v>
      </c>
      <c r="H156" s="86" t="s">
        <v>1524</v>
      </c>
      <c r="I156" s="59">
        <v>45496</v>
      </c>
      <c r="J156" s="43"/>
      <c r="K156" s="88"/>
    </row>
    <row r="157" spans="1:11" ht="409.6">
      <c r="A157" s="74">
        <v>159</v>
      </c>
      <c r="B157" s="85" t="str">
        <f>VLOOKUP(A157,[1]vaccines!A:B,2)</f>
        <v>Ultragrivac</v>
      </c>
      <c r="C157" s="72" t="s">
        <v>2885</v>
      </c>
      <c r="D157" s="72" t="s">
        <v>2886</v>
      </c>
      <c r="E157" s="59">
        <v>45775</v>
      </c>
      <c r="F157" s="73">
        <v>1</v>
      </c>
      <c r="G157" s="73">
        <v>0</v>
      </c>
      <c r="H157" s="86" t="s">
        <v>1527</v>
      </c>
      <c r="I157" s="59">
        <v>45496</v>
      </c>
      <c r="J157" s="59">
        <v>45818</v>
      </c>
      <c r="K157" s="88"/>
    </row>
    <row r="158" spans="1:11" ht="409.6">
      <c r="A158" s="74">
        <v>160</v>
      </c>
      <c r="B158" s="85" t="str">
        <f>VLOOKUP(A158,[1]vaccines!A:B,2)</f>
        <v>OrniFlu</v>
      </c>
      <c r="C158" s="72" t="s">
        <v>2887</v>
      </c>
      <c r="D158" s="72" t="s">
        <v>2888</v>
      </c>
      <c r="E158" s="59">
        <v>45720</v>
      </c>
      <c r="F158" s="73">
        <v>1</v>
      </c>
      <c r="G158" s="73">
        <v>0</v>
      </c>
      <c r="H158" s="86" t="s">
        <v>1530</v>
      </c>
      <c r="I158" s="59">
        <v>45496</v>
      </c>
      <c r="J158" s="59">
        <v>45750</v>
      </c>
      <c r="K158" s="88"/>
    </row>
    <row r="159" spans="1:11" ht="409.6">
      <c r="A159" s="74">
        <v>161</v>
      </c>
      <c r="B159" s="85" t="str">
        <f>VLOOKUP(A159,[1]vaccines!A:B,2)</f>
        <v>rubella_Croatia</v>
      </c>
      <c r="C159" s="72" t="s">
        <v>2889</v>
      </c>
      <c r="D159" s="72" t="s">
        <v>2890</v>
      </c>
      <c r="E159" s="59">
        <v>37712</v>
      </c>
      <c r="F159" s="73">
        <v>1</v>
      </c>
      <c r="G159" s="73">
        <v>0</v>
      </c>
      <c r="H159" s="86" t="s">
        <v>1533</v>
      </c>
      <c r="I159" s="59">
        <v>45496</v>
      </c>
      <c r="J159" s="43"/>
      <c r="K159" s="88"/>
    </row>
    <row r="160" spans="1:11" ht="409.6">
      <c r="A160" s="74">
        <v>162</v>
      </c>
      <c r="B160" s="85" t="str">
        <f>VLOOKUP(A160,[1]vaccines!A:B,2)</f>
        <v>Tetraanatoxin</v>
      </c>
      <c r="C160" s="72" t="s">
        <v>2891</v>
      </c>
      <c r="D160" s="72" t="s">
        <v>2892</v>
      </c>
      <c r="E160" s="59">
        <v>45546</v>
      </c>
      <c r="F160" s="85"/>
      <c r="G160" s="85"/>
      <c r="H160" s="86" t="s">
        <v>1536</v>
      </c>
      <c r="I160" s="59">
        <v>45497</v>
      </c>
      <c r="J160" s="59">
        <v>45581</v>
      </c>
      <c r="K160" s="88"/>
    </row>
    <row r="161" spans="1:11" ht="409.6">
      <c r="A161" s="74">
        <v>163</v>
      </c>
      <c r="B161" s="85" t="str">
        <f>VLOOKUP(A161,[1]vaccines!A:B,2)</f>
        <v>Staphylococcus_Gamaleya</v>
      </c>
      <c r="C161" s="72" t="s">
        <v>2893</v>
      </c>
      <c r="D161" s="72" t="s">
        <v>2894</v>
      </c>
      <c r="E161" s="59">
        <v>45799</v>
      </c>
      <c r="F161" s="73">
        <v>1</v>
      </c>
      <c r="G161" s="73">
        <v>0</v>
      </c>
      <c r="H161" s="86" t="s">
        <v>1539</v>
      </c>
      <c r="I161" s="59">
        <v>45497</v>
      </c>
      <c r="J161" s="59">
        <v>45830</v>
      </c>
      <c r="K161" s="88"/>
    </row>
    <row r="162" spans="1:11" ht="369.6">
      <c r="A162" s="74">
        <v>164</v>
      </c>
      <c r="B162" s="85" t="str">
        <f>VLOOKUP(A162,[1]vaccines!A:B,2)</f>
        <v>Staphylococcus_therapeutic_Gamaleya</v>
      </c>
      <c r="C162" s="72" t="s">
        <v>2895</v>
      </c>
      <c r="D162" s="72" t="s">
        <v>2896</v>
      </c>
      <c r="E162" s="59">
        <v>45799</v>
      </c>
      <c r="F162" s="73">
        <v>1</v>
      </c>
      <c r="G162" s="73">
        <v>0</v>
      </c>
      <c r="H162" s="86" t="s">
        <v>1542</v>
      </c>
      <c r="I162" s="59">
        <v>45497</v>
      </c>
      <c r="J162" s="59">
        <v>45830</v>
      </c>
      <c r="K162" s="88"/>
    </row>
    <row r="163" spans="1:11" ht="409.6">
      <c r="A163" s="74">
        <v>165</v>
      </c>
      <c r="B163" s="85" t="str">
        <f>VLOOKUP(A163,[1]vaccines!A:B,2)</f>
        <v>Imuron_vac_therapeutic</v>
      </c>
      <c r="C163" s="72" t="s">
        <v>2897</v>
      </c>
      <c r="D163" s="72" t="s">
        <v>2898</v>
      </c>
      <c r="E163" s="59">
        <v>45811</v>
      </c>
      <c r="F163" s="73">
        <v>1</v>
      </c>
      <c r="G163" s="73">
        <v>0</v>
      </c>
      <c r="H163" s="86" t="s">
        <v>1545</v>
      </c>
      <c r="I163" s="59">
        <v>45497</v>
      </c>
      <c r="J163" s="59">
        <v>45861</v>
      </c>
      <c r="K163" s="88"/>
    </row>
    <row r="164" spans="1:11" ht="409.6">
      <c r="A164" s="74">
        <v>166</v>
      </c>
      <c r="B164" s="85" t="str">
        <f>VLOOKUP(A164,[1]vaccines!A:B,2)</f>
        <v>HepB_Serum_India_1_0</v>
      </c>
      <c r="C164" s="72" t="s">
        <v>2899</v>
      </c>
      <c r="D164" s="72" t="s">
        <v>2900</v>
      </c>
      <c r="E164" s="59">
        <v>45981</v>
      </c>
      <c r="F164" s="73">
        <v>1</v>
      </c>
      <c r="G164" s="73">
        <v>0</v>
      </c>
      <c r="H164" s="86" t="s">
        <v>1489</v>
      </c>
      <c r="I164" s="59">
        <v>45466</v>
      </c>
      <c r="J164" s="59">
        <v>46053</v>
      </c>
      <c r="K164" s="88"/>
    </row>
    <row r="165" spans="1:11" ht="409.6">
      <c r="A165" s="74">
        <v>167</v>
      </c>
      <c r="B165" s="85" t="str">
        <f>VLOOKUP(A165,[1]vaccines!A:B,2)</f>
        <v>Hexaxim</v>
      </c>
      <c r="C165" s="72" t="s">
        <v>2901</v>
      </c>
      <c r="D165" s="72" t="s">
        <v>2902</v>
      </c>
      <c r="E165" s="59">
        <v>45504</v>
      </c>
      <c r="F165" s="85"/>
      <c r="G165" s="85"/>
      <c r="H165" s="86" t="s">
        <v>1550</v>
      </c>
      <c r="I165" s="59">
        <v>45558</v>
      </c>
      <c r="J165" s="43"/>
      <c r="K165" s="88"/>
    </row>
    <row r="166" spans="1:11" ht="409.6">
      <c r="A166" s="74">
        <v>168</v>
      </c>
      <c r="B166" s="85" t="str">
        <f>VLOOKUP(A166,[1]vaccines!A:B,2)</f>
        <v>Gam_VLP_multivac</v>
      </c>
      <c r="C166" s="72" t="s">
        <v>2903</v>
      </c>
      <c r="D166" s="72" t="s">
        <v>2904</v>
      </c>
      <c r="E166" s="59">
        <v>45632</v>
      </c>
      <c r="F166" s="73">
        <v>1</v>
      </c>
      <c r="G166" s="73">
        <v>0</v>
      </c>
      <c r="H166" s="86" t="s">
        <v>1553</v>
      </c>
      <c r="I166" s="59">
        <v>45678</v>
      </c>
      <c r="J166" s="43"/>
      <c r="K166" s="88"/>
    </row>
    <row r="167" spans="1:11" ht="409.6">
      <c r="A167" s="74">
        <v>169</v>
      </c>
      <c r="B167" s="85" t="str">
        <f>VLOOKUP(A167,[1]vaccines!A:B,2)</f>
        <v>Gam_VLP_multivac_nasal</v>
      </c>
      <c r="C167" s="72" t="s">
        <v>2905</v>
      </c>
      <c r="D167" s="72" t="s">
        <v>2906</v>
      </c>
      <c r="E167" s="59">
        <v>45737</v>
      </c>
      <c r="F167" s="73">
        <v>1</v>
      </c>
      <c r="G167" s="73">
        <v>0</v>
      </c>
      <c r="H167" s="86" t="s">
        <v>1555</v>
      </c>
      <c r="I167" s="59">
        <v>45742</v>
      </c>
      <c r="J167" s="43"/>
      <c r="K167" s="88"/>
    </row>
    <row r="168" spans="1:11" ht="409.6">
      <c r="A168" s="74">
        <v>170</v>
      </c>
      <c r="B168" s="85" t="str">
        <f>VLOOKUP(A168,[1]vaccines!A:B,2)</f>
        <v>Cegardex</v>
      </c>
      <c r="C168" s="72" t="s">
        <v>2907</v>
      </c>
      <c r="D168" s="72" t="s">
        <v>2908</v>
      </c>
      <c r="E168" s="59">
        <v>45721</v>
      </c>
      <c r="F168" s="73">
        <v>1</v>
      </c>
      <c r="G168" s="73">
        <v>0</v>
      </c>
      <c r="H168" s="86" t="s">
        <v>1557</v>
      </c>
      <c r="I168" s="59">
        <v>45742</v>
      </c>
      <c r="J168" s="43"/>
      <c r="K168" s="88"/>
    </row>
    <row r="169" spans="1:11" ht="409.6">
      <c r="A169" s="74">
        <v>171</v>
      </c>
      <c r="B169" s="85" t="str">
        <f>VLOOKUP(A169,[1]vaccines!A:B,2)</f>
        <v>Menvaid</v>
      </c>
      <c r="C169" s="72" t="s">
        <v>2909</v>
      </c>
      <c r="D169" s="72" t="s">
        <v>2910</v>
      </c>
      <c r="E169" s="59">
        <v>45740</v>
      </c>
      <c r="F169" s="73">
        <v>1</v>
      </c>
      <c r="G169" s="73">
        <v>0</v>
      </c>
      <c r="H169" s="86" t="s">
        <v>1560</v>
      </c>
      <c r="I169" s="59">
        <v>45755</v>
      </c>
      <c r="J169" s="43"/>
      <c r="K169" s="88"/>
    </row>
    <row r="170" spans="1:11" ht="409.6">
      <c r="A170" s="74">
        <v>172</v>
      </c>
      <c r="B170" s="85" t="str">
        <f>VLOOKUP(A170,[1]vaccines!A:B,2)</f>
        <v>ChiroRab</v>
      </c>
      <c r="C170" s="72" t="s">
        <v>2732</v>
      </c>
      <c r="D170" s="72" t="s">
        <v>2733</v>
      </c>
      <c r="E170" s="43">
        <v>42996</v>
      </c>
      <c r="F170" s="74">
        <v>1</v>
      </c>
      <c r="G170" s="74">
        <v>0</v>
      </c>
      <c r="H170" s="89" t="s">
        <v>1321</v>
      </c>
      <c r="I170" s="43">
        <v>45818</v>
      </c>
      <c r="J170" s="43"/>
      <c r="K170" s="91" t="s">
        <v>1562</v>
      </c>
    </row>
    <row r="171" spans="1:11" ht="409.6">
      <c r="A171" s="74">
        <v>173</v>
      </c>
      <c r="B171" s="85" t="str">
        <f>VLOOKUP(A171,[1]vaccines!A:B,2)</f>
        <v>Prevenar_20</v>
      </c>
      <c r="C171" s="72" t="s">
        <v>2911</v>
      </c>
      <c r="D171" s="72" t="s">
        <v>2912</v>
      </c>
      <c r="E171" s="59">
        <v>45835</v>
      </c>
      <c r="F171" s="73">
        <v>1</v>
      </c>
      <c r="G171" s="73">
        <v>0</v>
      </c>
      <c r="H171" s="86" t="s">
        <v>1564</v>
      </c>
      <c r="I171" s="59">
        <v>45861</v>
      </c>
      <c r="J171" s="43"/>
      <c r="K171" s="88"/>
    </row>
    <row r="172" spans="1:11" ht="409.6">
      <c r="A172" s="74">
        <v>174</v>
      </c>
      <c r="B172" s="85" t="str">
        <f>VLOOKUP(A172,[1]vaccines!A:B,2)</f>
        <v>aAKDS_M</v>
      </c>
      <c r="C172" s="72" t="s">
        <v>2913</v>
      </c>
      <c r="D172" s="72" t="s">
        <v>2914</v>
      </c>
      <c r="E172" s="59">
        <v>46104</v>
      </c>
      <c r="F172" s="73">
        <v>1</v>
      </c>
      <c r="G172" s="73">
        <v>0</v>
      </c>
      <c r="H172" s="86" t="s">
        <v>1567</v>
      </c>
      <c r="I172" s="59">
        <v>46131</v>
      </c>
      <c r="J172" s="43"/>
      <c r="K172" s="88"/>
    </row>
    <row r="173" spans="1:11" ht="409.6">
      <c r="A173" s="74">
        <v>175</v>
      </c>
      <c r="B173" s="85" t="str">
        <f>VLOOKUP(A173,[1]vaccines!A:B,2)</f>
        <v>Nimenrix</v>
      </c>
      <c r="C173" s="72" t="s">
        <v>2915</v>
      </c>
      <c r="D173" s="72" t="s">
        <v>2916</v>
      </c>
      <c r="E173" s="59">
        <v>46111</v>
      </c>
      <c r="F173" s="73">
        <v>1</v>
      </c>
      <c r="G173" s="73">
        <v>0</v>
      </c>
      <c r="H173" s="86" t="s">
        <v>1570</v>
      </c>
      <c r="I173" s="59">
        <v>46131</v>
      </c>
      <c r="J173" s="43"/>
      <c r="K173" s="88"/>
    </row>
  </sheetData>
  <dataValidations count="2">
    <dataValidation type="decimal" allowBlank="1" showDropDown="1" showErrorMessage="1" sqref="F2:F6 F10:F15 F17 F19:F21 F24:F25 F29:F30 F35:F38 F40:F44 F46:F47 F49:F53 F57:F59 F63 F65 F69:F74 F76 F82 F87 F89 F91 F93 F95 F99:F101 F104:F106 F109:F110 F112:F113 F123" xr:uid="{AA49051F-3E2E-4D55-906D-1EA3C9BC7147}">
      <formula1>1</formula1>
      <formula2>15</formula2>
    </dataValidation>
    <dataValidation type="custom" allowBlank="1" showDropDown="1" showErrorMessage="1" sqref="E2:E7 E10:E15 E17 E19:E21 E24:E25 E29:E30 E35:E38 E40:E44 E46:E47 E49:E53 E55 E57:E59 E63 E65 E69:E74 E76 E82 E87 E89 E91 E93 E95 E99:E101 E104:E106 E109:E110 E112:E113 E123" xr:uid="{7F4D641D-AAB5-471F-982A-34B1192F7885}">
      <formula1>OR(NOT(ISERROR(DATEVALUE(E2))), AND(ISNUMBER(E2), LEFT(CELL("format", E2))="D"))</formula1>
    </dataValidation>
  </dataValidations>
  <hyperlinks>
    <hyperlink ref="H2" r:id="rId1" xr:uid="{4C72ABD8-7D7B-4A0F-9D1D-69782301094F}"/>
    <hyperlink ref="K2" r:id="rId2" xr:uid="{5AFBE1CD-793C-46C7-83FA-62D3C224A6FE}"/>
    <hyperlink ref="H3" r:id="rId3" xr:uid="{48EDF214-4274-44D4-B3A1-7C229964D0C8}"/>
    <hyperlink ref="K3" r:id="rId4" xr:uid="{6638DC54-7E73-432A-A0A1-5BAC2F72D432}"/>
    <hyperlink ref="H4" r:id="rId5" xr:uid="{58230694-BD1A-4857-B53A-DB68EDFBA809}"/>
    <hyperlink ref="H5" r:id="rId6" xr:uid="{49DF4359-F06C-4E0C-A19E-C8E3F283380A}"/>
    <hyperlink ref="H6" r:id="rId7" xr:uid="{CFB0DB8D-8AED-4DD3-AA23-43594AD2D5EC}"/>
    <hyperlink ref="K6" r:id="rId8" xr:uid="{D96BE989-21ED-4629-9FAF-992C93168A32}"/>
    <hyperlink ref="H7" r:id="rId9" xr:uid="{18331323-AC46-45E1-BD34-C7D4A38800EE}"/>
    <hyperlink ref="H8" r:id="rId10" xr:uid="{358ECB99-FD92-4E75-92A9-A6E7AC75846F}"/>
    <hyperlink ref="H9" r:id="rId11" xr:uid="{4253F141-31B5-424F-917E-F73DD359D786}"/>
    <hyperlink ref="H10" r:id="rId12" xr:uid="{AECB0675-806A-4D14-B26F-79AA842BD055}"/>
    <hyperlink ref="K10" r:id="rId13" xr:uid="{EC590597-824C-4072-84F4-A76637B08386}"/>
    <hyperlink ref="H11" r:id="rId14" xr:uid="{653347BD-5EC3-4447-B483-9896A4E5B432}"/>
    <hyperlink ref="H12" r:id="rId15" xr:uid="{637C85AE-9C36-49BB-8CD0-DFB3167BBFC4}"/>
    <hyperlink ref="H13" r:id="rId16" xr:uid="{72BAD374-A80A-40B5-8C0C-FF52A5649DA3}"/>
    <hyperlink ref="K13" r:id="rId17" xr:uid="{E664390C-82B9-47A9-8C92-F2938CD90E5A}"/>
    <hyperlink ref="H14" r:id="rId18" xr:uid="{3EDFC18E-5415-461E-AAFD-B800FCF15565}"/>
    <hyperlink ref="H15" r:id="rId19" xr:uid="{26AD592B-4503-4CE1-89DD-3B676FE89EEB}"/>
    <hyperlink ref="H16" r:id="rId20" xr:uid="{86909578-C77E-43DD-B174-902E69BDD172}"/>
    <hyperlink ref="H17" r:id="rId21" xr:uid="{517C3C8A-BFB4-462E-ACCB-3D22550E07C1}"/>
    <hyperlink ref="H18" r:id="rId22" xr:uid="{4701A7BC-9BD8-4C60-A346-E5E16FDCF7F4}"/>
    <hyperlink ref="H19" r:id="rId23" xr:uid="{383656EC-806C-4FBE-A1FA-B5C8FC10DB73}"/>
    <hyperlink ref="H20" r:id="rId24" xr:uid="{9EDF2667-0388-426B-A642-B09CCC214287}"/>
    <hyperlink ref="H21" r:id="rId25" xr:uid="{E9DDE3E2-2239-492A-BB0E-3AA9C9777F48}"/>
    <hyperlink ref="H22" r:id="rId26" xr:uid="{8E739C99-60CA-4FAA-894E-4C1AD596E75A}"/>
    <hyperlink ref="H23" r:id="rId27" xr:uid="{6AB25AA8-B630-4802-928E-987CCEA9F119}"/>
    <hyperlink ref="H24" r:id="rId28" xr:uid="{15E7E5A9-A512-4547-AA70-34D625250B67}"/>
    <hyperlink ref="H25" r:id="rId29" xr:uid="{DFA12184-E25E-4D4D-B93C-1C9ADE4A4E80}"/>
    <hyperlink ref="H26" r:id="rId30" xr:uid="{67B8B0A8-E732-4B63-812B-76A9BD904563}"/>
    <hyperlink ref="H27" r:id="rId31" xr:uid="{A72CD7F4-3315-4AFF-B5D7-4550281826DC}"/>
    <hyperlink ref="H28" r:id="rId32" xr:uid="{DDD3D281-516A-4B4B-B4F8-123393897342}"/>
    <hyperlink ref="H29" r:id="rId33" xr:uid="{4AF13BF2-F9A7-43EC-BDDF-F851630F0A26}"/>
    <hyperlink ref="H30" r:id="rId34" xr:uid="{1014F79E-E847-436C-99EC-11AA72458E9B}"/>
    <hyperlink ref="H31" r:id="rId35" xr:uid="{E5708DEE-621F-4FD6-BB7E-E284DA4C1DDD}"/>
    <hyperlink ref="H32" r:id="rId36" xr:uid="{0BF1372B-641D-4D6F-945D-21951E12C3F2}"/>
    <hyperlink ref="H33" r:id="rId37" xr:uid="{A5F344E6-B34B-41B5-8696-70CA4230C59F}"/>
    <hyperlink ref="K33" r:id="rId38" xr:uid="{827BC711-5864-44A3-89A9-B850F849A51A}"/>
    <hyperlink ref="H34" r:id="rId39" xr:uid="{7546B016-177E-431F-857B-176A352C14B6}"/>
    <hyperlink ref="H35" r:id="rId40" xr:uid="{E80D4FBE-0FBC-4404-BF12-BEC33850C142}"/>
    <hyperlink ref="H36" r:id="rId41" xr:uid="{F8753BC4-439E-48FA-8E77-316C2F998C03}"/>
    <hyperlink ref="H37" r:id="rId42" xr:uid="{F3FFCF08-4F4E-430D-A121-7AD0994FCDF5}"/>
    <hyperlink ref="H38" r:id="rId43" xr:uid="{D2CE0BFF-A9BA-43B2-962C-F0597CBD5995}"/>
    <hyperlink ref="H39" r:id="rId44" xr:uid="{2A6EA19B-66E7-4A03-9256-02C57139C225}"/>
    <hyperlink ref="H40" r:id="rId45" xr:uid="{E334DCBD-5C14-4101-8CD0-42B44226DE8C}"/>
    <hyperlink ref="H41" r:id="rId46" xr:uid="{BFB89B03-89B3-4635-88B0-4618A8B61733}"/>
    <hyperlink ref="H42" r:id="rId47" xr:uid="{CA374164-314B-47BF-8AB7-58E58C475FE1}"/>
    <hyperlink ref="H43" r:id="rId48" xr:uid="{EFAE919B-5D0C-4C3E-AD01-B0C4E918DB93}"/>
    <hyperlink ref="K43" r:id="rId49" xr:uid="{05FB3230-715C-4473-B196-98E17A31B831}"/>
    <hyperlink ref="H44" r:id="rId50" xr:uid="{9B045B72-3EA6-4142-8526-9FA912CBCFE8}"/>
    <hyperlink ref="H45" r:id="rId51" xr:uid="{A0AFAB77-60E9-4D24-A702-E72D02E7AA1A}"/>
    <hyperlink ref="H46" r:id="rId52" xr:uid="{CEF69AC7-BB85-42CB-AECF-A708F7A2AC62}"/>
    <hyperlink ref="H47" r:id="rId53" xr:uid="{AC599368-B698-43D8-93EC-9035300812F8}"/>
    <hyperlink ref="H48" r:id="rId54" xr:uid="{02822B34-830A-4647-8DB8-024DF30DDBD8}"/>
    <hyperlink ref="H49" r:id="rId55" xr:uid="{081F86D7-31B6-45D8-9492-F8041A9A9AE6}"/>
    <hyperlink ref="H50" r:id="rId56" xr:uid="{5A8227A0-8321-4D91-AEC0-324F756C8C4B}"/>
    <hyperlink ref="H51" r:id="rId57" xr:uid="{27458393-B4A7-4A55-A8A4-741F8B67A915}"/>
    <hyperlink ref="H52" r:id="rId58" xr:uid="{FA30950C-13C3-4220-9FAC-E99B4DCCC111}"/>
    <hyperlink ref="H53" r:id="rId59" xr:uid="{62C695EB-7368-467C-A03D-80D9A7655E54}"/>
    <hyperlink ref="K53" r:id="rId60" xr:uid="{417339FA-03FE-46AC-855E-9E77A5373C31}"/>
    <hyperlink ref="H54" r:id="rId61" xr:uid="{7B990709-BCEF-4DEB-8D89-070BD2DD490D}"/>
    <hyperlink ref="H55" r:id="rId62" xr:uid="{DF704FF8-C6E7-4A3B-9ABE-C54B01977B71}"/>
    <hyperlink ref="H56" r:id="rId63" xr:uid="{95676792-D66F-48C8-832D-D47A7174E07A}"/>
    <hyperlink ref="H57" r:id="rId64" xr:uid="{111B3605-ADFA-46D2-987C-B2624996785B}"/>
    <hyperlink ref="H58" r:id="rId65" xr:uid="{BFD2BB4A-463B-4F0B-B1A5-2E083251C8A8}"/>
    <hyperlink ref="H59" r:id="rId66" xr:uid="{FBCD5728-B85F-49F2-B3C6-39280C315994}"/>
    <hyperlink ref="H60" r:id="rId67" xr:uid="{0AB380FB-7299-4762-ACFD-A64157EBD013}"/>
    <hyperlink ref="H61" r:id="rId68" xr:uid="{E58C1CD5-AA22-4A18-BE54-2DE9B23454AD}"/>
    <hyperlink ref="H62" r:id="rId69" xr:uid="{5D0AB5F1-4835-46BD-9484-081006D3FB8A}"/>
    <hyperlink ref="H63" r:id="rId70" xr:uid="{BFA37DCD-64CC-40BE-A536-74FC3FA01CAB}"/>
    <hyperlink ref="K63" r:id="rId71" xr:uid="{839A30C4-1642-48C1-AF0C-12090A115A60}"/>
    <hyperlink ref="H64" r:id="rId72" xr:uid="{843FFDF7-D3B0-4CB8-9520-DB8350939EF3}"/>
    <hyperlink ref="H65" r:id="rId73" xr:uid="{01190D6E-CEF3-4FED-94C1-E80BD4589A46}"/>
    <hyperlink ref="H66" r:id="rId74" xr:uid="{C636388B-330D-4390-8E40-379D6A5010D4}"/>
    <hyperlink ref="H67" r:id="rId75" xr:uid="{645C004C-1921-4D07-9226-FA2862B4EC10}"/>
    <hyperlink ref="H68" r:id="rId76" xr:uid="{6F2F990F-C432-4F78-8491-8F6472875682}"/>
    <hyperlink ref="H69" r:id="rId77" xr:uid="{80B85820-CBEE-413F-A42A-B637EE72703D}"/>
    <hyperlink ref="H70" r:id="rId78" xr:uid="{3924F728-D8D1-4677-9E3C-34167F61B61C}"/>
    <hyperlink ref="H71" r:id="rId79" xr:uid="{29B3C7F4-06F0-445A-BAC5-9D315999FB07}"/>
    <hyperlink ref="H72" r:id="rId80" xr:uid="{937170B4-E1F6-4C9C-A768-F3F2C570E197}"/>
    <hyperlink ref="K72" r:id="rId81" xr:uid="{056C5DD9-3557-4BD3-BC7A-119BBAFD3314}"/>
    <hyperlink ref="H73" r:id="rId82" xr:uid="{08705E42-30DD-4C90-8F54-E5CC0F034AFC}"/>
    <hyperlink ref="K73" r:id="rId83" xr:uid="{210D0578-0684-4B66-9B44-3D7ADB06D3B2}"/>
    <hyperlink ref="H74" r:id="rId84" xr:uid="{5B674623-ABE2-4E6C-878A-D04E0DF6393B}"/>
    <hyperlink ref="H75" r:id="rId85" xr:uid="{8062682A-497D-4B46-88FF-39209FDBB653}"/>
    <hyperlink ref="H76" r:id="rId86" xr:uid="{514D8083-46A1-4188-8196-E334DE9F70FF}"/>
    <hyperlink ref="H77" r:id="rId87" xr:uid="{3DDB1D4C-6C20-4444-B26B-D71189F4DB2E}"/>
    <hyperlink ref="H78" r:id="rId88" xr:uid="{F6377EBE-5B62-45ED-8782-4A757F21EA82}"/>
    <hyperlink ref="H79" r:id="rId89" xr:uid="{5E6030F5-AEE9-4036-8EF0-EAA58536816C}"/>
    <hyperlink ref="H80" r:id="rId90" xr:uid="{5FD4C077-0980-4032-9FF4-10DFC2B3A47C}"/>
    <hyperlink ref="H81" r:id="rId91" xr:uid="{3E4A0F4D-0C7B-4BC3-BA86-2B0F5D9B1206}"/>
    <hyperlink ref="H82" r:id="rId92" xr:uid="{BF4D72C8-C546-41BA-9903-2397DBB17303}"/>
    <hyperlink ref="H83" r:id="rId93" xr:uid="{E84D7BF2-DA1A-4F3D-83C8-E404A9974D7C}"/>
    <hyperlink ref="K83" r:id="rId94" xr:uid="{78591348-DFFD-4907-A749-E90A1AC33BAB}"/>
    <hyperlink ref="H84" r:id="rId95" xr:uid="{36564037-B51E-441C-AC8E-2D6CDBAE956E}"/>
    <hyperlink ref="H85" r:id="rId96" xr:uid="{0191F5A9-0438-4C5C-A1F9-524AE14DBDEB}"/>
    <hyperlink ref="H86" r:id="rId97" xr:uid="{B54D1D55-EC0F-4797-A40D-F0403FE56013}"/>
    <hyperlink ref="H87" r:id="rId98" xr:uid="{85F10385-00A8-4962-9C4F-7E022B8C63C7}"/>
    <hyperlink ref="H88" r:id="rId99" xr:uid="{69C6FAB6-3447-4A99-96C3-0A5DB957BF0A}"/>
    <hyperlink ref="H89" r:id="rId100" xr:uid="{B9AE894A-0600-4039-AAFC-AC47E23721DF}"/>
    <hyperlink ref="H90" r:id="rId101" xr:uid="{C32F27A5-48EE-48DE-9094-3D1EDB77B955}"/>
    <hyperlink ref="H91" r:id="rId102" xr:uid="{E64EE9F8-EF27-4B4B-852B-4074D42BDB97}"/>
    <hyperlink ref="H92" r:id="rId103" xr:uid="{4F86EA54-083C-4663-9737-3CBF47BC8648}"/>
    <hyperlink ref="H93" r:id="rId104" xr:uid="{3E436BE8-D63C-4A45-B736-9E9F3B71BFF1}"/>
    <hyperlink ref="K93" r:id="rId105" xr:uid="{024BCE76-AA47-4313-87E2-F8388F936B12}"/>
    <hyperlink ref="H94" r:id="rId106" xr:uid="{5A2B205D-743D-4E67-89B5-10CC1A3A16EC}"/>
    <hyperlink ref="H95" r:id="rId107" xr:uid="{540237EE-0447-4AC8-8FF9-0C6B96C43C88}"/>
    <hyperlink ref="H96" r:id="rId108" xr:uid="{332C5C16-E6BD-4A12-9E2B-D2CF76229BA4}"/>
    <hyperlink ref="H97" r:id="rId109" xr:uid="{9B5EE1E9-70F9-4C3A-BB8D-AB20EB4A2CE0}"/>
    <hyperlink ref="H98" r:id="rId110" xr:uid="{DF2478F8-F9E8-4EEC-B9D7-68B4DFD158BC}"/>
    <hyperlink ref="H99" r:id="rId111" xr:uid="{DD938D7C-BAEE-4841-9A64-FE1DA444A9E8}"/>
    <hyperlink ref="H100" r:id="rId112" xr:uid="{C8A6C7A5-E1FC-44AA-A52E-8FBD09297DD4}"/>
    <hyperlink ref="H101" r:id="rId113" xr:uid="{DDE5B7B8-2BA0-45FA-85FF-44CCBF3FD260}"/>
    <hyperlink ref="H102" r:id="rId114" xr:uid="{70D85EA2-AD89-4C0E-BC9F-362A57482FC8}"/>
    <hyperlink ref="H103" r:id="rId115" xr:uid="{B8D192C6-EDE3-4AC3-8122-04EED2DA1542}"/>
    <hyperlink ref="K103" r:id="rId116" xr:uid="{78C7F41F-2DFC-44CB-A1BC-37B4353AE319}"/>
    <hyperlink ref="H104" r:id="rId117" xr:uid="{F952FA8E-8897-470A-B849-60438B783BA7}"/>
    <hyperlink ref="H105" r:id="rId118" xr:uid="{11A2BBCB-F3B6-4568-8199-86F970EE945C}"/>
    <hyperlink ref="H106" r:id="rId119" xr:uid="{B77EA47A-68A6-4F42-B7B4-544F146E60C4}"/>
    <hyperlink ref="H107" r:id="rId120" xr:uid="{18FA9E6D-1A81-486C-942A-A68CAD651E41}"/>
    <hyperlink ref="H108" r:id="rId121" xr:uid="{6081BC6C-7D0F-4691-A5EB-3EDCC6069D35}"/>
    <hyperlink ref="H109" r:id="rId122" xr:uid="{27EC9A69-7FB0-49C9-9CD4-5B1FFE44FE78}"/>
    <hyperlink ref="H110" r:id="rId123" xr:uid="{9219D074-6AC3-4953-A8E0-1FEB6541C993}"/>
    <hyperlink ref="H111" r:id="rId124" xr:uid="{1B488FD5-CCB9-4FD1-B918-9D2A71AC6B82}"/>
    <hyperlink ref="H112" r:id="rId125" xr:uid="{6961B0AF-108D-4E5B-A56E-D077E4E4AFF7}"/>
    <hyperlink ref="H113" r:id="rId126" xr:uid="{D858A621-524C-4181-8782-005869CA3CE7}"/>
    <hyperlink ref="K113" r:id="rId127" xr:uid="{A2B9392A-BA0B-41C4-968A-932BB771F35F}"/>
    <hyperlink ref="H114" r:id="rId128" xr:uid="{9F70F380-4C14-42B2-B835-1A1D5DAA2E55}"/>
    <hyperlink ref="H115" r:id="rId129" xr:uid="{E8A36F5D-3B74-4CE4-834D-8B458F657F07}"/>
    <hyperlink ref="H116" r:id="rId130" xr:uid="{DFD36BF5-E0A9-43A2-AC2C-BE4A4AD7F0A9}"/>
    <hyperlink ref="H117" r:id="rId131" xr:uid="{76DD485F-5EF9-4120-88A5-1761E6CB82E2}"/>
    <hyperlink ref="H118" r:id="rId132" xr:uid="{1D3D84BA-F22F-4A50-9119-93C947DC42F4}"/>
    <hyperlink ref="H119" r:id="rId133" xr:uid="{0945631E-35B4-486A-A5E0-8EFD1563D048}"/>
    <hyperlink ref="H120" r:id="rId134" xr:uid="{6D1C6FF7-61AD-4047-8559-0AD9DED867A2}"/>
    <hyperlink ref="H121" r:id="rId135" xr:uid="{66922465-1DB2-43D6-892C-C4A728BF2CDC}"/>
    <hyperlink ref="H122" r:id="rId136" xr:uid="{55579295-170B-4D02-BAA2-363A359ED939}"/>
    <hyperlink ref="H123" r:id="rId137" xr:uid="{01998F2E-959B-400A-B13C-2ED61F803F1F}"/>
    <hyperlink ref="K123" r:id="rId138" xr:uid="{981B2B26-3D11-4438-B383-CFD004697831}"/>
    <hyperlink ref="H124" r:id="rId139" xr:uid="{A9A03F78-EC64-4E65-91BB-C0F062FB0187}"/>
    <hyperlink ref="K124" r:id="rId140" xr:uid="{8BE8A6A4-B9B2-4A2E-A38A-4C8DCCA283E3}"/>
    <hyperlink ref="H125" r:id="rId141" xr:uid="{49D253F4-7D89-4038-AD35-3D93C46C5782}"/>
    <hyperlink ref="H126" r:id="rId142" xr:uid="{8BA352E9-B92B-4C9B-86D3-1E3723C80327}"/>
    <hyperlink ref="H127" r:id="rId143" xr:uid="{59005F71-8F8B-4181-9A43-24EC37785ED1}"/>
    <hyperlink ref="H128" r:id="rId144" xr:uid="{29B3EB51-3CFE-4E5F-94E0-08C5AA4B0535}"/>
    <hyperlink ref="H129" r:id="rId145" xr:uid="{5BA4F8C3-94F3-4A72-AD24-4E13509D410E}"/>
    <hyperlink ref="H130" r:id="rId146" xr:uid="{5438965C-009C-4F9A-9E0A-6E7A5331C932}"/>
    <hyperlink ref="H131" r:id="rId147" xr:uid="{0AA488BA-5753-4C37-9F1D-889364636776}"/>
    <hyperlink ref="H132" r:id="rId148" xr:uid="{121CB71F-99DF-4E4A-8F84-E19A110C6188}"/>
    <hyperlink ref="H133" r:id="rId149" xr:uid="{5E1AA2EF-8CAA-4CCE-A919-BD5FED607C04}"/>
    <hyperlink ref="H134" r:id="rId150" xr:uid="{F3C2DB2E-3D95-4C01-BDD1-45CBAB477840}"/>
    <hyperlink ref="H135" r:id="rId151" xr:uid="{201B57AA-3314-4DBF-AE4B-B369BAD4A70C}"/>
    <hyperlink ref="H136" r:id="rId152" xr:uid="{341AFF78-4A7D-4C7D-95BF-BACFECD5D7BA}"/>
    <hyperlink ref="H137" r:id="rId153" xr:uid="{879F0A83-C53C-4965-9C88-5DAB8287D30A}"/>
    <hyperlink ref="H138" r:id="rId154" xr:uid="{4AEDE4D6-6E5F-4D45-AFAC-01052795D9AA}"/>
    <hyperlink ref="H139" r:id="rId155" xr:uid="{448F7A6A-B7BB-4200-9171-FA20E45B9842}"/>
    <hyperlink ref="H140" r:id="rId156" xr:uid="{1F3B3BB9-6D10-40CC-AF73-6B4A6BA5ED94}"/>
    <hyperlink ref="H141" r:id="rId157" xr:uid="{C5A15D16-08ED-4FBE-A4C3-8400595C41E5}"/>
    <hyperlink ref="H142" r:id="rId158" xr:uid="{A25D8DD3-C54D-4F04-A43F-DDF965382F8A}"/>
    <hyperlink ref="H143" r:id="rId159" xr:uid="{837264A8-1AAF-4916-BBDC-BCD940928BFA}"/>
    <hyperlink ref="H144" r:id="rId160" xr:uid="{CEAA617A-8B5E-44EF-A1F6-989EF447958F}"/>
    <hyperlink ref="H145" r:id="rId161" xr:uid="{6C045E29-0131-42AF-A9CA-967E588C91FB}"/>
    <hyperlink ref="H146" r:id="rId162" xr:uid="{7DBE2060-23C7-4758-B22A-AC9F80CD3820}"/>
    <hyperlink ref="H147" r:id="rId163" xr:uid="{4AFE6DC6-8855-4B45-B59F-7BFF606816DA}"/>
    <hyperlink ref="H148" r:id="rId164" xr:uid="{5BFE3645-9B96-41AC-BAF3-2EACC881C94F}"/>
    <hyperlink ref="H149" r:id="rId165" xr:uid="{EB3FB0C8-7A1A-4E35-AAE2-FCE398D3C66E}"/>
    <hyperlink ref="H150" r:id="rId166" xr:uid="{BBD44C2C-E244-4507-837E-6A26ACC37833}"/>
    <hyperlink ref="H151" r:id="rId167" xr:uid="{DFC4AC2C-46F5-4F4A-8382-DB8A1DA23706}"/>
    <hyperlink ref="H152" r:id="rId168" xr:uid="{7F2606C6-8814-429A-AF8C-1FE408982413}"/>
    <hyperlink ref="H153" r:id="rId169" xr:uid="{9F5C7140-D2C4-4C73-8798-9E88AFE5D82B}"/>
    <hyperlink ref="H154" r:id="rId170" xr:uid="{CD275A94-8281-4367-B982-022D51AEF902}"/>
    <hyperlink ref="H155" r:id="rId171" xr:uid="{9CCC876C-1C1E-4E1F-850B-990BF9E50FC0}"/>
    <hyperlink ref="H156" r:id="rId172" xr:uid="{B383FB6C-E0CF-4122-B1F6-27B1D9035091}"/>
    <hyperlink ref="H157" r:id="rId173" xr:uid="{B83DC32D-6903-4A40-BE81-B59BCAF7DCE9}"/>
    <hyperlink ref="H158" r:id="rId174" xr:uid="{66AEF67C-801F-4E18-9B29-445CE6AB9820}"/>
    <hyperlink ref="H159" r:id="rId175" xr:uid="{1C983565-B07A-4604-AE40-6C1846ABCC60}"/>
    <hyperlink ref="H160" r:id="rId176" xr:uid="{F7064F32-27E9-4E62-9723-732C01CC55C7}"/>
    <hyperlink ref="H161" r:id="rId177" xr:uid="{4462D6A2-842D-4ABD-AFB0-567A2C77B42F}"/>
    <hyperlink ref="H162" r:id="rId178" xr:uid="{3A3B8BFF-F28F-445E-BAD3-8B6989CD1F17}"/>
    <hyperlink ref="H163" r:id="rId179" xr:uid="{15DC75DE-2CA9-4809-A4D9-1C6DEFE583A4}"/>
    <hyperlink ref="H164" r:id="rId180" xr:uid="{E63B1C4D-0BD9-4A9E-A776-B1955CCA0B0D}"/>
    <hyperlink ref="H165" r:id="rId181" xr:uid="{99691AF3-AC92-4D89-B768-987AE2379EB1}"/>
    <hyperlink ref="H166" r:id="rId182" xr:uid="{23A515D1-B484-44AC-95C8-C29C0C890F17}"/>
    <hyperlink ref="H167" r:id="rId183" xr:uid="{E9EB0E05-DED0-4964-839A-AF77FB152E5B}"/>
    <hyperlink ref="H168" r:id="rId184" xr:uid="{69EF754D-74A4-402F-B8EA-821D585F88CA}"/>
    <hyperlink ref="H169" r:id="rId185" xr:uid="{A61D38CC-2686-4D99-A901-4AAD5A462640}"/>
    <hyperlink ref="H170" r:id="rId186" xr:uid="{B5C84221-EC72-4EBA-8DC7-178B5B5F8EE0}"/>
    <hyperlink ref="H171" r:id="rId187" xr:uid="{69CBA77A-A345-4148-A32C-78A460C698C3}"/>
    <hyperlink ref="H172" r:id="rId188" xr:uid="{657F828E-47D2-424F-8952-8D29FAAFB6BE}"/>
    <hyperlink ref="H173" r:id="rId189" xr:uid="{41A3C47C-EB21-45FE-AB2D-8366E1CCC54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C1806-1982-43F4-B92D-8F0BAB220DF6}">
  <dimension ref="A1:K997"/>
  <sheetViews>
    <sheetView workbookViewId="0">
      <selection activeCell="B2" sqref="B2"/>
    </sheetView>
  </sheetViews>
  <sheetFormatPr defaultColWidth="12.6640625" defaultRowHeight="13.2"/>
  <cols>
    <col min="1" max="1" width="10.77734375" style="88" customWidth="1"/>
    <col min="2" max="2" width="33.109375" style="88" customWidth="1"/>
    <col min="3" max="3" width="37.6640625" style="88" customWidth="1"/>
    <col min="4" max="4" width="38.21875" style="88" customWidth="1"/>
    <col min="5" max="10" width="12.6640625" style="88"/>
    <col min="11" max="11" width="37.88671875" style="88" customWidth="1"/>
    <col min="12" max="16384" width="12.6640625" style="88"/>
  </cols>
  <sheetData>
    <row r="1" spans="1:11" ht="26.4">
      <c r="A1" s="71" t="s">
        <v>1070</v>
      </c>
      <c r="B1" s="71" t="s">
        <v>1</v>
      </c>
      <c r="C1" s="71" t="s">
        <v>2917</v>
      </c>
      <c r="D1" s="71" t="s">
        <v>2918</v>
      </c>
      <c r="E1" s="3" t="s">
        <v>2919</v>
      </c>
      <c r="F1" s="71" t="s">
        <v>2920</v>
      </c>
      <c r="G1" s="71" t="s">
        <v>2921</v>
      </c>
      <c r="H1" s="71" t="s">
        <v>2922</v>
      </c>
      <c r="I1" s="3" t="s">
        <v>10</v>
      </c>
      <c r="J1" s="3" t="s">
        <v>11</v>
      </c>
      <c r="K1" s="71" t="s">
        <v>1076</v>
      </c>
    </row>
    <row r="2" spans="1:11" ht="92.4">
      <c r="A2" s="73">
        <v>1</v>
      </c>
      <c r="B2" s="85" t="str">
        <f>VLOOKUP(A2,[1]vaccines!A:B,2)</f>
        <v>BCG_Microgen</v>
      </c>
      <c r="C2" s="72" t="s">
        <v>2923</v>
      </c>
      <c r="D2" s="72" t="s">
        <v>2924</v>
      </c>
      <c r="E2" s="59">
        <v>45461</v>
      </c>
      <c r="F2" s="85"/>
      <c r="G2" s="85"/>
      <c r="H2" s="86" t="s">
        <v>1079</v>
      </c>
      <c r="I2" s="59">
        <v>45156</v>
      </c>
      <c r="J2" s="66">
        <v>45517</v>
      </c>
      <c r="K2" s="87" t="s">
        <v>2554</v>
      </c>
    </row>
    <row r="3" spans="1:11" ht="92.4">
      <c r="A3" s="73">
        <v>2</v>
      </c>
      <c r="B3" s="85" t="str">
        <f>VLOOKUP(A3,[1]vaccines!A:B,2)</f>
        <v>BCG_M_Microgen</v>
      </c>
      <c r="C3" s="72" t="s">
        <v>2925</v>
      </c>
      <c r="D3" s="72" t="s">
        <v>2926</v>
      </c>
      <c r="E3" s="59">
        <v>45461</v>
      </c>
      <c r="F3" s="85"/>
      <c r="G3" s="85"/>
      <c r="H3" s="86" t="s">
        <v>1082</v>
      </c>
      <c r="I3" s="59">
        <v>45107</v>
      </c>
      <c r="J3" s="66">
        <v>45517</v>
      </c>
    </row>
    <row r="4" spans="1:11" ht="39.6">
      <c r="A4" s="73">
        <v>3</v>
      </c>
      <c r="B4" s="85" t="str">
        <f>VLOOKUP(A4,[1]vaccines!A:B,2)</f>
        <v>BCG_Gamaleya</v>
      </c>
      <c r="C4" s="72" t="s">
        <v>2927</v>
      </c>
      <c r="D4" s="72" t="s">
        <v>2928</v>
      </c>
      <c r="E4" s="59">
        <v>45769</v>
      </c>
      <c r="F4" s="73">
        <v>1</v>
      </c>
      <c r="G4" s="73">
        <v>0</v>
      </c>
      <c r="H4" s="86" t="s">
        <v>1085</v>
      </c>
      <c r="I4" s="59">
        <v>45108</v>
      </c>
      <c r="J4" s="66">
        <v>45801</v>
      </c>
      <c r="K4" s="87" t="s">
        <v>2557</v>
      </c>
    </row>
    <row r="5" spans="1:11" ht="39.6">
      <c r="A5" s="73">
        <v>4</v>
      </c>
      <c r="B5" s="85" t="str">
        <f>VLOOKUP(A5,[1]vaccines!A:B,2)</f>
        <v>BCG_M_Gamaleya</v>
      </c>
      <c r="C5" s="72" t="s">
        <v>2927</v>
      </c>
      <c r="D5" s="72" t="s">
        <v>2928</v>
      </c>
      <c r="E5" s="59">
        <v>45771</v>
      </c>
      <c r="F5" s="73">
        <v>1</v>
      </c>
      <c r="G5" s="73">
        <v>0</v>
      </c>
      <c r="H5" s="86" t="s">
        <v>1088</v>
      </c>
      <c r="I5" s="59">
        <f>I4</f>
        <v>45108</v>
      </c>
      <c r="J5" s="66">
        <v>45818</v>
      </c>
    </row>
    <row r="6" spans="1:11" ht="79.2">
      <c r="A6" s="73">
        <v>5</v>
      </c>
      <c r="B6" s="85" t="str">
        <f>VLOOKUP(A6,[1]vaccines!A:B,2)</f>
        <v>Infanrix</v>
      </c>
      <c r="C6" s="72" t="s">
        <v>2929</v>
      </c>
      <c r="D6" s="72" t="s">
        <v>2930</v>
      </c>
      <c r="E6" s="59">
        <v>44211</v>
      </c>
      <c r="F6" s="85"/>
      <c r="G6" s="85"/>
      <c r="H6" s="86" t="s">
        <v>1091</v>
      </c>
      <c r="I6" s="59">
        <v>45105</v>
      </c>
      <c r="J6" s="66">
        <v>45481</v>
      </c>
      <c r="K6" s="87" t="s">
        <v>2554</v>
      </c>
    </row>
    <row r="7" spans="1:11" ht="26.4">
      <c r="A7" s="73">
        <v>6</v>
      </c>
      <c r="B7" s="85" t="str">
        <f>VLOOKUP(A7,[1]vaccines!A:B,2)</f>
        <v>AKDS_Microgen</v>
      </c>
      <c r="C7" s="72" t="s">
        <v>2931</v>
      </c>
      <c r="D7" s="72" t="s">
        <v>2932</v>
      </c>
      <c r="E7" s="66">
        <v>45415</v>
      </c>
      <c r="F7" s="85"/>
      <c r="G7" s="85"/>
      <c r="H7" s="86" t="s">
        <v>1094</v>
      </c>
      <c r="I7" s="43">
        <v>45461</v>
      </c>
      <c r="J7" s="43"/>
    </row>
    <row r="8" spans="1:11" ht="105.6">
      <c r="A8" s="73">
        <v>7</v>
      </c>
      <c r="B8" s="85" t="str">
        <f>VLOOKUP(A8,[1]vaccines!A:B,2)</f>
        <v>AKDS_Biomed</v>
      </c>
      <c r="C8" s="72" t="s">
        <v>2933</v>
      </c>
      <c r="D8" s="72" t="s">
        <v>2934</v>
      </c>
      <c r="E8" s="43">
        <v>41388</v>
      </c>
      <c r="F8" s="74">
        <v>1</v>
      </c>
      <c r="G8" s="74">
        <v>0</v>
      </c>
      <c r="H8" s="89" t="s">
        <v>1097</v>
      </c>
      <c r="I8" s="43">
        <v>45115</v>
      </c>
      <c r="J8" s="43"/>
    </row>
    <row r="9" spans="1:11" ht="39.6">
      <c r="A9" s="73">
        <v>8</v>
      </c>
      <c r="B9" s="85" t="str">
        <f>VLOOKUP(A9,[1]vaccines!A:B,2)</f>
        <v>Bubo_kok</v>
      </c>
      <c r="C9" s="62" t="s">
        <v>2935</v>
      </c>
      <c r="D9" s="72" t="s">
        <v>2936</v>
      </c>
      <c r="E9" s="43">
        <v>40395</v>
      </c>
      <c r="F9" s="74">
        <v>1</v>
      </c>
      <c r="G9" s="74">
        <v>0</v>
      </c>
      <c r="H9" s="89" t="s">
        <v>1100</v>
      </c>
      <c r="I9" s="43">
        <v>45115</v>
      </c>
      <c r="J9" s="43"/>
    </row>
    <row r="10" spans="1:11" ht="26.4">
      <c r="A10" s="73">
        <v>9</v>
      </c>
      <c r="B10" s="85" t="str">
        <f>VLOOKUP(A10,[1]vaccines!A:B,2)</f>
        <v>Pentaxim</v>
      </c>
      <c r="C10" s="72" t="s">
        <v>2937</v>
      </c>
      <c r="D10" s="72" t="s">
        <v>2938</v>
      </c>
      <c r="E10" s="59">
        <v>45980</v>
      </c>
      <c r="F10" s="73">
        <v>1</v>
      </c>
      <c r="G10" s="73">
        <v>0</v>
      </c>
      <c r="H10" s="86" t="s">
        <v>1104</v>
      </c>
      <c r="I10" s="59">
        <f t="shared" ref="I10:I11" si="0">I9</f>
        <v>45115</v>
      </c>
      <c r="J10" s="66">
        <v>46204</v>
      </c>
    </row>
    <row r="11" spans="1:11" ht="79.2">
      <c r="A11" s="73">
        <v>10</v>
      </c>
      <c r="B11" s="85" t="str">
        <f>VLOOKUP(A11,[1]vaccines!A:B,2)</f>
        <v>Infanrix_Hexa</v>
      </c>
      <c r="C11" s="72" t="s">
        <v>2939</v>
      </c>
      <c r="D11" s="72" t="s">
        <v>2940</v>
      </c>
      <c r="E11" s="59">
        <v>45953</v>
      </c>
      <c r="F11" s="73">
        <v>1</v>
      </c>
      <c r="G11" s="73">
        <v>0</v>
      </c>
      <c r="H11" s="86" t="s">
        <v>1108</v>
      </c>
      <c r="I11" s="59">
        <f t="shared" si="0"/>
        <v>45115</v>
      </c>
      <c r="J11" s="66">
        <v>46000</v>
      </c>
    </row>
    <row r="12" spans="1:11" ht="211.2">
      <c r="A12" s="73">
        <v>11</v>
      </c>
      <c r="B12" s="85" t="str">
        <f>VLOOKUP(A12,[1]vaccines!A:B,2)</f>
        <v>Bubo_M</v>
      </c>
      <c r="C12" s="72" t="s">
        <v>2941</v>
      </c>
      <c r="D12" s="72" t="s">
        <v>2942</v>
      </c>
      <c r="E12" s="59">
        <v>46136</v>
      </c>
      <c r="F12" s="73">
        <v>1</v>
      </c>
      <c r="G12" s="73">
        <v>0</v>
      </c>
      <c r="H12" s="86" t="s">
        <v>1111</v>
      </c>
      <c r="I12" s="59">
        <v>45116</v>
      </c>
      <c r="J12" s="66">
        <v>46188</v>
      </c>
    </row>
    <row r="13" spans="1:11" ht="277.2">
      <c r="A13" s="73">
        <v>12</v>
      </c>
      <c r="B13" s="85" t="str">
        <f>VLOOKUP(A13,[1]vaccines!A:B,2)</f>
        <v>AD_M_Microgen</v>
      </c>
      <c r="C13" s="72" t="s">
        <v>2943</v>
      </c>
      <c r="D13" s="72" t="s">
        <v>2944</v>
      </c>
      <c r="E13" s="59">
        <v>45482</v>
      </c>
      <c r="F13" s="85"/>
      <c r="G13" s="85"/>
      <c r="H13" s="86" t="s">
        <v>1114</v>
      </c>
      <c r="I13" s="59">
        <f t="shared" ref="I13:I15" si="1">I12</f>
        <v>45116</v>
      </c>
      <c r="J13" s="66">
        <v>45518</v>
      </c>
    </row>
    <row r="14" spans="1:11" ht="198">
      <c r="A14" s="73">
        <v>13</v>
      </c>
      <c r="B14" s="85" t="str">
        <f>VLOOKUP(A14,[1]vaccines!A:B,2)</f>
        <v>ADS_Microgen</v>
      </c>
      <c r="C14" s="72" t="s">
        <v>2945</v>
      </c>
      <c r="D14" s="72" t="s">
        <v>2946</v>
      </c>
      <c r="E14" s="59">
        <v>45488</v>
      </c>
      <c r="F14" s="85"/>
      <c r="G14" s="85"/>
      <c r="H14" s="86" t="s">
        <v>1117</v>
      </c>
      <c r="I14" s="59">
        <f t="shared" si="1"/>
        <v>45116</v>
      </c>
      <c r="J14" s="66">
        <v>45518</v>
      </c>
      <c r="K14" s="87" t="s">
        <v>2557</v>
      </c>
    </row>
    <row r="15" spans="1:11" ht="264">
      <c r="A15" s="73">
        <v>14</v>
      </c>
      <c r="B15" s="85" t="str">
        <f>VLOOKUP(A15,[1]vaccines!A:B,2)</f>
        <v>ADS_M_Microgen</v>
      </c>
      <c r="C15" s="72" t="s">
        <v>2947</v>
      </c>
      <c r="D15" s="72" t="s">
        <v>2948</v>
      </c>
      <c r="E15" s="59">
        <v>45623</v>
      </c>
      <c r="F15" s="73">
        <v>1</v>
      </c>
      <c r="G15" s="73">
        <v>0</v>
      </c>
      <c r="H15" s="86" t="s">
        <v>1121</v>
      </c>
      <c r="I15" s="59">
        <f t="shared" si="1"/>
        <v>45116</v>
      </c>
      <c r="J15" s="66">
        <v>45861</v>
      </c>
    </row>
    <row r="16" spans="1:11" ht="105.6">
      <c r="A16" s="73">
        <v>15</v>
      </c>
      <c r="B16" s="85" t="str">
        <f>VLOOKUP(A16,[1]vaccines!A:B,2)</f>
        <v>ADS_M_Biomed</v>
      </c>
      <c r="C16" s="72" t="s">
        <v>2949</v>
      </c>
      <c r="D16" s="72" t="s">
        <v>2950</v>
      </c>
      <c r="E16" s="43">
        <v>41046</v>
      </c>
      <c r="F16" s="74">
        <v>1</v>
      </c>
      <c r="G16" s="74">
        <v>0</v>
      </c>
      <c r="H16" s="89" t="s">
        <v>1124</v>
      </c>
      <c r="I16" s="43">
        <v>45116</v>
      </c>
      <c r="J16" s="43"/>
    </row>
    <row r="17" spans="1:11" ht="409.6">
      <c r="A17" s="73">
        <v>16</v>
      </c>
      <c r="B17" s="85" t="str">
        <f>VLOOKUP(A17,[1]vaccines!A:B,2)</f>
        <v>Adacel</v>
      </c>
      <c r="C17" s="72" t="s">
        <v>2951</v>
      </c>
      <c r="D17" s="72" t="s">
        <v>2952</v>
      </c>
      <c r="E17" s="59">
        <v>45456</v>
      </c>
      <c r="F17" s="85"/>
      <c r="G17" s="85"/>
      <c r="H17" s="86" t="s">
        <v>1127</v>
      </c>
      <c r="I17" s="59">
        <v>45117</v>
      </c>
      <c r="J17" s="66">
        <v>45589</v>
      </c>
    </row>
    <row r="18" spans="1:11" ht="145.19999999999999">
      <c r="A18" s="73">
        <v>17</v>
      </c>
      <c r="B18" s="85" t="str">
        <f>VLOOKUP(A18,[1]vaccines!A:B,2)</f>
        <v>Algavac_M</v>
      </c>
      <c r="C18" s="72" t="s">
        <v>2953</v>
      </c>
      <c r="D18" s="72" t="s">
        <v>2954</v>
      </c>
      <c r="E18" s="43">
        <v>43369</v>
      </c>
      <c r="F18" s="74">
        <v>1</v>
      </c>
      <c r="G18" s="74">
        <v>0</v>
      </c>
      <c r="H18" s="89" t="s">
        <v>1130</v>
      </c>
      <c r="I18" s="43">
        <v>45117</v>
      </c>
      <c r="J18" s="43"/>
    </row>
    <row r="19" spans="1:11" ht="211.2">
      <c r="A19" s="73">
        <v>18</v>
      </c>
      <c r="B19" s="85" t="str">
        <f>VLOOKUP(A19,[1]vaccines!A:B,2)</f>
        <v>Algavac</v>
      </c>
      <c r="C19" s="72" t="s">
        <v>2955</v>
      </c>
      <c r="D19" s="72" t="s">
        <v>2956</v>
      </c>
      <c r="E19" s="59">
        <v>46111</v>
      </c>
      <c r="F19" s="73">
        <v>1</v>
      </c>
      <c r="G19" s="73">
        <v>0</v>
      </c>
      <c r="H19" s="86" t="s">
        <v>1133</v>
      </c>
      <c r="I19" s="59">
        <f>I18</f>
        <v>45117</v>
      </c>
      <c r="J19" s="66">
        <v>46188</v>
      </c>
    </row>
    <row r="20" spans="1:11" ht="343.2">
      <c r="A20" s="73">
        <v>19</v>
      </c>
      <c r="B20" s="85" t="str">
        <f>VLOOKUP(A20,[1]vaccines!A:B,2)</f>
        <v>Havrix_720</v>
      </c>
      <c r="C20" s="72" t="s">
        <v>2957</v>
      </c>
      <c r="D20" s="72" t="s">
        <v>2958</v>
      </c>
      <c r="E20" s="59">
        <v>45490</v>
      </c>
      <c r="F20" s="85"/>
      <c r="G20" s="85"/>
      <c r="H20" s="86" t="s">
        <v>1136</v>
      </c>
      <c r="I20" s="43">
        <v>45119</v>
      </c>
      <c r="J20" s="66">
        <v>45558</v>
      </c>
    </row>
    <row r="21" spans="1:11" ht="343.2">
      <c r="A21" s="73">
        <v>20</v>
      </c>
      <c r="B21" s="85" t="str">
        <f>VLOOKUP(A21,[1]vaccines!A:B,2)</f>
        <v>Havrix_1440</v>
      </c>
      <c r="C21" s="72" t="s">
        <v>2957</v>
      </c>
      <c r="D21" s="72" t="s">
        <v>2958</v>
      </c>
      <c r="E21" s="59">
        <v>45490</v>
      </c>
      <c r="F21" s="73"/>
      <c r="G21" s="73"/>
      <c r="H21" s="86" t="s">
        <v>1136</v>
      </c>
      <c r="I21" s="43">
        <v>45119</v>
      </c>
      <c r="J21" s="66">
        <v>45558</v>
      </c>
    </row>
    <row r="22" spans="1:11" ht="250.8">
      <c r="A22" s="73">
        <v>21</v>
      </c>
      <c r="B22" s="85" t="str">
        <f>VLOOKUP(A22,[1]vaccines!A:B,2)</f>
        <v>Avaxim_80</v>
      </c>
      <c r="C22" s="72" t="s">
        <v>2959</v>
      </c>
      <c r="D22" s="72" t="s">
        <v>2960</v>
      </c>
      <c r="E22" s="43">
        <v>43500</v>
      </c>
      <c r="F22" s="74">
        <v>3</v>
      </c>
      <c r="G22" s="74">
        <v>2</v>
      </c>
      <c r="H22" s="89" t="s">
        <v>1141</v>
      </c>
      <c r="I22" s="43">
        <v>45119</v>
      </c>
      <c r="J22" s="43"/>
    </row>
    <row r="23" spans="1:11" ht="171.6">
      <c r="A23" s="73">
        <v>22</v>
      </c>
      <c r="B23" s="85" t="str">
        <f>VLOOKUP(A23,[1]vaccines!A:B,2)</f>
        <v>Avaxim_160</v>
      </c>
      <c r="C23" s="72" t="s">
        <v>2961</v>
      </c>
      <c r="D23" s="72" t="s">
        <v>2962</v>
      </c>
      <c r="E23" s="43">
        <v>42131</v>
      </c>
      <c r="F23" s="74">
        <v>1</v>
      </c>
      <c r="G23" s="74">
        <v>0</v>
      </c>
      <c r="H23" s="89" t="s">
        <v>1144</v>
      </c>
      <c r="I23" s="43">
        <v>45119</v>
      </c>
      <c r="J23" s="43"/>
    </row>
    <row r="24" spans="1:11" ht="211.2">
      <c r="A24" s="73">
        <v>23</v>
      </c>
      <c r="B24" s="85" t="str">
        <f>VLOOKUP(A24,[1]vaccines!A:B,2)</f>
        <v>Regevac_0_5</v>
      </c>
      <c r="C24" s="72" t="s">
        <v>2963</v>
      </c>
      <c r="D24" s="72" t="s">
        <v>2964</v>
      </c>
      <c r="E24" s="59">
        <v>45216</v>
      </c>
      <c r="F24" s="73">
        <v>1</v>
      </c>
      <c r="G24" s="73">
        <v>0</v>
      </c>
      <c r="H24" s="86" t="s">
        <v>1147</v>
      </c>
      <c r="I24" s="59">
        <f t="shared" ref="I24:I25" si="2">I23</f>
        <v>45119</v>
      </c>
      <c r="J24" s="66">
        <v>45988</v>
      </c>
      <c r="K24" s="87" t="s">
        <v>2557</v>
      </c>
    </row>
    <row r="25" spans="1:11" ht="356.4">
      <c r="A25" s="73">
        <v>24</v>
      </c>
      <c r="B25" s="85" t="str">
        <f>VLOOKUP(A25,[1]vaccines!A:B,2)</f>
        <v>HepB_Combiotech_0_5</v>
      </c>
      <c r="C25" s="72" t="s">
        <v>2965</v>
      </c>
      <c r="D25" s="72" t="s">
        <v>2966</v>
      </c>
      <c r="E25" s="59">
        <v>46056</v>
      </c>
      <c r="F25" s="73">
        <v>1</v>
      </c>
      <c r="G25" s="73">
        <v>0</v>
      </c>
      <c r="H25" s="86" t="s">
        <v>1150</v>
      </c>
      <c r="I25" s="59">
        <f t="shared" si="2"/>
        <v>45119</v>
      </c>
      <c r="J25" s="66">
        <v>46130</v>
      </c>
    </row>
    <row r="26" spans="1:11" ht="250.8">
      <c r="A26" s="73">
        <v>25</v>
      </c>
      <c r="B26" s="85" t="str">
        <f>VLOOKUP(A26,[1]vaccines!A:B,2)</f>
        <v>Euvax_B_0_5</v>
      </c>
      <c r="C26" s="72" t="s">
        <v>2967</v>
      </c>
      <c r="D26" s="72" t="s">
        <v>2968</v>
      </c>
      <c r="E26" s="43">
        <v>41841</v>
      </c>
      <c r="F26" s="74">
        <v>1</v>
      </c>
      <c r="G26" s="74">
        <v>0</v>
      </c>
      <c r="H26" s="89" t="s">
        <v>1626</v>
      </c>
      <c r="I26" s="43">
        <v>45120</v>
      </c>
      <c r="J26" s="43"/>
    </row>
    <row r="27" spans="1:11" ht="250.8">
      <c r="A27" s="73">
        <v>26</v>
      </c>
      <c r="B27" s="85" t="str">
        <f>VLOOKUP(A27,[1]vaccines!A:B,2)</f>
        <v>Euvax_B_1_0</v>
      </c>
      <c r="C27" s="72" t="s">
        <v>2967</v>
      </c>
      <c r="D27" s="72" t="s">
        <v>2968</v>
      </c>
      <c r="E27" s="43">
        <v>41841</v>
      </c>
      <c r="F27" s="74">
        <v>1</v>
      </c>
      <c r="G27" s="74">
        <v>0</v>
      </c>
      <c r="H27" s="89" t="s">
        <v>1626</v>
      </c>
      <c r="I27" s="43">
        <v>45120</v>
      </c>
      <c r="J27" s="43"/>
    </row>
    <row r="28" spans="1:11" ht="409.6">
      <c r="A28" s="73">
        <v>27</v>
      </c>
      <c r="B28" s="85" t="str">
        <f>VLOOKUP(A28,[1]vaccines!A:B,2)</f>
        <v>Cervarix</v>
      </c>
      <c r="C28" s="72" t="s">
        <v>2969</v>
      </c>
      <c r="D28" s="72" t="s">
        <v>2970</v>
      </c>
      <c r="E28" s="59">
        <v>45513</v>
      </c>
      <c r="F28" s="85"/>
      <c r="G28" s="85"/>
      <c r="H28" s="86" t="s">
        <v>1158</v>
      </c>
      <c r="I28" s="59">
        <f>I27</f>
        <v>45120</v>
      </c>
      <c r="J28" s="66">
        <v>45589</v>
      </c>
    </row>
    <row r="29" spans="1:11" ht="409.6">
      <c r="A29" s="73">
        <v>28</v>
      </c>
      <c r="B29" s="85" t="str">
        <f>VLOOKUP(A29,[1]vaccines!A:B,2)</f>
        <v>Gardasil_4</v>
      </c>
      <c r="C29" s="72" t="s">
        <v>2971</v>
      </c>
      <c r="D29" s="72" t="s">
        <v>2972</v>
      </c>
      <c r="E29" s="59">
        <v>45386</v>
      </c>
      <c r="F29" s="85"/>
      <c r="G29" s="85"/>
      <c r="H29" s="86" t="s">
        <v>1161</v>
      </c>
      <c r="I29" s="43">
        <v>45120</v>
      </c>
      <c r="J29" s="43">
        <v>45483</v>
      </c>
    </row>
    <row r="30" spans="1:11" ht="409.6">
      <c r="A30" s="73">
        <v>29</v>
      </c>
      <c r="B30" s="85" t="str">
        <f>VLOOKUP(A30,[1]vaccines!A:B,2)</f>
        <v>Sputnik</v>
      </c>
      <c r="C30" s="72" t="s">
        <v>2973</v>
      </c>
      <c r="D30" s="72" t="s">
        <v>2974</v>
      </c>
      <c r="E30" s="59">
        <v>45839</v>
      </c>
      <c r="F30" s="73">
        <v>1</v>
      </c>
      <c r="G30" s="73">
        <v>0</v>
      </c>
      <c r="H30" s="86" t="s">
        <v>1164</v>
      </c>
      <c r="I30" s="59">
        <v>45121</v>
      </c>
      <c r="J30" s="66">
        <v>45923</v>
      </c>
    </row>
    <row r="31" spans="1:11" ht="66">
      <c r="A31" s="73">
        <v>30</v>
      </c>
      <c r="B31" s="85" t="str">
        <f>VLOOKUP(A31,[1]vaccines!A:B,2)</f>
        <v>Sputnik_Lyo</v>
      </c>
      <c r="C31" s="72" t="s">
        <v>2975</v>
      </c>
      <c r="D31" s="72" t="s">
        <v>2976</v>
      </c>
      <c r="E31" s="43">
        <v>44068</v>
      </c>
      <c r="F31" s="74">
        <v>1</v>
      </c>
      <c r="G31" s="74">
        <v>0</v>
      </c>
      <c r="H31" s="89" t="s">
        <v>1167</v>
      </c>
      <c r="I31" s="43">
        <v>45121</v>
      </c>
      <c r="J31" s="43"/>
    </row>
    <row r="32" spans="1:11" ht="66">
      <c r="A32" s="73">
        <v>31</v>
      </c>
      <c r="B32" s="85" t="str">
        <f>VLOOKUP(A32,[1]vaccines!A:B,2)</f>
        <v>EpiVacCorona</v>
      </c>
      <c r="C32" s="72" t="s">
        <v>2977</v>
      </c>
      <c r="D32" s="72" t="s">
        <v>2978</v>
      </c>
      <c r="E32" s="43">
        <v>44911</v>
      </c>
      <c r="F32" s="74">
        <v>1</v>
      </c>
      <c r="G32" s="74">
        <v>0</v>
      </c>
      <c r="H32" s="89" t="s">
        <v>1170</v>
      </c>
      <c r="I32" s="43">
        <v>45122</v>
      </c>
      <c r="J32" s="43"/>
    </row>
    <row r="33" spans="1:11" ht="145.19999999999999">
      <c r="A33" s="73">
        <v>32</v>
      </c>
      <c r="B33" s="85" t="str">
        <f>VLOOKUP(A33,[1]vaccines!A:B,2)</f>
        <v>Grippol_Microgen</v>
      </c>
      <c r="C33" s="72" t="s">
        <v>2979</v>
      </c>
      <c r="D33" s="72" t="s">
        <v>2980</v>
      </c>
      <c r="E33" s="43">
        <v>41411</v>
      </c>
      <c r="F33" s="74">
        <v>1</v>
      </c>
      <c r="G33" s="74">
        <v>0</v>
      </c>
      <c r="H33" s="89" t="s">
        <v>1173</v>
      </c>
      <c r="I33" s="43">
        <v>45122</v>
      </c>
      <c r="J33" s="43"/>
    </row>
    <row r="34" spans="1:11" ht="171.6">
      <c r="A34" s="73">
        <v>33</v>
      </c>
      <c r="B34" s="85" t="str">
        <f>VLOOKUP(A34,[1]vaccines!A:B,2)</f>
        <v>Grippol_Petrovax</v>
      </c>
      <c r="C34" s="72" t="s">
        <v>2981</v>
      </c>
      <c r="D34" s="72" t="s">
        <v>2982</v>
      </c>
      <c r="E34" s="43">
        <v>40634</v>
      </c>
      <c r="F34" s="74">
        <v>1</v>
      </c>
      <c r="G34" s="74">
        <v>0</v>
      </c>
      <c r="H34" s="89" t="s">
        <v>1176</v>
      </c>
      <c r="I34" s="43">
        <v>45122</v>
      </c>
      <c r="J34" s="43"/>
      <c r="K34" s="87" t="s">
        <v>2557</v>
      </c>
    </row>
    <row r="35" spans="1:11" ht="277.2">
      <c r="A35" s="73">
        <v>34</v>
      </c>
      <c r="B35" s="85" t="str">
        <f>VLOOKUP(A35,[1]vaccines!A:B,2)</f>
        <v>Grippol_plus_0_5</v>
      </c>
      <c r="C35" s="72" t="s">
        <v>2983</v>
      </c>
      <c r="D35" s="72" t="s">
        <v>2984</v>
      </c>
      <c r="E35" s="59">
        <v>45182</v>
      </c>
      <c r="F35" s="85"/>
      <c r="G35" s="85"/>
      <c r="H35" s="86" t="s">
        <v>1179</v>
      </c>
      <c r="I35" s="43">
        <v>45122</v>
      </c>
      <c r="J35" s="43">
        <v>45483</v>
      </c>
    </row>
    <row r="36" spans="1:11" ht="396">
      <c r="A36" s="73">
        <v>35</v>
      </c>
      <c r="B36" s="85" t="str">
        <f>VLOOKUP(A36,[1]vaccines!A:B,2)</f>
        <v>Sovigripp</v>
      </c>
      <c r="C36" s="72" t="s">
        <v>2985</v>
      </c>
      <c r="D36" s="72" t="s">
        <v>2986</v>
      </c>
      <c r="E36" s="59">
        <v>45580</v>
      </c>
      <c r="F36" s="85"/>
      <c r="G36" s="85"/>
      <c r="H36" s="86" t="s">
        <v>1182</v>
      </c>
      <c r="I36" s="59">
        <f>I35</f>
        <v>45122</v>
      </c>
      <c r="J36" s="66">
        <v>45622</v>
      </c>
    </row>
    <row r="37" spans="1:11" ht="409.2">
      <c r="A37" s="73">
        <v>36</v>
      </c>
      <c r="B37" s="85" t="str">
        <f>VLOOKUP(A37,[1]vaccines!A:B,2)</f>
        <v>Ultrix</v>
      </c>
      <c r="C37" s="72" t="s">
        <v>2987</v>
      </c>
      <c r="D37" s="72" t="s">
        <v>2988</v>
      </c>
      <c r="E37" s="59">
        <v>45211</v>
      </c>
      <c r="F37" s="85"/>
      <c r="G37" s="85"/>
      <c r="H37" s="86" t="s">
        <v>1185</v>
      </c>
      <c r="I37" s="43">
        <v>45123</v>
      </c>
      <c r="J37" s="43">
        <v>45483</v>
      </c>
    </row>
    <row r="38" spans="1:11" ht="409.6">
      <c r="A38" s="73">
        <v>37</v>
      </c>
      <c r="B38" s="85" t="str">
        <f>VLOOKUP(A38,[1]vaccines!A:B,2)</f>
        <v>Flu_M</v>
      </c>
      <c r="C38" s="72" t="s">
        <v>2989</v>
      </c>
      <c r="D38" s="72" t="s">
        <v>2990</v>
      </c>
      <c r="E38" s="59">
        <v>46035</v>
      </c>
      <c r="F38" s="73">
        <v>1</v>
      </c>
      <c r="G38" s="73">
        <v>0</v>
      </c>
      <c r="H38" s="86" t="s">
        <v>1188</v>
      </c>
      <c r="I38" s="59">
        <f>I37</f>
        <v>45123</v>
      </c>
      <c r="J38" s="66">
        <v>46130</v>
      </c>
    </row>
    <row r="39" spans="1:11" ht="409.6">
      <c r="A39" s="73">
        <v>38</v>
      </c>
      <c r="B39" s="85" t="str">
        <f>VLOOKUP(A39,[1]vaccines!A:B,2)</f>
        <v>Vaxigrip</v>
      </c>
      <c r="C39" s="72" t="s">
        <v>2991</v>
      </c>
      <c r="D39" s="72" t="s">
        <v>2992</v>
      </c>
      <c r="E39" s="43">
        <v>43598</v>
      </c>
      <c r="F39" s="74">
        <v>2</v>
      </c>
      <c r="G39" s="74">
        <v>1</v>
      </c>
      <c r="H39" s="89" t="s">
        <v>1191</v>
      </c>
      <c r="I39" s="43">
        <v>45123</v>
      </c>
      <c r="J39" s="43"/>
    </row>
    <row r="40" spans="1:11" ht="277.2">
      <c r="A40" s="73">
        <v>39</v>
      </c>
      <c r="B40" s="85" t="str">
        <f>VLOOKUP(A40,[1]vaccines!A:B,2)</f>
        <v>Influvac</v>
      </c>
      <c r="C40" s="72" t="s">
        <v>2993</v>
      </c>
      <c r="D40" s="72" t="s">
        <v>2994</v>
      </c>
      <c r="E40" s="59">
        <v>46066</v>
      </c>
      <c r="F40" s="73">
        <v>1</v>
      </c>
      <c r="G40" s="73">
        <v>0</v>
      </c>
      <c r="H40" s="86" t="s">
        <v>1194</v>
      </c>
      <c r="I40" s="59">
        <f>I39</f>
        <v>45123</v>
      </c>
      <c r="J40" s="66">
        <v>46130</v>
      </c>
    </row>
    <row r="41" spans="1:11" ht="369.6">
      <c r="A41" s="73">
        <v>40</v>
      </c>
      <c r="B41" s="85" t="str">
        <f>VLOOKUP(A41,[1]vaccines!A:B,2)</f>
        <v>Ultrix_quadri</v>
      </c>
      <c r="C41" s="72" t="s">
        <v>2995</v>
      </c>
      <c r="D41" s="72" t="s">
        <v>2996</v>
      </c>
      <c r="E41" s="59">
        <v>45524</v>
      </c>
      <c r="F41" s="85"/>
      <c r="G41" s="85"/>
      <c r="H41" s="86" t="s">
        <v>1197</v>
      </c>
      <c r="I41" s="43">
        <v>45124</v>
      </c>
      <c r="J41" s="66">
        <v>45589</v>
      </c>
    </row>
    <row r="42" spans="1:11" ht="198">
      <c r="A42" s="73">
        <v>41</v>
      </c>
      <c r="B42" s="85" t="str">
        <f>VLOOKUP(A42,[1]vaccines!A:B,2)</f>
        <v>Grippol_quadrivalent</v>
      </c>
      <c r="C42" s="72" t="s">
        <v>2997</v>
      </c>
      <c r="D42" s="72" t="s">
        <v>2998</v>
      </c>
      <c r="E42" s="59">
        <v>45727</v>
      </c>
      <c r="F42" s="73">
        <v>1</v>
      </c>
      <c r="G42" s="73">
        <v>0</v>
      </c>
      <c r="H42" s="86" t="s">
        <v>1200</v>
      </c>
      <c r="I42" s="59">
        <f t="shared" ref="I42:I44" si="3">I41</f>
        <v>45124</v>
      </c>
      <c r="J42" s="66">
        <v>45818</v>
      </c>
    </row>
    <row r="43" spans="1:11" ht="92.4">
      <c r="A43" s="73">
        <v>42</v>
      </c>
      <c r="B43" s="85" t="str">
        <f>VLOOKUP(A43,[1]vaccines!A:B,2)</f>
        <v>measles_Microgen</v>
      </c>
      <c r="C43" s="72" t="s">
        <v>2999</v>
      </c>
      <c r="D43" s="72" t="s">
        <v>3000</v>
      </c>
      <c r="E43" s="59">
        <v>45404</v>
      </c>
      <c r="F43" s="85"/>
      <c r="G43" s="85"/>
      <c r="H43" s="86" t="s">
        <v>1203</v>
      </c>
      <c r="I43" s="59">
        <f t="shared" si="3"/>
        <v>45124</v>
      </c>
      <c r="J43" s="59">
        <v>45483</v>
      </c>
    </row>
    <row r="44" spans="1:11" ht="277.2">
      <c r="A44" s="73">
        <v>43</v>
      </c>
      <c r="B44" s="85" t="str">
        <f>VLOOKUP(A44,[1]vaccines!A:B,2)</f>
        <v>measles_Serum_India</v>
      </c>
      <c r="C44" s="72" t="s">
        <v>3001</v>
      </c>
      <c r="D44" s="72" t="s">
        <v>3002</v>
      </c>
      <c r="E44" s="59">
        <v>45981</v>
      </c>
      <c r="F44" s="73">
        <v>1</v>
      </c>
      <c r="G44" s="73">
        <v>0</v>
      </c>
      <c r="H44" s="86" t="s">
        <v>1206</v>
      </c>
      <c r="I44" s="59">
        <f t="shared" si="3"/>
        <v>45124</v>
      </c>
      <c r="J44" s="66">
        <v>46053</v>
      </c>
      <c r="K44" s="87" t="s">
        <v>2557</v>
      </c>
    </row>
    <row r="45" spans="1:11" ht="52.8">
      <c r="A45" s="73">
        <v>44</v>
      </c>
      <c r="B45" s="85" t="str">
        <f>VLOOKUP(A45,[1]vaccines!A:B,2)</f>
        <v>measles_Vector</v>
      </c>
      <c r="C45" s="62" t="s">
        <v>3003</v>
      </c>
      <c r="D45" s="72" t="s">
        <v>3004</v>
      </c>
      <c r="E45" s="43">
        <v>39421</v>
      </c>
      <c r="F45" s="74">
        <v>1</v>
      </c>
      <c r="G45" s="74">
        <v>0</v>
      </c>
      <c r="H45" s="89" t="s">
        <v>1209</v>
      </c>
      <c r="I45" s="43">
        <v>45124</v>
      </c>
      <c r="J45" s="43"/>
    </row>
    <row r="46" spans="1:11" ht="26.4">
      <c r="A46" s="73">
        <v>45</v>
      </c>
      <c r="B46" s="85" t="str">
        <f>VLOOKUP(A46,[1]vaccines!A:B,2)</f>
        <v>measles_mumps_Microgen</v>
      </c>
      <c r="C46" s="72" t="s">
        <v>3005</v>
      </c>
      <c r="D46" s="72" t="s">
        <v>3006</v>
      </c>
      <c r="E46" s="59">
        <v>45460</v>
      </c>
      <c r="F46" s="85"/>
      <c r="G46" s="85"/>
      <c r="H46" s="86" t="s">
        <v>1212</v>
      </c>
      <c r="I46" s="59">
        <f t="shared" ref="I46:I47" si="4">I45</f>
        <v>45124</v>
      </c>
      <c r="J46" s="66">
        <v>45589</v>
      </c>
    </row>
    <row r="47" spans="1:11" ht="264">
      <c r="A47" s="73">
        <v>46</v>
      </c>
      <c r="B47" s="85" t="str">
        <f>VLOOKUP(A47,[1]vaccines!A:B,2)</f>
        <v>Vactrivir</v>
      </c>
      <c r="C47" s="72" t="s">
        <v>3007</v>
      </c>
      <c r="D47" s="72" t="s">
        <v>3008</v>
      </c>
      <c r="E47" s="59">
        <v>45817</v>
      </c>
      <c r="F47" s="73">
        <v>1</v>
      </c>
      <c r="G47" s="73">
        <v>0</v>
      </c>
      <c r="H47" s="86" t="s">
        <v>1215</v>
      </c>
      <c r="I47" s="59">
        <f t="shared" si="4"/>
        <v>45124</v>
      </c>
      <c r="J47" s="66">
        <v>45830</v>
      </c>
    </row>
    <row r="48" spans="1:11" ht="330">
      <c r="A48" s="73">
        <v>47</v>
      </c>
      <c r="B48" s="85" t="str">
        <f>VLOOKUP(A48,[1]vaccines!A:B,2)</f>
        <v>MMR_II</v>
      </c>
      <c r="C48" s="72" t="s">
        <v>3009</v>
      </c>
      <c r="D48" s="72" t="s">
        <v>3010</v>
      </c>
      <c r="E48" s="43">
        <v>44228</v>
      </c>
      <c r="F48" s="74">
        <v>6</v>
      </c>
      <c r="G48" s="74">
        <v>6</v>
      </c>
      <c r="H48" s="89" t="s">
        <v>3011</v>
      </c>
      <c r="I48" s="43">
        <v>45124</v>
      </c>
      <c r="J48" s="43"/>
    </row>
    <row r="49" spans="1:11" ht="224.4">
      <c r="A49" s="73">
        <v>48</v>
      </c>
      <c r="B49" s="85" t="str">
        <f>VLOOKUP(A49,[1]vaccines!A:B,2)</f>
        <v>MenA_Microgen</v>
      </c>
      <c r="C49" s="72" t="s">
        <v>3012</v>
      </c>
      <c r="D49" s="72" t="s">
        <v>3013</v>
      </c>
      <c r="E49" s="43">
        <v>45414</v>
      </c>
      <c r="H49" s="86" t="s">
        <v>1221</v>
      </c>
      <c r="I49" s="43">
        <v>45124</v>
      </c>
      <c r="J49" s="43">
        <v>45460</v>
      </c>
    </row>
    <row r="50" spans="1:11" ht="277.2">
      <c r="A50" s="73">
        <v>49</v>
      </c>
      <c r="B50" s="85" t="str">
        <f>VLOOKUP(A50,[1]vaccines!A:B,2)</f>
        <v>MeningoVac_A_C</v>
      </c>
      <c r="C50" s="72" t="s">
        <v>3014</v>
      </c>
      <c r="D50" s="72" t="s">
        <v>3015</v>
      </c>
      <c r="E50" s="66">
        <v>45414</v>
      </c>
      <c r="F50" s="85"/>
      <c r="G50" s="85"/>
      <c r="H50" s="86" t="s">
        <v>1674</v>
      </c>
      <c r="I50" s="43">
        <v>45124</v>
      </c>
      <c r="J50" s="43">
        <v>45460</v>
      </c>
    </row>
    <row r="51" spans="1:11" ht="409.6">
      <c r="A51" s="73">
        <v>50</v>
      </c>
      <c r="B51" s="85" t="str">
        <f>VLOOKUP(A51,[1]vaccines!A:B,2)</f>
        <v>Menactra</v>
      </c>
      <c r="C51" s="72" t="s">
        <v>3016</v>
      </c>
      <c r="D51" s="72" t="s">
        <v>3017</v>
      </c>
      <c r="E51" s="59">
        <v>45188</v>
      </c>
      <c r="F51" s="85"/>
      <c r="G51" s="85"/>
      <c r="H51" s="86" t="s">
        <v>1226</v>
      </c>
      <c r="I51" s="66">
        <f t="shared" ref="I51:I52" si="5">I50</f>
        <v>45124</v>
      </c>
      <c r="J51" s="66">
        <v>45483</v>
      </c>
    </row>
    <row r="52" spans="1:11" ht="26.4">
      <c r="A52" s="73">
        <v>51</v>
      </c>
      <c r="B52" s="85" t="str">
        <f>VLOOKUP(A52,[1]vaccines!A:B,2)</f>
        <v>mumps_Microgen</v>
      </c>
      <c r="C52" s="72" t="s">
        <v>3005</v>
      </c>
      <c r="D52" s="72" t="s">
        <v>3006</v>
      </c>
      <c r="E52" s="59">
        <v>45454</v>
      </c>
      <c r="F52" s="85"/>
      <c r="G52" s="85"/>
      <c r="H52" s="86" t="s">
        <v>1229</v>
      </c>
      <c r="I52" s="59">
        <f t="shared" si="5"/>
        <v>45124</v>
      </c>
      <c r="J52" s="66">
        <v>45589</v>
      </c>
    </row>
    <row r="53" spans="1:11" ht="250.8">
      <c r="A53" s="73">
        <v>52</v>
      </c>
      <c r="B53" s="85" t="str">
        <f>VLOOKUP(A53,[1]vaccines!A:B,2)</f>
        <v>Prevenar_13</v>
      </c>
      <c r="C53" s="72" t="s">
        <v>3018</v>
      </c>
      <c r="D53" s="72" t="s">
        <v>3019</v>
      </c>
      <c r="E53" s="59">
        <v>45267</v>
      </c>
      <c r="F53" s="85"/>
      <c r="G53" s="85"/>
      <c r="H53" s="86" t="s">
        <v>1232</v>
      </c>
      <c r="I53" s="43">
        <v>45125</v>
      </c>
      <c r="J53" s="66">
        <v>45481</v>
      </c>
    </row>
    <row r="54" spans="1:11" ht="92.4">
      <c r="A54" s="73">
        <v>53</v>
      </c>
      <c r="B54" s="85" t="str">
        <f>VLOOKUP(A54,[1]vaccines!A:B,2)</f>
        <v>Synflorix</v>
      </c>
      <c r="C54" s="72" t="s">
        <v>3020</v>
      </c>
      <c r="D54" s="72" t="s">
        <v>3021</v>
      </c>
      <c r="E54" s="43">
        <v>43605</v>
      </c>
      <c r="F54" s="74">
        <v>1</v>
      </c>
      <c r="G54" s="74">
        <v>0</v>
      </c>
      <c r="H54" s="89" t="s">
        <v>1235</v>
      </c>
      <c r="I54" s="43">
        <v>45125</v>
      </c>
      <c r="J54" s="43"/>
      <c r="K54" s="87" t="s">
        <v>2557</v>
      </c>
    </row>
    <row r="55" spans="1:11">
      <c r="A55" s="73">
        <v>54</v>
      </c>
      <c r="B55" s="85" t="str">
        <f>VLOOKUP(A55,[1]vaccines!A:B,2)</f>
        <v>Pneumovax_23</v>
      </c>
      <c r="C55" s="72" t="s">
        <v>3022</v>
      </c>
      <c r="D55" s="72" t="s">
        <v>3023</v>
      </c>
      <c r="E55" s="59">
        <v>45051</v>
      </c>
      <c r="F55" s="85"/>
      <c r="G55" s="85"/>
      <c r="H55" s="86" t="s">
        <v>1238</v>
      </c>
      <c r="I55" s="59">
        <f>I54</f>
        <v>45125</v>
      </c>
      <c r="J55" s="66">
        <v>45489</v>
      </c>
    </row>
    <row r="56" spans="1:11" ht="79.2">
      <c r="A56" s="73">
        <v>55</v>
      </c>
      <c r="B56" s="85" t="str">
        <f>VLOOKUP(A56,[1]vaccines!A:B,2)</f>
        <v>MonoVac_Polio</v>
      </c>
      <c r="C56" s="72" t="s">
        <v>3024</v>
      </c>
      <c r="D56" s="72" t="s">
        <v>3025</v>
      </c>
      <c r="E56" s="43">
        <v>44266</v>
      </c>
      <c r="F56" s="74">
        <v>1</v>
      </c>
      <c r="G56" s="74">
        <v>0</v>
      </c>
      <c r="H56" s="89" t="s">
        <v>3026</v>
      </c>
      <c r="I56" s="43">
        <v>45125</v>
      </c>
      <c r="J56" s="43"/>
    </row>
    <row r="57" spans="1:11" ht="184.8">
      <c r="A57" s="73">
        <v>56</v>
      </c>
      <c r="B57" s="85" t="str">
        <f>VLOOKUP(A57,[1]vaccines!A:B,2)</f>
        <v>BiVac_Polio</v>
      </c>
      <c r="C57" s="72" t="s">
        <v>3027</v>
      </c>
      <c r="D57" s="72" t="s">
        <v>3028</v>
      </c>
      <c r="E57" s="59">
        <v>45736</v>
      </c>
      <c r="F57" s="73">
        <v>1</v>
      </c>
      <c r="G57" s="73">
        <v>0</v>
      </c>
      <c r="H57" s="86" t="s">
        <v>1244</v>
      </c>
      <c r="I57" s="59">
        <f t="shared" ref="I57:I59" si="6">I56</f>
        <v>45125</v>
      </c>
      <c r="J57" s="66">
        <v>45988</v>
      </c>
    </row>
    <row r="58" spans="1:11" ht="158.4">
      <c r="A58" s="73">
        <v>57</v>
      </c>
      <c r="B58" s="85" t="str">
        <f>VLOOKUP(A58,[1]vaccines!A:B,2)</f>
        <v>Polymilex</v>
      </c>
      <c r="C58" s="72" t="s">
        <v>3029</v>
      </c>
      <c r="D58" s="72" t="s">
        <v>3030</v>
      </c>
      <c r="E58" s="59">
        <v>45623</v>
      </c>
      <c r="F58" s="73">
        <v>1</v>
      </c>
      <c r="G58" s="73">
        <v>0</v>
      </c>
      <c r="H58" s="86" t="s">
        <v>1247</v>
      </c>
      <c r="I58" s="59">
        <f t="shared" si="6"/>
        <v>45125</v>
      </c>
      <c r="J58" s="66">
        <v>45715</v>
      </c>
    </row>
    <row r="59" spans="1:11" ht="198">
      <c r="A59" s="73">
        <v>58</v>
      </c>
      <c r="B59" s="85" t="str">
        <f>VLOOKUP(A59,[1]vaccines!A:B,2)</f>
        <v>COCAV</v>
      </c>
      <c r="C59" s="72" t="s">
        <v>3031</v>
      </c>
      <c r="D59" s="72" t="s">
        <v>3032</v>
      </c>
      <c r="E59" s="59">
        <v>45631</v>
      </c>
      <c r="F59" s="85"/>
      <c r="G59" s="85"/>
      <c r="H59" s="86" t="s">
        <v>1249</v>
      </c>
      <c r="I59" s="59">
        <f t="shared" si="6"/>
        <v>45125</v>
      </c>
      <c r="J59" s="66">
        <v>45678</v>
      </c>
    </row>
    <row r="60" spans="1:11" ht="105.6">
      <c r="A60" s="73">
        <v>59</v>
      </c>
      <c r="B60" s="85" t="str">
        <f>VLOOKUP(A60,[1]vaccines!A:B,2)</f>
        <v>rabies_Chumakov</v>
      </c>
      <c r="C60" s="72" t="s">
        <v>3033</v>
      </c>
      <c r="D60" s="72" t="s">
        <v>3034</v>
      </c>
      <c r="E60" s="43">
        <v>44862</v>
      </c>
      <c r="F60" s="74">
        <v>1</v>
      </c>
      <c r="G60" s="74">
        <v>0</v>
      </c>
      <c r="H60" s="89" t="s">
        <v>1250</v>
      </c>
      <c r="I60" s="43">
        <v>45125</v>
      </c>
      <c r="J60" s="43"/>
    </row>
    <row r="61" spans="1:11" ht="39.6">
      <c r="A61" s="73">
        <v>60</v>
      </c>
      <c r="B61" s="85" t="str">
        <f>VLOOKUP(A61,[1]vaccines!A:B,2)</f>
        <v>Rabivac_Vnukovo_32</v>
      </c>
      <c r="C61" s="72" t="s">
        <v>3035</v>
      </c>
      <c r="D61" s="72" t="s">
        <v>3036</v>
      </c>
      <c r="E61" s="43">
        <v>40925</v>
      </c>
      <c r="F61" s="74">
        <v>1</v>
      </c>
      <c r="G61" s="74">
        <v>0</v>
      </c>
      <c r="H61" s="89" t="s">
        <v>1251</v>
      </c>
      <c r="I61" s="43">
        <v>45125</v>
      </c>
      <c r="J61" s="43"/>
    </row>
    <row r="62" spans="1:11" ht="52.8">
      <c r="A62" s="73">
        <v>61</v>
      </c>
      <c r="B62" s="85" t="str">
        <f>VLOOKUP(A62,[1]vaccines!A:B,2)</f>
        <v>RotaTeq</v>
      </c>
      <c r="C62" s="72" t="s">
        <v>3037</v>
      </c>
      <c r="D62" s="72" t="s">
        <v>3038</v>
      </c>
      <c r="E62" s="43">
        <v>43010</v>
      </c>
      <c r="F62" s="74">
        <v>1</v>
      </c>
      <c r="G62" s="74">
        <v>0</v>
      </c>
      <c r="H62" s="89" t="s">
        <v>3039</v>
      </c>
      <c r="I62" s="43">
        <v>45127</v>
      </c>
      <c r="J62" s="43"/>
    </row>
    <row r="63" spans="1:11" ht="184.8">
      <c r="A63" s="73">
        <v>62</v>
      </c>
      <c r="B63" s="85" t="str">
        <f>VLOOKUP(A63,[1]vaccines!A:B,2)</f>
        <v>rubella_Microgen</v>
      </c>
      <c r="C63" s="72" t="s">
        <v>3040</v>
      </c>
      <c r="D63" s="72" t="s">
        <v>3041</v>
      </c>
      <c r="E63" s="59">
        <v>45531</v>
      </c>
      <c r="F63" s="85"/>
      <c r="G63" s="85"/>
      <c r="H63" s="86" t="s">
        <v>1256</v>
      </c>
      <c r="I63" s="59">
        <f>I62</f>
        <v>45127</v>
      </c>
      <c r="J63" s="66">
        <v>45589</v>
      </c>
    </row>
    <row r="64" spans="1:11" ht="52.8">
      <c r="A64" s="73">
        <v>63</v>
      </c>
      <c r="B64" s="85" t="str">
        <f>VLOOKUP(A64,[1]vaccines!A:B,2)</f>
        <v>rubella_Serum</v>
      </c>
      <c r="C64" s="62" t="s">
        <v>3003</v>
      </c>
      <c r="D64" s="72" t="s">
        <v>3004</v>
      </c>
      <c r="E64" s="43">
        <v>40142</v>
      </c>
      <c r="F64" s="74">
        <v>1</v>
      </c>
      <c r="G64" s="74">
        <v>0</v>
      </c>
      <c r="H64" s="89" t="s">
        <v>1259</v>
      </c>
      <c r="I64" s="43">
        <v>45127</v>
      </c>
      <c r="J64" s="43">
        <v>45156</v>
      </c>
      <c r="K64" s="87" t="s">
        <v>2557</v>
      </c>
    </row>
    <row r="65" spans="1:11" ht="369.6">
      <c r="A65" s="73">
        <v>64</v>
      </c>
      <c r="B65" s="85" t="str">
        <f>VLOOKUP(A65,[1]vaccines!A:B,2)</f>
        <v>AS_Microgen</v>
      </c>
      <c r="C65" s="72" t="s">
        <v>3042</v>
      </c>
      <c r="D65" s="72" t="s">
        <v>3043</v>
      </c>
      <c r="E65" s="59">
        <v>45607</v>
      </c>
      <c r="F65" s="73">
        <v>1</v>
      </c>
      <c r="G65" s="73">
        <v>0</v>
      </c>
      <c r="H65" s="86" t="s">
        <v>1262</v>
      </c>
      <c r="I65" s="59">
        <f>I64</f>
        <v>45127</v>
      </c>
      <c r="J65" s="66">
        <v>46053</v>
      </c>
    </row>
    <row r="66" spans="1:11" ht="105.6">
      <c r="A66" s="73">
        <v>65</v>
      </c>
      <c r="B66" s="85" t="str">
        <f>VLOOKUP(A66,[1]vaccines!A:B,2)</f>
        <v>AS_Biomed</v>
      </c>
      <c r="C66" s="72" t="s">
        <v>2933</v>
      </c>
      <c r="D66" s="72" t="s">
        <v>2934</v>
      </c>
      <c r="E66" s="43">
        <v>41047</v>
      </c>
      <c r="F66" s="74">
        <v>1</v>
      </c>
      <c r="G66" s="74">
        <v>0</v>
      </c>
      <c r="H66" s="89" t="s">
        <v>1265</v>
      </c>
      <c r="I66" s="43">
        <v>45128</v>
      </c>
      <c r="J66" s="43"/>
    </row>
    <row r="67" spans="1:11" ht="198">
      <c r="A67" s="73">
        <v>66</v>
      </c>
      <c r="B67" s="85" t="str">
        <f>VLOOKUP(A67,[1]vaccines!A:B,2)</f>
        <v>Vaqta_25</v>
      </c>
      <c r="C67" s="72" t="s">
        <v>3044</v>
      </c>
      <c r="D67" s="72" t="s">
        <v>3045</v>
      </c>
      <c r="E67" s="43">
        <v>41780</v>
      </c>
      <c r="F67" s="74">
        <v>1</v>
      </c>
      <c r="G67" s="74">
        <v>0</v>
      </c>
      <c r="H67" s="89" t="s">
        <v>1268</v>
      </c>
      <c r="I67" s="43">
        <v>45128</v>
      </c>
      <c r="J67" s="43"/>
    </row>
    <row r="68" spans="1:11" ht="198">
      <c r="A68" s="73">
        <v>67</v>
      </c>
      <c r="B68" s="85" t="str">
        <f>VLOOKUP(A68,[1]vaccines!A:B,2)</f>
        <v>Vaqta_50</v>
      </c>
      <c r="C68" s="72" t="s">
        <v>3044</v>
      </c>
      <c r="D68" s="72" t="s">
        <v>3045</v>
      </c>
      <c r="E68" s="43">
        <v>41780</v>
      </c>
      <c r="F68" s="74">
        <v>1</v>
      </c>
      <c r="G68" s="74">
        <v>0</v>
      </c>
      <c r="H68" s="89" t="s">
        <v>1268</v>
      </c>
      <c r="I68" s="43">
        <v>45128</v>
      </c>
      <c r="J68" s="43"/>
    </row>
    <row r="69" spans="1:11" ht="382.8">
      <c r="A69" s="73">
        <v>68</v>
      </c>
      <c r="B69" s="85" t="str">
        <f>VLOOKUP(A69,[1]vaccines!A:B,2)</f>
        <v>Klesh_E_Vac_0_5</v>
      </c>
      <c r="C69" s="72" t="s">
        <v>3046</v>
      </c>
      <c r="D69" s="72" t="s">
        <v>3047</v>
      </c>
      <c r="E69" s="59">
        <v>45904</v>
      </c>
      <c r="F69" s="73">
        <v>1</v>
      </c>
      <c r="G69" s="73">
        <v>0</v>
      </c>
      <c r="H69" s="86" t="s">
        <v>1273</v>
      </c>
      <c r="I69" s="59">
        <f t="shared" ref="I69:I74" si="7">I68</f>
        <v>45128</v>
      </c>
      <c r="J69" s="66">
        <v>45988</v>
      </c>
    </row>
    <row r="70" spans="1:11" ht="382.8">
      <c r="A70" s="73">
        <v>69</v>
      </c>
      <c r="B70" s="85" t="str">
        <f>VLOOKUP(A70,[1]vaccines!A:B,2)</f>
        <v>Klesh_E_Vac_0_25</v>
      </c>
      <c r="C70" s="72" t="s">
        <v>3046</v>
      </c>
      <c r="D70" s="72" t="s">
        <v>3047</v>
      </c>
      <c r="E70" s="59">
        <v>45904</v>
      </c>
      <c r="F70" s="73">
        <v>1</v>
      </c>
      <c r="G70" s="73">
        <v>0</v>
      </c>
      <c r="H70" s="86" t="s">
        <v>1273</v>
      </c>
      <c r="I70" s="59">
        <f t="shared" si="7"/>
        <v>45128</v>
      </c>
      <c r="J70" s="66">
        <v>45988</v>
      </c>
    </row>
    <row r="71" spans="1:11" ht="277.2">
      <c r="A71" s="73">
        <v>70</v>
      </c>
      <c r="B71" s="85" t="str">
        <f>VLOOKUP(A71,[1]vaccines!A:B,2)</f>
        <v>EnceVir_0_5</v>
      </c>
      <c r="C71" s="72" t="s">
        <v>3048</v>
      </c>
      <c r="D71" s="72" t="s">
        <v>3049</v>
      </c>
      <c r="E71" s="59">
        <v>45510</v>
      </c>
      <c r="F71" s="85"/>
      <c r="G71" s="85"/>
      <c r="H71" s="86" t="s">
        <v>1278</v>
      </c>
      <c r="I71" s="59">
        <f t="shared" si="7"/>
        <v>45128</v>
      </c>
      <c r="J71" s="66">
        <v>45589</v>
      </c>
    </row>
    <row r="72" spans="1:11" ht="277.2">
      <c r="A72" s="73">
        <v>71</v>
      </c>
      <c r="B72" s="85" t="str">
        <f>VLOOKUP(A72,[1]vaccines!A:B,2)</f>
        <v>EnceVir_Neo_kids</v>
      </c>
      <c r="C72" s="72" t="s">
        <v>3050</v>
      </c>
      <c r="D72" s="72" t="s">
        <v>3051</v>
      </c>
      <c r="E72" s="59">
        <v>45520</v>
      </c>
      <c r="F72" s="85"/>
      <c r="G72" s="85"/>
      <c r="H72" s="86" t="s">
        <v>1281</v>
      </c>
      <c r="I72" s="59">
        <f t="shared" si="7"/>
        <v>45128</v>
      </c>
      <c r="J72" s="66">
        <v>45589</v>
      </c>
    </row>
    <row r="73" spans="1:11" ht="409.6">
      <c r="A73" s="73">
        <v>72</v>
      </c>
      <c r="B73" s="85" t="str">
        <f>VLOOKUP(A73,[1]vaccines!A:B,2)</f>
        <v>TBE_Chumakov_lyo</v>
      </c>
      <c r="C73" s="72" t="s">
        <v>3052</v>
      </c>
      <c r="D73" s="72" t="s">
        <v>3053</v>
      </c>
      <c r="E73" s="59">
        <v>45727</v>
      </c>
      <c r="F73" s="73">
        <v>1</v>
      </c>
      <c r="G73" s="73">
        <v>0</v>
      </c>
      <c r="H73" s="86" t="s">
        <v>1284</v>
      </c>
      <c r="I73" s="59">
        <f t="shared" si="7"/>
        <v>45128</v>
      </c>
      <c r="J73" s="66">
        <v>45750</v>
      </c>
    </row>
    <row r="74" spans="1:11" ht="277.2">
      <c r="A74" s="73">
        <v>73</v>
      </c>
      <c r="B74" s="85" t="str">
        <f>VLOOKUP(A74,[1]vaccines!A:B,2)</f>
        <v>Varilrix</v>
      </c>
      <c r="C74" s="72" t="s">
        <v>3054</v>
      </c>
      <c r="D74" s="72" t="s">
        <v>3055</v>
      </c>
      <c r="E74" s="59">
        <v>45439</v>
      </c>
      <c r="F74" s="73">
        <v>1</v>
      </c>
      <c r="G74" s="73">
        <v>0</v>
      </c>
      <c r="H74" s="86" t="s">
        <v>1287</v>
      </c>
      <c r="I74" s="59">
        <f t="shared" si="7"/>
        <v>45128</v>
      </c>
      <c r="J74" s="59">
        <v>45830</v>
      </c>
      <c r="K74" s="87" t="s">
        <v>2557</v>
      </c>
    </row>
    <row r="75" spans="1:11" ht="39.6">
      <c r="A75" s="73">
        <v>74</v>
      </c>
      <c r="B75" s="85" t="str">
        <f>VLOOKUP(A75,[1]vaccines!A:B,2)</f>
        <v>YF_Chumakov_lyo</v>
      </c>
      <c r="C75" s="72" t="s">
        <v>3056</v>
      </c>
      <c r="D75" s="72" t="s">
        <v>3057</v>
      </c>
      <c r="E75" s="43">
        <v>44540</v>
      </c>
      <c r="F75" s="74">
        <v>1</v>
      </c>
      <c r="G75" s="74">
        <v>0</v>
      </c>
      <c r="H75" s="89" t="s">
        <v>2708</v>
      </c>
      <c r="I75" s="43">
        <v>45129</v>
      </c>
      <c r="J75" s="43"/>
    </row>
    <row r="76" spans="1:11" ht="145.19999999999999">
      <c r="A76" s="73">
        <v>75</v>
      </c>
      <c r="B76" s="85" t="str">
        <f>VLOOKUP(A76,[1]vaccines!A:B,2)</f>
        <v>tularemia_Microgen</v>
      </c>
      <c r="C76" s="72" t="s">
        <v>3058</v>
      </c>
      <c r="D76" s="72" t="s">
        <v>3059</v>
      </c>
      <c r="E76" s="59">
        <v>45562</v>
      </c>
      <c r="F76" s="85"/>
      <c r="G76" s="85"/>
      <c r="H76" s="86" t="s">
        <v>1294</v>
      </c>
      <c r="I76" s="59">
        <f>I75</f>
        <v>45129</v>
      </c>
      <c r="J76" s="66">
        <v>45589</v>
      </c>
    </row>
    <row r="77" spans="1:11" ht="92.4">
      <c r="A77" s="73">
        <v>76</v>
      </c>
      <c r="B77" s="85" t="str">
        <f>VLOOKUP(A77,[1]vaccines!A:B,2)</f>
        <v>plague_molecular_lyo_RPN</v>
      </c>
      <c r="C77" s="72" t="s">
        <v>3060</v>
      </c>
      <c r="D77" s="72" t="s">
        <v>3061</v>
      </c>
      <c r="E77" s="43">
        <v>43209</v>
      </c>
      <c r="F77" s="74">
        <v>1</v>
      </c>
      <c r="G77" s="74">
        <v>0</v>
      </c>
      <c r="H77" s="89" t="s">
        <v>2713</v>
      </c>
      <c r="I77" s="43">
        <v>45129</v>
      </c>
      <c r="J77" s="43"/>
    </row>
    <row r="78" spans="1:11" ht="26.4">
      <c r="A78" s="73">
        <v>77</v>
      </c>
      <c r="B78" s="85" t="str">
        <f>VLOOKUP(A78,[1]vaccines!A:B,2)</f>
        <v>plague_live_lyo_48_NII_Minoborony</v>
      </c>
      <c r="C78" s="72" t="s">
        <v>3062</v>
      </c>
      <c r="D78" s="72" t="s">
        <v>3063</v>
      </c>
      <c r="E78" s="43">
        <v>40675</v>
      </c>
      <c r="F78" s="74">
        <v>1</v>
      </c>
      <c r="G78" s="74">
        <v>0</v>
      </c>
      <c r="H78" s="89" t="s">
        <v>1301</v>
      </c>
      <c r="I78" s="43">
        <v>45129</v>
      </c>
      <c r="J78" s="43"/>
    </row>
    <row r="79" spans="1:11" ht="26.4">
      <c r="A79" s="73">
        <v>78</v>
      </c>
      <c r="B79" s="85" t="str">
        <f>VLOOKUP(A79,[1]vaccines!A:B,2)</f>
        <v>plague_live_tablets_48_NII_Minoborony</v>
      </c>
      <c r="C79" s="72" t="s">
        <v>3062</v>
      </c>
      <c r="D79" s="72" t="s">
        <v>3063</v>
      </c>
      <c r="E79" s="43">
        <v>40126</v>
      </c>
      <c r="F79" s="74">
        <v>1</v>
      </c>
      <c r="G79" s="74">
        <v>0</v>
      </c>
      <c r="H79" s="89" t="s">
        <v>1304</v>
      </c>
      <c r="I79" s="43">
        <v>45129</v>
      </c>
      <c r="J79" s="43"/>
    </row>
    <row r="80" spans="1:11" ht="92.4">
      <c r="A80" s="73">
        <v>79</v>
      </c>
      <c r="B80" s="85" t="str">
        <f>VLOOKUP(A80,[1]vaccines!A:B,2)</f>
        <v>plague_live_lyo_RPN</v>
      </c>
      <c r="C80" s="72" t="s">
        <v>3064</v>
      </c>
      <c r="D80" s="72" t="s">
        <v>3065</v>
      </c>
      <c r="E80" s="43">
        <v>44158</v>
      </c>
      <c r="F80" s="74">
        <v>1</v>
      </c>
      <c r="G80" s="74">
        <v>0</v>
      </c>
      <c r="H80" s="89" t="s">
        <v>1307</v>
      </c>
      <c r="I80" s="43">
        <v>45129</v>
      </c>
      <c r="J80" s="43"/>
    </row>
    <row r="81" spans="1:11" ht="52.8">
      <c r="A81" s="73">
        <v>80</v>
      </c>
      <c r="B81" s="85" t="str">
        <f>VLOOKUP(A81,[1]vaccines!A:B,2)</f>
        <v>brucellosis_therapeutic_48_NII_Minoborony</v>
      </c>
      <c r="C81" s="62" t="s">
        <v>3003</v>
      </c>
      <c r="D81" s="72" t="s">
        <v>3004</v>
      </c>
      <c r="E81" s="43">
        <v>40263</v>
      </c>
      <c r="F81" s="74">
        <v>1</v>
      </c>
      <c r="G81" s="74">
        <v>0</v>
      </c>
      <c r="H81" s="89" t="s">
        <v>1310</v>
      </c>
      <c r="I81" s="43">
        <v>45130</v>
      </c>
      <c r="J81" s="43"/>
    </row>
    <row r="82" spans="1:11" ht="145.19999999999999">
      <c r="A82" s="73">
        <v>81</v>
      </c>
      <c r="B82" s="85" t="str">
        <f>VLOOKUP(A82,[1]vaccines!A:B,2)</f>
        <v>brucellosis_prophylactic_Microgen</v>
      </c>
      <c r="C82" s="72" t="s">
        <v>3066</v>
      </c>
      <c r="D82" s="72" t="s">
        <v>3067</v>
      </c>
      <c r="E82" s="59">
        <v>45743</v>
      </c>
      <c r="F82" s="73">
        <v>1</v>
      </c>
      <c r="G82" s="73">
        <v>0</v>
      </c>
      <c r="H82" s="86" t="s">
        <v>1313</v>
      </c>
      <c r="I82" s="59">
        <f>I81</f>
        <v>45130</v>
      </c>
      <c r="J82" s="66">
        <v>45798</v>
      </c>
    </row>
    <row r="83" spans="1:11" ht="39.6">
      <c r="A83" s="73">
        <v>82</v>
      </c>
      <c r="B83" s="85" t="str">
        <f>VLOOKUP(A83,[1]vaccines!A:B,2)</f>
        <v>anthrax_live_48_NII_Minoborony</v>
      </c>
      <c r="C83" s="72" t="s">
        <v>3068</v>
      </c>
      <c r="D83" s="72" t="s">
        <v>3069</v>
      </c>
      <c r="E83" s="43">
        <v>43754</v>
      </c>
      <c r="F83" s="74">
        <v>1</v>
      </c>
      <c r="G83" s="74">
        <v>0</v>
      </c>
      <c r="H83" s="89" t="s">
        <v>1316</v>
      </c>
      <c r="I83" s="43">
        <v>45130</v>
      </c>
      <c r="J83" s="43"/>
    </row>
    <row r="84" spans="1:11" ht="26.4">
      <c r="A84" s="73">
        <v>83</v>
      </c>
      <c r="B84" s="85" t="str">
        <f>VLOOKUP(A84,[1]vaccines!A:B,2)</f>
        <v>anthrax_combined_48_NII_Minoborony</v>
      </c>
      <c r="C84" s="72" t="s">
        <v>3062</v>
      </c>
      <c r="D84" s="72" t="s">
        <v>3063</v>
      </c>
      <c r="E84" s="43">
        <v>39773</v>
      </c>
      <c r="F84" s="74">
        <v>1</v>
      </c>
      <c r="G84" s="74">
        <v>0</v>
      </c>
      <c r="H84" s="89" t="s">
        <v>1319</v>
      </c>
      <c r="I84" s="43">
        <v>45130</v>
      </c>
      <c r="J84" s="43"/>
      <c r="K84" s="87" t="s">
        <v>2557</v>
      </c>
    </row>
    <row r="85" spans="1:11" ht="264">
      <c r="A85" s="73">
        <v>84</v>
      </c>
      <c r="B85" s="85" t="str">
        <f>VLOOKUP(A85,[1]vaccines!A:B,2)</f>
        <v>Rabipur</v>
      </c>
      <c r="C85" s="72" t="s">
        <v>3070</v>
      </c>
      <c r="D85" s="72" t="s">
        <v>3071</v>
      </c>
      <c r="E85" s="43">
        <v>42996</v>
      </c>
      <c r="F85" s="74">
        <v>1</v>
      </c>
      <c r="G85" s="74">
        <v>0</v>
      </c>
      <c r="H85" s="89" t="s">
        <v>1321</v>
      </c>
      <c r="I85" s="43">
        <v>45130</v>
      </c>
      <c r="J85" s="43"/>
    </row>
    <row r="86" spans="1:11" ht="39.6">
      <c r="A86" s="73">
        <v>85</v>
      </c>
      <c r="B86" s="85" t="str">
        <f>VLOOKUP(A86,[1]vaccines!A:B,2)</f>
        <v>leptospirosis_Rostov_NII</v>
      </c>
      <c r="C86" s="72" t="s">
        <v>3072</v>
      </c>
      <c r="D86" s="72" t="s">
        <v>3073</v>
      </c>
      <c r="E86" s="43">
        <v>43881</v>
      </c>
      <c r="F86" s="74">
        <v>1</v>
      </c>
      <c r="G86" s="74">
        <v>0</v>
      </c>
      <c r="H86" s="89" t="s">
        <v>1323</v>
      </c>
      <c r="I86" s="43">
        <v>45130</v>
      </c>
      <c r="J86" s="43"/>
    </row>
    <row r="87" spans="1:11" ht="39.6">
      <c r="A87" s="73">
        <v>86</v>
      </c>
      <c r="B87" s="85" t="str">
        <f>VLOOKUP(A87,[1]vaccines!A:B,2)</f>
        <v>Q_fever_M_44_Microgen</v>
      </c>
      <c r="C87" s="72" t="s">
        <v>3072</v>
      </c>
      <c r="D87" s="72" t="s">
        <v>3074</v>
      </c>
      <c r="E87" s="59">
        <v>45691</v>
      </c>
      <c r="F87" s="73">
        <v>1</v>
      </c>
      <c r="G87" s="73">
        <v>0</v>
      </c>
      <c r="H87" s="86" t="s">
        <v>1327</v>
      </c>
      <c r="I87" s="59">
        <f>I86</f>
        <v>45130</v>
      </c>
      <c r="J87" s="66">
        <v>45716</v>
      </c>
    </row>
    <row r="88" spans="1:11" ht="39.6">
      <c r="A88" s="73">
        <v>87</v>
      </c>
      <c r="B88" s="85" t="str">
        <f>VLOOKUP(A88,[1]vaccines!A:B,2)</f>
        <v>cholera_NII_Microb</v>
      </c>
      <c r="C88" s="72" t="s">
        <v>3075</v>
      </c>
      <c r="D88" s="72" t="s">
        <v>3073</v>
      </c>
      <c r="E88" s="43">
        <v>44705</v>
      </c>
      <c r="F88" s="74">
        <v>1</v>
      </c>
      <c r="G88" s="74">
        <v>0</v>
      </c>
      <c r="H88" s="89" t="s">
        <v>2740</v>
      </c>
      <c r="I88" s="43">
        <v>45130</v>
      </c>
      <c r="J88" s="43"/>
    </row>
    <row r="89" spans="1:11" ht="158.4">
      <c r="A89" s="73">
        <v>88</v>
      </c>
      <c r="B89" s="85" t="str">
        <f>VLOOKUP(A89,[1]vaccines!A:B,2)</f>
        <v>Vianvac</v>
      </c>
      <c r="C89" s="72" t="s">
        <v>3076</v>
      </c>
      <c r="D89" s="72" t="s">
        <v>3077</v>
      </c>
      <c r="E89" s="59">
        <v>46036</v>
      </c>
      <c r="F89" s="73">
        <v>1</v>
      </c>
      <c r="G89" s="73">
        <v>0</v>
      </c>
      <c r="H89" s="86" t="s">
        <v>1333</v>
      </c>
      <c r="I89" s="59">
        <f>I88</f>
        <v>45130</v>
      </c>
      <c r="J89" s="66">
        <v>46130</v>
      </c>
    </row>
    <row r="90" spans="1:11" ht="79.2">
      <c r="A90" s="73">
        <v>89</v>
      </c>
      <c r="B90" s="85" t="str">
        <f>VLOOKUP(A90,[1]vaccines!A:B,2)</f>
        <v>Typhivac</v>
      </c>
      <c r="C90" s="72" t="s">
        <v>3078</v>
      </c>
      <c r="D90" s="72" t="s">
        <v>3079</v>
      </c>
      <c r="E90" s="43">
        <v>42762</v>
      </c>
      <c r="F90" s="74">
        <v>1</v>
      </c>
      <c r="G90" s="74">
        <v>0</v>
      </c>
      <c r="H90" s="89" t="s">
        <v>1336</v>
      </c>
      <c r="I90" s="43">
        <v>45130</v>
      </c>
      <c r="J90" s="43"/>
    </row>
    <row r="91" spans="1:11" ht="79.2">
      <c r="A91" s="73">
        <v>90</v>
      </c>
      <c r="B91" s="85" t="str">
        <f>VLOOKUP(A91,[1]vaccines!A:B,2)</f>
        <v>Shigellvac</v>
      </c>
      <c r="C91" s="72" t="s">
        <v>3080</v>
      </c>
      <c r="D91" s="72" t="s">
        <v>3081</v>
      </c>
      <c r="E91" s="59">
        <v>46015</v>
      </c>
      <c r="F91" s="73">
        <v>1</v>
      </c>
      <c r="G91" s="73">
        <v>0</v>
      </c>
      <c r="H91" s="86" t="s">
        <v>1339</v>
      </c>
      <c r="I91" s="59">
        <f>I90</f>
        <v>45130</v>
      </c>
      <c r="J91" s="66">
        <v>46130</v>
      </c>
    </row>
    <row r="92" spans="1:11" ht="66">
      <c r="A92" s="73">
        <v>91</v>
      </c>
      <c r="B92" s="85" t="str">
        <f>VLOOKUP(A92,[1]vaccines!A:B,2)</f>
        <v>CoviVac</v>
      </c>
      <c r="C92" s="72" t="s">
        <v>2975</v>
      </c>
      <c r="D92" s="72" t="s">
        <v>2976</v>
      </c>
      <c r="E92" s="43">
        <v>44246</v>
      </c>
      <c r="F92" s="74">
        <v>1</v>
      </c>
      <c r="G92" s="74">
        <v>0</v>
      </c>
      <c r="H92" s="89" t="s">
        <v>3082</v>
      </c>
      <c r="I92" s="43">
        <v>45130</v>
      </c>
      <c r="J92" s="43"/>
    </row>
    <row r="93" spans="1:11" ht="409.6">
      <c r="A93" s="73">
        <v>92</v>
      </c>
      <c r="B93" s="85" t="str">
        <f>VLOOKUP(A93,[1]vaccines!A:B,2)</f>
        <v>Sputnik_light</v>
      </c>
      <c r="C93" s="72" t="s">
        <v>3083</v>
      </c>
      <c r="D93" s="72" t="s">
        <v>3084</v>
      </c>
      <c r="E93" s="59">
        <v>45810</v>
      </c>
      <c r="F93" s="73">
        <v>1</v>
      </c>
      <c r="G93" s="73">
        <v>0</v>
      </c>
      <c r="H93" s="86" t="s">
        <v>1343</v>
      </c>
      <c r="I93" s="59">
        <f>I92</f>
        <v>45130</v>
      </c>
      <c r="J93" s="66">
        <v>45830</v>
      </c>
    </row>
    <row r="94" spans="1:11" ht="316.8">
      <c r="A94" s="73">
        <v>93</v>
      </c>
      <c r="B94" s="85" t="str">
        <f>VLOOKUP(A94,[1]vaccines!A:B,2)</f>
        <v>Sputnik_M</v>
      </c>
      <c r="C94" s="72" t="s">
        <v>3085</v>
      </c>
      <c r="D94" s="72" t="s">
        <v>3086</v>
      </c>
      <c r="E94" s="43">
        <v>44524</v>
      </c>
      <c r="F94" s="74">
        <v>1</v>
      </c>
      <c r="G94" s="74">
        <v>0</v>
      </c>
      <c r="H94" s="89" t="s">
        <v>1346</v>
      </c>
      <c r="I94" s="43">
        <v>45130</v>
      </c>
      <c r="J94" s="43"/>
      <c r="K94" s="87" t="s">
        <v>2557</v>
      </c>
    </row>
    <row r="95" spans="1:11" ht="79.2">
      <c r="A95" s="73">
        <v>94</v>
      </c>
      <c r="B95" s="85" t="str">
        <f>VLOOKUP(A95,[1]vaccines!A:B,2)</f>
        <v>Convacel</v>
      </c>
      <c r="C95" s="72" t="s">
        <v>3087</v>
      </c>
      <c r="D95" s="72" t="s">
        <v>3088</v>
      </c>
      <c r="E95" s="59">
        <v>46009</v>
      </c>
      <c r="F95" s="73">
        <v>1</v>
      </c>
      <c r="G95" s="73">
        <v>0</v>
      </c>
      <c r="H95" s="86" t="s">
        <v>1350</v>
      </c>
      <c r="I95" s="59">
        <f>I94</f>
        <v>45130</v>
      </c>
      <c r="J95" s="66">
        <v>46053</v>
      </c>
    </row>
    <row r="96" spans="1:11" ht="66">
      <c r="A96" s="73">
        <v>95</v>
      </c>
      <c r="B96" s="85" t="str">
        <f>VLOOKUP(A96,[1]vaccines!A:B,2)</f>
        <v>Aurora</v>
      </c>
      <c r="C96" s="72" t="s">
        <v>2977</v>
      </c>
      <c r="D96" s="72" t="s">
        <v>2978</v>
      </c>
      <c r="E96" s="43">
        <v>44434</v>
      </c>
      <c r="F96" s="74">
        <v>1</v>
      </c>
      <c r="G96" s="74">
        <v>0</v>
      </c>
      <c r="H96" s="89" t="s">
        <v>2758</v>
      </c>
      <c r="I96" s="43">
        <v>45130</v>
      </c>
      <c r="J96" s="43"/>
    </row>
    <row r="97" spans="1:11" ht="198">
      <c r="A97" s="73">
        <v>96</v>
      </c>
      <c r="B97" s="85" t="str">
        <f>VLOOKUP(A97,[1]vaccines!A:B,2)</f>
        <v>Rota_V_Aid</v>
      </c>
      <c r="C97" s="72" t="s">
        <v>3089</v>
      </c>
      <c r="D97" s="72" t="s">
        <v>3090</v>
      </c>
      <c r="E97" s="59">
        <v>45594</v>
      </c>
      <c r="F97" s="85"/>
      <c r="G97" s="85"/>
      <c r="H97" s="86" t="s">
        <v>1356</v>
      </c>
      <c r="I97" s="59">
        <f>I96</f>
        <v>45130</v>
      </c>
      <c r="J97" s="59">
        <v>45629</v>
      </c>
    </row>
    <row r="98" spans="1:11" ht="39.6">
      <c r="A98" s="73">
        <v>97</v>
      </c>
      <c r="B98" s="85" t="str">
        <f>VLOOKUP(A98,[1]vaccines!A:B,2)</f>
        <v>Hib_Rostov</v>
      </c>
      <c r="C98" s="62" t="s">
        <v>2935</v>
      </c>
      <c r="D98" s="72" t="s">
        <v>2936</v>
      </c>
      <c r="E98" s="43">
        <v>42577</v>
      </c>
      <c r="F98" s="74">
        <v>1</v>
      </c>
      <c r="G98" s="74">
        <v>0</v>
      </c>
      <c r="H98" s="89" t="s">
        <v>1359</v>
      </c>
      <c r="I98" s="43">
        <v>45130</v>
      </c>
      <c r="J98" s="43"/>
    </row>
    <row r="99" spans="1:11" ht="356.4">
      <c r="A99" s="73">
        <v>98</v>
      </c>
      <c r="B99" s="85" t="str">
        <f>VLOOKUP(A99,[1]vaccines!A:B,2)</f>
        <v>HepB_Combiotech_1_0</v>
      </c>
      <c r="C99" s="72" t="s">
        <v>2965</v>
      </c>
      <c r="D99" s="72" t="s">
        <v>2966</v>
      </c>
      <c r="E99" s="59">
        <v>46056</v>
      </c>
      <c r="F99" s="73">
        <v>1</v>
      </c>
      <c r="G99" s="73">
        <v>0</v>
      </c>
      <c r="H99" s="86" t="s">
        <v>1150</v>
      </c>
      <c r="I99" s="59">
        <f t="shared" ref="I99:I101" si="8">I98</f>
        <v>45130</v>
      </c>
      <c r="J99" s="66">
        <v>46130</v>
      </c>
    </row>
    <row r="100" spans="1:11" ht="211.2">
      <c r="A100" s="73">
        <v>99</v>
      </c>
      <c r="B100" s="85" t="str">
        <f>VLOOKUP(A100,[1]vaccines!A:B,2)</f>
        <v>Regevac_1_0</v>
      </c>
      <c r="C100" s="72" t="s">
        <v>2963</v>
      </c>
      <c r="D100" s="72" t="s">
        <v>2964</v>
      </c>
      <c r="E100" s="59">
        <v>45216</v>
      </c>
      <c r="F100" s="73">
        <v>1</v>
      </c>
      <c r="G100" s="73">
        <v>0</v>
      </c>
      <c r="H100" s="86" t="s">
        <v>1147</v>
      </c>
      <c r="I100" s="59">
        <f t="shared" si="8"/>
        <v>45130</v>
      </c>
      <c r="J100" s="66">
        <v>45988</v>
      </c>
    </row>
    <row r="101" spans="1:11" ht="396">
      <c r="A101" s="73">
        <v>100</v>
      </c>
      <c r="B101" s="85" t="str">
        <f>VLOOKUP(A101,[1]vaccines!A:B,2)</f>
        <v>Priorix_Tetra</v>
      </c>
      <c r="C101" s="72" t="s">
        <v>3091</v>
      </c>
      <c r="D101" s="72" t="s">
        <v>3092</v>
      </c>
      <c r="E101" s="59">
        <v>45453</v>
      </c>
      <c r="F101" s="85"/>
      <c r="G101" s="85"/>
      <c r="H101" s="86" t="s">
        <v>1366</v>
      </c>
      <c r="I101" s="59">
        <f t="shared" si="8"/>
        <v>45130</v>
      </c>
      <c r="J101" s="66">
        <v>45510</v>
      </c>
    </row>
    <row r="102" spans="1:11" ht="409.6">
      <c r="A102" s="73">
        <v>101</v>
      </c>
      <c r="B102" s="85" t="str">
        <f>VLOOKUP(A102,[1]vaccines!A:B,2)</f>
        <v>Menveo</v>
      </c>
      <c r="C102" s="72" t="s">
        <v>3093</v>
      </c>
      <c r="D102" s="72" t="s">
        <v>3094</v>
      </c>
      <c r="E102" s="43">
        <v>42958</v>
      </c>
      <c r="F102" s="74">
        <v>1</v>
      </c>
      <c r="G102" s="74">
        <v>0</v>
      </c>
      <c r="H102" s="89" t="s">
        <v>1369</v>
      </c>
      <c r="I102" s="43">
        <v>45130</v>
      </c>
      <c r="J102" s="43"/>
    </row>
    <row r="103" spans="1:11" ht="290.39999999999998">
      <c r="A103" s="73">
        <v>102</v>
      </c>
      <c r="B103" s="85" t="str">
        <f>VLOOKUP(A103,[1]vaccines!A:B,2)</f>
        <v>Sputnik_intranasal</v>
      </c>
      <c r="C103" s="72" t="s">
        <v>3095</v>
      </c>
      <c r="D103" s="72" t="s">
        <v>3096</v>
      </c>
      <c r="E103" s="43">
        <v>44651</v>
      </c>
      <c r="F103" s="74">
        <v>1</v>
      </c>
      <c r="G103" s="74">
        <v>0</v>
      </c>
      <c r="H103" s="89" t="s">
        <v>1372</v>
      </c>
      <c r="I103" s="43">
        <v>45130</v>
      </c>
      <c r="J103" s="43"/>
    </row>
    <row r="104" spans="1:11">
      <c r="A104" s="73">
        <v>103</v>
      </c>
      <c r="B104" s="85" t="str">
        <f>VLOOKUP(A104,[1]vaccines!A:B,2)</f>
        <v>Grippol_plus_0_25</v>
      </c>
      <c r="C104" s="72" t="s">
        <v>3097</v>
      </c>
      <c r="D104" s="72" t="s">
        <v>3098</v>
      </c>
      <c r="E104" s="59">
        <v>45182</v>
      </c>
      <c r="F104" s="85"/>
      <c r="G104" s="85"/>
      <c r="H104" s="86" t="s">
        <v>1179</v>
      </c>
      <c r="I104" s="43">
        <v>45130</v>
      </c>
      <c r="J104" s="43">
        <v>45483</v>
      </c>
      <c r="K104" s="87" t="s">
        <v>2557</v>
      </c>
    </row>
    <row r="105" spans="1:11" ht="409.6">
      <c r="A105" s="73">
        <v>104</v>
      </c>
      <c r="B105" s="85" t="str">
        <f>VLOOKUP(A105,[1]vaccines!A:B,2)</f>
        <v>Flu_M_Tetra</v>
      </c>
      <c r="C105" s="72" t="s">
        <v>3099</v>
      </c>
      <c r="D105" s="72" t="s">
        <v>3100</v>
      </c>
      <c r="E105" s="59">
        <v>45741</v>
      </c>
      <c r="F105" s="73">
        <v>1</v>
      </c>
      <c r="G105" s="73">
        <v>0</v>
      </c>
      <c r="H105" s="86" t="s">
        <v>1377</v>
      </c>
      <c r="I105" s="59">
        <f t="shared" ref="I105:I106" si="9">I104</f>
        <v>45130</v>
      </c>
      <c r="J105" s="66">
        <v>45798</v>
      </c>
    </row>
    <row r="106" spans="1:11" ht="409.6">
      <c r="A106" s="73">
        <v>105</v>
      </c>
      <c r="B106" s="85" t="str">
        <f>VLOOKUP(A106,[1]vaccines!A:B,2)</f>
        <v>Vaxigrip_Tetra</v>
      </c>
      <c r="C106" s="72" t="s">
        <v>3101</v>
      </c>
      <c r="D106" s="72" t="s">
        <v>3102</v>
      </c>
      <c r="E106" s="59">
        <v>45300</v>
      </c>
      <c r="F106" s="85"/>
      <c r="G106" s="85"/>
      <c r="H106" s="86" t="s">
        <v>1380</v>
      </c>
      <c r="I106" s="59">
        <f t="shared" si="9"/>
        <v>45130</v>
      </c>
      <c r="J106" s="66">
        <v>45489</v>
      </c>
    </row>
    <row r="107" spans="1:11" ht="158.4">
      <c r="A107" s="73">
        <v>106</v>
      </c>
      <c r="B107" s="85" t="str">
        <f>VLOOKUP(A107,[1]vaccines!A:B,2)</f>
        <v>Ocavax</v>
      </c>
      <c r="C107" s="72" t="s">
        <v>3103</v>
      </c>
      <c r="D107" s="72" t="s">
        <v>3104</v>
      </c>
      <c r="E107" s="43">
        <v>40233</v>
      </c>
      <c r="F107" s="74">
        <v>1</v>
      </c>
      <c r="G107" s="74">
        <v>0</v>
      </c>
      <c r="H107" s="89" t="s">
        <v>1383</v>
      </c>
      <c r="I107" s="43">
        <v>45130</v>
      </c>
      <c r="J107" s="43"/>
    </row>
    <row r="108" spans="1:11" ht="224.4">
      <c r="A108" s="73">
        <v>107</v>
      </c>
      <c r="B108" s="85" t="str">
        <f>VLOOKUP(A108,[1]vaccines!A:B,2)</f>
        <v>Pneumo_23</v>
      </c>
      <c r="C108" s="72" t="s">
        <v>3105</v>
      </c>
      <c r="D108" s="72" t="s">
        <v>3106</v>
      </c>
      <c r="E108" s="43">
        <v>41688</v>
      </c>
      <c r="F108" s="74">
        <v>1</v>
      </c>
      <c r="G108" s="74">
        <v>0</v>
      </c>
      <c r="H108" s="89" t="s">
        <v>1386</v>
      </c>
      <c r="I108" s="43">
        <v>45130</v>
      </c>
      <c r="J108" s="43"/>
    </row>
    <row r="109" spans="1:11" ht="409.6">
      <c r="A109" s="73">
        <v>108</v>
      </c>
      <c r="B109" s="85" t="str">
        <f>VLOOKUP(A109,[1]vaccines!A:B,2)</f>
        <v>Varivax</v>
      </c>
      <c r="C109" s="72" t="s">
        <v>3107</v>
      </c>
      <c r="D109" s="72" t="s">
        <v>3108</v>
      </c>
      <c r="E109" s="59">
        <v>45126</v>
      </c>
      <c r="F109" s="85"/>
      <c r="G109" s="85"/>
      <c r="H109" s="86" t="s">
        <v>1389</v>
      </c>
      <c r="I109" s="43">
        <v>45131</v>
      </c>
      <c r="J109" s="66">
        <v>45489</v>
      </c>
    </row>
    <row r="110" spans="1:11" ht="211.2">
      <c r="A110" s="73">
        <v>109</v>
      </c>
      <c r="B110" s="85" t="str">
        <f>VLOOKUP(A110,[1]vaccines!A:B,2)</f>
        <v>Pneumotex</v>
      </c>
      <c r="C110" s="72" t="s">
        <v>3109</v>
      </c>
      <c r="D110" s="72" t="s">
        <v>3110</v>
      </c>
      <c r="E110" s="59">
        <v>45777</v>
      </c>
      <c r="F110" s="73">
        <v>1</v>
      </c>
      <c r="G110" s="73">
        <v>0</v>
      </c>
      <c r="H110" s="86" t="s">
        <v>1392</v>
      </c>
      <c r="I110" s="43">
        <v>45131</v>
      </c>
      <c r="J110" s="66">
        <v>45818</v>
      </c>
    </row>
    <row r="111" spans="1:11" ht="118.8">
      <c r="A111" s="73">
        <v>110</v>
      </c>
      <c r="B111" s="85" t="str">
        <f>VLOOKUP(A111,[1]vaccines!A:B,2)</f>
        <v>Priorix</v>
      </c>
      <c r="C111" s="72" t="s">
        <v>3111</v>
      </c>
      <c r="D111" s="72" t="s">
        <v>3112</v>
      </c>
      <c r="E111" s="43">
        <v>40242</v>
      </c>
      <c r="F111" s="74">
        <v>1</v>
      </c>
      <c r="G111" s="74">
        <v>0</v>
      </c>
      <c r="H111" s="89" t="s">
        <v>3113</v>
      </c>
      <c r="I111" s="43">
        <v>45131</v>
      </c>
      <c r="J111" s="43"/>
    </row>
    <row r="112" spans="1:11" ht="409.6">
      <c r="A112" s="73">
        <v>111</v>
      </c>
      <c r="B112" s="85" t="str">
        <f>VLOOKUP(A112,[1]vaccines!A:B,2)</f>
        <v>MenQuadfi</v>
      </c>
      <c r="C112" s="72" t="s">
        <v>3114</v>
      </c>
      <c r="D112" s="72" t="s">
        <v>3115</v>
      </c>
      <c r="E112" s="59">
        <v>45932</v>
      </c>
      <c r="F112" s="73">
        <v>1</v>
      </c>
      <c r="G112" s="73">
        <v>0</v>
      </c>
      <c r="H112" s="86" t="s">
        <v>1398</v>
      </c>
      <c r="I112" s="43">
        <v>45131</v>
      </c>
      <c r="J112" s="66">
        <v>46072</v>
      </c>
    </row>
    <row r="113" spans="1:11" ht="409.6">
      <c r="A113" s="73">
        <v>112</v>
      </c>
      <c r="B113" s="85" t="str">
        <f>VLOOKUP(A113,[1]vaccines!A:B,2)</f>
        <v>Bexsero</v>
      </c>
      <c r="C113" s="72" t="s">
        <v>3116</v>
      </c>
      <c r="D113" s="72" t="s">
        <v>3117</v>
      </c>
      <c r="E113" s="59">
        <v>45391</v>
      </c>
      <c r="F113" s="85"/>
      <c r="G113" s="85"/>
      <c r="H113" s="86" t="s">
        <v>1401</v>
      </c>
      <c r="I113" s="43">
        <v>45131</v>
      </c>
      <c r="J113" s="66">
        <v>45489</v>
      </c>
    </row>
    <row r="114" spans="1:11" ht="118.8">
      <c r="A114" s="73">
        <v>113</v>
      </c>
      <c r="B114" s="85" t="str">
        <f>VLOOKUP(A114,[1]vaccines!A:B,2)</f>
        <v>Sputnik_D</v>
      </c>
      <c r="C114" s="72" t="s">
        <v>3118</v>
      </c>
      <c r="D114" s="72" t="s">
        <v>3119</v>
      </c>
      <c r="E114" s="43">
        <v>45030</v>
      </c>
      <c r="F114" s="74">
        <v>1</v>
      </c>
      <c r="G114" s="74">
        <v>0</v>
      </c>
      <c r="H114" s="89" t="s">
        <v>2797</v>
      </c>
      <c r="I114" s="43">
        <v>45131</v>
      </c>
      <c r="J114" s="43"/>
      <c r="K114" s="87" t="s">
        <v>2557</v>
      </c>
    </row>
    <row r="115" spans="1:11" ht="39.6">
      <c r="A115" s="73">
        <v>114</v>
      </c>
      <c r="B115" s="85" t="str">
        <f>VLOOKUP(A115,[1]vaccines!A:B,2)</f>
        <v>Encepur_0_25</v>
      </c>
      <c r="C115" s="62" t="s">
        <v>2935</v>
      </c>
      <c r="D115" s="72" t="s">
        <v>2936</v>
      </c>
      <c r="E115" s="43">
        <v>40252</v>
      </c>
      <c r="F115" s="74">
        <v>1</v>
      </c>
      <c r="G115" s="74">
        <v>0</v>
      </c>
      <c r="H115" s="89" t="s">
        <v>1407</v>
      </c>
      <c r="I115" s="43">
        <v>45131</v>
      </c>
      <c r="J115" s="43"/>
    </row>
    <row r="116" spans="1:11" ht="132">
      <c r="A116" s="73">
        <v>115</v>
      </c>
      <c r="B116" s="85" t="str">
        <f>VLOOKUP(A116,[1]vaccines!A:B,2)</f>
        <v>Encepur_0_5</v>
      </c>
      <c r="C116" s="72" t="s">
        <v>3120</v>
      </c>
      <c r="D116" s="72" t="s">
        <v>3121</v>
      </c>
      <c r="E116" s="43">
        <v>39878</v>
      </c>
      <c r="F116" s="74">
        <v>1</v>
      </c>
      <c r="G116" s="74">
        <v>0</v>
      </c>
      <c r="H116" s="89" t="s">
        <v>1410</v>
      </c>
      <c r="I116" s="43">
        <v>45131</v>
      </c>
      <c r="J116" s="43"/>
    </row>
    <row r="117" spans="1:11" ht="250.8">
      <c r="A117" s="73">
        <v>116</v>
      </c>
      <c r="B117" s="85" t="str">
        <f>VLOOKUP(A117,[1]vaccines!A:B,2)</f>
        <v>Poliovaccine</v>
      </c>
      <c r="C117" s="72" t="s">
        <v>3122</v>
      </c>
      <c r="D117" s="72" t="s">
        <v>3123</v>
      </c>
      <c r="E117" s="43">
        <v>44476</v>
      </c>
      <c r="F117" s="74">
        <v>1</v>
      </c>
      <c r="G117" s="74">
        <v>0</v>
      </c>
      <c r="H117" s="89" t="s">
        <v>2804</v>
      </c>
      <c r="I117" s="43">
        <v>45131</v>
      </c>
      <c r="J117" s="43"/>
    </row>
    <row r="118" spans="1:11" ht="79.2">
      <c r="A118" s="73">
        <v>117</v>
      </c>
      <c r="B118" s="85" t="str">
        <f>VLOOKUP(A118,[1]vaccines!A:B,2)</f>
        <v>Act_Hib</v>
      </c>
      <c r="C118" s="72" t="s">
        <v>3124</v>
      </c>
      <c r="D118" s="72" t="s">
        <v>3125</v>
      </c>
      <c r="E118" s="43">
        <v>41936</v>
      </c>
      <c r="F118" s="74">
        <v>1</v>
      </c>
      <c r="G118" s="74">
        <v>0</v>
      </c>
      <c r="H118" s="89" t="s">
        <v>1414</v>
      </c>
      <c r="I118" s="43">
        <v>45131</v>
      </c>
      <c r="J118" s="43"/>
    </row>
    <row r="119" spans="1:11" ht="237.6">
      <c r="A119" s="73">
        <v>118</v>
      </c>
      <c r="B119" s="85" t="str">
        <f>VLOOKUP(A119,[1]vaccines!A:B,2)</f>
        <v>Hiberix</v>
      </c>
      <c r="C119" s="72" t="s">
        <v>3126</v>
      </c>
      <c r="D119" s="72" t="s">
        <v>3127</v>
      </c>
      <c r="E119" s="43">
        <v>42632</v>
      </c>
      <c r="F119" s="74">
        <v>3</v>
      </c>
      <c r="G119" s="74">
        <v>5</v>
      </c>
      <c r="H119" s="89" t="s">
        <v>3128</v>
      </c>
      <c r="I119" s="43">
        <v>45131</v>
      </c>
      <c r="J119" s="43"/>
    </row>
    <row r="120" spans="1:11" ht="303.60000000000002">
      <c r="A120" s="73">
        <v>119</v>
      </c>
      <c r="B120" s="85" t="str">
        <f>VLOOKUP(A120,[1]vaccines!A:B,2)</f>
        <v>FSME_Immun_Junior</v>
      </c>
      <c r="C120" s="72" t="s">
        <v>3129</v>
      </c>
      <c r="D120" s="72" t="s">
        <v>3130</v>
      </c>
      <c r="E120" s="43">
        <v>43115</v>
      </c>
      <c r="F120" s="74">
        <v>1</v>
      </c>
      <c r="G120" s="74">
        <v>0</v>
      </c>
      <c r="H120" s="89" t="s">
        <v>1420</v>
      </c>
      <c r="I120" s="43">
        <v>45131</v>
      </c>
      <c r="J120" s="43"/>
    </row>
    <row r="121" spans="1:11" ht="264">
      <c r="A121" s="73">
        <v>120</v>
      </c>
      <c r="B121" s="85" t="str">
        <f>VLOOKUP(A121,[1]vaccines!A:B,2)</f>
        <v>FSME_Immun</v>
      </c>
      <c r="C121" s="72" t="s">
        <v>3131</v>
      </c>
      <c r="D121" s="72" t="s">
        <v>3132</v>
      </c>
      <c r="E121" s="43">
        <v>44169</v>
      </c>
      <c r="F121" s="74">
        <v>1</v>
      </c>
      <c r="G121" s="74">
        <v>0</v>
      </c>
      <c r="H121" s="89" t="s">
        <v>1423</v>
      </c>
      <c r="I121" s="43">
        <v>45131</v>
      </c>
      <c r="J121" s="43"/>
    </row>
    <row r="122" spans="1:11" ht="382.8">
      <c r="A122" s="73">
        <v>121</v>
      </c>
      <c r="B122" s="85" t="str">
        <f>VLOOKUP(A122,[1]vaccines!A:B,2)</f>
        <v>SciBiVac</v>
      </c>
      <c r="C122" s="72" t="s">
        <v>3133</v>
      </c>
      <c r="D122" s="72" t="s">
        <v>3134</v>
      </c>
      <c r="E122" s="43">
        <v>44762</v>
      </c>
      <c r="F122" s="74">
        <v>1</v>
      </c>
      <c r="G122" s="74">
        <v>0</v>
      </c>
      <c r="H122" s="89" t="s">
        <v>1426</v>
      </c>
      <c r="I122" s="43">
        <v>45131</v>
      </c>
      <c r="J122" s="43"/>
      <c r="K122" s="87" t="s">
        <v>2557</v>
      </c>
    </row>
    <row r="123" spans="1:11" ht="52.8">
      <c r="A123" s="73">
        <v>122</v>
      </c>
      <c r="B123" s="85" t="str">
        <f>VLOOKUP(A123,[1]vaccines!A:B,2)</f>
        <v>Pentavaccina</v>
      </c>
      <c r="C123" s="72" t="s">
        <v>3135</v>
      </c>
      <c r="D123" s="72" t="s">
        <v>3136</v>
      </c>
      <c r="E123" s="66">
        <v>45320</v>
      </c>
      <c r="F123" s="85"/>
      <c r="G123" s="85"/>
      <c r="H123" s="86" t="s">
        <v>1429</v>
      </c>
      <c r="I123" s="43">
        <v>45131</v>
      </c>
      <c r="J123" s="66">
        <v>45460</v>
      </c>
    </row>
    <row r="124" spans="1:11" ht="52.8">
      <c r="A124" s="73">
        <v>123</v>
      </c>
      <c r="B124" s="85" t="str">
        <f>VLOOKUP(A124,[1]vaccines!A:B,2)</f>
        <v>Vitagerpavac</v>
      </c>
      <c r="C124" s="62" t="s">
        <v>3003</v>
      </c>
      <c r="D124" s="72" t="s">
        <v>3004</v>
      </c>
      <c r="E124" s="59">
        <v>40255</v>
      </c>
      <c r="F124" s="73">
        <v>1</v>
      </c>
      <c r="G124" s="73">
        <v>0</v>
      </c>
      <c r="H124" s="86" t="s">
        <v>1432</v>
      </c>
      <c r="I124" s="43">
        <v>45169</v>
      </c>
      <c r="J124" s="43"/>
      <c r="K124" s="87" t="s">
        <v>2554</v>
      </c>
    </row>
    <row r="125" spans="1:11" ht="250.8">
      <c r="A125" s="85">
        <v>124</v>
      </c>
      <c r="B125" s="85" t="str">
        <f>VLOOKUP(A125,[1]vaccines!A:B,2)</f>
        <v>Shingrix</v>
      </c>
      <c r="C125" s="72" t="s">
        <v>3137</v>
      </c>
      <c r="D125" s="72" t="s">
        <v>3138</v>
      </c>
      <c r="E125" s="59">
        <v>45440</v>
      </c>
      <c r="F125" s="85"/>
      <c r="G125" s="85"/>
      <c r="H125" s="86" t="s">
        <v>1435</v>
      </c>
      <c r="I125" s="59">
        <v>45447</v>
      </c>
      <c r="J125" s="59">
        <v>45589</v>
      </c>
    </row>
    <row r="126" spans="1:11" ht="409.6">
      <c r="A126" s="85">
        <v>125</v>
      </c>
      <c r="B126" s="85" t="str">
        <f>VLOOKUP(A126,[1]vaccines!A:B,2)</f>
        <v>Trivaid</v>
      </c>
      <c r="C126" s="72" t="s">
        <v>3139</v>
      </c>
      <c r="D126" s="72" t="s">
        <v>3140</v>
      </c>
      <c r="E126" s="59">
        <v>45996</v>
      </c>
      <c r="F126" s="73">
        <v>1</v>
      </c>
      <c r="G126" s="73">
        <v>0</v>
      </c>
      <c r="H126" s="86" t="s">
        <v>1438</v>
      </c>
      <c r="I126" s="59">
        <v>45436</v>
      </c>
      <c r="J126" s="59">
        <v>46053</v>
      </c>
    </row>
    <row r="127" spans="1:11" ht="52.8">
      <c r="A127" s="85">
        <v>126</v>
      </c>
      <c r="B127" s="85" t="str">
        <f>VLOOKUP(A127,[1]vaccines!A:B,2)</f>
        <v>BabyHib</v>
      </c>
      <c r="C127" s="72" t="s">
        <v>3141</v>
      </c>
      <c r="D127" s="72" t="s">
        <v>3142</v>
      </c>
      <c r="E127" s="59">
        <v>45938</v>
      </c>
      <c r="F127" s="73">
        <v>1</v>
      </c>
      <c r="G127" s="73">
        <v>0</v>
      </c>
      <c r="H127" s="86" t="s">
        <v>1441</v>
      </c>
      <c r="I127" s="59">
        <v>45436</v>
      </c>
      <c r="J127" s="59">
        <v>45988</v>
      </c>
    </row>
    <row r="128" spans="1:11" ht="105.6">
      <c r="A128" s="85">
        <v>127</v>
      </c>
      <c r="B128" s="85" t="str">
        <f>VLOOKUP(A128,[1]vaccines!A:B,2)</f>
        <v>AD_M_Biomed</v>
      </c>
      <c r="C128" s="72" t="s">
        <v>2933</v>
      </c>
      <c r="D128" s="72" t="s">
        <v>2934</v>
      </c>
      <c r="E128" s="59">
        <v>41046</v>
      </c>
      <c r="F128" s="73">
        <v>1</v>
      </c>
      <c r="G128" s="73">
        <v>0</v>
      </c>
      <c r="H128" s="86" t="s">
        <v>1444</v>
      </c>
      <c r="I128" s="59">
        <v>45461</v>
      </c>
      <c r="J128" s="43"/>
    </row>
    <row r="129" spans="1:10" ht="79.2">
      <c r="A129" s="85">
        <v>128</v>
      </c>
      <c r="B129" s="85" t="str">
        <f>VLOOKUP(A129,[1]vaccines!A:B,2)</f>
        <v>AS_D_Microgen</v>
      </c>
      <c r="C129" s="72" t="s">
        <v>3143</v>
      </c>
      <c r="D129" s="72" t="s">
        <v>3144</v>
      </c>
      <c r="E129" s="59">
        <v>45266</v>
      </c>
      <c r="F129" s="85"/>
      <c r="G129" s="85"/>
      <c r="H129" s="86" t="s">
        <v>1447</v>
      </c>
      <c r="I129" s="59">
        <v>45461</v>
      </c>
      <c r="J129" s="43"/>
    </row>
    <row r="130" spans="1:10" ht="145.19999999999999">
      <c r="A130" s="85">
        <v>129</v>
      </c>
      <c r="B130" s="85" t="str">
        <f>VLOOKUP(A130,[1]vaccines!A:B,2)</f>
        <v>Variola</v>
      </c>
      <c r="C130" s="72" t="s">
        <v>3145</v>
      </c>
      <c r="D130" s="72" t="s">
        <v>3146</v>
      </c>
      <c r="E130" s="59">
        <v>45252</v>
      </c>
      <c r="F130" s="85"/>
      <c r="G130" s="85"/>
      <c r="H130" s="86" t="s">
        <v>1450</v>
      </c>
      <c r="I130" s="59">
        <v>45461</v>
      </c>
      <c r="J130" s="43"/>
    </row>
    <row r="131" spans="1:10" ht="26.4">
      <c r="A131" s="85">
        <v>130</v>
      </c>
      <c r="B131" s="85" t="str">
        <f>VLOOKUP(A131,[1]vaccines!A:B,2)</f>
        <v>AKDS_HepB_Microgen</v>
      </c>
      <c r="C131" s="72" t="s">
        <v>3147</v>
      </c>
      <c r="D131" s="72" t="s">
        <v>3148</v>
      </c>
      <c r="E131" s="59">
        <v>45135</v>
      </c>
      <c r="F131" s="85"/>
      <c r="G131" s="85"/>
      <c r="H131" s="86" t="s">
        <v>1453</v>
      </c>
      <c r="I131" s="59">
        <v>45464</v>
      </c>
      <c r="J131" s="43"/>
    </row>
    <row r="132" spans="1:10" ht="184.8">
      <c r="A132" s="85">
        <v>131</v>
      </c>
      <c r="B132" s="85" t="str">
        <f>VLOOKUP(A132,[1]vaccines!A:B,2)</f>
        <v>Rickettsia</v>
      </c>
      <c r="C132" s="72" t="s">
        <v>3149</v>
      </c>
      <c r="D132" s="72" t="s">
        <v>3150</v>
      </c>
      <c r="E132" s="59">
        <v>45107</v>
      </c>
      <c r="F132" s="85"/>
      <c r="G132" s="85"/>
      <c r="H132" s="86" t="s">
        <v>1456</v>
      </c>
      <c r="I132" s="59">
        <v>45464</v>
      </c>
      <c r="J132" s="43"/>
    </row>
    <row r="133" spans="1:10" ht="145.19999999999999">
      <c r="A133" s="85">
        <v>132</v>
      </c>
      <c r="B133" s="85" t="str">
        <f>VLOOKUP(A133,[1]vaccines!A:B,2)</f>
        <v>OspaVir</v>
      </c>
      <c r="C133" s="72" t="s">
        <v>3151</v>
      </c>
      <c r="D133" s="72" t="s">
        <v>3152</v>
      </c>
      <c r="E133" s="59">
        <v>45077</v>
      </c>
      <c r="F133" s="85"/>
      <c r="G133" s="85"/>
      <c r="H133" s="86" t="s">
        <v>1459</v>
      </c>
      <c r="I133" s="59">
        <v>45464</v>
      </c>
      <c r="J133" s="43"/>
    </row>
    <row r="134" spans="1:10" ht="145.19999999999999">
      <c r="A134" s="85">
        <v>133</v>
      </c>
      <c r="B134" s="85" t="str">
        <f>VLOOKUP(A134,[1]vaccines!A:B,2)</f>
        <v>Gonovaccina_therapeutic</v>
      </c>
      <c r="C134" s="72" t="s">
        <v>3153</v>
      </c>
      <c r="D134" s="72" t="s">
        <v>3154</v>
      </c>
      <c r="E134" s="59">
        <v>44942</v>
      </c>
      <c r="F134" s="85"/>
      <c r="G134" s="85"/>
      <c r="H134" s="86" t="s">
        <v>1462</v>
      </c>
      <c r="I134" s="59">
        <v>45464</v>
      </c>
      <c r="J134" s="43"/>
    </row>
    <row r="135" spans="1:10" ht="330">
      <c r="A135" s="85">
        <v>134</v>
      </c>
      <c r="B135" s="85" t="str">
        <f>VLOOKUP(A135,[1]vaccines!A:B,2)</f>
        <v>OrtopoxVac</v>
      </c>
      <c r="C135" s="72" t="s">
        <v>3155</v>
      </c>
      <c r="D135" s="72" t="s">
        <v>3156</v>
      </c>
      <c r="E135" s="43">
        <v>45147</v>
      </c>
      <c r="H135" s="89" t="s">
        <v>1465</v>
      </c>
      <c r="I135" s="43">
        <v>45465</v>
      </c>
      <c r="J135" s="43"/>
    </row>
    <row r="136" spans="1:10" ht="92.4">
      <c r="A136" s="85">
        <v>135</v>
      </c>
      <c r="B136" s="85" t="str">
        <f>VLOOKUP(A136,[1]vaccines!A:B,2)</f>
        <v>FlexVac</v>
      </c>
      <c r="C136" s="72" t="s">
        <v>3157</v>
      </c>
      <c r="D136" s="72" t="s">
        <v>3158</v>
      </c>
      <c r="E136" s="59">
        <v>46126</v>
      </c>
      <c r="F136" s="73">
        <v>1</v>
      </c>
      <c r="G136" s="73">
        <v>0</v>
      </c>
      <c r="H136" s="86" t="s">
        <v>1468</v>
      </c>
      <c r="I136" s="59">
        <v>45465</v>
      </c>
      <c r="J136" s="59">
        <v>46188</v>
      </c>
    </row>
    <row r="137" spans="1:10" ht="52.8">
      <c r="A137" s="85">
        <v>136</v>
      </c>
      <c r="B137" s="85" t="str">
        <f>VLOOKUP(A137,[1]vaccines!A:B,2)</f>
        <v>SinSaVac</v>
      </c>
      <c r="C137" s="72" t="s">
        <v>3159</v>
      </c>
      <c r="D137" s="72" t="s">
        <v>3160</v>
      </c>
      <c r="E137" s="59">
        <v>44537</v>
      </c>
      <c r="F137" s="73">
        <v>1</v>
      </c>
      <c r="G137" s="73">
        <v>0</v>
      </c>
      <c r="H137" s="86" t="s">
        <v>1471</v>
      </c>
      <c r="I137" s="59">
        <v>45465</v>
      </c>
      <c r="J137" s="43"/>
    </row>
    <row r="138" spans="1:10" ht="66">
      <c r="A138" s="85">
        <v>138</v>
      </c>
      <c r="B138" s="85" t="str">
        <f>VLOOKUP(A138,[1]vaccines!A:B,2)</f>
        <v>EpiVacEbola</v>
      </c>
      <c r="C138" s="72" t="s">
        <v>3161</v>
      </c>
      <c r="D138" s="72" t="s">
        <v>3162</v>
      </c>
      <c r="E138" s="59">
        <v>43185</v>
      </c>
      <c r="F138" s="73">
        <v>1</v>
      </c>
      <c r="G138" s="73">
        <v>0</v>
      </c>
      <c r="H138" s="86" t="s">
        <v>1474</v>
      </c>
      <c r="I138" s="59">
        <v>45465</v>
      </c>
      <c r="J138" s="43"/>
    </row>
    <row r="139" spans="1:10" ht="198">
      <c r="A139" s="85">
        <v>139</v>
      </c>
      <c r="B139" s="85" t="str">
        <f>VLOOKUP(A139,[1]vaccines!A:B,2)</f>
        <v>GamEvac_Combi</v>
      </c>
      <c r="C139" s="72" t="s">
        <v>3163</v>
      </c>
      <c r="D139" s="72" t="s">
        <v>3164</v>
      </c>
      <c r="E139" s="59">
        <v>46099</v>
      </c>
      <c r="F139" s="73">
        <v>1</v>
      </c>
      <c r="G139" s="73">
        <v>0</v>
      </c>
      <c r="H139" s="86" t="s">
        <v>1477</v>
      </c>
      <c r="I139" s="59">
        <v>46131</v>
      </c>
      <c r="J139" s="43"/>
    </row>
    <row r="140" spans="1:10" ht="39.6">
      <c r="A140" s="85">
        <v>141</v>
      </c>
      <c r="B140" s="85" t="str">
        <f>VLOOKUP(A140,[1]vaccines!A:B,2)</f>
        <v>Staphylococcus_therapeutic_Biomed</v>
      </c>
      <c r="C140" s="72" t="s">
        <v>3165</v>
      </c>
      <c r="D140" s="72" t="s">
        <v>3166</v>
      </c>
      <c r="E140" s="59">
        <v>43388</v>
      </c>
      <c r="F140" s="73">
        <v>1</v>
      </c>
      <c r="G140" s="73">
        <v>0</v>
      </c>
      <c r="H140" s="86" t="s">
        <v>1480</v>
      </c>
      <c r="I140" s="59">
        <v>45465</v>
      </c>
      <c r="J140" s="43"/>
    </row>
    <row r="141" spans="1:10" ht="39.6">
      <c r="A141" s="85">
        <v>142</v>
      </c>
      <c r="B141" s="85" t="str">
        <f>VLOOKUP(A141,[1]vaccines!A:B,2)</f>
        <v>Pseudovac</v>
      </c>
      <c r="C141" s="72" t="s">
        <v>3167</v>
      </c>
      <c r="D141" s="72" t="s">
        <v>3168</v>
      </c>
      <c r="E141" s="59">
        <v>42809</v>
      </c>
      <c r="F141" s="73">
        <v>1</v>
      </c>
      <c r="G141" s="73">
        <v>0</v>
      </c>
      <c r="H141" s="86" t="s">
        <v>1483</v>
      </c>
      <c r="I141" s="59">
        <v>45466</v>
      </c>
      <c r="J141" s="43"/>
    </row>
    <row r="142" spans="1:10" ht="79.2">
      <c r="A142" s="85">
        <v>143</v>
      </c>
      <c r="B142" s="85" t="str">
        <f>VLOOKUP(A142,[1]vaccines!A:B,2)</f>
        <v>SPSA_therapeutic</v>
      </c>
      <c r="C142" s="72" t="s">
        <v>3169</v>
      </c>
      <c r="D142" s="72" t="s">
        <v>3170</v>
      </c>
      <c r="E142" s="59">
        <v>40819</v>
      </c>
      <c r="F142" s="73">
        <v>1</v>
      </c>
      <c r="G142" s="73">
        <v>0</v>
      </c>
      <c r="H142" s="86" t="s">
        <v>1486</v>
      </c>
      <c r="I142" s="59">
        <v>45466</v>
      </c>
      <c r="J142" s="43"/>
    </row>
    <row r="143" spans="1:10" ht="343.2">
      <c r="A143" s="85">
        <v>144</v>
      </c>
      <c r="B143" s="85" t="str">
        <f>VLOOKUP(A143,[1]vaccines!A:B,2)</f>
        <v>HepB_Serum_India_0_5</v>
      </c>
      <c r="C143" s="65" t="s">
        <v>3171</v>
      </c>
      <c r="D143" s="72" t="s">
        <v>3172</v>
      </c>
      <c r="E143" s="59">
        <v>45981</v>
      </c>
      <c r="F143" s="73">
        <v>1</v>
      </c>
      <c r="G143" s="73">
        <v>0</v>
      </c>
      <c r="H143" s="86" t="s">
        <v>1489</v>
      </c>
      <c r="I143" s="59">
        <v>45466</v>
      </c>
      <c r="J143" s="59">
        <v>46053</v>
      </c>
    </row>
    <row r="144" spans="1:10" ht="66">
      <c r="A144" s="85">
        <v>145</v>
      </c>
      <c r="B144" s="85" t="str">
        <f>VLOOKUP(A144,[1]vaccines!A:B,2)</f>
        <v>Polio_1_2_3</v>
      </c>
      <c r="C144" s="72" t="s">
        <v>3173</v>
      </c>
      <c r="D144" s="72" t="s">
        <v>3174</v>
      </c>
      <c r="E144" s="59">
        <v>45275</v>
      </c>
      <c r="F144" s="73">
        <v>1</v>
      </c>
      <c r="G144" s="73">
        <v>0</v>
      </c>
      <c r="H144" s="86" t="s">
        <v>1492</v>
      </c>
      <c r="I144" s="59">
        <v>45466</v>
      </c>
      <c r="J144" s="43"/>
    </row>
    <row r="145" spans="1:10" ht="26.4">
      <c r="A145" s="85">
        <v>146</v>
      </c>
      <c r="B145" s="85" t="str">
        <f>VLOOKUP(A145,[1]vaccines!A:B,2)</f>
        <v>TEOVac_chew_tablets</v>
      </c>
      <c r="C145" s="72" t="s">
        <v>3175</v>
      </c>
      <c r="D145" s="72" t="s">
        <v>3176</v>
      </c>
      <c r="E145" s="59">
        <v>40396</v>
      </c>
      <c r="F145" s="73">
        <v>1</v>
      </c>
      <c r="G145" s="73">
        <v>0</v>
      </c>
      <c r="H145" s="86" t="s">
        <v>1495</v>
      </c>
      <c r="I145" s="59">
        <v>45467</v>
      </c>
      <c r="J145" s="43"/>
    </row>
    <row r="146" spans="1:10" ht="26.4">
      <c r="A146" s="85">
        <v>147</v>
      </c>
      <c r="B146" s="85" t="str">
        <f>VLOOKUP(A146,[1]vaccines!A:B,2)</f>
        <v>TEOVac_tablets</v>
      </c>
      <c r="C146" s="72" t="s">
        <v>3175</v>
      </c>
      <c r="D146" s="72" t="s">
        <v>3176</v>
      </c>
      <c r="E146" s="59">
        <v>40392</v>
      </c>
      <c r="F146" s="73">
        <v>1</v>
      </c>
      <c r="G146" s="73">
        <v>0</v>
      </c>
      <c r="H146" s="86" t="s">
        <v>1497</v>
      </c>
      <c r="I146" s="59">
        <v>45467</v>
      </c>
      <c r="J146" s="43"/>
    </row>
    <row r="147" spans="1:10" ht="343.2">
      <c r="A147" s="74">
        <v>148</v>
      </c>
      <c r="B147" s="85" t="str">
        <f>VLOOKUP(A147,[1]vaccines!A:B,2)</f>
        <v>Uro_BCG_therapeutic</v>
      </c>
      <c r="C147" s="72" t="s">
        <v>3177</v>
      </c>
      <c r="D147" s="72" t="s">
        <v>3178</v>
      </c>
      <c r="E147" s="59">
        <v>42947</v>
      </c>
      <c r="F147" s="73">
        <v>1</v>
      </c>
      <c r="G147" s="73">
        <v>0</v>
      </c>
      <c r="H147" s="86" t="s">
        <v>1499</v>
      </c>
      <c r="I147" s="59">
        <v>45494</v>
      </c>
      <c r="J147" s="43"/>
    </row>
    <row r="148" spans="1:10">
      <c r="A148" s="85">
        <v>149</v>
      </c>
      <c r="B148" s="85" t="str">
        <f>VLOOKUP(A148,[1]vaccines!A:B,2)</f>
        <v>Flu_Microgen</v>
      </c>
      <c r="C148" s="72" t="s">
        <v>3179</v>
      </c>
      <c r="D148" s="72" t="s">
        <v>3180</v>
      </c>
      <c r="E148" s="59">
        <v>40940</v>
      </c>
      <c r="F148" s="73">
        <v>1</v>
      </c>
      <c r="G148" s="73">
        <v>0</v>
      </c>
      <c r="H148" s="86" t="s">
        <v>1502</v>
      </c>
      <c r="I148" s="59">
        <v>45494</v>
      </c>
      <c r="J148" s="43"/>
    </row>
    <row r="149" spans="1:10" ht="171.6">
      <c r="A149" s="74">
        <v>150</v>
      </c>
      <c r="B149" s="85" t="str">
        <f>VLOOKUP(A149,[1]vaccines!A:B,2)</f>
        <v>MonoGrippol_plus</v>
      </c>
      <c r="C149" s="72" t="s">
        <v>3181</v>
      </c>
      <c r="D149" s="72" t="s">
        <v>3182</v>
      </c>
      <c r="E149" s="59">
        <v>42719</v>
      </c>
      <c r="F149" s="73">
        <v>1</v>
      </c>
      <c r="G149" s="73">
        <v>0</v>
      </c>
      <c r="H149" s="86" t="s">
        <v>1505</v>
      </c>
      <c r="I149" s="59">
        <v>45494</v>
      </c>
      <c r="J149" s="43"/>
    </row>
    <row r="150" spans="1:10" ht="171.6">
      <c r="A150" s="85">
        <v>151</v>
      </c>
      <c r="B150" s="85" t="str">
        <f>VLOOKUP(A150,[1]vaccines!A:B,2)</f>
        <v>MonoGrippol_Neo</v>
      </c>
      <c r="C150" s="72" t="s">
        <v>3181</v>
      </c>
      <c r="D150" s="72" t="s">
        <v>3182</v>
      </c>
      <c r="E150" s="59">
        <v>40102</v>
      </c>
      <c r="F150" s="73">
        <v>1</v>
      </c>
      <c r="G150" s="73">
        <v>0</v>
      </c>
      <c r="H150" s="86" t="s">
        <v>1508</v>
      </c>
      <c r="I150" s="59">
        <v>45494</v>
      </c>
      <c r="J150" s="43"/>
    </row>
    <row r="151" spans="1:10" ht="171.6">
      <c r="A151" s="74">
        <v>152</v>
      </c>
      <c r="B151" s="85" t="str">
        <f>VLOOKUP(A151,[1]vaccines!A:B,2)</f>
        <v>MonoGrippol</v>
      </c>
      <c r="C151" s="72" t="s">
        <v>3181</v>
      </c>
      <c r="D151" s="72" t="s">
        <v>3182</v>
      </c>
      <c r="E151" s="59">
        <v>40102</v>
      </c>
      <c r="F151" s="73">
        <v>1</v>
      </c>
      <c r="G151" s="73">
        <v>0</v>
      </c>
      <c r="H151" s="86" t="s">
        <v>1510</v>
      </c>
      <c r="I151" s="59">
        <v>45494</v>
      </c>
      <c r="J151" s="43"/>
    </row>
    <row r="152" spans="1:10" ht="39.6">
      <c r="A152" s="85">
        <v>153</v>
      </c>
      <c r="B152" s="85" t="str">
        <f>VLOOKUP(A152,[1]vaccines!A:B,2)</f>
        <v>Influvir</v>
      </c>
      <c r="C152" s="72" t="s">
        <v>3183</v>
      </c>
      <c r="D152" s="72" t="s">
        <v>3184</v>
      </c>
      <c r="E152" s="59">
        <v>45681</v>
      </c>
      <c r="F152" s="73">
        <v>1</v>
      </c>
      <c r="G152" s="73">
        <v>0</v>
      </c>
      <c r="H152" s="86" t="s">
        <v>1512</v>
      </c>
      <c r="I152" s="59">
        <v>45494</v>
      </c>
      <c r="J152" s="59">
        <v>45717</v>
      </c>
    </row>
    <row r="153" spans="1:10" ht="92.4">
      <c r="A153" s="74">
        <v>154</v>
      </c>
      <c r="B153" s="85" t="str">
        <f>VLOOKUP(A153,[1]vaccines!A:B,2)</f>
        <v>Pandeflu</v>
      </c>
      <c r="C153" s="72" t="s">
        <v>3185</v>
      </c>
      <c r="D153" s="72" t="s">
        <v>3186</v>
      </c>
      <c r="E153" s="59">
        <v>45719</v>
      </c>
      <c r="F153" s="73">
        <v>1</v>
      </c>
      <c r="G153" s="73">
        <v>0</v>
      </c>
      <c r="H153" s="86" t="s">
        <v>1515</v>
      </c>
      <c r="I153" s="59">
        <v>45494</v>
      </c>
      <c r="J153" s="59">
        <v>45750</v>
      </c>
    </row>
    <row r="154" spans="1:10" ht="171.6">
      <c r="A154" s="85">
        <v>155</v>
      </c>
      <c r="B154" s="85" t="str">
        <f>VLOOKUP(A154,[1]vaccines!A:B,2)</f>
        <v>Grippol_Neo</v>
      </c>
      <c r="C154" s="72" t="s">
        <v>3187</v>
      </c>
      <c r="D154" s="72" t="s">
        <v>3188</v>
      </c>
      <c r="E154" s="59">
        <v>40274</v>
      </c>
      <c r="F154" s="73">
        <v>1</v>
      </c>
      <c r="G154" s="73">
        <v>0</v>
      </c>
      <c r="H154" s="86" t="s">
        <v>1518</v>
      </c>
      <c r="I154" s="59">
        <v>45494</v>
      </c>
      <c r="J154" s="43"/>
    </row>
    <row r="155" spans="1:10" ht="132">
      <c r="A155" s="74">
        <v>156</v>
      </c>
      <c r="B155" s="85" t="str">
        <f>VLOOKUP(A155,[1]vaccines!A:B,2)</f>
        <v>Ultravac</v>
      </c>
      <c r="C155" s="72" t="s">
        <v>3189</v>
      </c>
      <c r="D155" s="72" t="s">
        <v>3190</v>
      </c>
      <c r="E155" s="59">
        <v>45569</v>
      </c>
      <c r="F155" s="85"/>
      <c r="G155" s="85"/>
      <c r="H155" s="86" t="s">
        <v>1521</v>
      </c>
      <c r="I155" s="59">
        <v>45494</v>
      </c>
      <c r="J155" s="59">
        <v>45622</v>
      </c>
    </row>
    <row r="156" spans="1:10" ht="92.4">
      <c r="A156" s="74">
        <v>158</v>
      </c>
      <c r="B156" s="85" t="str">
        <f>VLOOKUP(A156,[1]vaccines!A:B,2)</f>
        <v>Gerpovax_therapeutic</v>
      </c>
      <c r="C156" s="72" t="s">
        <v>3191</v>
      </c>
      <c r="D156" s="72" t="s">
        <v>3192</v>
      </c>
      <c r="E156" s="59">
        <v>43808</v>
      </c>
      <c r="F156" s="73">
        <v>1</v>
      </c>
      <c r="G156" s="73">
        <v>0</v>
      </c>
      <c r="H156" s="86" t="s">
        <v>1524</v>
      </c>
      <c r="I156" s="59">
        <v>45496</v>
      </c>
      <c r="J156" s="43"/>
    </row>
    <row r="157" spans="1:10" ht="92.4">
      <c r="A157" s="74">
        <v>159</v>
      </c>
      <c r="B157" s="85" t="str">
        <f>VLOOKUP(A157,[1]vaccines!A:B,2)</f>
        <v>Ultragrivac</v>
      </c>
      <c r="C157" s="72" t="s">
        <v>3185</v>
      </c>
      <c r="D157" s="72" t="s">
        <v>3193</v>
      </c>
      <c r="E157" s="59">
        <v>45775</v>
      </c>
      <c r="F157" s="73">
        <v>1</v>
      </c>
      <c r="G157" s="73">
        <v>0</v>
      </c>
      <c r="H157" s="86" t="s">
        <v>1527</v>
      </c>
      <c r="I157" s="59">
        <v>45496</v>
      </c>
      <c r="J157" s="59">
        <v>45818</v>
      </c>
    </row>
    <row r="158" spans="1:10" ht="92.4">
      <c r="A158" s="74">
        <v>160</v>
      </c>
      <c r="B158" s="85" t="str">
        <f>VLOOKUP(A158,[1]vaccines!A:B,2)</f>
        <v>OrniFlu</v>
      </c>
      <c r="C158" s="72" t="s">
        <v>3194</v>
      </c>
      <c r="D158" s="72" t="s">
        <v>3195</v>
      </c>
      <c r="E158" s="59">
        <v>45720</v>
      </c>
      <c r="F158" s="73">
        <v>1</v>
      </c>
      <c r="G158" s="73">
        <v>0</v>
      </c>
      <c r="H158" s="86" t="s">
        <v>1530</v>
      </c>
      <c r="I158" s="59">
        <v>45496</v>
      </c>
      <c r="J158" s="59">
        <v>45750</v>
      </c>
    </row>
    <row r="159" spans="1:10" ht="105.6">
      <c r="A159" s="74">
        <v>161</v>
      </c>
      <c r="B159" s="85" t="str">
        <f>VLOOKUP(A159,[1]vaccines!A:B,2)</f>
        <v>rubella_Croatia</v>
      </c>
      <c r="C159" s="72" t="s">
        <v>3196</v>
      </c>
      <c r="D159" s="72" t="s">
        <v>3197</v>
      </c>
      <c r="E159" s="59">
        <v>37712</v>
      </c>
      <c r="F159" s="73">
        <v>1</v>
      </c>
      <c r="G159" s="73">
        <v>0</v>
      </c>
      <c r="H159" s="86" t="s">
        <v>1533</v>
      </c>
      <c r="I159" s="59">
        <v>45496</v>
      </c>
      <c r="J159" s="43"/>
    </row>
    <row r="160" spans="1:10" ht="92.4">
      <c r="A160" s="74">
        <v>162</v>
      </c>
      <c r="B160" s="85" t="str">
        <f>VLOOKUP(A160,[1]vaccines!A:B,2)</f>
        <v>Tetraanatoxin</v>
      </c>
      <c r="C160" s="72" t="s">
        <v>3185</v>
      </c>
      <c r="D160" s="72" t="s">
        <v>3198</v>
      </c>
      <c r="E160" s="59">
        <v>45546</v>
      </c>
      <c r="F160" s="85"/>
      <c r="G160" s="85"/>
      <c r="H160" s="86" t="s">
        <v>1536</v>
      </c>
      <c r="I160" s="59">
        <v>45497</v>
      </c>
      <c r="J160" s="59">
        <v>45581</v>
      </c>
    </row>
    <row r="161" spans="1:11" ht="264">
      <c r="A161" s="74">
        <v>163</v>
      </c>
      <c r="B161" s="85" t="str">
        <f>VLOOKUP(A161,[1]vaccines!A:B,2)</f>
        <v>Staphylococcus_Gamaleya</v>
      </c>
      <c r="C161" s="72" t="s">
        <v>3199</v>
      </c>
      <c r="D161" s="72" t="s">
        <v>3200</v>
      </c>
      <c r="E161" s="59">
        <v>45799</v>
      </c>
      <c r="F161" s="73">
        <v>1</v>
      </c>
      <c r="G161" s="73">
        <v>0</v>
      </c>
      <c r="H161" s="86" t="s">
        <v>1539</v>
      </c>
      <c r="I161" s="59">
        <v>45497</v>
      </c>
      <c r="J161" s="59">
        <v>45830</v>
      </c>
    </row>
    <row r="162" spans="1:11" ht="184.8">
      <c r="A162" s="74">
        <v>164</v>
      </c>
      <c r="B162" s="85" t="str">
        <f>VLOOKUP(A162,[1]vaccines!A:B,2)</f>
        <v>Staphylococcus_therapeutic_Gamaleya</v>
      </c>
      <c r="C162" s="72" t="s">
        <v>3201</v>
      </c>
      <c r="D162" s="72" t="s">
        <v>3202</v>
      </c>
      <c r="E162" s="59">
        <v>45799</v>
      </c>
      <c r="F162" s="73">
        <v>1</v>
      </c>
      <c r="G162" s="73">
        <v>0</v>
      </c>
      <c r="H162" s="86" t="s">
        <v>1542</v>
      </c>
      <c r="I162" s="59">
        <v>45497</v>
      </c>
      <c r="J162" s="59">
        <v>45830</v>
      </c>
    </row>
    <row r="163" spans="1:11" ht="198">
      <c r="A163" s="74">
        <v>165</v>
      </c>
      <c r="B163" s="85" t="str">
        <f>VLOOKUP(A163,[1]vaccines!A:B,2)</f>
        <v>Imuron_vac_therapeutic</v>
      </c>
      <c r="C163" s="72" t="s">
        <v>3203</v>
      </c>
      <c r="D163" s="72" t="s">
        <v>3204</v>
      </c>
      <c r="E163" s="59">
        <v>45811</v>
      </c>
      <c r="F163" s="73">
        <v>1</v>
      </c>
      <c r="G163" s="73">
        <v>0</v>
      </c>
      <c r="H163" s="86" t="s">
        <v>1545</v>
      </c>
      <c r="I163" s="59">
        <v>45497</v>
      </c>
      <c r="J163" s="59">
        <v>45861</v>
      </c>
    </row>
    <row r="164" spans="1:11" ht="343.2">
      <c r="A164" s="74">
        <v>166</v>
      </c>
      <c r="B164" s="85" t="str">
        <f>VLOOKUP(A164,[1]vaccines!A:B,2)</f>
        <v>HepB_Serum_India_1_0</v>
      </c>
      <c r="C164" s="72" t="s">
        <v>3171</v>
      </c>
      <c r="D164" s="72" t="s">
        <v>3172</v>
      </c>
      <c r="E164" s="59">
        <v>45981</v>
      </c>
      <c r="F164" s="73">
        <v>1</v>
      </c>
      <c r="G164" s="73">
        <v>0</v>
      </c>
      <c r="H164" s="86" t="s">
        <v>1489</v>
      </c>
      <c r="I164" s="59">
        <v>45466</v>
      </c>
      <c r="J164" s="59">
        <v>46053</v>
      </c>
    </row>
    <row r="165" spans="1:11" ht="26.4">
      <c r="A165" s="74">
        <v>167</v>
      </c>
      <c r="B165" s="85" t="str">
        <f>VLOOKUP(A165,[1]vaccines!A:B,2)</f>
        <v>Hexaxim</v>
      </c>
      <c r="C165" s="72" t="s">
        <v>3205</v>
      </c>
      <c r="D165" s="72" t="s">
        <v>3206</v>
      </c>
      <c r="E165" s="59">
        <v>45504</v>
      </c>
      <c r="F165" s="85"/>
      <c r="G165" s="85"/>
      <c r="H165" s="86" t="s">
        <v>1550</v>
      </c>
      <c r="I165" s="59">
        <v>45558</v>
      </c>
      <c r="J165" s="43"/>
    </row>
    <row r="166" spans="1:11" ht="303.60000000000002">
      <c r="A166" s="74">
        <v>168</v>
      </c>
      <c r="B166" s="85" t="str">
        <f>VLOOKUP(A166,[1]vaccines!A:B,2)</f>
        <v>Gam_VLP_multivac</v>
      </c>
      <c r="C166" s="72" t="s">
        <v>3207</v>
      </c>
      <c r="D166" s="72" t="s">
        <v>3208</v>
      </c>
      <c r="E166" s="59">
        <v>45632</v>
      </c>
      <c r="F166" s="73">
        <v>1</v>
      </c>
      <c r="G166" s="73">
        <v>0</v>
      </c>
      <c r="H166" s="86" t="s">
        <v>1553</v>
      </c>
      <c r="I166" s="59">
        <v>45678</v>
      </c>
      <c r="J166" s="43"/>
    </row>
    <row r="167" spans="1:11" ht="303.60000000000002">
      <c r="A167" s="74">
        <v>169</v>
      </c>
      <c r="B167" s="85" t="str">
        <f>VLOOKUP(A167,[1]vaccines!A:B,2)</f>
        <v>Gam_VLP_multivac_nasal</v>
      </c>
      <c r="C167" s="72" t="s">
        <v>3209</v>
      </c>
      <c r="D167" s="72" t="s">
        <v>3210</v>
      </c>
      <c r="E167" s="59">
        <v>45737</v>
      </c>
      <c r="F167" s="73">
        <v>1</v>
      </c>
      <c r="G167" s="73">
        <v>0</v>
      </c>
      <c r="H167" s="86" t="s">
        <v>1555</v>
      </c>
      <c r="I167" s="59">
        <v>45742</v>
      </c>
      <c r="J167" s="43"/>
    </row>
    <row r="168" spans="1:11" ht="409.6">
      <c r="A168" s="74">
        <v>170</v>
      </c>
      <c r="B168" s="85" t="str">
        <f>VLOOKUP(A168,[1]vaccines!A:B,2)</f>
        <v>Cegardex</v>
      </c>
      <c r="C168" s="72" t="s">
        <v>3211</v>
      </c>
      <c r="D168" s="72" t="s">
        <v>3212</v>
      </c>
      <c r="E168" s="59">
        <v>45721</v>
      </c>
      <c r="F168" s="73">
        <v>1</v>
      </c>
      <c r="G168" s="73">
        <v>0</v>
      </c>
      <c r="H168" s="86" t="s">
        <v>1557</v>
      </c>
      <c r="I168" s="59">
        <v>45742</v>
      </c>
      <c r="J168" s="43"/>
    </row>
    <row r="169" spans="1:11" ht="409.6">
      <c r="A169" s="74">
        <v>171</v>
      </c>
      <c r="B169" s="85" t="str">
        <f>VLOOKUP(A169,[1]vaccines!A:B,2)</f>
        <v>Menvaid</v>
      </c>
      <c r="C169" s="72" t="s">
        <v>3213</v>
      </c>
      <c r="D169" s="72" t="s">
        <v>3214</v>
      </c>
      <c r="E169" s="59">
        <v>45740</v>
      </c>
      <c r="F169" s="73">
        <v>1</v>
      </c>
      <c r="G169" s="73">
        <v>0</v>
      </c>
      <c r="H169" s="86" t="s">
        <v>1560</v>
      </c>
      <c r="I169" s="59">
        <v>45755</v>
      </c>
      <c r="J169" s="43"/>
    </row>
    <row r="170" spans="1:11" ht="264">
      <c r="A170" s="74">
        <v>172</v>
      </c>
      <c r="B170" s="85" t="str">
        <f>VLOOKUP(A170,[1]vaccines!A:B,2)</f>
        <v>ChiroRab</v>
      </c>
      <c r="C170" s="72" t="s">
        <v>3215</v>
      </c>
      <c r="D170" s="72" t="s">
        <v>3216</v>
      </c>
      <c r="E170" s="43">
        <v>42996</v>
      </c>
      <c r="F170" s="74">
        <v>1</v>
      </c>
      <c r="G170" s="74">
        <v>0</v>
      </c>
      <c r="H170" s="89" t="s">
        <v>1321</v>
      </c>
      <c r="I170" s="43">
        <v>45818</v>
      </c>
      <c r="J170" s="43"/>
      <c r="K170" s="91" t="s">
        <v>1562</v>
      </c>
    </row>
    <row r="171" spans="1:11" ht="409.6">
      <c r="A171" s="74">
        <v>173</v>
      </c>
      <c r="B171" s="85" t="str">
        <f>VLOOKUP(A171,[1]vaccines!A:B,2)</f>
        <v>Prevenar_20</v>
      </c>
      <c r="C171" s="72" t="s">
        <v>3217</v>
      </c>
      <c r="D171" s="72" t="s">
        <v>3218</v>
      </c>
      <c r="E171" s="59">
        <v>45835</v>
      </c>
      <c r="F171" s="73">
        <v>1</v>
      </c>
      <c r="G171" s="73">
        <v>0</v>
      </c>
      <c r="H171" s="86" t="s">
        <v>1564</v>
      </c>
      <c r="I171" s="59">
        <v>45861</v>
      </c>
      <c r="J171" s="43"/>
    </row>
    <row r="172" spans="1:11" ht="264">
      <c r="A172" s="74">
        <v>174</v>
      </c>
      <c r="B172" s="85" t="str">
        <f>VLOOKUP(A172,[1]vaccines!A:B,2)</f>
        <v>aAKDS_M</v>
      </c>
      <c r="C172" s="72" t="s">
        <v>3219</v>
      </c>
      <c r="D172" s="72" t="s">
        <v>3220</v>
      </c>
      <c r="E172" s="59">
        <v>46104</v>
      </c>
      <c r="F172" s="73">
        <v>1</v>
      </c>
      <c r="G172" s="73">
        <v>0</v>
      </c>
      <c r="H172" s="86" t="s">
        <v>1567</v>
      </c>
      <c r="I172" s="59">
        <v>46131</v>
      </c>
      <c r="J172" s="43"/>
    </row>
    <row r="173" spans="1:11" ht="382.8">
      <c r="A173" s="74">
        <v>175</v>
      </c>
      <c r="B173" s="85" t="str">
        <f>VLOOKUP(A173,[1]vaccines!A:B,2)</f>
        <v>Nimenrix</v>
      </c>
      <c r="C173" s="72" t="s">
        <v>3221</v>
      </c>
      <c r="D173" s="72" t="s">
        <v>3222</v>
      </c>
      <c r="E173" s="59">
        <v>46111</v>
      </c>
      <c r="F173" s="73">
        <v>1</v>
      </c>
      <c r="G173" s="73">
        <v>0</v>
      </c>
      <c r="H173" s="86" t="s">
        <v>1570</v>
      </c>
      <c r="I173" s="59">
        <v>46131</v>
      </c>
      <c r="J173" s="43"/>
    </row>
    <row r="174" spans="1:11">
      <c r="C174" s="72"/>
      <c r="D174" s="72"/>
      <c r="E174" s="43"/>
      <c r="I174" s="43"/>
      <c r="J174" s="43"/>
    </row>
    <row r="175" spans="1:11">
      <c r="C175" s="72"/>
      <c r="D175" s="72"/>
      <c r="E175" s="43"/>
      <c r="I175" s="43"/>
      <c r="J175" s="43"/>
    </row>
    <row r="176" spans="1:11">
      <c r="C176" s="72"/>
      <c r="D176" s="72"/>
      <c r="E176" s="43"/>
      <c r="I176" s="43"/>
      <c r="J176" s="43"/>
    </row>
    <row r="177" spans="3:10">
      <c r="C177" s="72"/>
      <c r="D177" s="72"/>
      <c r="E177" s="43"/>
      <c r="I177" s="43"/>
      <c r="J177" s="43"/>
    </row>
    <row r="178" spans="3:10">
      <c r="C178" s="72"/>
      <c r="D178" s="72"/>
      <c r="E178" s="43"/>
      <c r="I178" s="43"/>
      <c r="J178" s="43"/>
    </row>
    <row r="179" spans="3:10">
      <c r="C179" s="72"/>
      <c r="D179" s="72"/>
      <c r="E179" s="43"/>
      <c r="I179" s="43"/>
      <c r="J179" s="43"/>
    </row>
    <row r="180" spans="3:10">
      <c r="C180" s="72"/>
      <c r="D180" s="72"/>
      <c r="E180" s="43"/>
      <c r="I180" s="43"/>
      <c r="J180" s="43"/>
    </row>
    <row r="181" spans="3:10">
      <c r="C181" s="72"/>
      <c r="D181" s="72"/>
      <c r="E181" s="43"/>
      <c r="I181" s="43"/>
      <c r="J181" s="43"/>
    </row>
    <row r="182" spans="3:10">
      <c r="C182" s="72"/>
      <c r="D182" s="72"/>
      <c r="E182" s="43"/>
      <c r="I182" s="43"/>
      <c r="J182" s="43"/>
    </row>
    <row r="183" spans="3:10">
      <c r="C183" s="72"/>
      <c r="D183" s="72"/>
      <c r="E183" s="43"/>
      <c r="I183" s="43"/>
      <c r="J183" s="43"/>
    </row>
    <row r="184" spans="3:10">
      <c r="C184" s="72"/>
      <c r="D184" s="72"/>
      <c r="E184" s="43"/>
      <c r="I184" s="43"/>
      <c r="J184" s="43"/>
    </row>
    <row r="185" spans="3:10">
      <c r="C185" s="72"/>
      <c r="D185" s="72"/>
      <c r="E185" s="43"/>
      <c r="I185" s="43"/>
      <c r="J185" s="43"/>
    </row>
    <row r="186" spans="3:10">
      <c r="C186" s="72"/>
      <c r="D186" s="72"/>
      <c r="E186" s="43"/>
      <c r="I186" s="43"/>
      <c r="J186" s="43"/>
    </row>
    <row r="187" spans="3:10">
      <c r="C187" s="72"/>
      <c r="D187" s="72"/>
      <c r="E187" s="43"/>
      <c r="I187" s="43"/>
      <c r="J187" s="43"/>
    </row>
    <row r="188" spans="3:10">
      <c r="C188" s="72"/>
      <c r="D188" s="72"/>
      <c r="E188" s="43"/>
      <c r="I188" s="43"/>
      <c r="J188" s="43"/>
    </row>
    <row r="189" spans="3:10">
      <c r="C189" s="72"/>
      <c r="D189" s="72"/>
      <c r="E189" s="43"/>
      <c r="I189" s="43"/>
      <c r="J189" s="43"/>
    </row>
    <row r="190" spans="3:10">
      <c r="C190" s="72"/>
      <c r="D190" s="72"/>
      <c r="E190" s="43"/>
      <c r="I190" s="43"/>
      <c r="J190" s="43"/>
    </row>
    <row r="191" spans="3:10">
      <c r="C191" s="72"/>
      <c r="D191" s="72"/>
      <c r="E191" s="43"/>
      <c r="I191" s="43"/>
      <c r="J191" s="43"/>
    </row>
    <row r="192" spans="3:10">
      <c r="C192" s="72"/>
      <c r="D192" s="72"/>
      <c r="E192" s="43"/>
      <c r="I192" s="43"/>
      <c r="J192" s="43"/>
    </row>
    <row r="193" spans="3:10">
      <c r="C193" s="72"/>
      <c r="D193" s="72"/>
      <c r="E193" s="43"/>
      <c r="I193" s="43"/>
      <c r="J193" s="43"/>
    </row>
    <row r="194" spans="3:10">
      <c r="C194" s="72"/>
      <c r="D194" s="72"/>
      <c r="E194" s="43"/>
      <c r="I194" s="43"/>
      <c r="J194" s="43"/>
    </row>
    <row r="195" spans="3:10">
      <c r="C195" s="72"/>
      <c r="D195" s="72"/>
      <c r="E195" s="43"/>
      <c r="I195" s="43"/>
      <c r="J195" s="43"/>
    </row>
    <row r="196" spans="3:10">
      <c r="C196" s="72"/>
      <c r="D196" s="72"/>
      <c r="E196" s="43"/>
      <c r="I196" s="43"/>
      <c r="J196" s="43"/>
    </row>
    <row r="197" spans="3:10">
      <c r="C197" s="72"/>
      <c r="D197" s="72"/>
      <c r="E197" s="43"/>
      <c r="I197" s="43"/>
      <c r="J197" s="43"/>
    </row>
    <row r="198" spans="3:10">
      <c r="C198" s="72"/>
      <c r="D198" s="72"/>
      <c r="E198" s="43"/>
      <c r="I198" s="43"/>
      <c r="J198" s="43"/>
    </row>
    <row r="199" spans="3:10">
      <c r="C199" s="72"/>
      <c r="D199" s="72"/>
      <c r="E199" s="43"/>
      <c r="I199" s="43"/>
      <c r="J199" s="43"/>
    </row>
    <row r="200" spans="3:10">
      <c r="C200" s="72"/>
      <c r="D200" s="72"/>
      <c r="E200" s="43"/>
      <c r="I200" s="43"/>
      <c r="J200" s="43"/>
    </row>
    <row r="201" spans="3:10">
      <c r="C201" s="72"/>
      <c r="D201" s="72"/>
      <c r="E201" s="43"/>
      <c r="I201" s="43"/>
      <c r="J201" s="43"/>
    </row>
    <row r="202" spans="3:10">
      <c r="C202" s="72"/>
      <c r="D202" s="72"/>
      <c r="E202" s="43"/>
      <c r="I202" s="43"/>
      <c r="J202" s="43"/>
    </row>
    <row r="203" spans="3:10">
      <c r="C203" s="72"/>
      <c r="D203" s="72"/>
      <c r="E203" s="43"/>
      <c r="I203" s="43"/>
      <c r="J203" s="43"/>
    </row>
    <row r="204" spans="3:10">
      <c r="C204" s="72"/>
      <c r="D204" s="72"/>
      <c r="E204" s="43"/>
      <c r="I204" s="43"/>
      <c r="J204" s="43"/>
    </row>
    <row r="205" spans="3:10">
      <c r="C205" s="72"/>
      <c r="D205" s="72"/>
      <c r="E205" s="43"/>
      <c r="I205" s="43"/>
      <c r="J205" s="43"/>
    </row>
    <row r="206" spans="3:10">
      <c r="C206" s="72"/>
      <c r="D206" s="72"/>
      <c r="E206" s="43"/>
      <c r="I206" s="43"/>
      <c r="J206" s="43"/>
    </row>
    <row r="207" spans="3:10">
      <c r="C207" s="72"/>
      <c r="D207" s="72"/>
      <c r="E207" s="43"/>
      <c r="I207" s="43"/>
      <c r="J207" s="43"/>
    </row>
    <row r="208" spans="3:10">
      <c r="C208" s="72"/>
      <c r="D208" s="72"/>
      <c r="E208" s="43"/>
      <c r="I208" s="43"/>
      <c r="J208" s="43"/>
    </row>
    <row r="209" spans="3:10">
      <c r="C209" s="72"/>
      <c r="D209" s="72"/>
      <c r="E209" s="43"/>
      <c r="I209" s="43"/>
      <c r="J209" s="43"/>
    </row>
    <row r="210" spans="3:10">
      <c r="C210" s="72"/>
      <c r="D210" s="72"/>
      <c r="E210" s="43"/>
      <c r="I210" s="43"/>
      <c r="J210" s="43"/>
    </row>
    <row r="211" spans="3:10">
      <c r="C211" s="72"/>
      <c r="D211" s="72"/>
      <c r="E211" s="43"/>
      <c r="I211" s="43"/>
      <c r="J211" s="43"/>
    </row>
    <row r="212" spans="3:10">
      <c r="C212" s="72"/>
      <c r="D212" s="72"/>
      <c r="E212" s="43"/>
      <c r="I212" s="43"/>
      <c r="J212" s="43"/>
    </row>
    <row r="213" spans="3:10">
      <c r="C213" s="72"/>
      <c r="D213" s="72"/>
      <c r="E213" s="43"/>
      <c r="I213" s="43"/>
      <c r="J213" s="43"/>
    </row>
    <row r="214" spans="3:10">
      <c r="C214" s="72"/>
      <c r="D214" s="72"/>
      <c r="E214" s="43"/>
      <c r="I214" s="43"/>
      <c r="J214" s="43"/>
    </row>
    <row r="215" spans="3:10">
      <c r="C215" s="72"/>
      <c r="D215" s="72"/>
      <c r="E215" s="43"/>
      <c r="I215" s="43"/>
      <c r="J215" s="43"/>
    </row>
    <row r="216" spans="3:10">
      <c r="C216" s="72"/>
      <c r="D216" s="72"/>
      <c r="E216" s="43"/>
      <c r="I216" s="43"/>
      <c r="J216" s="43"/>
    </row>
    <row r="217" spans="3:10">
      <c r="C217" s="72"/>
      <c r="D217" s="72"/>
      <c r="E217" s="43"/>
      <c r="I217" s="43"/>
      <c r="J217" s="43"/>
    </row>
    <row r="218" spans="3:10">
      <c r="C218" s="72"/>
      <c r="D218" s="72"/>
      <c r="E218" s="43"/>
      <c r="I218" s="43"/>
      <c r="J218" s="43"/>
    </row>
    <row r="219" spans="3:10">
      <c r="C219" s="72"/>
      <c r="D219" s="72"/>
      <c r="E219" s="43"/>
      <c r="I219" s="43"/>
      <c r="J219" s="43"/>
    </row>
    <row r="220" spans="3:10">
      <c r="C220" s="72"/>
      <c r="D220" s="72"/>
      <c r="E220" s="43"/>
      <c r="I220" s="43"/>
      <c r="J220" s="43"/>
    </row>
    <row r="221" spans="3:10">
      <c r="C221" s="72"/>
      <c r="D221" s="72"/>
      <c r="E221" s="43"/>
      <c r="I221" s="43"/>
      <c r="J221" s="43"/>
    </row>
    <row r="222" spans="3:10">
      <c r="C222" s="72"/>
      <c r="D222" s="72"/>
      <c r="E222" s="43"/>
      <c r="I222" s="43"/>
      <c r="J222" s="43"/>
    </row>
    <row r="223" spans="3:10">
      <c r="C223" s="72"/>
      <c r="D223" s="72"/>
      <c r="E223" s="43"/>
      <c r="I223" s="43"/>
      <c r="J223" s="43"/>
    </row>
    <row r="224" spans="3:10">
      <c r="C224" s="72"/>
      <c r="D224" s="72"/>
      <c r="E224" s="43"/>
      <c r="I224" s="43"/>
      <c r="J224" s="43"/>
    </row>
    <row r="225" spans="3:10">
      <c r="C225" s="72"/>
      <c r="D225" s="72"/>
      <c r="E225" s="43"/>
      <c r="I225" s="43"/>
      <c r="J225" s="43"/>
    </row>
    <row r="226" spans="3:10">
      <c r="C226" s="72"/>
      <c r="D226" s="72"/>
      <c r="E226" s="43"/>
      <c r="I226" s="43"/>
      <c r="J226" s="43"/>
    </row>
    <row r="227" spans="3:10">
      <c r="C227" s="72"/>
      <c r="D227" s="72"/>
      <c r="E227" s="43"/>
      <c r="I227" s="43"/>
      <c r="J227" s="43"/>
    </row>
    <row r="228" spans="3:10">
      <c r="C228" s="72"/>
      <c r="D228" s="72"/>
      <c r="E228" s="43"/>
      <c r="I228" s="43"/>
      <c r="J228" s="43"/>
    </row>
    <row r="229" spans="3:10">
      <c r="C229" s="72"/>
      <c r="D229" s="72"/>
      <c r="E229" s="43"/>
      <c r="I229" s="43"/>
      <c r="J229" s="43"/>
    </row>
    <row r="230" spans="3:10">
      <c r="C230" s="72"/>
      <c r="D230" s="72"/>
      <c r="E230" s="43"/>
      <c r="I230" s="43"/>
      <c r="J230" s="43"/>
    </row>
    <row r="231" spans="3:10">
      <c r="C231" s="72"/>
      <c r="D231" s="72"/>
      <c r="E231" s="43"/>
      <c r="I231" s="43"/>
      <c r="J231" s="43"/>
    </row>
    <row r="232" spans="3:10">
      <c r="C232" s="72"/>
      <c r="D232" s="72"/>
      <c r="E232" s="43"/>
      <c r="I232" s="43"/>
      <c r="J232" s="43"/>
    </row>
    <row r="233" spans="3:10">
      <c r="C233" s="72"/>
      <c r="D233" s="72"/>
      <c r="E233" s="43"/>
      <c r="I233" s="43"/>
      <c r="J233" s="43"/>
    </row>
    <row r="234" spans="3:10">
      <c r="C234" s="72"/>
      <c r="D234" s="72"/>
      <c r="E234" s="43"/>
      <c r="I234" s="43"/>
      <c r="J234" s="43"/>
    </row>
    <row r="235" spans="3:10">
      <c r="C235" s="72"/>
      <c r="D235" s="72"/>
      <c r="E235" s="43"/>
      <c r="I235" s="43"/>
      <c r="J235" s="43"/>
    </row>
    <row r="236" spans="3:10">
      <c r="C236" s="72"/>
      <c r="D236" s="72"/>
      <c r="E236" s="43"/>
      <c r="I236" s="43"/>
      <c r="J236" s="43"/>
    </row>
    <row r="237" spans="3:10">
      <c r="C237" s="72"/>
      <c r="D237" s="72"/>
      <c r="E237" s="43"/>
      <c r="I237" s="43"/>
      <c r="J237" s="43"/>
    </row>
    <row r="238" spans="3:10">
      <c r="C238" s="72"/>
      <c r="D238" s="72"/>
      <c r="E238" s="43"/>
      <c r="I238" s="43"/>
      <c r="J238" s="43"/>
    </row>
    <row r="239" spans="3:10">
      <c r="C239" s="72"/>
      <c r="D239" s="72"/>
      <c r="E239" s="43"/>
      <c r="I239" s="43"/>
      <c r="J239" s="43"/>
    </row>
    <row r="240" spans="3:10">
      <c r="C240" s="72"/>
      <c r="D240" s="72"/>
      <c r="E240" s="43"/>
      <c r="I240" s="43"/>
      <c r="J240" s="43"/>
    </row>
    <row r="241" spans="3:10">
      <c r="C241" s="72"/>
      <c r="D241" s="72"/>
      <c r="E241" s="43"/>
      <c r="I241" s="43"/>
      <c r="J241" s="43"/>
    </row>
    <row r="242" spans="3:10">
      <c r="C242" s="72"/>
      <c r="D242" s="72"/>
      <c r="E242" s="43"/>
      <c r="I242" s="43"/>
      <c r="J242" s="43"/>
    </row>
    <row r="243" spans="3:10">
      <c r="C243" s="72"/>
      <c r="D243" s="72"/>
      <c r="E243" s="43"/>
      <c r="I243" s="43"/>
      <c r="J243" s="43"/>
    </row>
    <row r="244" spans="3:10">
      <c r="C244" s="72"/>
      <c r="D244" s="72"/>
      <c r="E244" s="43"/>
      <c r="I244" s="43"/>
      <c r="J244" s="43"/>
    </row>
    <row r="245" spans="3:10">
      <c r="C245" s="72"/>
      <c r="D245" s="72"/>
      <c r="E245" s="43"/>
      <c r="I245" s="43"/>
      <c r="J245" s="43"/>
    </row>
    <row r="246" spans="3:10">
      <c r="C246" s="72"/>
      <c r="D246" s="72"/>
      <c r="E246" s="43"/>
      <c r="I246" s="43"/>
      <c r="J246" s="43"/>
    </row>
    <row r="247" spans="3:10">
      <c r="C247" s="72"/>
      <c r="D247" s="72"/>
      <c r="E247" s="43"/>
      <c r="I247" s="43"/>
      <c r="J247" s="43"/>
    </row>
    <row r="248" spans="3:10">
      <c r="C248" s="72"/>
      <c r="D248" s="72"/>
      <c r="E248" s="43"/>
      <c r="I248" s="43"/>
      <c r="J248" s="43"/>
    </row>
    <row r="249" spans="3:10">
      <c r="C249" s="72"/>
      <c r="D249" s="72"/>
      <c r="E249" s="43"/>
      <c r="I249" s="43"/>
      <c r="J249" s="43"/>
    </row>
    <row r="250" spans="3:10">
      <c r="C250" s="72"/>
      <c r="D250" s="72"/>
      <c r="E250" s="43"/>
      <c r="I250" s="43"/>
      <c r="J250" s="43"/>
    </row>
    <row r="251" spans="3:10">
      <c r="C251" s="72"/>
      <c r="D251" s="72"/>
      <c r="E251" s="43"/>
      <c r="I251" s="43"/>
      <c r="J251" s="43"/>
    </row>
    <row r="252" spans="3:10">
      <c r="C252" s="72"/>
      <c r="D252" s="72"/>
      <c r="E252" s="43"/>
      <c r="I252" s="43"/>
      <c r="J252" s="43"/>
    </row>
    <row r="253" spans="3:10">
      <c r="C253" s="72"/>
      <c r="D253" s="72"/>
      <c r="E253" s="43"/>
      <c r="I253" s="43"/>
      <c r="J253" s="43"/>
    </row>
    <row r="254" spans="3:10">
      <c r="C254" s="72"/>
      <c r="D254" s="72"/>
      <c r="E254" s="43"/>
      <c r="I254" s="43"/>
      <c r="J254" s="43"/>
    </row>
    <row r="255" spans="3:10">
      <c r="C255" s="72"/>
      <c r="D255" s="72"/>
      <c r="E255" s="43"/>
      <c r="I255" s="43"/>
      <c r="J255" s="43"/>
    </row>
    <row r="256" spans="3:10">
      <c r="C256" s="72"/>
      <c r="D256" s="72"/>
      <c r="E256" s="43"/>
      <c r="I256" s="43"/>
      <c r="J256" s="43"/>
    </row>
    <row r="257" spans="3:10">
      <c r="C257" s="72"/>
      <c r="D257" s="72"/>
      <c r="E257" s="43"/>
      <c r="I257" s="43"/>
      <c r="J257" s="43"/>
    </row>
    <row r="258" spans="3:10">
      <c r="C258" s="72"/>
      <c r="D258" s="72"/>
      <c r="E258" s="43"/>
      <c r="I258" s="43"/>
      <c r="J258" s="43"/>
    </row>
    <row r="259" spans="3:10">
      <c r="C259" s="72"/>
      <c r="D259" s="72"/>
      <c r="E259" s="43"/>
      <c r="I259" s="43"/>
      <c r="J259" s="43"/>
    </row>
    <row r="260" spans="3:10">
      <c r="C260" s="72"/>
      <c r="D260" s="72"/>
      <c r="E260" s="43"/>
      <c r="I260" s="43"/>
      <c r="J260" s="43"/>
    </row>
    <row r="261" spans="3:10">
      <c r="C261" s="72"/>
      <c r="D261" s="72"/>
      <c r="E261" s="43"/>
      <c r="I261" s="43"/>
      <c r="J261" s="43"/>
    </row>
    <row r="262" spans="3:10">
      <c r="C262" s="72"/>
      <c r="D262" s="72"/>
      <c r="E262" s="43"/>
      <c r="I262" s="43"/>
      <c r="J262" s="43"/>
    </row>
    <row r="263" spans="3:10">
      <c r="C263" s="72"/>
      <c r="D263" s="72"/>
      <c r="E263" s="43"/>
      <c r="I263" s="43"/>
      <c r="J263" s="43"/>
    </row>
    <row r="264" spans="3:10">
      <c r="C264" s="72"/>
      <c r="D264" s="72"/>
      <c r="E264" s="43"/>
      <c r="I264" s="43"/>
      <c r="J264" s="43"/>
    </row>
    <row r="265" spans="3:10">
      <c r="C265" s="72"/>
      <c r="D265" s="72"/>
      <c r="E265" s="43"/>
      <c r="I265" s="43"/>
      <c r="J265" s="43"/>
    </row>
    <row r="266" spans="3:10">
      <c r="C266" s="72"/>
      <c r="D266" s="72"/>
      <c r="E266" s="43"/>
      <c r="I266" s="43"/>
      <c r="J266" s="43"/>
    </row>
    <row r="267" spans="3:10">
      <c r="C267" s="72"/>
      <c r="D267" s="72"/>
      <c r="E267" s="43"/>
      <c r="I267" s="43"/>
      <c r="J267" s="43"/>
    </row>
    <row r="268" spans="3:10">
      <c r="C268" s="72"/>
      <c r="D268" s="72"/>
      <c r="E268" s="43"/>
      <c r="I268" s="43"/>
      <c r="J268" s="43"/>
    </row>
    <row r="269" spans="3:10">
      <c r="C269" s="72"/>
      <c r="D269" s="72"/>
      <c r="E269" s="43"/>
      <c r="I269" s="43"/>
      <c r="J269" s="43"/>
    </row>
    <row r="270" spans="3:10">
      <c r="C270" s="72"/>
      <c r="D270" s="72"/>
      <c r="E270" s="43"/>
      <c r="I270" s="43"/>
      <c r="J270" s="43"/>
    </row>
    <row r="271" spans="3:10">
      <c r="C271" s="72"/>
      <c r="D271" s="72"/>
      <c r="E271" s="43"/>
      <c r="I271" s="43"/>
      <c r="J271" s="43"/>
    </row>
    <row r="272" spans="3:10">
      <c r="C272" s="72"/>
      <c r="D272" s="72"/>
      <c r="E272" s="43"/>
      <c r="I272" s="43"/>
      <c r="J272" s="43"/>
    </row>
    <row r="273" spans="3:10">
      <c r="C273" s="72"/>
      <c r="D273" s="72"/>
      <c r="E273" s="43"/>
      <c r="I273" s="43"/>
      <c r="J273" s="43"/>
    </row>
    <row r="274" spans="3:10">
      <c r="C274" s="72"/>
      <c r="D274" s="72"/>
      <c r="E274" s="43"/>
      <c r="I274" s="43"/>
      <c r="J274" s="43"/>
    </row>
    <row r="275" spans="3:10">
      <c r="C275" s="72"/>
      <c r="D275" s="72"/>
      <c r="E275" s="43"/>
      <c r="I275" s="43"/>
      <c r="J275" s="43"/>
    </row>
    <row r="276" spans="3:10">
      <c r="C276" s="72"/>
      <c r="D276" s="72"/>
      <c r="E276" s="43"/>
      <c r="I276" s="43"/>
      <c r="J276" s="43"/>
    </row>
    <row r="277" spans="3:10">
      <c r="C277" s="72"/>
      <c r="D277" s="72"/>
      <c r="E277" s="43"/>
      <c r="I277" s="43"/>
      <c r="J277" s="43"/>
    </row>
    <row r="278" spans="3:10">
      <c r="C278" s="72"/>
      <c r="D278" s="72"/>
      <c r="E278" s="43"/>
      <c r="I278" s="43"/>
      <c r="J278" s="43"/>
    </row>
    <row r="279" spans="3:10">
      <c r="C279" s="72"/>
      <c r="D279" s="72"/>
      <c r="E279" s="43"/>
      <c r="I279" s="43"/>
      <c r="J279" s="43"/>
    </row>
    <row r="280" spans="3:10">
      <c r="C280" s="72"/>
      <c r="D280" s="72"/>
      <c r="E280" s="43"/>
      <c r="I280" s="43"/>
      <c r="J280" s="43"/>
    </row>
    <row r="281" spans="3:10">
      <c r="C281" s="72"/>
      <c r="D281" s="72"/>
      <c r="E281" s="43"/>
      <c r="I281" s="43"/>
      <c r="J281" s="43"/>
    </row>
    <row r="282" spans="3:10">
      <c r="C282" s="72"/>
      <c r="D282" s="72"/>
      <c r="E282" s="43"/>
      <c r="I282" s="43"/>
      <c r="J282" s="43"/>
    </row>
    <row r="283" spans="3:10">
      <c r="C283" s="72"/>
      <c r="D283" s="72"/>
      <c r="E283" s="43"/>
      <c r="I283" s="43"/>
      <c r="J283" s="43"/>
    </row>
    <row r="284" spans="3:10">
      <c r="C284" s="72"/>
      <c r="D284" s="72"/>
      <c r="E284" s="43"/>
      <c r="I284" s="43"/>
      <c r="J284" s="43"/>
    </row>
    <row r="285" spans="3:10">
      <c r="C285" s="72"/>
      <c r="D285" s="72"/>
      <c r="E285" s="43"/>
      <c r="I285" s="43"/>
      <c r="J285" s="43"/>
    </row>
    <row r="286" spans="3:10">
      <c r="C286" s="72"/>
      <c r="D286" s="72"/>
      <c r="E286" s="43"/>
      <c r="I286" s="43"/>
      <c r="J286" s="43"/>
    </row>
    <row r="287" spans="3:10">
      <c r="C287" s="72"/>
      <c r="D287" s="72"/>
      <c r="E287" s="43"/>
      <c r="I287" s="43"/>
      <c r="J287" s="43"/>
    </row>
    <row r="288" spans="3:10">
      <c r="C288" s="72"/>
      <c r="D288" s="72"/>
      <c r="E288" s="43"/>
      <c r="I288" s="43"/>
      <c r="J288" s="43"/>
    </row>
    <row r="289" spans="3:10">
      <c r="C289" s="72"/>
      <c r="D289" s="72"/>
      <c r="E289" s="43"/>
      <c r="I289" s="43"/>
      <c r="J289" s="43"/>
    </row>
    <row r="290" spans="3:10">
      <c r="C290" s="72"/>
      <c r="D290" s="72"/>
      <c r="E290" s="43"/>
      <c r="I290" s="43"/>
      <c r="J290" s="43"/>
    </row>
    <row r="291" spans="3:10">
      <c r="C291" s="72"/>
      <c r="D291" s="72"/>
      <c r="E291" s="43"/>
      <c r="I291" s="43"/>
      <c r="J291" s="43"/>
    </row>
    <row r="292" spans="3:10">
      <c r="C292" s="72"/>
      <c r="D292" s="72"/>
      <c r="E292" s="43"/>
      <c r="I292" s="43"/>
      <c r="J292" s="43"/>
    </row>
    <row r="293" spans="3:10">
      <c r="C293" s="72"/>
      <c r="D293" s="72"/>
      <c r="E293" s="43"/>
      <c r="I293" s="43"/>
      <c r="J293" s="43"/>
    </row>
    <row r="294" spans="3:10">
      <c r="C294" s="72"/>
      <c r="D294" s="72"/>
      <c r="E294" s="43"/>
      <c r="I294" s="43"/>
      <c r="J294" s="43"/>
    </row>
    <row r="295" spans="3:10">
      <c r="C295" s="72"/>
      <c r="D295" s="72"/>
      <c r="E295" s="43"/>
      <c r="I295" s="43"/>
      <c r="J295" s="43"/>
    </row>
    <row r="296" spans="3:10">
      <c r="C296" s="72"/>
      <c r="D296" s="72"/>
      <c r="E296" s="43"/>
      <c r="I296" s="43"/>
      <c r="J296" s="43"/>
    </row>
    <row r="297" spans="3:10">
      <c r="C297" s="72"/>
      <c r="D297" s="72"/>
      <c r="E297" s="43"/>
      <c r="I297" s="43"/>
      <c r="J297" s="43"/>
    </row>
    <row r="298" spans="3:10">
      <c r="C298" s="72"/>
      <c r="D298" s="72"/>
      <c r="E298" s="43"/>
      <c r="I298" s="43"/>
      <c r="J298" s="43"/>
    </row>
    <row r="299" spans="3:10">
      <c r="C299" s="72"/>
      <c r="D299" s="72"/>
      <c r="E299" s="43"/>
      <c r="I299" s="43"/>
      <c r="J299" s="43"/>
    </row>
    <row r="300" spans="3:10">
      <c r="C300" s="72"/>
      <c r="D300" s="72"/>
      <c r="E300" s="43"/>
      <c r="I300" s="43"/>
      <c r="J300" s="43"/>
    </row>
    <row r="301" spans="3:10">
      <c r="C301" s="72"/>
      <c r="D301" s="72"/>
      <c r="E301" s="43"/>
      <c r="I301" s="43"/>
      <c r="J301" s="43"/>
    </row>
    <row r="302" spans="3:10">
      <c r="C302" s="72"/>
      <c r="D302" s="72"/>
      <c r="E302" s="43"/>
      <c r="I302" s="43"/>
      <c r="J302" s="43"/>
    </row>
    <row r="303" spans="3:10">
      <c r="C303" s="72"/>
      <c r="D303" s="72"/>
      <c r="E303" s="43"/>
      <c r="I303" s="43"/>
      <c r="J303" s="43"/>
    </row>
    <row r="304" spans="3:10">
      <c r="C304" s="72"/>
      <c r="D304" s="72"/>
      <c r="E304" s="43"/>
      <c r="I304" s="43"/>
      <c r="J304" s="43"/>
    </row>
    <row r="305" spans="3:10">
      <c r="C305" s="72"/>
      <c r="D305" s="72"/>
      <c r="E305" s="43"/>
      <c r="I305" s="43"/>
      <c r="J305" s="43"/>
    </row>
    <row r="306" spans="3:10">
      <c r="C306" s="72"/>
      <c r="D306" s="72"/>
      <c r="E306" s="43"/>
      <c r="I306" s="43"/>
      <c r="J306" s="43"/>
    </row>
    <row r="307" spans="3:10">
      <c r="C307" s="72"/>
      <c r="D307" s="72"/>
      <c r="E307" s="43"/>
      <c r="I307" s="43"/>
      <c r="J307" s="43"/>
    </row>
    <row r="308" spans="3:10">
      <c r="C308" s="72"/>
      <c r="D308" s="72"/>
      <c r="E308" s="43"/>
      <c r="I308" s="43"/>
      <c r="J308" s="43"/>
    </row>
    <row r="309" spans="3:10">
      <c r="C309" s="72"/>
      <c r="D309" s="72"/>
      <c r="E309" s="43"/>
      <c r="I309" s="43"/>
      <c r="J309" s="43"/>
    </row>
    <row r="310" spans="3:10">
      <c r="C310" s="72"/>
      <c r="D310" s="72"/>
      <c r="E310" s="43"/>
      <c r="I310" s="43"/>
      <c r="J310" s="43"/>
    </row>
    <row r="311" spans="3:10">
      <c r="C311" s="72"/>
      <c r="D311" s="72"/>
      <c r="E311" s="43"/>
      <c r="I311" s="43"/>
      <c r="J311" s="43"/>
    </row>
    <row r="312" spans="3:10">
      <c r="C312" s="72"/>
      <c r="D312" s="72"/>
      <c r="E312" s="43"/>
      <c r="I312" s="43"/>
      <c r="J312" s="43"/>
    </row>
    <row r="313" spans="3:10">
      <c r="C313" s="72"/>
      <c r="D313" s="72"/>
      <c r="E313" s="43"/>
      <c r="I313" s="43"/>
      <c r="J313" s="43"/>
    </row>
    <row r="314" spans="3:10">
      <c r="C314" s="72"/>
      <c r="D314" s="72"/>
      <c r="E314" s="43"/>
      <c r="I314" s="43"/>
      <c r="J314" s="43"/>
    </row>
    <row r="315" spans="3:10">
      <c r="C315" s="72"/>
      <c r="D315" s="72"/>
      <c r="E315" s="43"/>
      <c r="I315" s="43"/>
      <c r="J315" s="43"/>
    </row>
    <row r="316" spans="3:10">
      <c r="C316" s="72"/>
      <c r="D316" s="72"/>
      <c r="E316" s="43"/>
      <c r="I316" s="43"/>
      <c r="J316" s="43"/>
    </row>
    <row r="317" spans="3:10">
      <c r="C317" s="72"/>
      <c r="D317" s="72"/>
      <c r="E317" s="43"/>
      <c r="I317" s="43"/>
      <c r="J317" s="43"/>
    </row>
    <row r="318" spans="3:10">
      <c r="C318" s="72"/>
      <c r="D318" s="72"/>
      <c r="E318" s="43"/>
      <c r="I318" s="43"/>
      <c r="J318" s="43"/>
    </row>
    <row r="319" spans="3:10">
      <c r="C319" s="72"/>
      <c r="D319" s="72"/>
      <c r="E319" s="43"/>
      <c r="I319" s="43"/>
      <c r="J319" s="43"/>
    </row>
    <row r="320" spans="3:10">
      <c r="C320" s="72"/>
      <c r="D320" s="72"/>
      <c r="E320" s="43"/>
      <c r="I320" s="43"/>
      <c r="J320" s="43"/>
    </row>
    <row r="321" spans="3:10">
      <c r="C321" s="72"/>
      <c r="D321" s="72"/>
      <c r="E321" s="43"/>
      <c r="I321" s="43"/>
      <c r="J321" s="43"/>
    </row>
    <row r="322" spans="3:10">
      <c r="C322" s="72"/>
      <c r="D322" s="72"/>
      <c r="E322" s="43"/>
      <c r="I322" s="43"/>
      <c r="J322" s="43"/>
    </row>
    <row r="323" spans="3:10">
      <c r="C323" s="72"/>
      <c r="D323" s="72"/>
      <c r="E323" s="43"/>
      <c r="I323" s="43"/>
      <c r="J323" s="43"/>
    </row>
    <row r="324" spans="3:10">
      <c r="C324" s="72"/>
      <c r="D324" s="72"/>
      <c r="E324" s="43"/>
      <c r="I324" s="43"/>
      <c r="J324" s="43"/>
    </row>
    <row r="325" spans="3:10">
      <c r="C325" s="72"/>
      <c r="D325" s="72"/>
      <c r="E325" s="43"/>
      <c r="I325" s="43"/>
      <c r="J325" s="43"/>
    </row>
    <row r="326" spans="3:10">
      <c r="C326" s="72"/>
      <c r="D326" s="72"/>
      <c r="E326" s="43"/>
      <c r="I326" s="43"/>
      <c r="J326" s="43"/>
    </row>
    <row r="327" spans="3:10">
      <c r="C327" s="72"/>
      <c r="D327" s="72"/>
      <c r="E327" s="43"/>
      <c r="I327" s="43"/>
      <c r="J327" s="43"/>
    </row>
    <row r="328" spans="3:10">
      <c r="C328" s="72"/>
      <c r="D328" s="72"/>
      <c r="E328" s="43"/>
      <c r="I328" s="43"/>
      <c r="J328" s="43"/>
    </row>
    <row r="329" spans="3:10">
      <c r="C329" s="72"/>
      <c r="D329" s="72"/>
      <c r="E329" s="43"/>
      <c r="I329" s="43"/>
      <c r="J329" s="43"/>
    </row>
    <row r="330" spans="3:10">
      <c r="C330" s="72"/>
      <c r="D330" s="72"/>
      <c r="E330" s="43"/>
      <c r="I330" s="43"/>
      <c r="J330" s="43"/>
    </row>
    <row r="331" spans="3:10">
      <c r="C331" s="72"/>
      <c r="D331" s="72"/>
      <c r="E331" s="43"/>
      <c r="I331" s="43"/>
      <c r="J331" s="43"/>
    </row>
    <row r="332" spans="3:10">
      <c r="C332" s="72"/>
      <c r="D332" s="72"/>
      <c r="E332" s="43"/>
      <c r="I332" s="43"/>
      <c r="J332" s="43"/>
    </row>
    <row r="333" spans="3:10">
      <c r="C333" s="72"/>
      <c r="D333" s="72"/>
      <c r="E333" s="43"/>
      <c r="I333" s="43"/>
      <c r="J333" s="43"/>
    </row>
    <row r="334" spans="3:10">
      <c r="C334" s="72"/>
      <c r="D334" s="72"/>
      <c r="E334" s="43"/>
      <c r="I334" s="43"/>
      <c r="J334" s="43"/>
    </row>
    <row r="335" spans="3:10">
      <c r="C335" s="72"/>
      <c r="D335" s="72"/>
      <c r="E335" s="43"/>
      <c r="I335" s="43"/>
      <c r="J335" s="43"/>
    </row>
    <row r="336" spans="3:10">
      <c r="C336" s="72"/>
      <c r="D336" s="72"/>
      <c r="E336" s="43"/>
      <c r="I336" s="43"/>
      <c r="J336" s="43"/>
    </row>
    <row r="337" spans="3:10">
      <c r="C337" s="72"/>
      <c r="D337" s="72"/>
      <c r="E337" s="43"/>
      <c r="I337" s="43"/>
      <c r="J337" s="43"/>
    </row>
    <row r="338" spans="3:10">
      <c r="C338" s="72"/>
      <c r="D338" s="72"/>
      <c r="E338" s="43"/>
      <c r="I338" s="43"/>
      <c r="J338" s="43"/>
    </row>
    <row r="339" spans="3:10">
      <c r="C339" s="72"/>
      <c r="D339" s="72"/>
      <c r="E339" s="43"/>
      <c r="I339" s="43"/>
      <c r="J339" s="43"/>
    </row>
    <row r="340" spans="3:10">
      <c r="C340" s="72"/>
      <c r="D340" s="72"/>
      <c r="E340" s="43"/>
      <c r="I340" s="43"/>
      <c r="J340" s="43"/>
    </row>
    <row r="341" spans="3:10">
      <c r="C341" s="72"/>
      <c r="D341" s="72"/>
      <c r="E341" s="43"/>
      <c r="I341" s="43"/>
      <c r="J341" s="43"/>
    </row>
    <row r="342" spans="3:10">
      <c r="C342" s="72"/>
      <c r="D342" s="72"/>
      <c r="E342" s="43"/>
      <c r="I342" s="43"/>
      <c r="J342" s="43"/>
    </row>
    <row r="343" spans="3:10">
      <c r="C343" s="72"/>
      <c r="D343" s="72"/>
      <c r="E343" s="43"/>
      <c r="I343" s="43"/>
      <c r="J343" s="43"/>
    </row>
    <row r="344" spans="3:10">
      <c r="C344" s="72"/>
      <c r="D344" s="72"/>
      <c r="E344" s="43"/>
      <c r="I344" s="43"/>
      <c r="J344" s="43"/>
    </row>
    <row r="345" spans="3:10">
      <c r="C345" s="72"/>
      <c r="D345" s="72"/>
      <c r="E345" s="43"/>
      <c r="I345" s="43"/>
      <c r="J345" s="43"/>
    </row>
    <row r="346" spans="3:10">
      <c r="C346" s="72"/>
      <c r="D346" s="72"/>
      <c r="E346" s="43"/>
      <c r="I346" s="43"/>
      <c r="J346" s="43"/>
    </row>
    <row r="347" spans="3:10">
      <c r="C347" s="72"/>
      <c r="D347" s="72"/>
      <c r="E347" s="43"/>
      <c r="I347" s="43"/>
      <c r="J347" s="43"/>
    </row>
    <row r="348" spans="3:10">
      <c r="C348" s="72"/>
      <c r="D348" s="72"/>
      <c r="E348" s="43"/>
      <c r="I348" s="43"/>
      <c r="J348" s="43"/>
    </row>
    <row r="349" spans="3:10">
      <c r="C349" s="72"/>
      <c r="D349" s="72"/>
      <c r="E349" s="43"/>
      <c r="I349" s="43"/>
      <c r="J349" s="43"/>
    </row>
    <row r="350" spans="3:10">
      <c r="C350" s="72"/>
      <c r="D350" s="72"/>
      <c r="E350" s="43"/>
      <c r="I350" s="43"/>
      <c r="J350" s="43"/>
    </row>
    <row r="351" spans="3:10">
      <c r="C351" s="72"/>
      <c r="D351" s="72"/>
      <c r="E351" s="43"/>
      <c r="I351" s="43"/>
      <c r="J351" s="43"/>
    </row>
    <row r="352" spans="3:10">
      <c r="C352" s="72"/>
      <c r="D352" s="72"/>
      <c r="E352" s="43"/>
      <c r="I352" s="43"/>
      <c r="J352" s="43"/>
    </row>
    <row r="353" spans="3:10">
      <c r="C353" s="72"/>
      <c r="D353" s="72"/>
      <c r="E353" s="43"/>
      <c r="I353" s="43"/>
      <c r="J353" s="43"/>
    </row>
    <row r="354" spans="3:10">
      <c r="C354" s="72"/>
      <c r="D354" s="72"/>
      <c r="E354" s="43"/>
      <c r="I354" s="43"/>
      <c r="J354" s="43"/>
    </row>
    <row r="355" spans="3:10">
      <c r="C355" s="72"/>
      <c r="D355" s="72"/>
      <c r="E355" s="43"/>
      <c r="I355" s="43"/>
      <c r="J355" s="43"/>
    </row>
    <row r="356" spans="3:10">
      <c r="C356" s="72"/>
      <c r="D356" s="72"/>
      <c r="E356" s="43"/>
      <c r="I356" s="43"/>
      <c r="J356" s="43"/>
    </row>
    <row r="357" spans="3:10">
      <c r="C357" s="72"/>
      <c r="D357" s="72"/>
      <c r="E357" s="43"/>
      <c r="I357" s="43"/>
      <c r="J357" s="43"/>
    </row>
    <row r="358" spans="3:10">
      <c r="C358" s="72"/>
      <c r="D358" s="72"/>
      <c r="E358" s="43"/>
      <c r="I358" s="43"/>
      <c r="J358" s="43"/>
    </row>
    <row r="359" spans="3:10">
      <c r="C359" s="72"/>
      <c r="D359" s="72"/>
      <c r="E359" s="43"/>
      <c r="I359" s="43"/>
      <c r="J359" s="43"/>
    </row>
    <row r="360" spans="3:10">
      <c r="C360" s="72"/>
      <c r="D360" s="72"/>
      <c r="E360" s="43"/>
      <c r="I360" s="43"/>
      <c r="J360" s="43"/>
    </row>
    <row r="361" spans="3:10">
      <c r="C361" s="72"/>
      <c r="D361" s="72"/>
      <c r="E361" s="43"/>
      <c r="I361" s="43"/>
      <c r="J361" s="43"/>
    </row>
    <row r="362" spans="3:10">
      <c r="C362" s="72"/>
      <c r="D362" s="72"/>
      <c r="E362" s="43"/>
      <c r="I362" s="43"/>
      <c r="J362" s="43"/>
    </row>
    <row r="363" spans="3:10">
      <c r="C363" s="72"/>
      <c r="D363" s="72"/>
      <c r="E363" s="43"/>
      <c r="I363" s="43"/>
      <c r="J363" s="43"/>
    </row>
    <row r="364" spans="3:10">
      <c r="C364" s="72"/>
      <c r="D364" s="72"/>
      <c r="E364" s="43"/>
      <c r="I364" s="43"/>
      <c r="J364" s="43"/>
    </row>
    <row r="365" spans="3:10">
      <c r="C365" s="72"/>
      <c r="D365" s="72"/>
      <c r="E365" s="43"/>
      <c r="I365" s="43"/>
      <c r="J365" s="43"/>
    </row>
    <row r="366" spans="3:10">
      <c r="C366" s="72"/>
      <c r="D366" s="72"/>
      <c r="E366" s="43"/>
      <c r="I366" s="43"/>
      <c r="J366" s="43"/>
    </row>
    <row r="367" spans="3:10">
      <c r="C367" s="72"/>
      <c r="D367" s="72"/>
      <c r="E367" s="43"/>
      <c r="I367" s="43"/>
      <c r="J367" s="43"/>
    </row>
    <row r="368" spans="3:10">
      <c r="C368" s="72"/>
      <c r="D368" s="72"/>
      <c r="E368" s="43"/>
      <c r="I368" s="43"/>
      <c r="J368" s="43"/>
    </row>
    <row r="369" spans="3:10">
      <c r="C369" s="72"/>
      <c r="D369" s="72"/>
      <c r="E369" s="43"/>
      <c r="I369" s="43"/>
      <c r="J369" s="43"/>
    </row>
    <row r="370" spans="3:10">
      <c r="C370" s="72"/>
      <c r="D370" s="72"/>
      <c r="E370" s="43"/>
      <c r="I370" s="43"/>
      <c r="J370" s="43"/>
    </row>
    <row r="371" spans="3:10">
      <c r="C371" s="72"/>
      <c r="D371" s="72"/>
      <c r="E371" s="43"/>
      <c r="I371" s="43"/>
      <c r="J371" s="43"/>
    </row>
    <row r="372" spans="3:10">
      <c r="C372" s="72"/>
      <c r="D372" s="72"/>
      <c r="E372" s="43"/>
      <c r="I372" s="43"/>
      <c r="J372" s="43"/>
    </row>
    <row r="373" spans="3:10">
      <c r="C373" s="72"/>
      <c r="D373" s="72"/>
      <c r="E373" s="43"/>
      <c r="I373" s="43"/>
      <c r="J373" s="43"/>
    </row>
    <row r="374" spans="3:10">
      <c r="C374" s="72"/>
      <c r="D374" s="72"/>
      <c r="E374" s="43"/>
      <c r="I374" s="43"/>
      <c r="J374" s="43"/>
    </row>
    <row r="375" spans="3:10">
      <c r="C375" s="72"/>
      <c r="D375" s="72"/>
      <c r="E375" s="43"/>
      <c r="I375" s="43"/>
      <c r="J375" s="43"/>
    </row>
    <row r="376" spans="3:10">
      <c r="C376" s="72"/>
      <c r="D376" s="72"/>
      <c r="E376" s="43"/>
      <c r="I376" s="43"/>
      <c r="J376" s="43"/>
    </row>
    <row r="377" spans="3:10">
      <c r="C377" s="72"/>
      <c r="D377" s="72"/>
      <c r="E377" s="43"/>
      <c r="I377" s="43"/>
      <c r="J377" s="43"/>
    </row>
    <row r="378" spans="3:10">
      <c r="C378" s="72"/>
      <c r="D378" s="72"/>
      <c r="E378" s="43"/>
      <c r="I378" s="43"/>
      <c r="J378" s="43"/>
    </row>
    <row r="379" spans="3:10">
      <c r="C379" s="72"/>
      <c r="D379" s="72"/>
      <c r="E379" s="43"/>
      <c r="I379" s="43"/>
      <c r="J379" s="43"/>
    </row>
    <row r="380" spans="3:10">
      <c r="C380" s="72"/>
      <c r="D380" s="72"/>
      <c r="E380" s="43"/>
      <c r="I380" s="43"/>
      <c r="J380" s="43"/>
    </row>
    <row r="381" spans="3:10">
      <c r="C381" s="72"/>
      <c r="D381" s="72"/>
      <c r="E381" s="43"/>
      <c r="I381" s="43"/>
      <c r="J381" s="43"/>
    </row>
    <row r="382" spans="3:10">
      <c r="C382" s="72"/>
      <c r="D382" s="72"/>
      <c r="E382" s="43"/>
      <c r="I382" s="43"/>
      <c r="J382" s="43"/>
    </row>
    <row r="383" spans="3:10">
      <c r="C383" s="72"/>
      <c r="D383" s="72"/>
      <c r="E383" s="43"/>
      <c r="I383" s="43"/>
      <c r="J383" s="43"/>
    </row>
    <row r="384" spans="3:10">
      <c r="C384" s="72"/>
      <c r="D384" s="72"/>
      <c r="E384" s="43"/>
      <c r="I384" s="43"/>
      <c r="J384" s="43"/>
    </row>
    <row r="385" spans="3:10">
      <c r="C385" s="72"/>
      <c r="D385" s="72"/>
      <c r="E385" s="43"/>
      <c r="I385" s="43"/>
      <c r="J385" s="43"/>
    </row>
    <row r="386" spans="3:10">
      <c r="C386" s="72"/>
      <c r="D386" s="72"/>
      <c r="E386" s="43"/>
      <c r="I386" s="43"/>
      <c r="J386" s="43"/>
    </row>
    <row r="387" spans="3:10">
      <c r="C387" s="72"/>
      <c r="D387" s="72"/>
      <c r="E387" s="43"/>
      <c r="I387" s="43"/>
      <c r="J387" s="43"/>
    </row>
    <row r="388" spans="3:10">
      <c r="C388" s="72"/>
      <c r="D388" s="72"/>
      <c r="E388" s="43"/>
      <c r="I388" s="43"/>
      <c r="J388" s="43"/>
    </row>
    <row r="389" spans="3:10">
      <c r="C389" s="72"/>
      <c r="D389" s="72"/>
      <c r="E389" s="43"/>
      <c r="I389" s="43"/>
      <c r="J389" s="43"/>
    </row>
    <row r="390" spans="3:10">
      <c r="C390" s="72"/>
      <c r="D390" s="72"/>
      <c r="E390" s="43"/>
      <c r="I390" s="43"/>
      <c r="J390" s="43"/>
    </row>
    <row r="391" spans="3:10">
      <c r="C391" s="72"/>
      <c r="D391" s="72"/>
      <c r="E391" s="43"/>
      <c r="I391" s="43"/>
      <c r="J391" s="43"/>
    </row>
    <row r="392" spans="3:10">
      <c r="C392" s="72"/>
      <c r="D392" s="72"/>
      <c r="E392" s="43"/>
      <c r="I392" s="43"/>
      <c r="J392" s="43"/>
    </row>
    <row r="393" spans="3:10">
      <c r="C393" s="72"/>
      <c r="D393" s="72"/>
      <c r="E393" s="43"/>
      <c r="I393" s="43"/>
      <c r="J393" s="43"/>
    </row>
    <row r="394" spans="3:10">
      <c r="C394" s="72"/>
      <c r="D394" s="72"/>
      <c r="E394" s="43"/>
      <c r="I394" s="43"/>
      <c r="J394" s="43"/>
    </row>
    <row r="395" spans="3:10">
      <c r="C395" s="72"/>
      <c r="D395" s="72"/>
      <c r="E395" s="43"/>
      <c r="I395" s="43"/>
      <c r="J395" s="43"/>
    </row>
    <row r="396" spans="3:10">
      <c r="C396" s="72"/>
      <c r="D396" s="72"/>
      <c r="E396" s="43"/>
      <c r="I396" s="43"/>
      <c r="J396" s="43"/>
    </row>
    <row r="397" spans="3:10">
      <c r="C397" s="72"/>
      <c r="D397" s="72"/>
      <c r="E397" s="43"/>
      <c r="I397" s="43"/>
      <c r="J397" s="43"/>
    </row>
    <row r="398" spans="3:10">
      <c r="C398" s="72"/>
      <c r="D398" s="72"/>
      <c r="E398" s="43"/>
      <c r="I398" s="43"/>
      <c r="J398" s="43"/>
    </row>
    <row r="399" spans="3:10">
      <c r="C399" s="72"/>
      <c r="D399" s="72"/>
      <c r="E399" s="43"/>
      <c r="I399" s="43"/>
      <c r="J399" s="43"/>
    </row>
    <row r="400" spans="3:10">
      <c r="C400" s="72"/>
      <c r="D400" s="72"/>
      <c r="E400" s="43"/>
      <c r="I400" s="43"/>
      <c r="J400" s="43"/>
    </row>
    <row r="401" spans="3:10">
      <c r="C401" s="72"/>
      <c r="D401" s="72"/>
      <c r="E401" s="43"/>
      <c r="I401" s="43"/>
      <c r="J401" s="43"/>
    </row>
    <row r="402" spans="3:10">
      <c r="C402" s="72"/>
      <c r="D402" s="72"/>
      <c r="E402" s="43"/>
      <c r="I402" s="43"/>
      <c r="J402" s="43"/>
    </row>
    <row r="403" spans="3:10">
      <c r="C403" s="72"/>
      <c r="D403" s="72"/>
      <c r="E403" s="43"/>
      <c r="I403" s="43"/>
      <c r="J403" s="43"/>
    </row>
    <row r="404" spans="3:10">
      <c r="C404" s="72"/>
      <c r="D404" s="72"/>
      <c r="E404" s="43"/>
      <c r="I404" s="43"/>
      <c r="J404" s="43"/>
    </row>
    <row r="405" spans="3:10">
      <c r="C405" s="72"/>
      <c r="D405" s="72"/>
      <c r="E405" s="43"/>
      <c r="I405" s="43"/>
      <c r="J405" s="43"/>
    </row>
    <row r="406" spans="3:10">
      <c r="C406" s="72"/>
      <c r="D406" s="72"/>
      <c r="E406" s="43"/>
      <c r="I406" s="43"/>
      <c r="J406" s="43"/>
    </row>
    <row r="407" spans="3:10">
      <c r="C407" s="72"/>
      <c r="D407" s="72"/>
      <c r="E407" s="43"/>
      <c r="I407" s="43"/>
      <c r="J407" s="43"/>
    </row>
    <row r="408" spans="3:10">
      <c r="C408" s="72"/>
      <c r="D408" s="72"/>
      <c r="E408" s="43"/>
      <c r="I408" s="43"/>
      <c r="J408" s="43"/>
    </row>
    <row r="409" spans="3:10">
      <c r="C409" s="72"/>
      <c r="D409" s="72"/>
      <c r="E409" s="43"/>
      <c r="I409" s="43"/>
      <c r="J409" s="43"/>
    </row>
    <row r="410" spans="3:10">
      <c r="C410" s="72"/>
      <c r="D410" s="72"/>
      <c r="E410" s="43"/>
      <c r="I410" s="43"/>
      <c r="J410" s="43"/>
    </row>
    <row r="411" spans="3:10">
      <c r="C411" s="72"/>
      <c r="D411" s="72"/>
      <c r="E411" s="43"/>
      <c r="I411" s="43"/>
      <c r="J411" s="43"/>
    </row>
    <row r="412" spans="3:10">
      <c r="C412" s="72"/>
      <c r="D412" s="72"/>
      <c r="E412" s="43"/>
      <c r="I412" s="43"/>
      <c r="J412" s="43"/>
    </row>
    <row r="413" spans="3:10">
      <c r="C413" s="72"/>
      <c r="D413" s="72"/>
      <c r="E413" s="43"/>
      <c r="I413" s="43"/>
      <c r="J413" s="43"/>
    </row>
    <row r="414" spans="3:10">
      <c r="C414" s="72"/>
      <c r="D414" s="72"/>
      <c r="E414" s="43"/>
      <c r="I414" s="43"/>
      <c r="J414" s="43"/>
    </row>
    <row r="415" spans="3:10">
      <c r="C415" s="72"/>
      <c r="D415" s="72"/>
      <c r="E415" s="43"/>
      <c r="I415" s="43"/>
      <c r="J415" s="43"/>
    </row>
    <row r="416" spans="3:10">
      <c r="C416" s="72"/>
      <c r="D416" s="72"/>
      <c r="E416" s="43"/>
      <c r="I416" s="43"/>
      <c r="J416" s="43"/>
    </row>
    <row r="417" spans="3:10">
      <c r="C417" s="72"/>
      <c r="D417" s="72"/>
      <c r="E417" s="43"/>
      <c r="I417" s="43"/>
      <c r="J417" s="43"/>
    </row>
    <row r="418" spans="3:10">
      <c r="C418" s="72"/>
      <c r="D418" s="72"/>
      <c r="E418" s="43"/>
      <c r="I418" s="43"/>
      <c r="J418" s="43"/>
    </row>
    <row r="419" spans="3:10">
      <c r="C419" s="72"/>
      <c r="D419" s="72"/>
      <c r="E419" s="43"/>
      <c r="I419" s="43"/>
      <c r="J419" s="43"/>
    </row>
    <row r="420" spans="3:10">
      <c r="C420" s="72"/>
      <c r="D420" s="72"/>
      <c r="E420" s="43"/>
      <c r="I420" s="43"/>
      <c r="J420" s="43"/>
    </row>
    <row r="421" spans="3:10">
      <c r="C421" s="72"/>
      <c r="D421" s="72"/>
      <c r="E421" s="43"/>
      <c r="I421" s="43"/>
      <c r="J421" s="43"/>
    </row>
    <row r="422" spans="3:10">
      <c r="C422" s="72"/>
      <c r="D422" s="72"/>
      <c r="E422" s="43"/>
      <c r="I422" s="43"/>
      <c r="J422" s="43"/>
    </row>
    <row r="423" spans="3:10">
      <c r="C423" s="72"/>
      <c r="D423" s="72"/>
      <c r="E423" s="43"/>
      <c r="I423" s="43"/>
      <c r="J423" s="43"/>
    </row>
    <row r="424" spans="3:10">
      <c r="C424" s="72"/>
      <c r="D424" s="72"/>
      <c r="E424" s="43"/>
      <c r="I424" s="43"/>
      <c r="J424" s="43"/>
    </row>
    <row r="425" spans="3:10">
      <c r="C425" s="72"/>
      <c r="D425" s="72"/>
      <c r="E425" s="43"/>
      <c r="I425" s="43"/>
      <c r="J425" s="43"/>
    </row>
    <row r="426" spans="3:10">
      <c r="C426" s="72"/>
      <c r="D426" s="72"/>
      <c r="E426" s="43"/>
      <c r="I426" s="43"/>
      <c r="J426" s="43"/>
    </row>
    <row r="427" spans="3:10">
      <c r="C427" s="72"/>
      <c r="D427" s="72"/>
      <c r="E427" s="43"/>
      <c r="I427" s="43"/>
      <c r="J427" s="43"/>
    </row>
    <row r="428" spans="3:10">
      <c r="C428" s="72"/>
      <c r="D428" s="72"/>
      <c r="E428" s="43"/>
      <c r="I428" s="43"/>
      <c r="J428" s="43"/>
    </row>
    <row r="429" spans="3:10">
      <c r="C429" s="72"/>
      <c r="D429" s="72"/>
      <c r="E429" s="43"/>
      <c r="I429" s="43"/>
      <c r="J429" s="43"/>
    </row>
    <row r="430" spans="3:10">
      <c r="C430" s="72"/>
      <c r="D430" s="72"/>
      <c r="E430" s="43"/>
      <c r="I430" s="43"/>
      <c r="J430" s="43"/>
    </row>
    <row r="431" spans="3:10">
      <c r="C431" s="72"/>
      <c r="D431" s="72"/>
      <c r="E431" s="43"/>
      <c r="I431" s="43"/>
      <c r="J431" s="43"/>
    </row>
    <row r="432" spans="3:10">
      <c r="C432" s="72"/>
      <c r="D432" s="72"/>
      <c r="E432" s="43"/>
      <c r="I432" s="43"/>
      <c r="J432" s="43"/>
    </row>
    <row r="433" spans="3:10">
      <c r="C433" s="72"/>
      <c r="D433" s="72"/>
      <c r="E433" s="43"/>
      <c r="I433" s="43"/>
      <c r="J433" s="43"/>
    </row>
    <row r="434" spans="3:10">
      <c r="C434" s="72"/>
      <c r="D434" s="72"/>
      <c r="E434" s="43"/>
      <c r="I434" s="43"/>
      <c r="J434" s="43"/>
    </row>
    <row r="435" spans="3:10">
      <c r="C435" s="72"/>
      <c r="D435" s="72"/>
      <c r="E435" s="43"/>
      <c r="I435" s="43"/>
      <c r="J435" s="43"/>
    </row>
    <row r="436" spans="3:10">
      <c r="C436" s="72"/>
      <c r="D436" s="72"/>
      <c r="E436" s="43"/>
      <c r="I436" s="43"/>
      <c r="J436" s="43"/>
    </row>
    <row r="437" spans="3:10">
      <c r="C437" s="72"/>
      <c r="D437" s="72"/>
      <c r="E437" s="43"/>
      <c r="I437" s="43"/>
      <c r="J437" s="43"/>
    </row>
    <row r="438" spans="3:10">
      <c r="C438" s="72"/>
      <c r="D438" s="72"/>
      <c r="E438" s="43"/>
      <c r="I438" s="43"/>
      <c r="J438" s="43"/>
    </row>
    <row r="439" spans="3:10">
      <c r="C439" s="72"/>
      <c r="D439" s="72"/>
      <c r="E439" s="43"/>
      <c r="I439" s="43"/>
      <c r="J439" s="43"/>
    </row>
    <row r="440" spans="3:10">
      <c r="C440" s="72"/>
      <c r="D440" s="72"/>
      <c r="E440" s="43"/>
      <c r="I440" s="43"/>
      <c r="J440" s="43"/>
    </row>
    <row r="441" spans="3:10">
      <c r="C441" s="72"/>
      <c r="D441" s="72"/>
      <c r="E441" s="43"/>
      <c r="I441" s="43"/>
      <c r="J441" s="43"/>
    </row>
    <row r="442" spans="3:10">
      <c r="C442" s="72"/>
      <c r="D442" s="72"/>
      <c r="E442" s="43"/>
      <c r="I442" s="43"/>
      <c r="J442" s="43"/>
    </row>
    <row r="443" spans="3:10">
      <c r="C443" s="72"/>
      <c r="D443" s="72"/>
      <c r="E443" s="43"/>
      <c r="I443" s="43"/>
      <c r="J443" s="43"/>
    </row>
    <row r="444" spans="3:10">
      <c r="C444" s="72"/>
      <c r="D444" s="72"/>
      <c r="E444" s="43"/>
      <c r="I444" s="43"/>
      <c r="J444" s="43"/>
    </row>
    <row r="445" spans="3:10">
      <c r="C445" s="72"/>
      <c r="D445" s="72"/>
      <c r="E445" s="43"/>
      <c r="I445" s="43"/>
      <c r="J445" s="43"/>
    </row>
    <row r="446" spans="3:10">
      <c r="C446" s="72"/>
      <c r="D446" s="72"/>
      <c r="E446" s="43"/>
      <c r="I446" s="43"/>
      <c r="J446" s="43"/>
    </row>
    <row r="447" spans="3:10">
      <c r="C447" s="72"/>
      <c r="D447" s="72"/>
      <c r="E447" s="43"/>
      <c r="I447" s="43"/>
      <c r="J447" s="43"/>
    </row>
    <row r="448" spans="3:10">
      <c r="C448" s="72"/>
      <c r="D448" s="72"/>
      <c r="E448" s="43"/>
      <c r="I448" s="43"/>
      <c r="J448" s="43"/>
    </row>
    <row r="449" spans="3:10">
      <c r="C449" s="72"/>
      <c r="D449" s="72"/>
      <c r="E449" s="43"/>
      <c r="I449" s="43"/>
      <c r="J449" s="43"/>
    </row>
    <row r="450" spans="3:10">
      <c r="C450" s="72"/>
      <c r="D450" s="72"/>
      <c r="E450" s="43"/>
      <c r="I450" s="43"/>
      <c r="J450" s="43"/>
    </row>
    <row r="451" spans="3:10">
      <c r="C451" s="72"/>
      <c r="D451" s="72"/>
      <c r="E451" s="43"/>
      <c r="I451" s="43"/>
      <c r="J451" s="43"/>
    </row>
    <row r="452" spans="3:10">
      <c r="C452" s="72"/>
      <c r="D452" s="72"/>
      <c r="E452" s="43"/>
      <c r="I452" s="43"/>
      <c r="J452" s="43"/>
    </row>
    <row r="453" spans="3:10">
      <c r="C453" s="72"/>
      <c r="D453" s="72"/>
      <c r="E453" s="43"/>
      <c r="I453" s="43"/>
      <c r="J453" s="43"/>
    </row>
    <row r="454" spans="3:10">
      <c r="C454" s="72"/>
      <c r="D454" s="72"/>
      <c r="E454" s="43"/>
      <c r="I454" s="43"/>
      <c r="J454" s="43"/>
    </row>
    <row r="455" spans="3:10">
      <c r="C455" s="72"/>
      <c r="D455" s="72"/>
      <c r="E455" s="43"/>
      <c r="I455" s="43"/>
      <c r="J455" s="43"/>
    </row>
    <row r="456" spans="3:10">
      <c r="C456" s="72"/>
      <c r="D456" s="72"/>
      <c r="E456" s="43"/>
      <c r="I456" s="43"/>
      <c r="J456" s="43"/>
    </row>
    <row r="457" spans="3:10">
      <c r="C457" s="72"/>
      <c r="D457" s="72"/>
      <c r="E457" s="43"/>
      <c r="I457" s="43"/>
      <c r="J457" s="43"/>
    </row>
    <row r="458" spans="3:10">
      <c r="C458" s="72"/>
      <c r="D458" s="72"/>
      <c r="E458" s="43"/>
      <c r="I458" s="43"/>
      <c r="J458" s="43"/>
    </row>
    <row r="459" spans="3:10">
      <c r="C459" s="72"/>
      <c r="D459" s="72"/>
      <c r="E459" s="43"/>
      <c r="I459" s="43"/>
      <c r="J459" s="43"/>
    </row>
    <row r="460" spans="3:10">
      <c r="C460" s="72"/>
      <c r="D460" s="72"/>
      <c r="E460" s="43"/>
      <c r="I460" s="43"/>
      <c r="J460" s="43"/>
    </row>
    <row r="461" spans="3:10">
      <c r="C461" s="72"/>
      <c r="D461" s="72"/>
      <c r="E461" s="43"/>
      <c r="I461" s="43"/>
      <c r="J461" s="43"/>
    </row>
    <row r="462" spans="3:10">
      <c r="C462" s="72"/>
      <c r="D462" s="72"/>
      <c r="E462" s="43"/>
      <c r="I462" s="43"/>
      <c r="J462" s="43"/>
    </row>
    <row r="463" spans="3:10">
      <c r="C463" s="72"/>
      <c r="D463" s="72"/>
      <c r="E463" s="43"/>
      <c r="I463" s="43"/>
      <c r="J463" s="43"/>
    </row>
    <row r="464" spans="3:10">
      <c r="C464" s="72"/>
      <c r="D464" s="72"/>
      <c r="E464" s="43"/>
      <c r="I464" s="43"/>
      <c r="J464" s="43"/>
    </row>
    <row r="465" spans="3:10">
      <c r="C465" s="72"/>
      <c r="D465" s="72"/>
      <c r="E465" s="43"/>
      <c r="I465" s="43"/>
      <c r="J465" s="43"/>
    </row>
    <row r="466" spans="3:10">
      <c r="C466" s="72"/>
      <c r="D466" s="72"/>
      <c r="E466" s="43"/>
      <c r="I466" s="43"/>
      <c r="J466" s="43"/>
    </row>
    <row r="467" spans="3:10">
      <c r="C467" s="72"/>
      <c r="D467" s="72"/>
      <c r="E467" s="43"/>
      <c r="I467" s="43"/>
      <c r="J467" s="43"/>
    </row>
    <row r="468" spans="3:10">
      <c r="C468" s="72"/>
      <c r="D468" s="72"/>
      <c r="E468" s="43"/>
      <c r="I468" s="43"/>
      <c r="J468" s="43"/>
    </row>
    <row r="469" spans="3:10">
      <c r="C469" s="72"/>
      <c r="D469" s="72"/>
      <c r="E469" s="43"/>
      <c r="I469" s="43"/>
      <c r="J469" s="43"/>
    </row>
    <row r="470" spans="3:10">
      <c r="C470" s="72"/>
      <c r="D470" s="72"/>
      <c r="E470" s="43"/>
      <c r="I470" s="43"/>
      <c r="J470" s="43"/>
    </row>
    <row r="471" spans="3:10">
      <c r="C471" s="72"/>
      <c r="D471" s="72"/>
      <c r="E471" s="43"/>
      <c r="I471" s="43"/>
      <c r="J471" s="43"/>
    </row>
    <row r="472" spans="3:10">
      <c r="C472" s="72"/>
      <c r="D472" s="72"/>
      <c r="E472" s="43"/>
      <c r="I472" s="43"/>
      <c r="J472" s="43"/>
    </row>
    <row r="473" spans="3:10">
      <c r="C473" s="72"/>
      <c r="D473" s="72"/>
      <c r="E473" s="43"/>
      <c r="I473" s="43"/>
      <c r="J473" s="43"/>
    </row>
    <row r="474" spans="3:10">
      <c r="C474" s="72"/>
      <c r="D474" s="72"/>
      <c r="E474" s="43"/>
      <c r="I474" s="43"/>
      <c r="J474" s="43"/>
    </row>
    <row r="475" spans="3:10">
      <c r="C475" s="72"/>
      <c r="D475" s="72"/>
      <c r="E475" s="43"/>
      <c r="I475" s="43"/>
      <c r="J475" s="43"/>
    </row>
    <row r="476" spans="3:10">
      <c r="C476" s="72"/>
      <c r="D476" s="72"/>
      <c r="E476" s="43"/>
      <c r="I476" s="43"/>
      <c r="J476" s="43"/>
    </row>
    <row r="477" spans="3:10">
      <c r="C477" s="72"/>
      <c r="D477" s="72"/>
      <c r="E477" s="43"/>
      <c r="I477" s="43"/>
      <c r="J477" s="43"/>
    </row>
    <row r="478" spans="3:10">
      <c r="C478" s="72"/>
      <c r="D478" s="72"/>
      <c r="E478" s="43"/>
      <c r="I478" s="43"/>
      <c r="J478" s="43"/>
    </row>
    <row r="479" spans="3:10">
      <c r="C479" s="72"/>
      <c r="D479" s="72"/>
      <c r="E479" s="43"/>
      <c r="I479" s="43"/>
      <c r="J479" s="43"/>
    </row>
    <row r="480" spans="3:10">
      <c r="C480" s="72"/>
      <c r="D480" s="72"/>
      <c r="E480" s="43"/>
      <c r="I480" s="43"/>
      <c r="J480" s="43"/>
    </row>
    <row r="481" spans="3:10">
      <c r="C481" s="72"/>
      <c r="D481" s="72"/>
      <c r="E481" s="43"/>
      <c r="I481" s="43"/>
      <c r="J481" s="43"/>
    </row>
    <row r="482" spans="3:10">
      <c r="C482" s="72"/>
      <c r="D482" s="72"/>
      <c r="E482" s="43"/>
      <c r="I482" s="43"/>
      <c r="J482" s="43"/>
    </row>
    <row r="483" spans="3:10">
      <c r="C483" s="72"/>
      <c r="D483" s="72"/>
      <c r="E483" s="43"/>
      <c r="I483" s="43"/>
      <c r="J483" s="43"/>
    </row>
    <row r="484" spans="3:10">
      <c r="C484" s="72"/>
      <c r="D484" s="72"/>
      <c r="E484" s="43"/>
      <c r="I484" s="43"/>
      <c r="J484" s="43"/>
    </row>
    <row r="485" spans="3:10">
      <c r="C485" s="72"/>
      <c r="D485" s="72"/>
      <c r="E485" s="43"/>
      <c r="I485" s="43"/>
      <c r="J485" s="43"/>
    </row>
    <row r="486" spans="3:10">
      <c r="C486" s="72"/>
      <c r="D486" s="72"/>
      <c r="E486" s="43"/>
      <c r="I486" s="43"/>
      <c r="J486" s="43"/>
    </row>
    <row r="487" spans="3:10">
      <c r="C487" s="72"/>
      <c r="D487" s="72"/>
      <c r="E487" s="43"/>
      <c r="I487" s="43"/>
      <c r="J487" s="43"/>
    </row>
    <row r="488" spans="3:10">
      <c r="C488" s="72"/>
      <c r="D488" s="72"/>
      <c r="E488" s="43"/>
      <c r="I488" s="43"/>
      <c r="J488" s="43"/>
    </row>
    <row r="489" spans="3:10">
      <c r="C489" s="72"/>
      <c r="D489" s="72"/>
      <c r="E489" s="43"/>
      <c r="I489" s="43"/>
      <c r="J489" s="43"/>
    </row>
    <row r="490" spans="3:10">
      <c r="C490" s="72"/>
      <c r="D490" s="72"/>
      <c r="E490" s="43"/>
      <c r="I490" s="43"/>
      <c r="J490" s="43"/>
    </row>
    <row r="491" spans="3:10">
      <c r="C491" s="72"/>
      <c r="D491" s="72"/>
      <c r="E491" s="43"/>
      <c r="I491" s="43"/>
      <c r="J491" s="43"/>
    </row>
    <row r="492" spans="3:10">
      <c r="C492" s="72"/>
      <c r="D492" s="72"/>
      <c r="E492" s="43"/>
      <c r="I492" s="43"/>
      <c r="J492" s="43"/>
    </row>
    <row r="493" spans="3:10">
      <c r="C493" s="72"/>
      <c r="D493" s="72"/>
      <c r="E493" s="43"/>
      <c r="I493" s="43"/>
      <c r="J493" s="43"/>
    </row>
    <row r="494" spans="3:10">
      <c r="C494" s="72"/>
      <c r="D494" s="72"/>
      <c r="E494" s="43"/>
      <c r="I494" s="43"/>
      <c r="J494" s="43"/>
    </row>
    <row r="495" spans="3:10">
      <c r="C495" s="72"/>
      <c r="D495" s="72"/>
      <c r="E495" s="43"/>
      <c r="I495" s="43"/>
      <c r="J495" s="43"/>
    </row>
    <row r="496" spans="3:10">
      <c r="C496" s="72"/>
      <c r="D496" s="72"/>
      <c r="E496" s="43"/>
      <c r="I496" s="43"/>
      <c r="J496" s="43"/>
    </row>
    <row r="497" spans="3:10">
      <c r="C497" s="72"/>
      <c r="D497" s="72"/>
      <c r="E497" s="43"/>
      <c r="I497" s="43"/>
      <c r="J497" s="43"/>
    </row>
    <row r="498" spans="3:10">
      <c r="C498" s="72"/>
      <c r="D498" s="72"/>
      <c r="E498" s="43"/>
      <c r="I498" s="43"/>
      <c r="J498" s="43"/>
    </row>
    <row r="499" spans="3:10">
      <c r="C499" s="72"/>
      <c r="D499" s="72"/>
      <c r="E499" s="43"/>
      <c r="I499" s="43"/>
      <c r="J499" s="43"/>
    </row>
    <row r="500" spans="3:10">
      <c r="C500" s="72"/>
      <c r="D500" s="72"/>
      <c r="E500" s="43"/>
      <c r="I500" s="43"/>
      <c r="J500" s="43"/>
    </row>
    <row r="501" spans="3:10">
      <c r="C501" s="72"/>
      <c r="D501" s="72"/>
      <c r="E501" s="43"/>
      <c r="I501" s="43"/>
      <c r="J501" s="43"/>
    </row>
    <row r="502" spans="3:10">
      <c r="C502" s="72"/>
      <c r="D502" s="72"/>
      <c r="E502" s="43"/>
      <c r="I502" s="43"/>
      <c r="J502" s="43"/>
    </row>
    <row r="503" spans="3:10">
      <c r="C503" s="72"/>
      <c r="D503" s="72"/>
      <c r="E503" s="43"/>
      <c r="I503" s="43"/>
      <c r="J503" s="43"/>
    </row>
    <row r="504" spans="3:10">
      <c r="C504" s="72"/>
      <c r="D504" s="72"/>
      <c r="E504" s="43"/>
      <c r="I504" s="43"/>
      <c r="J504" s="43"/>
    </row>
    <row r="505" spans="3:10">
      <c r="C505" s="72"/>
      <c r="D505" s="72"/>
      <c r="E505" s="43"/>
      <c r="I505" s="43"/>
      <c r="J505" s="43"/>
    </row>
    <row r="506" spans="3:10">
      <c r="C506" s="72"/>
      <c r="D506" s="72"/>
      <c r="E506" s="43"/>
      <c r="I506" s="43"/>
      <c r="J506" s="43"/>
    </row>
    <row r="507" spans="3:10">
      <c r="C507" s="72"/>
      <c r="D507" s="72"/>
      <c r="E507" s="43"/>
      <c r="I507" s="43"/>
      <c r="J507" s="43"/>
    </row>
    <row r="508" spans="3:10">
      <c r="C508" s="72"/>
      <c r="D508" s="72"/>
      <c r="E508" s="43"/>
      <c r="I508" s="43"/>
      <c r="J508" s="43"/>
    </row>
    <row r="509" spans="3:10">
      <c r="C509" s="72"/>
      <c r="D509" s="72"/>
      <c r="E509" s="43"/>
      <c r="I509" s="43"/>
      <c r="J509" s="43"/>
    </row>
    <row r="510" spans="3:10">
      <c r="C510" s="72"/>
      <c r="D510" s="72"/>
      <c r="E510" s="43"/>
      <c r="I510" s="43"/>
      <c r="J510" s="43"/>
    </row>
    <row r="511" spans="3:10">
      <c r="C511" s="72"/>
      <c r="D511" s="72"/>
      <c r="E511" s="43"/>
      <c r="I511" s="43"/>
      <c r="J511" s="43"/>
    </row>
    <row r="512" spans="3:10">
      <c r="C512" s="72"/>
      <c r="D512" s="72"/>
      <c r="E512" s="43"/>
      <c r="I512" s="43"/>
      <c r="J512" s="43"/>
    </row>
    <row r="513" spans="3:10">
      <c r="C513" s="72"/>
      <c r="D513" s="72"/>
      <c r="E513" s="43"/>
      <c r="I513" s="43"/>
      <c r="J513" s="43"/>
    </row>
    <row r="514" spans="3:10">
      <c r="C514" s="72"/>
      <c r="D514" s="72"/>
      <c r="E514" s="43"/>
      <c r="I514" s="43"/>
      <c r="J514" s="43"/>
    </row>
    <row r="515" spans="3:10">
      <c r="C515" s="72"/>
      <c r="D515" s="72"/>
      <c r="E515" s="43"/>
      <c r="I515" s="43"/>
      <c r="J515" s="43"/>
    </row>
    <row r="516" spans="3:10">
      <c r="C516" s="72"/>
      <c r="D516" s="72"/>
      <c r="E516" s="43"/>
      <c r="I516" s="43"/>
      <c r="J516" s="43"/>
    </row>
    <row r="517" spans="3:10">
      <c r="C517" s="72"/>
      <c r="D517" s="72"/>
      <c r="E517" s="43"/>
      <c r="I517" s="43"/>
      <c r="J517" s="43"/>
    </row>
    <row r="518" spans="3:10">
      <c r="C518" s="72"/>
      <c r="D518" s="72"/>
      <c r="E518" s="43"/>
      <c r="I518" s="43"/>
      <c r="J518" s="43"/>
    </row>
    <row r="519" spans="3:10">
      <c r="C519" s="72"/>
      <c r="D519" s="72"/>
      <c r="E519" s="43"/>
      <c r="I519" s="43"/>
      <c r="J519" s="43"/>
    </row>
    <row r="520" spans="3:10">
      <c r="C520" s="72"/>
      <c r="D520" s="72"/>
      <c r="E520" s="43"/>
      <c r="I520" s="43"/>
      <c r="J520" s="43"/>
    </row>
    <row r="521" spans="3:10">
      <c r="C521" s="72"/>
      <c r="D521" s="72"/>
      <c r="E521" s="43"/>
      <c r="I521" s="43"/>
      <c r="J521" s="43"/>
    </row>
    <row r="522" spans="3:10">
      <c r="C522" s="72"/>
      <c r="D522" s="72"/>
      <c r="E522" s="43"/>
      <c r="I522" s="43"/>
      <c r="J522" s="43"/>
    </row>
    <row r="523" spans="3:10">
      <c r="C523" s="72"/>
      <c r="D523" s="72"/>
      <c r="E523" s="43"/>
      <c r="I523" s="43"/>
      <c r="J523" s="43"/>
    </row>
    <row r="524" spans="3:10">
      <c r="C524" s="72"/>
      <c r="D524" s="72"/>
      <c r="E524" s="43"/>
      <c r="I524" s="43"/>
      <c r="J524" s="43"/>
    </row>
    <row r="525" spans="3:10">
      <c r="C525" s="72"/>
      <c r="D525" s="72"/>
      <c r="E525" s="43"/>
      <c r="I525" s="43"/>
      <c r="J525" s="43"/>
    </row>
    <row r="526" spans="3:10">
      <c r="C526" s="72"/>
      <c r="D526" s="72"/>
      <c r="E526" s="43"/>
      <c r="I526" s="43"/>
      <c r="J526" s="43"/>
    </row>
    <row r="527" spans="3:10">
      <c r="C527" s="72"/>
      <c r="D527" s="72"/>
      <c r="E527" s="43"/>
      <c r="I527" s="43"/>
      <c r="J527" s="43"/>
    </row>
    <row r="528" spans="3:10">
      <c r="C528" s="72"/>
      <c r="D528" s="72"/>
      <c r="E528" s="43"/>
      <c r="I528" s="43"/>
      <c r="J528" s="43"/>
    </row>
    <row r="529" spans="3:10">
      <c r="C529" s="72"/>
      <c r="D529" s="72"/>
      <c r="E529" s="43"/>
      <c r="I529" s="43"/>
      <c r="J529" s="43"/>
    </row>
    <row r="530" spans="3:10">
      <c r="C530" s="72"/>
      <c r="D530" s="72"/>
      <c r="E530" s="43"/>
      <c r="I530" s="43"/>
      <c r="J530" s="43"/>
    </row>
    <row r="531" spans="3:10">
      <c r="C531" s="72"/>
      <c r="D531" s="72"/>
      <c r="E531" s="43"/>
      <c r="I531" s="43"/>
      <c r="J531" s="43"/>
    </row>
    <row r="532" spans="3:10">
      <c r="C532" s="72"/>
      <c r="D532" s="72"/>
      <c r="E532" s="43"/>
      <c r="I532" s="43"/>
      <c r="J532" s="43"/>
    </row>
    <row r="533" spans="3:10">
      <c r="C533" s="72"/>
      <c r="D533" s="72"/>
      <c r="E533" s="43"/>
      <c r="I533" s="43"/>
      <c r="J533" s="43"/>
    </row>
    <row r="534" spans="3:10">
      <c r="C534" s="72"/>
      <c r="D534" s="72"/>
      <c r="E534" s="43"/>
      <c r="I534" s="43"/>
      <c r="J534" s="43"/>
    </row>
    <row r="535" spans="3:10">
      <c r="C535" s="72"/>
      <c r="D535" s="72"/>
      <c r="E535" s="43"/>
      <c r="I535" s="43"/>
      <c r="J535" s="43"/>
    </row>
    <row r="536" spans="3:10">
      <c r="C536" s="72"/>
      <c r="D536" s="72"/>
      <c r="E536" s="43"/>
      <c r="I536" s="43"/>
      <c r="J536" s="43"/>
    </row>
    <row r="537" spans="3:10">
      <c r="C537" s="72"/>
      <c r="D537" s="72"/>
      <c r="E537" s="43"/>
      <c r="I537" s="43"/>
      <c r="J537" s="43"/>
    </row>
    <row r="538" spans="3:10">
      <c r="C538" s="72"/>
      <c r="D538" s="72"/>
      <c r="E538" s="43"/>
      <c r="I538" s="43"/>
      <c r="J538" s="43"/>
    </row>
    <row r="539" spans="3:10">
      <c r="C539" s="72"/>
      <c r="D539" s="72"/>
      <c r="E539" s="43"/>
      <c r="I539" s="43"/>
      <c r="J539" s="43"/>
    </row>
    <row r="540" spans="3:10">
      <c r="C540" s="72"/>
      <c r="D540" s="72"/>
      <c r="E540" s="43"/>
      <c r="I540" s="43"/>
      <c r="J540" s="43"/>
    </row>
    <row r="541" spans="3:10">
      <c r="C541" s="72"/>
      <c r="D541" s="72"/>
      <c r="E541" s="43"/>
      <c r="I541" s="43"/>
      <c r="J541" s="43"/>
    </row>
    <row r="542" spans="3:10">
      <c r="C542" s="72"/>
      <c r="D542" s="72"/>
      <c r="E542" s="43"/>
      <c r="I542" s="43"/>
      <c r="J542" s="43"/>
    </row>
    <row r="543" spans="3:10">
      <c r="C543" s="72"/>
      <c r="D543" s="72"/>
      <c r="E543" s="43"/>
      <c r="I543" s="43"/>
      <c r="J543" s="43"/>
    </row>
    <row r="544" spans="3:10">
      <c r="C544" s="72"/>
      <c r="D544" s="72"/>
      <c r="E544" s="43"/>
      <c r="I544" s="43"/>
      <c r="J544" s="43"/>
    </row>
    <row r="545" spans="3:10">
      <c r="C545" s="72"/>
      <c r="D545" s="72"/>
      <c r="E545" s="43"/>
      <c r="I545" s="43"/>
      <c r="J545" s="43"/>
    </row>
    <row r="546" spans="3:10">
      <c r="C546" s="72"/>
      <c r="D546" s="72"/>
      <c r="E546" s="43"/>
      <c r="I546" s="43"/>
      <c r="J546" s="43"/>
    </row>
    <row r="547" spans="3:10">
      <c r="C547" s="72"/>
      <c r="D547" s="72"/>
      <c r="E547" s="43"/>
      <c r="I547" s="43"/>
      <c r="J547" s="43"/>
    </row>
    <row r="548" spans="3:10">
      <c r="C548" s="72"/>
      <c r="D548" s="72"/>
      <c r="E548" s="43"/>
      <c r="I548" s="43"/>
      <c r="J548" s="43"/>
    </row>
    <row r="549" spans="3:10">
      <c r="C549" s="72"/>
      <c r="D549" s="72"/>
      <c r="E549" s="43"/>
      <c r="I549" s="43"/>
      <c r="J549" s="43"/>
    </row>
    <row r="550" spans="3:10">
      <c r="C550" s="72"/>
      <c r="D550" s="72"/>
      <c r="E550" s="43"/>
      <c r="I550" s="43"/>
      <c r="J550" s="43"/>
    </row>
    <row r="551" spans="3:10">
      <c r="C551" s="72"/>
      <c r="D551" s="72"/>
      <c r="E551" s="43"/>
      <c r="I551" s="43"/>
      <c r="J551" s="43"/>
    </row>
    <row r="552" spans="3:10">
      <c r="C552" s="72"/>
      <c r="D552" s="72"/>
      <c r="E552" s="43"/>
      <c r="I552" s="43"/>
      <c r="J552" s="43"/>
    </row>
    <row r="553" spans="3:10">
      <c r="C553" s="72"/>
      <c r="D553" s="72"/>
      <c r="E553" s="43"/>
      <c r="I553" s="43"/>
      <c r="J553" s="43"/>
    </row>
    <row r="554" spans="3:10">
      <c r="C554" s="72"/>
      <c r="D554" s="72"/>
      <c r="E554" s="43"/>
      <c r="I554" s="43"/>
      <c r="J554" s="43"/>
    </row>
    <row r="555" spans="3:10">
      <c r="C555" s="72"/>
      <c r="D555" s="72"/>
      <c r="E555" s="43"/>
      <c r="I555" s="43"/>
      <c r="J555" s="43"/>
    </row>
    <row r="556" spans="3:10">
      <c r="C556" s="72"/>
      <c r="D556" s="72"/>
      <c r="E556" s="43"/>
      <c r="I556" s="43"/>
      <c r="J556" s="43"/>
    </row>
    <row r="557" spans="3:10">
      <c r="C557" s="72"/>
      <c r="D557" s="72"/>
      <c r="E557" s="43"/>
      <c r="I557" s="43"/>
      <c r="J557" s="43"/>
    </row>
    <row r="558" spans="3:10">
      <c r="C558" s="72"/>
      <c r="D558" s="72"/>
      <c r="E558" s="43"/>
      <c r="I558" s="43"/>
      <c r="J558" s="43"/>
    </row>
    <row r="559" spans="3:10">
      <c r="C559" s="72"/>
      <c r="D559" s="72"/>
      <c r="E559" s="43"/>
      <c r="I559" s="43"/>
      <c r="J559" s="43"/>
    </row>
    <row r="560" spans="3:10">
      <c r="C560" s="72"/>
      <c r="D560" s="72"/>
      <c r="E560" s="43"/>
      <c r="I560" s="43"/>
      <c r="J560" s="43"/>
    </row>
    <row r="561" spans="3:10">
      <c r="C561" s="72"/>
      <c r="D561" s="72"/>
      <c r="E561" s="43"/>
      <c r="I561" s="43"/>
      <c r="J561" s="43"/>
    </row>
    <row r="562" spans="3:10">
      <c r="C562" s="72"/>
      <c r="D562" s="72"/>
      <c r="E562" s="43"/>
      <c r="I562" s="43"/>
      <c r="J562" s="43"/>
    </row>
    <row r="563" spans="3:10">
      <c r="C563" s="72"/>
      <c r="D563" s="72"/>
      <c r="E563" s="43"/>
      <c r="I563" s="43"/>
      <c r="J563" s="43"/>
    </row>
    <row r="564" spans="3:10">
      <c r="C564" s="72"/>
      <c r="D564" s="72"/>
      <c r="E564" s="43"/>
      <c r="I564" s="43"/>
      <c r="J564" s="43"/>
    </row>
    <row r="565" spans="3:10">
      <c r="C565" s="72"/>
      <c r="D565" s="72"/>
      <c r="E565" s="43"/>
      <c r="I565" s="43"/>
      <c r="J565" s="43"/>
    </row>
    <row r="566" spans="3:10">
      <c r="C566" s="72"/>
      <c r="D566" s="72"/>
      <c r="E566" s="43"/>
      <c r="I566" s="43"/>
      <c r="J566" s="43"/>
    </row>
    <row r="567" spans="3:10">
      <c r="C567" s="72"/>
      <c r="D567" s="72"/>
      <c r="E567" s="43"/>
      <c r="I567" s="43"/>
      <c r="J567" s="43"/>
    </row>
    <row r="568" spans="3:10">
      <c r="C568" s="72"/>
      <c r="D568" s="72"/>
      <c r="E568" s="43"/>
      <c r="I568" s="43"/>
      <c r="J568" s="43"/>
    </row>
    <row r="569" spans="3:10">
      <c r="C569" s="72"/>
      <c r="D569" s="72"/>
      <c r="E569" s="43"/>
      <c r="I569" s="43"/>
      <c r="J569" s="43"/>
    </row>
    <row r="570" spans="3:10">
      <c r="C570" s="72"/>
      <c r="D570" s="72"/>
      <c r="E570" s="43"/>
      <c r="I570" s="43"/>
      <c r="J570" s="43"/>
    </row>
    <row r="571" spans="3:10">
      <c r="C571" s="72"/>
      <c r="D571" s="72"/>
      <c r="E571" s="43"/>
      <c r="I571" s="43"/>
      <c r="J571" s="43"/>
    </row>
    <row r="572" spans="3:10">
      <c r="C572" s="72"/>
      <c r="D572" s="72"/>
      <c r="E572" s="43"/>
      <c r="I572" s="43"/>
      <c r="J572" s="43"/>
    </row>
    <row r="573" spans="3:10">
      <c r="C573" s="72"/>
      <c r="D573" s="72"/>
      <c r="E573" s="43"/>
      <c r="I573" s="43"/>
      <c r="J573" s="43"/>
    </row>
    <row r="574" spans="3:10">
      <c r="C574" s="72"/>
      <c r="D574" s="72"/>
      <c r="E574" s="43"/>
      <c r="I574" s="43"/>
      <c r="J574" s="43"/>
    </row>
    <row r="575" spans="3:10">
      <c r="C575" s="72"/>
      <c r="D575" s="72"/>
      <c r="E575" s="43"/>
      <c r="I575" s="43"/>
      <c r="J575" s="43"/>
    </row>
    <row r="576" spans="3:10">
      <c r="C576" s="72"/>
      <c r="D576" s="72"/>
      <c r="E576" s="43"/>
      <c r="I576" s="43"/>
      <c r="J576" s="43"/>
    </row>
    <row r="577" spans="3:10">
      <c r="C577" s="72"/>
      <c r="D577" s="72"/>
      <c r="E577" s="43"/>
      <c r="I577" s="43"/>
      <c r="J577" s="43"/>
    </row>
    <row r="578" spans="3:10">
      <c r="C578" s="72"/>
      <c r="D578" s="72"/>
      <c r="E578" s="43"/>
      <c r="I578" s="43"/>
      <c r="J578" s="43"/>
    </row>
    <row r="579" spans="3:10">
      <c r="C579" s="72"/>
      <c r="D579" s="72"/>
      <c r="E579" s="43"/>
      <c r="I579" s="43"/>
      <c r="J579" s="43"/>
    </row>
    <row r="580" spans="3:10">
      <c r="C580" s="72"/>
      <c r="D580" s="72"/>
      <c r="E580" s="43"/>
      <c r="I580" s="43"/>
      <c r="J580" s="43"/>
    </row>
    <row r="581" spans="3:10">
      <c r="C581" s="72"/>
      <c r="D581" s="72"/>
      <c r="E581" s="43"/>
      <c r="I581" s="43"/>
      <c r="J581" s="43"/>
    </row>
    <row r="582" spans="3:10">
      <c r="C582" s="72"/>
      <c r="D582" s="72"/>
      <c r="E582" s="43"/>
      <c r="I582" s="43"/>
      <c r="J582" s="43"/>
    </row>
    <row r="583" spans="3:10">
      <c r="C583" s="72"/>
      <c r="D583" s="72"/>
      <c r="E583" s="43"/>
      <c r="I583" s="43"/>
      <c r="J583" s="43"/>
    </row>
    <row r="584" spans="3:10">
      <c r="C584" s="72"/>
      <c r="D584" s="72"/>
      <c r="E584" s="43"/>
      <c r="I584" s="43"/>
      <c r="J584" s="43"/>
    </row>
    <row r="585" spans="3:10">
      <c r="C585" s="72"/>
      <c r="D585" s="72"/>
      <c r="E585" s="43"/>
      <c r="I585" s="43"/>
      <c r="J585" s="43"/>
    </row>
    <row r="586" spans="3:10">
      <c r="C586" s="72"/>
      <c r="D586" s="72"/>
      <c r="E586" s="43"/>
      <c r="I586" s="43"/>
      <c r="J586" s="43"/>
    </row>
    <row r="587" spans="3:10">
      <c r="C587" s="72"/>
      <c r="D587" s="72"/>
      <c r="E587" s="43"/>
      <c r="I587" s="43"/>
      <c r="J587" s="43"/>
    </row>
    <row r="588" spans="3:10">
      <c r="C588" s="72"/>
      <c r="D588" s="72"/>
      <c r="E588" s="43"/>
      <c r="I588" s="43"/>
      <c r="J588" s="43"/>
    </row>
    <row r="589" spans="3:10">
      <c r="C589" s="72"/>
      <c r="D589" s="72"/>
      <c r="E589" s="43"/>
      <c r="I589" s="43"/>
      <c r="J589" s="43"/>
    </row>
    <row r="590" spans="3:10">
      <c r="C590" s="72"/>
      <c r="D590" s="72"/>
      <c r="E590" s="43"/>
      <c r="I590" s="43"/>
      <c r="J590" s="43"/>
    </row>
    <row r="591" spans="3:10">
      <c r="C591" s="72"/>
      <c r="D591" s="72"/>
      <c r="E591" s="43"/>
      <c r="I591" s="43"/>
      <c r="J591" s="43"/>
    </row>
    <row r="592" spans="3:10">
      <c r="C592" s="72"/>
      <c r="D592" s="72"/>
      <c r="E592" s="43"/>
      <c r="I592" s="43"/>
      <c r="J592" s="43"/>
    </row>
    <row r="593" spans="3:10">
      <c r="C593" s="72"/>
      <c r="D593" s="72"/>
      <c r="E593" s="43"/>
      <c r="I593" s="43"/>
      <c r="J593" s="43"/>
    </row>
    <row r="594" spans="3:10">
      <c r="C594" s="72"/>
      <c r="D594" s="72"/>
      <c r="E594" s="43"/>
      <c r="I594" s="43"/>
      <c r="J594" s="43"/>
    </row>
    <row r="595" spans="3:10">
      <c r="C595" s="72"/>
      <c r="D595" s="72"/>
      <c r="E595" s="43"/>
      <c r="I595" s="43"/>
      <c r="J595" s="43"/>
    </row>
    <row r="596" spans="3:10">
      <c r="C596" s="72"/>
      <c r="D596" s="72"/>
      <c r="E596" s="43"/>
      <c r="I596" s="43"/>
      <c r="J596" s="43"/>
    </row>
    <row r="597" spans="3:10">
      <c r="C597" s="72"/>
      <c r="D597" s="72"/>
      <c r="E597" s="43"/>
      <c r="I597" s="43"/>
      <c r="J597" s="43"/>
    </row>
    <row r="598" spans="3:10">
      <c r="C598" s="72"/>
      <c r="D598" s="72"/>
      <c r="E598" s="43"/>
      <c r="I598" s="43"/>
      <c r="J598" s="43"/>
    </row>
    <row r="599" spans="3:10">
      <c r="C599" s="72"/>
      <c r="D599" s="72"/>
      <c r="E599" s="43"/>
      <c r="I599" s="43"/>
      <c r="J599" s="43"/>
    </row>
    <row r="600" spans="3:10">
      <c r="C600" s="72"/>
      <c r="D600" s="72"/>
      <c r="E600" s="43"/>
      <c r="I600" s="43"/>
      <c r="J600" s="43"/>
    </row>
    <row r="601" spans="3:10">
      <c r="C601" s="72"/>
      <c r="D601" s="72"/>
      <c r="E601" s="43"/>
      <c r="I601" s="43"/>
      <c r="J601" s="43"/>
    </row>
    <row r="602" spans="3:10">
      <c r="C602" s="72"/>
      <c r="D602" s="72"/>
      <c r="E602" s="43"/>
      <c r="I602" s="43"/>
      <c r="J602" s="43"/>
    </row>
    <row r="603" spans="3:10">
      <c r="C603" s="72"/>
      <c r="D603" s="72"/>
      <c r="E603" s="43"/>
      <c r="I603" s="43"/>
      <c r="J603" s="43"/>
    </row>
    <row r="604" spans="3:10">
      <c r="C604" s="72"/>
      <c r="D604" s="72"/>
      <c r="E604" s="43"/>
      <c r="I604" s="43"/>
      <c r="J604" s="43"/>
    </row>
    <row r="605" spans="3:10">
      <c r="C605" s="72"/>
      <c r="D605" s="72"/>
      <c r="E605" s="43"/>
      <c r="I605" s="43"/>
      <c r="J605" s="43"/>
    </row>
    <row r="606" spans="3:10">
      <c r="C606" s="72"/>
      <c r="D606" s="72"/>
      <c r="E606" s="43"/>
      <c r="I606" s="43"/>
      <c r="J606" s="43"/>
    </row>
    <row r="607" spans="3:10">
      <c r="C607" s="72"/>
      <c r="D607" s="72"/>
      <c r="E607" s="43"/>
      <c r="I607" s="43"/>
      <c r="J607" s="43"/>
    </row>
    <row r="608" spans="3:10">
      <c r="C608" s="72"/>
      <c r="D608" s="72"/>
      <c r="E608" s="43"/>
      <c r="I608" s="43"/>
      <c r="J608" s="43"/>
    </row>
    <row r="609" spans="3:10">
      <c r="C609" s="72"/>
      <c r="D609" s="72"/>
      <c r="E609" s="43"/>
      <c r="I609" s="43"/>
      <c r="J609" s="43"/>
    </row>
    <row r="610" spans="3:10">
      <c r="C610" s="72"/>
      <c r="D610" s="72"/>
      <c r="E610" s="43"/>
      <c r="I610" s="43"/>
      <c r="J610" s="43"/>
    </row>
    <row r="611" spans="3:10">
      <c r="C611" s="72"/>
      <c r="D611" s="72"/>
      <c r="E611" s="43"/>
      <c r="I611" s="43"/>
      <c r="J611" s="43"/>
    </row>
    <row r="612" spans="3:10">
      <c r="C612" s="72"/>
      <c r="D612" s="72"/>
      <c r="E612" s="43"/>
      <c r="I612" s="43"/>
      <c r="J612" s="43"/>
    </row>
    <row r="613" spans="3:10">
      <c r="C613" s="72"/>
      <c r="D613" s="72"/>
      <c r="E613" s="43"/>
      <c r="I613" s="43"/>
      <c r="J613" s="43"/>
    </row>
    <row r="614" spans="3:10">
      <c r="C614" s="72"/>
      <c r="D614" s="72"/>
      <c r="E614" s="43"/>
      <c r="I614" s="43"/>
      <c r="J614" s="43"/>
    </row>
    <row r="615" spans="3:10">
      <c r="C615" s="72"/>
      <c r="D615" s="72"/>
      <c r="E615" s="43"/>
      <c r="I615" s="43"/>
      <c r="J615" s="43"/>
    </row>
    <row r="616" spans="3:10">
      <c r="C616" s="72"/>
      <c r="D616" s="72"/>
      <c r="E616" s="43"/>
      <c r="I616" s="43"/>
      <c r="J616" s="43"/>
    </row>
    <row r="617" spans="3:10">
      <c r="C617" s="72"/>
      <c r="D617" s="72"/>
      <c r="E617" s="43"/>
      <c r="I617" s="43"/>
      <c r="J617" s="43"/>
    </row>
    <row r="618" spans="3:10">
      <c r="C618" s="72"/>
      <c r="D618" s="72"/>
      <c r="E618" s="43"/>
      <c r="I618" s="43"/>
      <c r="J618" s="43"/>
    </row>
    <row r="619" spans="3:10">
      <c r="C619" s="72"/>
      <c r="D619" s="72"/>
      <c r="E619" s="43"/>
      <c r="I619" s="43"/>
      <c r="J619" s="43"/>
    </row>
    <row r="620" spans="3:10">
      <c r="C620" s="72"/>
      <c r="D620" s="72"/>
      <c r="E620" s="43"/>
      <c r="I620" s="43"/>
      <c r="J620" s="43"/>
    </row>
    <row r="621" spans="3:10">
      <c r="C621" s="72"/>
      <c r="D621" s="72"/>
      <c r="E621" s="43"/>
      <c r="I621" s="43"/>
      <c r="J621" s="43"/>
    </row>
    <row r="622" spans="3:10">
      <c r="C622" s="72"/>
      <c r="D622" s="72"/>
      <c r="E622" s="43"/>
      <c r="I622" s="43"/>
      <c r="J622" s="43"/>
    </row>
    <row r="623" spans="3:10">
      <c r="C623" s="72"/>
      <c r="D623" s="72"/>
      <c r="E623" s="43"/>
      <c r="I623" s="43"/>
      <c r="J623" s="43"/>
    </row>
    <row r="624" spans="3:10">
      <c r="C624" s="72"/>
      <c r="D624" s="72"/>
      <c r="E624" s="43"/>
      <c r="I624" s="43"/>
      <c r="J624" s="43"/>
    </row>
    <row r="625" spans="3:10">
      <c r="C625" s="72"/>
      <c r="D625" s="72"/>
      <c r="E625" s="43"/>
      <c r="I625" s="43"/>
      <c r="J625" s="43"/>
    </row>
    <row r="626" spans="3:10">
      <c r="C626" s="72"/>
      <c r="D626" s="72"/>
      <c r="E626" s="43"/>
      <c r="I626" s="43"/>
      <c r="J626" s="43"/>
    </row>
    <row r="627" spans="3:10">
      <c r="C627" s="72"/>
      <c r="D627" s="72"/>
      <c r="E627" s="43"/>
      <c r="I627" s="43"/>
      <c r="J627" s="43"/>
    </row>
    <row r="628" spans="3:10">
      <c r="C628" s="72"/>
      <c r="D628" s="72"/>
      <c r="E628" s="43"/>
      <c r="I628" s="43"/>
      <c r="J628" s="43"/>
    </row>
    <row r="629" spans="3:10">
      <c r="C629" s="72"/>
      <c r="D629" s="72"/>
      <c r="E629" s="43"/>
      <c r="I629" s="43"/>
      <c r="J629" s="43"/>
    </row>
    <row r="630" spans="3:10">
      <c r="C630" s="72"/>
      <c r="D630" s="72"/>
      <c r="E630" s="43"/>
      <c r="I630" s="43"/>
      <c r="J630" s="43"/>
    </row>
    <row r="631" spans="3:10">
      <c r="C631" s="72"/>
      <c r="D631" s="72"/>
      <c r="E631" s="43"/>
      <c r="I631" s="43"/>
      <c r="J631" s="43"/>
    </row>
    <row r="632" spans="3:10">
      <c r="C632" s="72"/>
      <c r="D632" s="72"/>
      <c r="E632" s="43"/>
      <c r="I632" s="43"/>
      <c r="J632" s="43"/>
    </row>
    <row r="633" spans="3:10">
      <c r="C633" s="72"/>
      <c r="D633" s="72"/>
      <c r="E633" s="43"/>
      <c r="I633" s="43"/>
      <c r="J633" s="43"/>
    </row>
    <row r="634" spans="3:10">
      <c r="C634" s="72"/>
      <c r="D634" s="72"/>
      <c r="E634" s="43"/>
      <c r="I634" s="43"/>
      <c r="J634" s="43"/>
    </row>
    <row r="635" spans="3:10">
      <c r="C635" s="72"/>
      <c r="D635" s="72"/>
      <c r="E635" s="43"/>
      <c r="I635" s="43"/>
      <c r="J635" s="43"/>
    </row>
    <row r="636" spans="3:10">
      <c r="C636" s="72"/>
      <c r="D636" s="72"/>
      <c r="E636" s="43"/>
      <c r="I636" s="43"/>
      <c r="J636" s="43"/>
    </row>
    <row r="637" spans="3:10">
      <c r="C637" s="72"/>
      <c r="D637" s="72"/>
      <c r="E637" s="43"/>
      <c r="I637" s="43"/>
      <c r="J637" s="43"/>
    </row>
    <row r="638" spans="3:10">
      <c r="C638" s="72"/>
      <c r="D638" s="72"/>
      <c r="E638" s="43"/>
      <c r="I638" s="43"/>
      <c r="J638" s="43"/>
    </row>
    <row r="639" spans="3:10">
      <c r="C639" s="72"/>
      <c r="D639" s="72"/>
      <c r="E639" s="43"/>
      <c r="I639" s="43"/>
      <c r="J639" s="43"/>
    </row>
    <row r="640" spans="3:10">
      <c r="C640" s="72"/>
      <c r="D640" s="72"/>
      <c r="E640" s="43"/>
      <c r="I640" s="43"/>
      <c r="J640" s="43"/>
    </row>
    <row r="641" spans="3:10">
      <c r="C641" s="72"/>
      <c r="D641" s="72"/>
      <c r="E641" s="43"/>
      <c r="I641" s="43"/>
      <c r="J641" s="43"/>
    </row>
    <row r="642" spans="3:10">
      <c r="C642" s="72"/>
      <c r="D642" s="72"/>
      <c r="E642" s="43"/>
      <c r="I642" s="43"/>
      <c r="J642" s="43"/>
    </row>
    <row r="643" spans="3:10">
      <c r="C643" s="72"/>
      <c r="D643" s="72"/>
      <c r="E643" s="43"/>
      <c r="I643" s="43"/>
      <c r="J643" s="43"/>
    </row>
    <row r="644" spans="3:10">
      <c r="C644" s="72"/>
      <c r="D644" s="72"/>
      <c r="E644" s="43"/>
      <c r="I644" s="43"/>
      <c r="J644" s="43"/>
    </row>
    <row r="645" spans="3:10">
      <c r="C645" s="72"/>
      <c r="D645" s="72"/>
      <c r="E645" s="43"/>
      <c r="I645" s="43"/>
      <c r="J645" s="43"/>
    </row>
    <row r="646" spans="3:10">
      <c r="C646" s="72"/>
      <c r="D646" s="72"/>
      <c r="E646" s="43"/>
      <c r="I646" s="43"/>
      <c r="J646" s="43"/>
    </row>
    <row r="647" spans="3:10">
      <c r="C647" s="72"/>
      <c r="D647" s="72"/>
      <c r="E647" s="43"/>
      <c r="I647" s="43"/>
      <c r="J647" s="43"/>
    </row>
    <row r="648" spans="3:10">
      <c r="C648" s="72"/>
      <c r="D648" s="72"/>
      <c r="E648" s="43"/>
      <c r="I648" s="43"/>
      <c r="J648" s="43"/>
    </row>
    <row r="649" spans="3:10">
      <c r="C649" s="72"/>
      <c r="D649" s="72"/>
      <c r="E649" s="43"/>
      <c r="I649" s="43"/>
      <c r="J649" s="43"/>
    </row>
    <row r="650" spans="3:10">
      <c r="C650" s="72"/>
      <c r="D650" s="72"/>
      <c r="E650" s="43"/>
      <c r="I650" s="43"/>
      <c r="J650" s="43"/>
    </row>
    <row r="651" spans="3:10">
      <c r="C651" s="72"/>
      <c r="D651" s="72"/>
      <c r="E651" s="43"/>
      <c r="I651" s="43"/>
      <c r="J651" s="43"/>
    </row>
    <row r="652" spans="3:10">
      <c r="C652" s="72"/>
      <c r="D652" s="72"/>
      <c r="E652" s="43"/>
      <c r="I652" s="43"/>
      <c r="J652" s="43"/>
    </row>
    <row r="653" spans="3:10">
      <c r="C653" s="72"/>
      <c r="D653" s="72"/>
      <c r="E653" s="43"/>
      <c r="I653" s="43"/>
      <c r="J653" s="43"/>
    </row>
    <row r="654" spans="3:10">
      <c r="C654" s="72"/>
      <c r="D654" s="72"/>
      <c r="E654" s="43"/>
      <c r="I654" s="43"/>
      <c r="J654" s="43"/>
    </row>
    <row r="655" spans="3:10">
      <c r="C655" s="72"/>
      <c r="D655" s="72"/>
      <c r="E655" s="43"/>
      <c r="I655" s="43"/>
      <c r="J655" s="43"/>
    </row>
    <row r="656" spans="3:10">
      <c r="C656" s="72"/>
      <c r="D656" s="72"/>
      <c r="E656" s="43"/>
      <c r="I656" s="43"/>
      <c r="J656" s="43"/>
    </row>
    <row r="657" spans="3:10">
      <c r="C657" s="72"/>
      <c r="D657" s="72"/>
      <c r="E657" s="43"/>
      <c r="I657" s="43"/>
      <c r="J657" s="43"/>
    </row>
    <row r="658" spans="3:10">
      <c r="C658" s="72"/>
      <c r="D658" s="72"/>
      <c r="E658" s="43"/>
      <c r="I658" s="43"/>
      <c r="J658" s="43"/>
    </row>
    <row r="659" spans="3:10">
      <c r="C659" s="72"/>
      <c r="D659" s="72"/>
      <c r="E659" s="43"/>
      <c r="I659" s="43"/>
      <c r="J659" s="43"/>
    </row>
    <row r="660" spans="3:10">
      <c r="C660" s="72"/>
      <c r="D660" s="72"/>
      <c r="E660" s="43"/>
      <c r="I660" s="43"/>
      <c r="J660" s="43"/>
    </row>
    <row r="661" spans="3:10">
      <c r="C661" s="72"/>
      <c r="D661" s="72"/>
      <c r="E661" s="43"/>
      <c r="I661" s="43"/>
      <c r="J661" s="43"/>
    </row>
    <row r="662" spans="3:10">
      <c r="C662" s="72"/>
      <c r="D662" s="72"/>
      <c r="E662" s="43"/>
      <c r="I662" s="43"/>
      <c r="J662" s="43"/>
    </row>
    <row r="663" spans="3:10">
      <c r="C663" s="72"/>
      <c r="D663" s="72"/>
      <c r="E663" s="43"/>
      <c r="I663" s="43"/>
      <c r="J663" s="43"/>
    </row>
    <row r="664" spans="3:10">
      <c r="C664" s="72"/>
      <c r="D664" s="72"/>
      <c r="E664" s="43"/>
      <c r="I664" s="43"/>
      <c r="J664" s="43"/>
    </row>
    <row r="665" spans="3:10">
      <c r="C665" s="72"/>
      <c r="D665" s="72"/>
      <c r="E665" s="43"/>
      <c r="I665" s="43"/>
      <c r="J665" s="43"/>
    </row>
    <row r="666" spans="3:10">
      <c r="C666" s="72"/>
      <c r="D666" s="72"/>
      <c r="E666" s="43"/>
      <c r="I666" s="43"/>
      <c r="J666" s="43"/>
    </row>
    <row r="667" spans="3:10">
      <c r="C667" s="72"/>
      <c r="D667" s="72"/>
      <c r="E667" s="43"/>
      <c r="I667" s="43"/>
      <c r="J667" s="43"/>
    </row>
    <row r="668" spans="3:10">
      <c r="C668" s="72"/>
      <c r="D668" s="72"/>
      <c r="E668" s="43"/>
      <c r="I668" s="43"/>
      <c r="J668" s="43"/>
    </row>
    <row r="669" spans="3:10">
      <c r="C669" s="72"/>
      <c r="D669" s="72"/>
      <c r="E669" s="43"/>
      <c r="I669" s="43"/>
      <c r="J669" s="43"/>
    </row>
    <row r="670" spans="3:10">
      <c r="C670" s="72"/>
      <c r="D670" s="72"/>
      <c r="E670" s="43"/>
      <c r="I670" s="43"/>
      <c r="J670" s="43"/>
    </row>
    <row r="671" spans="3:10">
      <c r="C671" s="72"/>
      <c r="D671" s="72"/>
      <c r="E671" s="43"/>
      <c r="I671" s="43"/>
      <c r="J671" s="43"/>
    </row>
    <row r="672" spans="3:10">
      <c r="C672" s="72"/>
      <c r="D672" s="72"/>
      <c r="E672" s="43"/>
      <c r="I672" s="43"/>
      <c r="J672" s="43"/>
    </row>
    <row r="673" spans="3:10">
      <c r="C673" s="72"/>
      <c r="D673" s="72"/>
      <c r="E673" s="43"/>
      <c r="I673" s="43"/>
      <c r="J673" s="43"/>
    </row>
    <row r="674" spans="3:10">
      <c r="C674" s="72"/>
      <c r="D674" s="72"/>
      <c r="E674" s="43"/>
      <c r="I674" s="43"/>
      <c r="J674" s="43"/>
    </row>
    <row r="675" spans="3:10">
      <c r="C675" s="72"/>
      <c r="D675" s="72"/>
      <c r="E675" s="43"/>
      <c r="I675" s="43"/>
      <c r="J675" s="43"/>
    </row>
    <row r="676" spans="3:10">
      <c r="C676" s="72"/>
      <c r="D676" s="72"/>
      <c r="E676" s="43"/>
      <c r="I676" s="43"/>
      <c r="J676" s="43"/>
    </row>
    <row r="677" spans="3:10">
      <c r="C677" s="72"/>
      <c r="D677" s="72"/>
      <c r="E677" s="43"/>
      <c r="I677" s="43"/>
      <c r="J677" s="43"/>
    </row>
    <row r="678" spans="3:10">
      <c r="C678" s="72"/>
      <c r="D678" s="72"/>
      <c r="E678" s="43"/>
      <c r="I678" s="43"/>
      <c r="J678" s="43"/>
    </row>
    <row r="679" spans="3:10">
      <c r="C679" s="72"/>
      <c r="D679" s="72"/>
      <c r="E679" s="43"/>
      <c r="I679" s="43"/>
      <c r="J679" s="43"/>
    </row>
    <row r="680" spans="3:10">
      <c r="C680" s="72"/>
      <c r="D680" s="72"/>
      <c r="E680" s="43"/>
      <c r="I680" s="43"/>
      <c r="J680" s="43"/>
    </row>
    <row r="681" spans="3:10">
      <c r="C681" s="72"/>
      <c r="D681" s="72"/>
      <c r="E681" s="43"/>
      <c r="I681" s="43"/>
      <c r="J681" s="43"/>
    </row>
    <row r="682" spans="3:10">
      <c r="C682" s="72"/>
      <c r="D682" s="72"/>
      <c r="E682" s="43"/>
      <c r="I682" s="43"/>
      <c r="J682" s="43"/>
    </row>
    <row r="683" spans="3:10">
      <c r="C683" s="72"/>
      <c r="D683" s="72"/>
      <c r="E683" s="43"/>
      <c r="I683" s="43"/>
      <c r="J683" s="43"/>
    </row>
    <row r="684" spans="3:10">
      <c r="C684" s="72"/>
      <c r="D684" s="72"/>
      <c r="E684" s="43"/>
      <c r="I684" s="43"/>
      <c r="J684" s="43"/>
    </row>
    <row r="685" spans="3:10">
      <c r="C685" s="72"/>
      <c r="D685" s="72"/>
      <c r="E685" s="43"/>
      <c r="I685" s="43"/>
      <c r="J685" s="43"/>
    </row>
    <row r="686" spans="3:10">
      <c r="C686" s="72"/>
      <c r="D686" s="72"/>
      <c r="E686" s="43"/>
      <c r="I686" s="43"/>
      <c r="J686" s="43"/>
    </row>
    <row r="687" spans="3:10">
      <c r="C687" s="72"/>
      <c r="D687" s="72"/>
      <c r="E687" s="43"/>
      <c r="I687" s="43"/>
      <c r="J687" s="43"/>
    </row>
    <row r="688" spans="3:10">
      <c r="C688" s="72"/>
      <c r="D688" s="72"/>
      <c r="E688" s="43"/>
      <c r="I688" s="43"/>
      <c r="J688" s="43"/>
    </row>
    <row r="689" spans="3:10">
      <c r="C689" s="72"/>
      <c r="D689" s="72"/>
      <c r="E689" s="43"/>
      <c r="I689" s="43"/>
      <c r="J689" s="43"/>
    </row>
    <row r="690" spans="3:10">
      <c r="C690" s="72"/>
      <c r="D690" s="72"/>
      <c r="E690" s="43"/>
      <c r="I690" s="43"/>
      <c r="J690" s="43"/>
    </row>
    <row r="691" spans="3:10">
      <c r="C691" s="72"/>
      <c r="D691" s="72"/>
      <c r="E691" s="43"/>
      <c r="I691" s="43"/>
      <c r="J691" s="43"/>
    </row>
    <row r="692" spans="3:10">
      <c r="C692" s="72"/>
      <c r="D692" s="72"/>
      <c r="E692" s="43"/>
      <c r="I692" s="43"/>
      <c r="J692" s="43"/>
    </row>
    <row r="693" spans="3:10">
      <c r="C693" s="72"/>
      <c r="D693" s="72"/>
      <c r="E693" s="43"/>
      <c r="I693" s="43"/>
      <c r="J693" s="43"/>
    </row>
    <row r="694" spans="3:10">
      <c r="C694" s="72"/>
      <c r="D694" s="72"/>
      <c r="E694" s="43"/>
      <c r="I694" s="43"/>
      <c r="J694" s="43"/>
    </row>
    <row r="695" spans="3:10">
      <c r="C695" s="72"/>
      <c r="D695" s="72"/>
      <c r="E695" s="43"/>
      <c r="I695" s="43"/>
      <c r="J695" s="43"/>
    </row>
    <row r="696" spans="3:10">
      <c r="C696" s="72"/>
      <c r="D696" s="72"/>
      <c r="E696" s="43"/>
      <c r="I696" s="43"/>
      <c r="J696" s="43"/>
    </row>
    <row r="697" spans="3:10">
      <c r="C697" s="72"/>
      <c r="D697" s="72"/>
      <c r="E697" s="43"/>
      <c r="I697" s="43"/>
      <c r="J697" s="43"/>
    </row>
    <row r="698" spans="3:10">
      <c r="C698" s="72"/>
      <c r="D698" s="72"/>
      <c r="E698" s="43"/>
      <c r="I698" s="43"/>
      <c r="J698" s="43"/>
    </row>
    <row r="699" spans="3:10">
      <c r="C699" s="72"/>
      <c r="D699" s="72"/>
      <c r="E699" s="43"/>
      <c r="I699" s="43"/>
      <c r="J699" s="43"/>
    </row>
    <row r="700" spans="3:10">
      <c r="C700" s="72"/>
      <c r="D700" s="72"/>
      <c r="E700" s="43"/>
      <c r="I700" s="43"/>
      <c r="J700" s="43"/>
    </row>
    <row r="701" spans="3:10">
      <c r="C701" s="72"/>
      <c r="D701" s="72"/>
      <c r="E701" s="43"/>
      <c r="I701" s="43"/>
      <c r="J701" s="43"/>
    </row>
    <row r="702" spans="3:10">
      <c r="C702" s="72"/>
      <c r="D702" s="72"/>
      <c r="E702" s="43"/>
      <c r="I702" s="43"/>
      <c r="J702" s="43"/>
    </row>
    <row r="703" spans="3:10">
      <c r="C703" s="72"/>
      <c r="D703" s="72"/>
      <c r="E703" s="43"/>
      <c r="I703" s="43"/>
      <c r="J703" s="43"/>
    </row>
    <row r="704" spans="3:10">
      <c r="C704" s="72"/>
      <c r="D704" s="72"/>
      <c r="E704" s="43"/>
      <c r="I704" s="43"/>
      <c r="J704" s="43"/>
    </row>
    <row r="705" spans="3:10">
      <c r="C705" s="72"/>
      <c r="D705" s="72"/>
      <c r="E705" s="43"/>
      <c r="I705" s="43"/>
      <c r="J705" s="43"/>
    </row>
    <row r="706" spans="3:10">
      <c r="C706" s="72"/>
      <c r="D706" s="72"/>
      <c r="E706" s="43"/>
      <c r="I706" s="43"/>
      <c r="J706" s="43"/>
    </row>
    <row r="707" spans="3:10">
      <c r="C707" s="72"/>
      <c r="D707" s="72"/>
      <c r="E707" s="43"/>
      <c r="I707" s="43"/>
      <c r="J707" s="43"/>
    </row>
    <row r="708" spans="3:10">
      <c r="C708" s="72"/>
      <c r="D708" s="72"/>
      <c r="E708" s="43"/>
      <c r="I708" s="43"/>
      <c r="J708" s="43"/>
    </row>
    <row r="709" spans="3:10">
      <c r="C709" s="72"/>
      <c r="D709" s="72"/>
      <c r="E709" s="43"/>
      <c r="I709" s="43"/>
      <c r="J709" s="43"/>
    </row>
    <row r="710" spans="3:10">
      <c r="C710" s="72"/>
      <c r="D710" s="72"/>
      <c r="E710" s="43"/>
      <c r="I710" s="43"/>
      <c r="J710" s="43"/>
    </row>
    <row r="711" spans="3:10">
      <c r="C711" s="72"/>
      <c r="D711" s="72"/>
      <c r="E711" s="43"/>
      <c r="I711" s="43"/>
      <c r="J711" s="43"/>
    </row>
    <row r="712" spans="3:10">
      <c r="C712" s="72"/>
      <c r="D712" s="72"/>
      <c r="E712" s="43"/>
      <c r="I712" s="43"/>
      <c r="J712" s="43"/>
    </row>
    <row r="713" spans="3:10">
      <c r="C713" s="72"/>
      <c r="D713" s="72"/>
      <c r="E713" s="43"/>
      <c r="I713" s="43"/>
      <c r="J713" s="43"/>
    </row>
    <row r="714" spans="3:10">
      <c r="C714" s="72"/>
      <c r="D714" s="72"/>
      <c r="E714" s="43"/>
      <c r="I714" s="43"/>
      <c r="J714" s="43"/>
    </row>
    <row r="715" spans="3:10">
      <c r="C715" s="72"/>
      <c r="D715" s="72"/>
      <c r="E715" s="43"/>
      <c r="I715" s="43"/>
      <c r="J715" s="43"/>
    </row>
    <row r="716" spans="3:10">
      <c r="C716" s="72"/>
      <c r="D716" s="72"/>
      <c r="E716" s="43"/>
      <c r="I716" s="43"/>
      <c r="J716" s="43"/>
    </row>
    <row r="717" spans="3:10">
      <c r="C717" s="72"/>
      <c r="D717" s="72"/>
      <c r="E717" s="43"/>
      <c r="I717" s="43"/>
      <c r="J717" s="43"/>
    </row>
    <row r="718" spans="3:10">
      <c r="C718" s="72"/>
      <c r="D718" s="72"/>
      <c r="E718" s="43"/>
      <c r="I718" s="43"/>
      <c r="J718" s="43"/>
    </row>
    <row r="719" spans="3:10">
      <c r="C719" s="72"/>
      <c r="D719" s="72"/>
      <c r="E719" s="43"/>
      <c r="I719" s="43"/>
      <c r="J719" s="43"/>
    </row>
    <row r="720" spans="3:10">
      <c r="C720" s="72"/>
      <c r="D720" s="72"/>
      <c r="E720" s="43"/>
      <c r="I720" s="43"/>
      <c r="J720" s="43"/>
    </row>
    <row r="721" spans="3:10">
      <c r="C721" s="72"/>
      <c r="D721" s="72"/>
      <c r="E721" s="43"/>
      <c r="I721" s="43"/>
      <c r="J721" s="43"/>
    </row>
    <row r="722" spans="3:10">
      <c r="C722" s="72"/>
      <c r="D722" s="72"/>
      <c r="E722" s="43"/>
      <c r="I722" s="43"/>
      <c r="J722" s="43"/>
    </row>
    <row r="723" spans="3:10">
      <c r="C723" s="72"/>
      <c r="D723" s="72"/>
      <c r="E723" s="43"/>
      <c r="I723" s="43"/>
      <c r="J723" s="43"/>
    </row>
    <row r="724" spans="3:10">
      <c r="C724" s="72"/>
      <c r="D724" s="72"/>
      <c r="E724" s="43"/>
      <c r="I724" s="43"/>
      <c r="J724" s="43"/>
    </row>
    <row r="725" spans="3:10">
      <c r="C725" s="72"/>
      <c r="D725" s="72"/>
      <c r="E725" s="43"/>
      <c r="I725" s="43"/>
      <c r="J725" s="43"/>
    </row>
    <row r="726" spans="3:10">
      <c r="C726" s="72"/>
      <c r="D726" s="72"/>
      <c r="E726" s="43"/>
      <c r="I726" s="43"/>
      <c r="J726" s="43"/>
    </row>
    <row r="727" spans="3:10">
      <c r="C727" s="72"/>
      <c r="D727" s="72"/>
      <c r="E727" s="43"/>
      <c r="I727" s="43"/>
      <c r="J727" s="43"/>
    </row>
    <row r="728" spans="3:10">
      <c r="C728" s="72"/>
      <c r="D728" s="72"/>
      <c r="E728" s="43"/>
      <c r="I728" s="43"/>
      <c r="J728" s="43"/>
    </row>
    <row r="729" spans="3:10">
      <c r="C729" s="72"/>
      <c r="D729" s="72"/>
      <c r="E729" s="43"/>
      <c r="I729" s="43"/>
      <c r="J729" s="43"/>
    </row>
    <row r="730" spans="3:10">
      <c r="C730" s="72"/>
      <c r="D730" s="72"/>
      <c r="E730" s="43"/>
      <c r="I730" s="43"/>
      <c r="J730" s="43"/>
    </row>
    <row r="731" spans="3:10">
      <c r="C731" s="72"/>
      <c r="D731" s="72"/>
      <c r="E731" s="43"/>
      <c r="I731" s="43"/>
      <c r="J731" s="43"/>
    </row>
    <row r="732" spans="3:10">
      <c r="C732" s="72"/>
      <c r="D732" s="72"/>
      <c r="E732" s="43"/>
      <c r="I732" s="43"/>
      <c r="J732" s="43"/>
    </row>
    <row r="733" spans="3:10">
      <c r="C733" s="72"/>
      <c r="D733" s="72"/>
      <c r="E733" s="43"/>
      <c r="I733" s="43"/>
      <c r="J733" s="43"/>
    </row>
    <row r="734" spans="3:10">
      <c r="C734" s="72"/>
      <c r="D734" s="72"/>
      <c r="E734" s="43"/>
      <c r="I734" s="43"/>
      <c r="J734" s="43"/>
    </row>
    <row r="735" spans="3:10">
      <c r="C735" s="72"/>
      <c r="D735" s="72"/>
      <c r="E735" s="43"/>
      <c r="I735" s="43"/>
      <c r="J735" s="43"/>
    </row>
    <row r="736" spans="3:10">
      <c r="C736" s="72"/>
      <c r="D736" s="72"/>
      <c r="E736" s="43"/>
      <c r="I736" s="43"/>
      <c r="J736" s="43"/>
    </row>
    <row r="737" spans="3:10">
      <c r="C737" s="72"/>
      <c r="D737" s="72"/>
      <c r="E737" s="43"/>
      <c r="I737" s="43"/>
      <c r="J737" s="43"/>
    </row>
    <row r="738" spans="3:10">
      <c r="C738" s="72"/>
      <c r="D738" s="72"/>
      <c r="E738" s="43"/>
      <c r="I738" s="43"/>
      <c r="J738" s="43"/>
    </row>
    <row r="739" spans="3:10">
      <c r="C739" s="72"/>
      <c r="D739" s="72"/>
      <c r="E739" s="43"/>
      <c r="I739" s="43"/>
      <c r="J739" s="43"/>
    </row>
    <row r="740" spans="3:10">
      <c r="C740" s="72"/>
      <c r="D740" s="72"/>
      <c r="E740" s="43"/>
      <c r="I740" s="43"/>
      <c r="J740" s="43"/>
    </row>
    <row r="741" spans="3:10">
      <c r="C741" s="72"/>
      <c r="D741" s="72"/>
      <c r="E741" s="43"/>
      <c r="I741" s="43"/>
      <c r="J741" s="43"/>
    </row>
    <row r="742" spans="3:10">
      <c r="C742" s="72"/>
      <c r="D742" s="72"/>
      <c r="E742" s="43"/>
      <c r="I742" s="43"/>
      <c r="J742" s="43"/>
    </row>
    <row r="743" spans="3:10">
      <c r="C743" s="72"/>
      <c r="D743" s="72"/>
      <c r="E743" s="43"/>
      <c r="I743" s="43"/>
      <c r="J743" s="43"/>
    </row>
    <row r="744" spans="3:10">
      <c r="C744" s="72"/>
      <c r="D744" s="72"/>
      <c r="E744" s="43"/>
      <c r="I744" s="43"/>
      <c r="J744" s="43"/>
    </row>
    <row r="745" spans="3:10">
      <c r="C745" s="72"/>
      <c r="D745" s="72"/>
      <c r="E745" s="43"/>
      <c r="I745" s="43"/>
      <c r="J745" s="43"/>
    </row>
    <row r="746" spans="3:10">
      <c r="C746" s="72"/>
      <c r="D746" s="72"/>
      <c r="E746" s="43"/>
      <c r="I746" s="43"/>
      <c r="J746" s="43"/>
    </row>
    <row r="747" spans="3:10">
      <c r="C747" s="72"/>
      <c r="D747" s="72"/>
      <c r="E747" s="43"/>
      <c r="I747" s="43"/>
      <c r="J747" s="43"/>
    </row>
    <row r="748" spans="3:10">
      <c r="C748" s="72"/>
      <c r="D748" s="72"/>
      <c r="E748" s="43"/>
      <c r="I748" s="43"/>
      <c r="J748" s="43"/>
    </row>
    <row r="749" spans="3:10">
      <c r="C749" s="72"/>
      <c r="D749" s="72"/>
      <c r="E749" s="43"/>
      <c r="I749" s="43"/>
      <c r="J749" s="43"/>
    </row>
    <row r="750" spans="3:10">
      <c r="C750" s="72"/>
      <c r="D750" s="72"/>
      <c r="E750" s="43"/>
      <c r="I750" s="43"/>
      <c r="J750" s="43"/>
    </row>
    <row r="751" spans="3:10">
      <c r="C751" s="72"/>
      <c r="D751" s="72"/>
      <c r="E751" s="43"/>
      <c r="I751" s="43"/>
      <c r="J751" s="43"/>
    </row>
    <row r="752" spans="3:10">
      <c r="C752" s="72"/>
      <c r="D752" s="72"/>
      <c r="E752" s="43"/>
      <c r="I752" s="43"/>
      <c r="J752" s="43"/>
    </row>
    <row r="753" spans="3:10">
      <c r="C753" s="72"/>
      <c r="D753" s="72"/>
      <c r="E753" s="43"/>
      <c r="I753" s="43"/>
      <c r="J753" s="43"/>
    </row>
    <row r="754" spans="3:10">
      <c r="C754" s="72"/>
      <c r="D754" s="72"/>
      <c r="E754" s="43"/>
      <c r="I754" s="43"/>
      <c r="J754" s="43"/>
    </row>
    <row r="755" spans="3:10">
      <c r="C755" s="72"/>
      <c r="D755" s="72"/>
      <c r="E755" s="43"/>
      <c r="I755" s="43"/>
      <c r="J755" s="43"/>
    </row>
    <row r="756" spans="3:10">
      <c r="C756" s="72"/>
      <c r="D756" s="72"/>
      <c r="E756" s="43"/>
      <c r="I756" s="43"/>
      <c r="J756" s="43"/>
    </row>
    <row r="757" spans="3:10">
      <c r="C757" s="72"/>
      <c r="D757" s="72"/>
      <c r="E757" s="43"/>
      <c r="I757" s="43"/>
      <c r="J757" s="43"/>
    </row>
    <row r="758" spans="3:10">
      <c r="C758" s="72"/>
      <c r="D758" s="72"/>
      <c r="E758" s="43"/>
      <c r="I758" s="43"/>
      <c r="J758" s="43"/>
    </row>
    <row r="759" spans="3:10">
      <c r="C759" s="72"/>
      <c r="D759" s="72"/>
      <c r="E759" s="43"/>
      <c r="I759" s="43"/>
      <c r="J759" s="43"/>
    </row>
    <row r="760" spans="3:10">
      <c r="C760" s="72"/>
      <c r="D760" s="72"/>
      <c r="E760" s="43"/>
      <c r="I760" s="43"/>
      <c r="J760" s="43"/>
    </row>
    <row r="761" spans="3:10">
      <c r="C761" s="72"/>
      <c r="D761" s="72"/>
      <c r="E761" s="43"/>
      <c r="I761" s="43"/>
      <c r="J761" s="43"/>
    </row>
    <row r="762" spans="3:10">
      <c r="C762" s="72"/>
      <c r="D762" s="72"/>
      <c r="E762" s="43"/>
      <c r="I762" s="43"/>
      <c r="J762" s="43"/>
    </row>
    <row r="763" spans="3:10">
      <c r="C763" s="72"/>
      <c r="D763" s="72"/>
      <c r="E763" s="43"/>
      <c r="I763" s="43"/>
      <c r="J763" s="43"/>
    </row>
    <row r="764" spans="3:10">
      <c r="C764" s="72"/>
      <c r="D764" s="72"/>
      <c r="E764" s="43"/>
      <c r="I764" s="43"/>
      <c r="J764" s="43"/>
    </row>
    <row r="765" spans="3:10">
      <c r="C765" s="72"/>
      <c r="D765" s="72"/>
      <c r="E765" s="43"/>
      <c r="I765" s="43"/>
      <c r="J765" s="43"/>
    </row>
    <row r="766" spans="3:10">
      <c r="C766" s="72"/>
      <c r="D766" s="72"/>
      <c r="E766" s="43"/>
      <c r="I766" s="43"/>
      <c r="J766" s="43"/>
    </row>
    <row r="767" spans="3:10">
      <c r="C767" s="72"/>
      <c r="D767" s="72"/>
      <c r="E767" s="43"/>
      <c r="I767" s="43"/>
      <c r="J767" s="43"/>
    </row>
    <row r="768" spans="3:10">
      <c r="C768" s="72"/>
      <c r="D768" s="72"/>
      <c r="E768" s="43"/>
      <c r="I768" s="43"/>
      <c r="J768" s="43"/>
    </row>
    <row r="769" spans="3:10">
      <c r="C769" s="72"/>
      <c r="D769" s="72"/>
      <c r="E769" s="43"/>
      <c r="I769" s="43"/>
      <c r="J769" s="43"/>
    </row>
    <row r="770" spans="3:10">
      <c r="C770" s="72"/>
      <c r="D770" s="72"/>
      <c r="E770" s="43"/>
      <c r="I770" s="43"/>
      <c r="J770" s="43"/>
    </row>
    <row r="771" spans="3:10">
      <c r="C771" s="72"/>
      <c r="D771" s="72"/>
      <c r="E771" s="43"/>
      <c r="I771" s="43"/>
      <c r="J771" s="43"/>
    </row>
    <row r="772" spans="3:10">
      <c r="C772" s="72"/>
      <c r="D772" s="72"/>
      <c r="E772" s="43"/>
      <c r="I772" s="43"/>
      <c r="J772" s="43"/>
    </row>
    <row r="773" spans="3:10">
      <c r="C773" s="72"/>
      <c r="D773" s="72"/>
      <c r="E773" s="43"/>
      <c r="I773" s="43"/>
      <c r="J773" s="43"/>
    </row>
    <row r="774" spans="3:10">
      <c r="C774" s="72"/>
      <c r="D774" s="72"/>
      <c r="E774" s="43"/>
      <c r="I774" s="43"/>
      <c r="J774" s="43"/>
    </row>
    <row r="775" spans="3:10">
      <c r="C775" s="72"/>
      <c r="D775" s="72"/>
      <c r="E775" s="43"/>
      <c r="I775" s="43"/>
      <c r="J775" s="43"/>
    </row>
    <row r="776" spans="3:10">
      <c r="C776" s="72"/>
      <c r="D776" s="72"/>
      <c r="E776" s="43"/>
      <c r="I776" s="43"/>
      <c r="J776" s="43"/>
    </row>
    <row r="777" spans="3:10">
      <c r="C777" s="72"/>
      <c r="D777" s="72"/>
      <c r="E777" s="43"/>
      <c r="I777" s="43"/>
      <c r="J777" s="43"/>
    </row>
    <row r="778" spans="3:10">
      <c r="C778" s="72"/>
      <c r="D778" s="72"/>
      <c r="E778" s="43"/>
      <c r="I778" s="43"/>
      <c r="J778" s="43"/>
    </row>
    <row r="779" spans="3:10">
      <c r="C779" s="72"/>
      <c r="D779" s="72"/>
      <c r="E779" s="43"/>
      <c r="I779" s="43"/>
      <c r="J779" s="43"/>
    </row>
    <row r="780" spans="3:10">
      <c r="C780" s="72"/>
      <c r="D780" s="72"/>
      <c r="E780" s="43"/>
      <c r="I780" s="43"/>
      <c r="J780" s="43"/>
    </row>
    <row r="781" spans="3:10">
      <c r="C781" s="72"/>
      <c r="D781" s="72"/>
      <c r="E781" s="43"/>
      <c r="I781" s="43"/>
      <c r="J781" s="43"/>
    </row>
    <row r="782" spans="3:10">
      <c r="C782" s="72"/>
      <c r="D782" s="72"/>
      <c r="E782" s="43"/>
      <c r="I782" s="43"/>
      <c r="J782" s="43"/>
    </row>
    <row r="783" spans="3:10">
      <c r="C783" s="72"/>
      <c r="D783" s="72"/>
      <c r="E783" s="43"/>
      <c r="I783" s="43"/>
      <c r="J783" s="43"/>
    </row>
    <row r="784" spans="3:10">
      <c r="C784" s="72"/>
      <c r="D784" s="72"/>
      <c r="E784" s="43"/>
      <c r="I784" s="43"/>
      <c r="J784" s="43"/>
    </row>
    <row r="785" spans="3:10">
      <c r="C785" s="72"/>
      <c r="D785" s="72"/>
      <c r="E785" s="43"/>
      <c r="I785" s="43"/>
      <c r="J785" s="43"/>
    </row>
    <row r="786" spans="3:10">
      <c r="C786" s="72"/>
      <c r="D786" s="72"/>
      <c r="E786" s="43"/>
      <c r="I786" s="43"/>
      <c r="J786" s="43"/>
    </row>
    <row r="787" spans="3:10">
      <c r="C787" s="72"/>
      <c r="D787" s="72"/>
      <c r="E787" s="43"/>
      <c r="I787" s="43"/>
      <c r="J787" s="43"/>
    </row>
    <row r="788" spans="3:10">
      <c r="C788" s="72"/>
      <c r="D788" s="72"/>
      <c r="E788" s="43"/>
      <c r="I788" s="43"/>
      <c r="J788" s="43"/>
    </row>
    <row r="789" spans="3:10">
      <c r="C789" s="72"/>
      <c r="D789" s="72"/>
      <c r="E789" s="43"/>
      <c r="I789" s="43"/>
      <c r="J789" s="43"/>
    </row>
    <row r="790" spans="3:10">
      <c r="C790" s="72"/>
      <c r="D790" s="72"/>
      <c r="E790" s="43"/>
      <c r="I790" s="43"/>
      <c r="J790" s="43"/>
    </row>
    <row r="791" spans="3:10">
      <c r="C791" s="72"/>
      <c r="D791" s="72"/>
      <c r="E791" s="43"/>
      <c r="I791" s="43"/>
      <c r="J791" s="43"/>
    </row>
    <row r="792" spans="3:10">
      <c r="C792" s="72"/>
      <c r="D792" s="72"/>
      <c r="E792" s="43"/>
      <c r="I792" s="43"/>
      <c r="J792" s="43"/>
    </row>
    <row r="793" spans="3:10">
      <c r="C793" s="72"/>
      <c r="D793" s="72"/>
      <c r="E793" s="43"/>
      <c r="I793" s="43"/>
      <c r="J793" s="43"/>
    </row>
    <row r="794" spans="3:10">
      <c r="C794" s="72"/>
      <c r="D794" s="72"/>
      <c r="E794" s="43"/>
      <c r="I794" s="43"/>
      <c r="J794" s="43"/>
    </row>
    <row r="795" spans="3:10">
      <c r="C795" s="72"/>
      <c r="D795" s="72"/>
      <c r="E795" s="43"/>
      <c r="I795" s="43"/>
      <c r="J795" s="43"/>
    </row>
    <row r="796" spans="3:10">
      <c r="C796" s="72"/>
      <c r="D796" s="72"/>
      <c r="E796" s="43"/>
      <c r="I796" s="43"/>
      <c r="J796" s="43"/>
    </row>
    <row r="797" spans="3:10">
      <c r="C797" s="72"/>
      <c r="D797" s="72"/>
      <c r="E797" s="43"/>
      <c r="I797" s="43"/>
      <c r="J797" s="43"/>
    </row>
    <row r="798" spans="3:10">
      <c r="C798" s="72"/>
      <c r="D798" s="72"/>
      <c r="E798" s="43"/>
      <c r="I798" s="43"/>
      <c r="J798" s="43"/>
    </row>
    <row r="799" spans="3:10">
      <c r="C799" s="72"/>
      <c r="D799" s="72"/>
      <c r="E799" s="43"/>
      <c r="I799" s="43"/>
      <c r="J799" s="43"/>
    </row>
    <row r="800" spans="3:10">
      <c r="C800" s="72"/>
      <c r="D800" s="72"/>
      <c r="E800" s="43"/>
      <c r="I800" s="43"/>
      <c r="J800" s="43"/>
    </row>
    <row r="801" spans="3:10">
      <c r="C801" s="72"/>
      <c r="D801" s="72"/>
      <c r="E801" s="43"/>
      <c r="I801" s="43"/>
      <c r="J801" s="43"/>
    </row>
    <row r="802" spans="3:10">
      <c r="C802" s="72"/>
      <c r="D802" s="72"/>
      <c r="E802" s="43"/>
      <c r="I802" s="43"/>
      <c r="J802" s="43"/>
    </row>
    <row r="803" spans="3:10">
      <c r="C803" s="72"/>
      <c r="D803" s="72"/>
      <c r="E803" s="43"/>
      <c r="I803" s="43"/>
      <c r="J803" s="43"/>
    </row>
    <row r="804" spans="3:10">
      <c r="C804" s="72"/>
      <c r="D804" s="72"/>
      <c r="E804" s="43"/>
      <c r="I804" s="43"/>
      <c r="J804" s="43"/>
    </row>
    <row r="805" spans="3:10">
      <c r="C805" s="72"/>
      <c r="D805" s="72"/>
      <c r="E805" s="43"/>
      <c r="I805" s="43"/>
      <c r="J805" s="43"/>
    </row>
    <row r="806" spans="3:10">
      <c r="C806" s="72"/>
      <c r="D806" s="72"/>
      <c r="E806" s="43"/>
      <c r="I806" s="43"/>
      <c r="J806" s="43"/>
    </row>
    <row r="807" spans="3:10">
      <c r="C807" s="72"/>
      <c r="D807" s="72"/>
      <c r="E807" s="43"/>
      <c r="I807" s="43"/>
      <c r="J807" s="43"/>
    </row>
    <row r="808" spans="3:10">
      <c r="C808" s="72"/>
      <c r="D808" s="72"/>
      <c r="E808" s="43"/>
      <c r="I808" s="43"/>
      <c r="J808" s="43"/>
    </row>
    <row r="809" spans="3:10">
      <c r="C809" s="72"/>
      <c r="D809" s="72"/>
      <c r="E809" s="43"/>
      <c r="I809" s="43"/>
      <c r="J809" s="43"/>
    </row>
    <row r="810" spans="3:10">
      <c r="C810" s="72"/>
      <c r="D810" s="72"/>
      <c r="E810" s="43"/>
      <c r="I810" s="43"/>
      <c r="J810" s="43"/>
    </row>
    <row r="811" spans="3:10">
      <c r="C811" s="72"/>
      <c r="D811" s="72"/>
      <c r="E811" s="43"/>
      <c r="I811" s="43"/>
      <c r="J811" s="43"/>
    </row>
    <row r="812" spans="3:10">
      <c r="C812" s="72"/>
      <c r="D812" s="72"/>
      <c r="E812" s="43"/>
      <c r="I812" s="43"/>
      <c r="J812" s="43"/>
    </row>
    <row r="813" spans="3:10">
      <c r="C813" s="72"/>
      <c r="D813" s="72"/>
      <c r="E813" s="43"/>
      <c r="I813" s="43"/>
      <c r="J813" s="43"/>
    </row>
    <row r="814" spans="3:10">
      <c r="C814" s="72"/>
      <c r="D814" s="72"/>
      <c r="E814" s="43"/>
      <c r="I814" s="43"/>
      <c r="J814" s="43"/>
    </row>
    <row r="815" spans="3:10">
      <c r="C815" s="72"/>
      <c r="D815" s="72"/>
      <c r="E815" s="43"/>
      <c r="I815" s="43"/>
      <c r="J815" s="43"/>
    </row>
    <row r="816" spans="3:10">
      <c r="C816" s="72"/>
      <c r="D816" s="72"/>
      <c r="E816" s="43"/>
      <c r="I816" s="43"/>
      <c r="J816" s="43"/>
    </row>
    <row r="817" spans="3:10">
      <c r="C817" s="72"/>
      <c r="D817" s="72"/>
      <c r="E817" s="43"/>
      <c r="I817" s="43"/>
      <c r="J817" s="43"/>
    </row>
    <row r="818" spans="3:10">
      <c r="C818" s="72"/>
      <c r="D818" s="72"/>
      <c r="E818" s="43"/>
      <c r="I818" s="43"/>
      <c r="J818" s="43"/>
    </row>
    <row r="819" spans="3:10">
      <c r="C819" s="72"/>
      <c r="D819" s="72"/>
      <c r="E819" s="43"/>
      <c r="I819" s="43"/>
      <c r="J819" s="43"/>
    </row>
    <row r="820" spans="3:10">
      <c r="C820" s="72"/>
      <c r="D820" s="72"/>
      <c r="E820" s="43"/>
      <c r="I820" s="43"/>
      <c r="J820" s="43"/>
    </row>
    <row r="821" spans="3:10">
      <c r="C821" s="72"/>
      <c r="D821" s="72"/>
      <c r="E821" s="43"/>
      <c r="I821" s="43"/>
      <c r="J821" s="43"/>
    </row>
    <row r="822" spans="3:10">
      <c r="C822" s="72"/>
      <c r="D822" s="72"/>
      <c r="E822" s="43"/>
      <c r="I822" s="43"/>
      <c r="J822" s="43"/>
    </row>
    <row r="823" spans="3:10">
      <c r="C823" s="72"/>
      <c r="D823" s="72"/>
      <c r="E823" s="43"/>
      <c r="I823" s="43"/>
      <c r="J823" s="43"/>
    </row>
    <row r="824" spans="3:10">
      <c r="C824" s="72"/>
      <c r="D824" s="72"/>
      <c r="E824" s="43"/>
      <c r="I824" s="43"/>
      <c r="J824" s="43"/>
    </row>
    <row r="825" spans="3:10">
      <c r="C825" s="72"/>
      <c r="D825" s="72"/>
      <c r="E825" s="43"/>
      <c r="I825" s="43"/>
      <c r="J825" s="43"/>
    </row>
    <row r="826" spans="3:10">
      <c r="C826" s="72"/>
      <c r="D826" s="72"/>
      <c r="E826" s="43"/>
      <c r="I826" s="43"/>
      <c r="J826" s="43"/>
    </row>
    <row r="827" spans="3:10">
      <c r="C827" s="72"/>
      <c r="D827" s="72"/>
      <c r="E827" s="43"/>
      <c r="I827" s="43"/>
      <c r="J827" s="43"/>
    </row>
    <row r="828" spans="3:10">
      <c r="C828" s="72"/>
      <c r="D828" s="72"/>
      <c r="E828" s="43"/>
      <c r="I828" s="43"/>
      <c r="J828" s="43"/>
    </row>
    <row r="829" spans="3:10">
      <c r="C829" s="72"/>
      <c r="D829" s="72"/>
      <c r="E829" s="43"/>
      <c r="I829" s="43"/>
      <c r="J829" s="43"/>
    </row>
    <row r="830" spans="3:10">
      <c r="C830" s="72"/>
      <c r="D830" s="72"/>
      <c r="E830" s="43"/>
      <c r="I830" s="43"/>
      <c r="J830" s="43"/>
    </row>
    <row r="831" spans="3:10">
      <c r="C831" s="72"/>
      <c r="D831" s="72"/>
      <c r="E831" s="43"/>
      <c r="I831" s="43"/>
      <c r="J831" s="43"/>
    </row>
    <row r="832" spans="3:10">
      <c r="C832" s="72"/>
      <c r="D832" s="72"/>
      <c r="E832" s="43"/>
      <c r="I832" s="43"/>
      <c r="J832" s="43"/>
    </row>
    <row r="833" spans="3:10">
      <c r="C833" s="72"/>
      <c r="D833" s="72"/>
      <c r="E833" s="43"/>
      <c r="I833" s="43"/>
      <c r="J833" s="43"/>
    </row>
    <row r="834" spans="3:10">
      <c r="C834" s="72"/>
      <c r="D834" s="72"/>
      <c r="E834" s="43"/>
      <c r="I834" s="43"/>
      <c r="J834" s="43"/>
    </row>
    <row r="835" spans="3:10">
      <c r="C835" s="72"/>
      <c r="D835" s="72"/>
      <c r="E835" s="43"/>
      <c r="I835" s="43"/>
      <c r="J835" s="43"/>
    </row>
    <row r="836" spans="3:10">
      <c r="C836" s="72"/>
      <c r="D836" s="72"/>
      <c r="E836" s="43"/>
      <c r="I836" s="43"/>
      <c r="J836" s="43"/>
    </row>
    <row r="837" spans="3:10">
      <c r="C837" s="72"/>
      <c r="D837" s="72"/>
      <c r="E837" s="43"/>
      <c r="I837" s="43"/>
      <c r="J837" s="43"/>
    </row>
    <row r="838" spans="3:10">
      <c r="C838" s="72"/>
      <c r="D838" s="72"/>
      <c r="E838" s="43"/>
      <c r="I838" s="43"/>
      <c r="J838" s="43"/>
    </row>
    <row r="839" spans="3:10">
      <c r="C839" s="72"/>
      <c r="D839" s="72"/>
      <c r="E839" s="43"/>
      <c r="I839" s="43"/>
      <c r="J839" s="43"/>
    </row>
    <row r="840" spans="3:10">
      <c r="C840" s="72"/>
      <c r="D840" s="72"/>
      <c r="E840" s="43"/>
      <c r="I840" s="43"/>
      <c r="J840" s="43"/>
    </row>
    <row r="841" spans="3:10">
      <c r="C841" s="72"/>
      <c r="D841" s="72"/>
      <c r="E841" s="43"/>
      <c r="I841" s="43"/>
      <c r="J841" s="43"/>
    </row>
    <row r="842" spans="3:10">
      <c r="C842" s="72"/>
      <c r="D842" s="72"/>
      <c r="E842" s="43"/>
      <c r="I842" s="43"/>
      <c r="J842" s="43"/>
    </row>
    <row r="843" spans="3:10">
      <c r="C843" s="72"/>
      <c r="D843" s="72"/>
      <c r="E843" s="43"/>
      <c r="I843" s="43"/>
      <c r="J843" s="43"/>
    </row>
    <row r="844" spans="3:10">
      <c r="C844" s="72"/>
      <c r="D844" s="72"/>
      <c r="E844" s="43"/>
      <c r="I844" s="43"/>
      <c r="J844" s="43"/>
    </row>
    <row r="845" spans="3:10">
      <c r="C845" s="72"/>
      <c r="D845" s="72"/>
      <c r="E845" s="43"/>
      <c r="I845" s="43"/>
      <c r="J845" s="43"/>
    </row>
    <row r="846" spans="3:10">
      <c r="C846" s="72"/>
      <c r="D846" s="72"/>
      <c r="E846" s="43"/>
      <c r="I846" s="43"/>
      <c r="J846" s="43"/>
    </row>
    <row r="847" spans="3:10">
      <c r="C847" s="72"/>
      <c r="D847" s="72"/>
      <c r="E847" s="43"/>
      <c r="I847" s="43"/>
      <c r="J847" s="43"/>
    </row>
    <row r="848" spans="3:10">
      <c r="C848" s="72"/>
      <c r="D848" s="72"/>
      <c r="E848" s="43"/>
      <c r="I848" s="43"/>
      <c r="J848" s="43"/>
    </row>
    <row r="849" spans="3:10">
      <c r="C849" s="72"/>
      <c r="D849" s="72"/>
      <c r="E849" s="43"/>
      <c r="I849" s="43"/>
      <c r="J849" s="43"/>
    </row>
    <row r="850" spans="3:10">
      <c r="C850" s="72"/>
      <c r="D850" s="72"/>
      <c r="E850" s="43"/>
      <c r="I850" s="43"/>
      <c r="J850" s="43"/>
    </row>
    <row r="851" spans="3:10">
      <c r="C851" s="72"/>
      <c r="D851" s="72"/>
      <c r="E851" s="43"/>
      <c r="I851" s="43"/>
      <c r="J851" s="43"/>
    </row>
    <row r="852" spans="3:10">
      <c r="C852" s="72"/>
      <c r="D852" s="72"/>
      <c r="E852" s="43"/>
      <c r="I852" s="43"/>
      <c r="J852" s="43"/>
    </row>
    <row r="853" spans="3:10">
      <c r="C853" s="72"/>
      <c r="D853" s="72"/>
      <c r="E853" s="43"/>
      <c r="I853" s="43"/>
      <c r="J853" s="43"/>
    </row>
    <row r="854" spans="3:10">
      <c r="C854" s="72"/>
      <c r="D854" s="72"/>
      <c r="E854" s="43"/>
      <c r="I854" s="43"/>
      <c r="J854" s="43"/>
    </row>
    <row r="855" spans="3:10">
      <c r="C855" s="72"/>
      <c r="D855" s="72"/>
      <c r="E855" s="43"/>
      <c r="I855" s="43"/>
      <c r="J855" s="43"/>
    </row>
    <row r="856" spans="3:10">
      <c r="C856" s="72"/>
      <c r="D856" s="72"/>
      <c r="E856" s="43"/>
      <c r="I856" s="43"/>
      <c r="J856" s="43"/>
    </row>
    <row r="857" spans="3:10">
      <c r="C857" s="72"/>
      <c r="D857" s="72"/>
      <c r="E857" s="43"/>
      <c r="I857" s="43"/>
      <c r="J857" s="43"/>
    </row>
    <row r="858" spans="3:10">
      <c r="C858" s="72"/>
      <c r="D858" s="72"/>
      <c r="E858" s="43"/>
      <c r="I858" s="43"/>
      <c r="J858" s="43"/>
    </row>
    <row r="859" spans="3:10">
      <c r="C859" s="72"/>
      <c r="D859" s="72"/>
      <c r="E859" s="43"/>
      <c r="I859" s="43"/>
      <c r="J859" s="43"/>
    </row>
    <row r="860" spans="3:10">
      <c r="C860" s="72"/>
      <c r="D860" s="72"/>
      <c r="E860" s="43"/>
      <c r="I860" s="43"/>
      <c r="J860" s="43"/>
    </row>
    <row r="861" spans="3:10">
      <c r="C861" s="72"/>
      <c r="D861" s="72"/>
      <c r="E861" s="43"/>
      <c r="I861" s="43"/>
      <c r="J861" s="43"/>
    </row>
    <row r="862" spans="3:10">
      <c r="C862" s="72"/>
      <c r="D862" s="72"/>
      <c r="E862" s="43"/>
      <c r="I862" s="43"/>
      <c r="J862" s="43"/>
    </row>
    <row r="863" spans="3:10">
      <c r="C863" s="72"/>
      <c r="D863" s="72"/>
      <c r="E863" s="43"/>
      <c r="I863" s="43"/>
      <c r="J863" s="43"/>
    </row>
    <row r="864" spans="3:10">
      <c r="C864" s="72"/>
      <c r="D864" s="72"/>
      <c r="E864" s="43"/>
      <c r="I864" s="43"/>
      <c r="J864" s="43"/>
    </row>
    <row r="865" spans="3:10">
      <c r="C865" s="72"/>
      <c r="D865" s="72"/>
      <c r="E865" s="43"/>
      <c r="I865" s="43"/>
      <c r="J865" s="43"/>
    </row>
    <row r="866" spans="3:10">
      <c r="C866" s="72"/>
      <c r="D866" s="72"/>
      <c r="E866" s="43"/>
      <c r="I866" s="43"/>
      <c r="J866" s="43"/>
    </row>
    <row r="867" spans="3:10">
      <c r="C867" s="72"/>
      <c r="D867" s="72"/>
      <c r="E867" s="43"/>
      <c r="I867" s="43"/>
      <c r="J867" s="43"/>
    </row>
    <row r="868" spans="3:10">
      <c r="C868" s="72"/>
      <c r="D868" s="72"/>
      <c r="E868" s="43"/>
      <c r="I868" s="43"/>
      <c r="J868" s="43"/>
    </row>
    <row r="869" spans="3:10">
      <c r="C869" s="72"/>
      <c r="D869" s="72"/>
      <c r="E869" s="43"/>
      <c r="I869" s="43"/>
      <c r="J869" s="43"/>
    </row>
    <row r="870" spans="3:10">
      <c r="C870" s="72"/>
      <c r="D870" s="72"/>
      <c r="E870" s="43"/>
      <c r="I870" s="43"/>
      <c r="J870" s="43"/>
    </row>
    <row r="871" spans="3:10">
      <c r="C871" s="72"/>
      <c r="D871" s="72"/>
      <c r="E871" s="43"/>
      <c r="I871" s="43"/>
      <c r="J871" s="43"/>
    </row>
    <row r="872" spans="3:10">
      <c r="C872" s="72"/>
      <c r="D872" s="72"/>
      <c r="E872" s="43"/>
      <c r="I872" s="43"/>
      <c r="J872" s="43"/>
    </row>
    <row r="873" spans="3:10">
      <c r="C873" s="72"/>
      <c r="D873" s="72"/>
      <c r="E873" s="43"/>
      <c r="I873" s="43"/>
      <c r="J873" s="43"/>
    </row>
    <row r="874" spans="3:10">
      <c r="C874" s="72"/>
      <c r="D874" s="72"/>
      <c r="E874" s="43"/>
      <c r="I874" s="43"/>
      <c r="J874" s="43"/>
    </row>
    <row r="875" spans="3:10">
      <c r="C875" s="72"/>
      <c r="D875" s="72"/>
      <c r="E875" s="43"/>
      <c r="I875" s="43"/>
      <c r="J875" s="43"/>
    </row>
    <row r="876" spans="3:10">
      <c r="C876" s="72"/>
      <c r="D876" s="72"/>
      <c r="E876" s="43"/>
      <c r="I876" s="43"/>
      <c r="J876" s="43"/>
    </row>
    <row r="877" spans="3:10">
      <c r="C877" s="72"/>
      <c r="D877" s="72"/>
      <c r="E877" s="43"/>
      <c r="I877" s="43"/>
      <c r="J877" s="43"/>
    </row>
    <row r="878" spans="3:10">
      <c r="C878" s="72"/>
      <c r="D878" s="72"/>
      <c r="E878" s="43"/>
      <c r="I878" s="43"/>
      <c r="J878" s="43"/>
    </row>
    <row r="879" spans="3:10">
      <c r="C879" s="72"/>
      <c r="D879" s="72"/>
      <c r="E879" s="43"/>
      <c r="I879" s="43"/>
      <c r="J879" s="43"/>
    </row>
    <row r="880" spans="3:10">
      <c r="C880" s="72"/>
      <c r="D880" s="72"/>
      <c r="E880" s="43"/>
      <c r="I880" s="43"/>
      <c r="J880" s="43"/>
    </row>
    <row r="881" spans="3:10">
      <c r="C881" s="72"/>
      <c r="D881" s="72"/>
      <c r="E881" s="43"/>
      <c r="I881" s="43"/>
      <c r="J881" s="43"/>
    </row>
    <row r="882" spans="3:10">
      <c r="C882" s="72"/>
      <c r="D882" s="72"/>
      <c r="E882" s="43"/>
      <c r="I882" s="43"/>
      <c r="J882" s="43"/>
    </row>
    <row r="883" spans="3:10">
      <c r="C883" s="72"/>
      <c r="D883" s="72"/>
      <c r="E883" s="43"/>
      <c r="I883" s="43"/>
      <c r="J883" s="43"/>
    </row>
    <row r="884" spans="3:10">
      <c r="C884" s="72"/>
      <c r="D884" s="72"/>
      <c r="E884" s="43"/>
      <c r="I884" s="43"/>
      <c r="J884" s="43"/>
    </row>
    <row r="885" spans="3:10">
      <c r="C885" s="72"/>
      <c r="D885" s="72"/>
      <c r="E885" s="43"/>
      <c r="I885" s="43"/>
      <c r="J885" s="43"/>
    </row>
    <row r="886" spans="3:10">
      <c r="C886" s="72"/>
      <c r="D886" s="72"/>
      <c r="E886" s="43"/>
      <c r="I886" s="43"/>
      <c r="J886" s="43"/>
    </row>
    <row r="887" spans="3:10">
      <c r="C887" s="72"/>
      <c r="D887" s="72"/>
      <c r="E887" s="43"/>
      <c r="I887" s="43"/>
      <c r="J887" s="43"/>
    </row>
    <row r="888" spans="3:10">
      <c r="C888" s="72"/>
      <c r="D888" s="72"/>
      <c r="E888" s="43"/>
      <c r="I888" s="43"/>
      <c r="J888" s="43"/>
    </row>
    <row r="889" spans="3:10">
      <c r="C889" s="72"/>
      <c r="D889" s="72"/>
      <c r="E889" s="43"/>
      <c r="I889" s="43"/>
      <c r="J889" s="43"/>
    </row>
    <row r="890" spans="3:10">
      <c r="C890" s="72"/>
      <c r="D890" s="72"/>
      <c r="E890" s="43"/>
      <c r="I890" s="43"/>
      <c r="J890" s="43"/>
    </row>
    <row r="891" spans="3:10">
      <c r="C891" s="72"/>
      <c r="D891" s="72"/>
      <c r="E891" s="43"/>
      <c r="I891" s="43"/>
      <c r="J891" s="43"/>
    </row>
    <row r="892" spans="3:10">
      <c r="C892" s="72"/>
      <c r="D892" s="72"/>
      <c r="E892" s="43"/>
      <c r="I892" s="43"/>
      <c r="J892" s="43"/>
    </row>
    <row r="893" spans="3:10">
      <c r="C893" s="72"/>
      <c r="D893" s="72"/>
      <c r="E893" s="43"/>
      <c r="I893" s="43"/>
      <c r="J893" s="43"/>
    </row>
    <row r="894" spans="3:10">
      <c r="C894" s="72"/>
      <c r="D894" s="72"/>
      <c r="E894" s="43"/>
      <c r="I894" s="43"/>
      <c r="J894" s="43"/>
    </row>
    <row r="895" spans="3:10">
      <c r="C895" s="72"/>
      <c r="D895" s="72"/>
      <c r="E895" s="43"/>
      <c r="I895" s="43"/>
      <c r="J895" s="43"/>
    </row>
    <row r="896" spans="3:10">
      <c r="C896" s="72"/>
      <c r="D896" s="72"/>
      <c r="E896" s="43"/>
      <c r="I896" s="43"/>
      <c r="J896" s="43"/>
    </row>
    <row r="897" spans="3:10">
      <c r="C897" s="72"/>
      <c r="D897" s="72"/>
      <c r="E897" s="43"/>
      <c r="I897" s="43"/>
      <c r="J897" s="43"/>
    </row>
    <row r="898" spans="3:10">
      <c r="C898" s="72"/>
      <c r="D898" s="72"/>
      <c r="E898" s="43"/>
      <c r="I898" s="43"/>
      <c r="J898" s="43"/>
    </row>
    <row r="899" spans="3:10">
      <c r="C899" s="72"/>
      <c r="D899" s="72"/>
      <c r="E899" s="43"/>
      <c r="I899" s="43"/>
      <c r="J899" s="43"/>
    </row>
    <row r="900" spans="3:10">
      <c r="C900" s="72"/>
      <c r="D900" s="72"/>
      <c r="E900" s="43"/>
      <c r="I900" s="43"/>
      <c r="J900" s="43"/>
    </row>
    <row r="901" spans="3:10">
      <c r="C901" s="72"/>
      <c r="D901" s="72"/>
      <c r="E901" s="43"/>
      <c r="I901" s="43"/>
      <c r="J901" s="43"/>
    </row>
    <row r="902" spans="3:10">
      <c r="C902" s="72"/>
      <c r="D902" s="72"/>
      <c r="E902" s="43"/>
      <c r="I902" s="43"/>
      <c r="J902" s="43"/>
    </row>
    <row r="903" spans="3:10">
      <c r="C903" s="72"/>
      <c r="D903" s="72"/>
      <c r="E903" s="43"/>
      <c r="I903" s="43"/>
      <c r="J903" s="43"/>
    </row>
    <row r="904" spans="3:10">
      <c r="C904" s="72"/>
      <c r="D904" s="72"/>
      <c r="E904" s="43"/>
      <c r="I904" s="43"/>
      <c r="J904" s="43"/>
    </row>
    <row r="905" spans="3:10">
      <c r="C905" s="72"/>
      <c r="D905" s="72"/>
      <c r="E905" s="43"/>
      <c r="I905" s="43"/>
      <c r="J905" s="43"/>
    </row>
    <row r="906" spans="3:10">
      <c r="C906" s="72"/>
      <c r="D906" s="72"/>
      <c r="E906" s="43"/>
      <c r="I906" s="43"/>
      <c r="J906" s="43"/>
    </row>
    <row r="907" spans="3:10">
      <c r="C907" s="72"/>
      <c r="D907" s="72"/>
      <c r="E907" s="43"/>
      <c r="I907" s="43"/>
      <c r="J907" s="43"/>
    </row>
    <row r="908" spans="3:10">
      <c r="C908" s="72"/>
      <c r="D908" s="72"/>
      <c r="E908" s="43"/>
      <c r="I908" s="43"/>
      <c r="J908" s="43"/>
    </row>
    <row r="909" spans="3:10">
      <c r="C909" s="72"/>
      <c r="D909" s="72"/>
      <c r="E909" s="43"/>
      <c r="I909" s="43"/>
      <c r="J909" s="43"/>
    </row>
    <row r="910" spans="3:10">
      <c r="C910" s="72"/>
      <c r="D910" s="72"/>
      <c r="E910" s="43"/>
      <c r="I910" s="43"/>
      <c r="J910" s="43"/>
    </row>
    <row r="911" spans="3:10">
      <c r="C911" s="72"/>
      <c r="D911" s="72"/>
      <c r="E911" s="43"/>
      <c r="I911" s="43"/>
      <c r="J911" s="43"/>
    </row>
    <row r="912" spans="3:10">
      <c r="C912" s="72"/>
      <c r="D912" s="72"/>
      <c r="E912" s="43"/>
      <c r="I912" s="43"/>
      <c r="J912" s="43"/>
    </row>
    <row r="913" spans="3:10">
      <c r="C913" s="72"/>
      <c r="D913" s="72"/>
      <c r="E913" s="43"/>
      <c r="I913" s="43"/>
      <c r="J913" s="43"/>
    </row>
    <row r="914" spans="3:10">
      <c r="C914" s="72"/>
      <c r="D914" s="72"/>
      <c r="E914" s="43"/>
      <c r="I914" s="43"/>
      <c r="J914" s="43"/>
    </row>
    <row r="915" spans="3:10">
      <c r="C915" s="72"/>
      <c r="D915" s="72"/>
      <c r="E915" s="43"/>
      <c r="I915" s="43"/>
      <c r="J915" s="43"/>
    </row>
    <row r="916" spans="3:10">
      <c r="C916" s="72"/>
      <c r="D916" s="72"/>
      <c r="E916" s="43"/>
      <c r="I916" s="43"/>
      <c r="J916" s="43"/>
    </row>
    <row r="917" spans="3:10">
      <c r="C917" s="72"/>
      <c r="D917" s="72"/>
      <c r="E917" s="43"/>
      <c r="I917" s="43"/>
      <c r="J917" s="43"/>
    </row>
    <row r="918" spans="3:10">
      <c r="C918" s="72"/>
      <c r="D918" s="72"/>
      <c r="E918" s="43"/>
      <c r="I918" s="43"/>
      <c r="J918" s="43"/>
    </row>
    <row r="919" spans="3:10">
      <c r="C919" s="72"/>
      <c r="D919" s="72"/>
      <c r="E919" s="43"/>
      <c r="I919" s="43"/>
      <c r="J919" s="43"/>
    </row>
    <row r="920" spans="3:10">
      <c r="C920" s="72"/>
      <c r="D920" s="72"/>
      <c r="E920" s="43"/>
      <c r="I920" s="43"/>
      <c r="J920" s="43"/>
    </row>
    <row r="921" spans="3:10">
      <c r="C921" s="72"/>
      <c r="D921" s="72"/>
      <c r="E921" s="43"/>
      <c r="I921" s="43"/>
      <c r="J921" s="43"/>
    </row>
    <row r="922" spans="3:10">
      <c r="C922" s="72"/>
      <c r="D922" s="72"/>
      <c r="E922" s="43"/>
      <c r="I922" s="43"/>
      <c r="J922" s="43"/>
    </row>
    <row r="923" spans="3:10">
      <c r="C923" s="72"/>
      <c r="D923" s="72"/>
      <c r="E923" s="43"/>
      <c r="I923" s="43"/>
      <c r="J923" s="43"/>
    </row>
    <row r="924" spans="3:10">
      <c r="C924" s="72"/>
      <c r="D924" s="72"/>
      <c r="E924" s="43"/>
      <c r="I924" s="43"/>
      <c r="J924" s="43"/>
    </row>
    <row r="925" spans="3:10">
      <c r="C925" s="72"/>
      <c r="D925" s="72"/>
      <c r="E925" s="43"/>
      <c r="I925" s="43"/>
      <c r="J925" s="43"/>
    </row>
    <row r="926" spans="3:10">
      <c r="C926" s="72"/>
      <c r="D926" s="72"/>
      <c r="E926" s="43"/>
      <c r="I926" s="43"/>
      <c r="J926" s="43"/>
    </row>
    <row r="927" spans="3:10">
      <c r="C927" s="72"/>
      <c r="D927" s="72"/>
      <c r="E927" s="43"/>
      <c r="I927" s="43"/>
      <c r="J927" s="43"/>
    </row>
    <row r="928" spans="3:10">
      <c r="C928" s="72"/>
      <c r="D928" s="72"/>
      <c r="E928" s="43"/>
      <c r="I928" s="43"/>
      <c r="J928" s="43"/>
    </row>
    <row r="929" spans="3:10">
      <c r="C929" s="72"/>
      <c r="D929" s="72"/>
      <c r="E929" s="43"/>
      <c r="I929" s="43"/>
      <c r="J929" s="43"/>
    </row>
    <row r="930" spans="3:10">
      <c r="C930" s="72"/>
      <c r="D930" s="72"/>
      <c r="E930" s="43"/>
      <c r="I930" s="43"/>
      <c r="J930" s="43"/>
    </row>
    <row r="931" spans="3:10">
      <c r="C931" s="72"/>
      <c r="D931" s="72"/>
      <c r="E931" s="43"/>
      <c r="I931" s="43"/>
      <c r="J931" s="43"/>
    </row>
    <row r="932" spans="3:10">
      <c r="C932" s="72"/>
      <c r="D932" s="72"/>
      <c r="E932" s="43"/>
      <c r="I932" s="43"/>
      <c r="J932" s="43"/>
    </row>
    <row r="933" spans="3:10">
      <c r="C933" s="72"/>
      <c r="D933" s="72"/>
      <c r="E933" s="43"/>
      <c r="I933" s="43"/>
      <c r="J933" s="43"/>
    </row>
    <row r="934" spans="3:10">
      <c r="C934" s="72"/>
      <c r="D934" s="72"/>
      <c r="E934" s="43"/>
      <c r="I934" s="43"/>
      <c r="J934" s="43"/>
    </row>
    <row r="935" spans="3:10">
      <c r="C935" s="72"/>
      <c r="D935" s="72"/>
      <c r="E935" s="43"/>
      <c r="I935" s="43"/>
      <c r="J935" s="43"/>
    </row>
    <row r="936" spans="3:10">
      <c r="C936" s="72"/>
      <c r="D936" s="72"/>
      <c r="E936" s="43"/>
      <c r="I936" s="43"/>
      <c r="J936" s="43"/>
    </row>
    <row r="937" spans="3:10">
      <c r="C937" s="72"/>
      <c r="D937" s="72"/>
      <c r="E937" s="43"/>
      <c r="I937" s="43"/>
      <c r="J937" s="43"/>
    </row>
    <row r="938" spans="3:10">
      <c r="C938" s="72"/>
      <c r="D938" s="72"/>
      <c r="E938" s="43"/>
      <c r="I938" s="43"/>
      <c r="J938" s="43"/>
    </row>
    <row r="939" spans="3:10">
      <c r="C939" s="72"/>
      <c r="D939" s="72"/>
      <c r="E939" s="43"/>
      <c r="I939" s="43"/>
      <c r="J939" s="43"/>
    </row>
    <row r="940" spans="3:10">
      <c r="C940" s="72"/>
      <c r="D940" s="72"/>
      <c r="E940" s="43"/>
      <c r="I940" s="43"/>
      <c r="J940" s="43"/>
    </row>
    <row r="941" spans="3:10">
      <c r="C941" s="72"/>
      <c r="D941" s="72"/>
      <c r="E941" s="43"/>
      <c r="I941" s="43"/>
      <c r="J941" s="43"/>
    </row>
    <row r="942" spans="3:10">
      <c r="C942" s="72"/>
      <c r="D942" s="72"/>
      <c r="E942" s="43"/>
      <c r="I942" s="43"/>
      <c r="J942" s="43"/>
    </row>
    <row r="943" spans="3:10">
      <c r="C943" s="72"/>
      <c r="D943" s="72"/>
      <c r="E943" s="43"/>
      <c r="I943" s="43"/>
      <c r="J943" s="43"/>
    </row>
    <row r="944" spans="3:10">
      <c r="C944" s="72"/>
      <c r="D944" s="72"/>
      <c r="E944" s="43"/>
      <c r="I944" s="43"/>
      <c r="J944" s="43"/>
    </row>
    <row r="945" spans="3:10">
      <c r="C945" s="72"/>
      <c r="D945" s="72"/>
      <c r="E945" s="43"/>
      <c r="I945" s="43"/>
      <c r="J945" s="43"/>
    </row>
    <row r="946" spans="3:10">
      <c r="C946" s="72"/>
      <c r="D946" s="72"/>
      <c r="E946" s="43"/>
      <c r="I946" s="43"/>
      <c r="J946" s="43"/>
    </row>
    <row r="947" spans="3:10">
      <c r="C947" s="72"/>
      <c r="D947" s="72"/>
      <c r="E947" s="43"/>
      <c r="I947" s="43"/>
      <c r="J947" s="43"/>
    </row>
    <row r="948" spans="3:10">
      <c r="C948" s="72"/>
      <c r="D948" s="72"/>
      <c r="E948" s="43"/>
      <c r="I948" s="43"/>
      <c r="J948" s="43"/>
    </row>
    <row r="949" spans="3:10">
      <c r="C949" s="72"/>
      <c r="D949" s="72"/>
      <c r="E949" s="43"/>
      <c r="I949" s="43"/>
      <c r="J949" s="43"/>
    </row>
    <row r="950" spans="3:10">
      <c r="C950" s="72"/>
      <c r="D950" s="72"/>
      <c r="E950" s="43"/>
      <c r="I950" s="43"/>
      <c r="J950" s="43"/>
    </row>
    <row r="951" spans="3:10">
      <c r="C951" s="72"/>
      <c r="D951" s="72"/>
      <c r="E951" s="43"/>
      <c r="I951" s="43"/>
      <c r="J951" s="43"/>
    </row>
    <row r="952" spans="3:10">
      <c r="C952" s="72"/>
      <c r="D952" s="72"/>
      <c r="E952" s="43"/>
      <c r="I952" s="43"/>
      <c r="J952" s="43"/>
    </row>
    <row r="953" spans="3:10">
      <c r="C953" s="72"/>
      <c r="D953" s="72"/>
      <c r="E953" s="43"/>
      <c r="I953" s="43"/>
      <c r="J953" s="43"/>
    </row>
    <row r="954" spans="3:10">
      <c r="C954" s="72"/>
      <c r="D954" s="72"/>
      <c r="E954" s="43"/>
      <c r="I954" s="43"/>
      <c r="J954" s="43"/>
    </row>
    <row r="955" spans="3:10">
      <c r="C955" s="72"/>
      <c r="D955" s="72"/>
      <c r="E955" s="43"/>
      <c r="I955" s="43"/>
      <c r="J955" s="43"/>
    </row>
    <row r="956" spans="3:10">
      <c r="C956" s="72"/>
      <c r="D956" s="72"/>
      <c r="E956" s="43"/>
      <c r="I956" s="43"/>
      <c r="J956" s="43"/>
    </row>
    <row r="957" spans="3:10">
      <c r="C957" s="72"/>
      <c r="D957" s="72"/>
      <c r="E957" s="43"/>
      <c r="I957" s="43"/>
      <c r="J957" s="43"/>
    </row>
    <row r="958" spans="3:10">
      <c r="C958" s="72"/>
      <c r="D958" s="72"/>
      <c r="E958" s="43"/>
      <c r="I958" s="43"/>
      <c r="J958" s="43"/>
    </row>
    <row r="959" spans="3:10">
      <c r="C959" s="72"/>
      <c r="D959" s="72"/>
      <c r="E959" s="43"/>
      <c r="I959" s="43"/>
      <c r="J959" s="43"/>
    </row>
    <row r="960" spans="3:10">
      <c r="C960" s="72"/>
      <c r="D960" s="72"/>
      <c r="E960" s="43"/>
      <c r="I960" s="43"/>
      <c r="J960" s="43"/>
    </row>
    <row r="961" spans="3:10">
      <c r="C961" s="72"/>
      <c r="D961" s="72"/>
      <c r="E961" s="43"/>
      <c r="I961" s="43"/>
      <c r="J961" s="43"/>
    </row>
    <row r="962" spans="3:10">
      <c r="C962" s="72"/>
      <c r="D962" s="72"/>
      <c r="E962" s="43"/>
      <c r="I962" s="43"/>
      <c r="J962" s="43"/>
    </row>
    <row r="963" spans="3:10">
      <c r="C963" s="72"/>
      <c r="D963" s="72"/>
      <c r="E963" s="43"/>
      <c r="I963" s="43"/>
      <c r="J963" s="43"/>
    </row>
    <row r="964" spans="3:10">
      <c r="C964" s="72"/>
      <c r="D964" s="72"/>
      <c r="E964" s="43"/>
      <c r="I964" s="43"/>
      <c r="J964" s="43"/>
    </row>
    <row r="965" spans="3:10">
      <c r="C965" s="72"/>
      <c r="D965" s="72"/>
      <c r="E965" s="43"/>
      <c r="I965" s="43"/>
      <c r="J965" s="43"/>
    </row>
    <row r="966" spans="3:10">
      <c r="C966" s="72"/>
      <c r="D966" s="72"/>
      <c r="E966" s="43"/>
      <c r="I966" s="43"/>
      <c r="J966" s="43"/>
    </row>
    <row r="967" spans="3:10">
      <c r="C967" s="72"/>
      <c r="D967" s="72"/>
      <c r="E967" s="43"/>
      <c r="I967" s="43"/>
      <c r="J967" s="43"/>
    </row>
    <row r="968" spans="3:10">
      <c r="C968" s="72"/>
      <c r="D968" s="72"/>
      <c r="E968" s="43"/>
      <c r="I968" s="43"/>
      <c r="J968" s="43"/>
    </row>
    <row r="969" spans="3:10">
      <c r="C969" s="72"/>
      <c r="D969" s="72"/>
      <c r="E969" s="43"/>
      <c r="I969" s="43"/>
      <c r="J969" s="43"/>
    </row>
    <row r="970" spans="3:10">
      <c r="C970" s="72"/>
      <c r="D970" s="72"/>
      <c r="E970" s="43"/>
      <c r="I970" s="43"/>
      <c r="J970" s="43"/>
    </row>
    <row r="971" spans="3:10">
      <c r="C971" s="72"/>
      <c r="D971" s="72"/>
      <c r="E971" s="43"/>
      <c r="I971" s="43"/>
      <c r="J971" s="43"/>
    </row>
    <row r="972" spans="3:10">
      <c r="C972" s="72"/>
      <c r="D972" s="72"/>
      <c r="E972" s="43"/>
      <c r="I972" s="43"/>
      <c r="J972" s="43"/>
    </row>
    <row r="973" spans="3:10">
      <c r="C973" s="72"/>
      <c r="D973" s="72"/>
      <c r="E973" s="43"/>
      <c r="I973" s="43"/>
      <c r="J973" s="43"/>
    </row>
    <row r="974" spans="3:10">
      <c r="C974" s="72"/>
      <c r="D974" s="72"/>
      <c r="E974" s="43"/>
      <c r="I974" s="43"/>
      <c r="J974" s="43"/>
    </row>
    <row r="975" spans="3:10">
      <c r="C975" s="72"/>
      <c r="D975" s="72"/>
      <c r="E975" s="43"/>
      <c r="I975" s="43"/>
      <c r="J975" s="43"/>
    </row>
    <row r="976" spans="3:10">
      <c r="C976" s="72"/>
      <c r="D976" s="72"/>
      <c r="E976" s="43"/>
      <c r="I976" s="43"/>
      <c r="J976" s="43"/>
    </row>
    <row r="977" spans="3:10">
      <c r="C977" s="72"/>
      <c r="D977" s="72"/>
      <c r="E977" s="43"/>
      <c r="I977" s="43"/>
      <c r="J977" s="43"/>
    </row>
    <row r="978" spans="3:10">
      <c r="C978" s="72"/>
      <c r="D978" s="72"/>
      <c r="E978" s="43"/>
      <c r="I978" s="43"/>
      <c r="J978" s="43"/>
    </row>
    <row r="979" spans="3:10">
      <c r="C979" s="72"/>
      <c r="D979" s="72"/>
      <c r="E979" s="43"/>
      <c r="I979" s="43"/>
      <c r="J979" s="43"/>
    </row>
    <row r="980" spans="3:10">
      <c r="C980" s="72"/>
      <c r="D980" s="72"/>
      <c r="E980" s="43"/>
      <c r="I980" s="43"/>
      <c r="J980" s="43"/>
    </row>
    <row r="981" spans="3:10">
      <c r="C981" s="72"/>
      <c r="D981" s="72"/>
      <c r="E981" s="43"/>
      <c r="I981" s="43"/>
      <c r="J981" s="43"/>
    </row>
    <row r="982" spans="3:10">
      <c r="C982" s="72"/>
      <c r="D982" s="72"/>
      <c r="E982" s="43"/>
      <c r="I982" s="43"/>
      <c r="J982" s="43"/>
    </row>
    <row r="983" spans="3:10">
      <c r="C983" s="72"/>
      <c r="D983" s="72"/>
      <c r="E983" s="43"/>
      <c r="I983" s="43"/>
      <c r="J983" s="43"/>
    </row>
    <row r="984" spans="3:10">
      <c r="C984" s="72"/>
      <c r="D984" s="72"/>
      <c r="E984" s="43"/>
      <c r="I984" s="43"/>
      <c r="J984" s="43"/>
    </row>
    <row r="985" spans="3:10">
      <c r="C985" s="72"/>
      <c r="D985" s="72"/>
      <c r="E985" s="43"/>
      <c r="I985" s="43"/>
      <c r="J985" s="43"/>
    </row>
    <row r="986" spans="3:10">
      <c r="C986" s="72"/>
      <c r="D986" s="72"/>
      <c r="E986" s="43"/>
      <c r="I986" s="43"/>
      <c r="J986" s="43"/>
    </row>
    <row r="987" spans="3:10">
      <c r="C987" s="72"/>
      <c r="D987" s="72"/>
      <c r="E987" s="43"/>
      <c r="I987" s="43"/>
      <c r="J987" s="43"/>
    </row>
    <row r="988" spans="3:10">
      <c r="C988" s="72"/>
      <c r="D988" s="72"/>
      <c r="E988" s="43"/>
      <c r="I988" s="43"/>
      <c r="J988" s="43"/>
    </row>
    <row r="989" spans="3:10">
      <c r="C989" s="72"/>
      <c r="D989" s="72"/>
      <c r="E989" s="43"/>
      <c r="I989" s="43"/>
      <c r="J989" s="43"/>
    </row>
    <row r="990" spans="3:10">
      <c r="C990" s="72"/>
      <c r="D990" s="72"/>
      <c r="E990" s="43"/>
      <c r="I990" s="43"/>
      <c r="J990" s="43"/>
    </row>
    <row r="991" spans="3:10">
      <c r="C991" s="72"/>
      <c r="D991" s="72"/>
      <c r="E991" s="43"/>
      <c r="I991" s="43"/>
      <c r="J991" s="43"/>
    </row>
    <row r="992" spans="3:10">
      <c r="C992" s="72"/>
      <c r="D992" s="72"/>
      <c r="E992" s="43"/>
      <c r="I992" s="43"/>
      <c r="J992" s="43"/>
    </row>
    <row r="993" spans="3:10">
      <c r="C993" s="72"/>
      <c r="D993" s="72"/>
      <c r="E993" s="43"/>
      <c r="I993" s="43"/>
      <c r="J993" s="43"/>
    </row>
    <row r="994" spans="3:10">
      <c r="C994" s="72"/>
      <c r="D994" s="72"/>
      <c r="E994" s="43"/>
      <c r="I994" s="43"/>
      <c r="J994" s="43"/>
    </row>
    <row r="995" spans="3:10">
      <c r="C995" s="72"/>
      <c r="D995" s="72"/>
      <c r="E995" s="43"/>
      <c r="I995" s="43"/>
      <c r="J995" s="43"/>
    </row>
    <row r="996" spans="3:10">
      <c r="C996" s="72"/>
      <c r="D996" s="72"/>
      <c r="E996" s="43"/>
      <c r="I996" s="43"/>
      <c r="J996" s="43"/>
    </row>
    <row r="997" spans="3:10">
      <c r="C997" s="72"/>
      <c r="D997" s="72"/>
      <c r="E997" s="43"/>
      <c r="I997" s="43"/>
      <c r="J997" s="43"/>
    </row>
  </sheetData>
  <dataValidations count="2">
    <dataValidation type="decimal" allowBlank="1" showDropDown="1" showErrorMessage="1" sqref="F2:F6 F10:F15 F17 F19:F21 F24:F25 F29:F30 F35:F38 F40:F44 F46:F47 F50:F53 F57:F59 F63 F65 F69:F74 F76 F82 F87 F89 F91 F93 F95 F99:F101 F104:F106 F109:F110 F112:F113 F123" xr:uid="{0963032A-1D38-4C74-BCCD-BE3006E89AC3}">
      <formula1>1</formula1>
      <formula2>15</formula2>
    </dataValidation>
    <dataValidation type="custom" allowBlank="1" showDropDown="1" showErrorMessage="1" sqref="E2:E7 E10:E15 E17 E19:E21 E24:E25 E29:E30 E35:E38 E40:E44 E46:E47 E50:E53 E55 E57:E59 E63 E65 E69:E74 E76 E82 E87 E89 E91 E93 E95 E99:E101 E104:E106 E109:E110 E112:E113 E123" xr:uid="{FEDB2579-3485-4230-A11C-CF8872D8910D}">
      <formula1>OR(NOT(ISERROR(DATEVALUE(E2))), AND(ISNUMBER(E2), LEFT(CELL("format", E2))="D"))</formula1>
    </dataValidation>
  </dataValidations>
  <hyperlinks>
    <hyperlink ref="H2" r:id="rId1" xr:uid="{4E7C47B6-473F-4714-A768-F3B2ED09639D}"/>
    <hyperlink ref="K2" r:id="rId2" xr:uid="{59713005-FF38-4A6E-A090-1019D1AEE3B7}"/>
    <hyperlink ref="H3" r:id="rId3" xr:uid="{9550AF47-210A-44BD-950A-CDF39F203B0F}"/>
    <hyperlink ref="H4" r:id="rId4" xr:uid="{F428A89C-E3C9-4CFA-8040-1D0D82234D2D}"/>
    <hyperlink ref="K4" r:id="rId5" xr:uid="{D0DA93D0-4E75-4A22-B1AA-045637E2918E}"/>
    <hyperlink ref="H5" r:id="rId6" xr:uid="{42B5C366-0D99-43AF-A434-F3DCDCC1A4D7}"/>
    <hyperlink ref="H6" r:id="rId7" xr:uid="{B8CD0B24-7EFD-4932-BDC8-63E3FA8B6210}"/>
    <hyperlink ref="K6" r:id="rId8" xr:uid="{D4CF5EEC-B61D-4C16-8E60-D73E5A5C3ABF}"/>
    <hyperlink ref="H7" r:id="rId9" xr:uid="{4549906B-093E-4AF8-ACB6-5BE13D34DD7C}"/>
    <hyperlink ref="H8" r:id="rId10" xr:uid="{0E0BA069-38FF-46D2-8B3B-B83A5A7E5429}"/>
    <hyperlink ref="H9" r:id="rId11" xr:uid="{1243D2E8-47A5-4F55-A3F3-FFEA8C511888}"/>
    <hyperlink ref="H10" r:id="rId12" xr:uid="{84BC8271-A018-4BF6-95BF-EEBD5B88BB82}"/>
    <hyperlink ref="H11" r:id="rId13" xr:uid="{0057AA29-B951-444C-9EA4-ABCE08DC7ADD}"/>
    <hyperlink ref="H12" r:id="rId14" xr:uid="{A9B21E25-8769-4B69-9A66-554F3124B103}"/>
    <hyperlink ref="H13" r:id="rId15" xr:uid="{4E92A2F3-2BB3-491C-A0D4-A822F8058085}"/>
    <hyperlink ref="H14" r:id="rId16" xr:uid="{8ED6D9C2-4F4F-4E56-B4AD-A4FD207EBE81}"/>
    <hyperlink ref="K14" r:id="rId17" xr:uid="{5E5D1DCB-68C2-44FD-BAB3-28CD495B51E4}"/>
    <hyperlink ref="H15" r:id="rId18" xr:uid="{51722542-7267-4A9D-860B-6738648B4315}"/>
    <hyperlink ref="H16" r:id="rId19" xr:uid="{4EECB0E6-4A36-4561-A3B6-6E517A3BD51C}"/>
    <hyperlink ref="H17" r:id="rId20" xr:uid="{553AA7F3-889B-4D8C-A9E5-FB49A6938643}"/>
    <hyperlink ref="H18" r:id="rId21" xr:uid="{EAC48051-63E1-4AB2-9F1D-06E166767DCC}"/>
    <hyperlink ref="H19" r:id="rId22" xr:uid="{2EC11153-00F1-430C-9EBF-CDA735F65453}"/>
    <hyperlink ref="H20" r:id="rId23" xr:uid="{482ADF47-90B3-405C-8DB0-851D018C2EC3}"/>
    <hyperlink ref="H21" r:id="rId24" xr:uid="{B99D6EF0-8A78-4757-83F6-CFBCAEF3A759}"/>
    <hyperlink ref="H22" r:id="rId25" xr:uid="{2FE3B5EA-A232-4BF5-ABF4-055F8BEB01C7}"/>
    <hyperlink ref="H23" r:id="rId26" xr:uid="{C3A59847-4F7E-4FE1-B4EB-F2B8CC1E3EDA}"/>
    <hyperlink ref="H24" r:id="rId27" xr:uid="{50221BC2-8C0F-4922-BED0-1B6ED8D9BDBA}"/>
    <hyperlink ref="K24" r:id="rId28" xr:uid="{83D4BB62-FBB2-4430-9D7C-E837ED9B50D8}"/>
    <hyperlink ref="H25" r:id="rId29" xr:uid="{E33942E3-58B2-4D12-BC2D-2D555D4520B4}"/>
    <hyperlink ref="H26" r:id="rId30" xr:uid="{8F95FB4B-32D5-4226-8902-41AA1E94DB9D}"/>
    <hyperlink ref="H27" r:id="rId31" xr:uid="{73E234D4-0EFE-41B0-AA79-526594620F6B}"/>
    <hyperlink ref="H28" r:id="rId32" xr:uid="{3723E6B5-8A19-41B4-A22D-0F24AD4AD999}"/>
    <hyperlink ref="H29" r:id="rId33" xr:uid="{4DD1ABC7-1F02-415E-A2AF-53137695D0D0}"/>
    <hyperlink ref="H30" r:id="rId34" xr:uid="{F7E0F167-3941-44E4-AF8F-ABF2650BE704}"/>
    <hyperlink ref="H31" r:id="rId35" xr:uid="{AFD43C4C-6153-4A21-B7FE-5C866986D94B}"/>
    <hyperlink ref="H32" r:id="rId36" xr:uid="{809ADD76-D494-4FD0-B441-CC0BA30DBBDD}"/>
    <hyperlink ref="H33" r:id="rId37" xr:uid="{1E7A775E-0DA9-474E-8D20-001C03B9D101}"/>
    <hyperlink ref="H34" r:id="rId38" xr:uid="{BE68814D-0A3E-4BE5-9A20-D3042FF78ED9}"/>
    <hyperlink ref="K34" r:id="rId39" xr:uid="{ACE834A2-95B9-4CB5-8E13-9E4BEA9E0F33}"/>
    <hyperlink ref="H35" r:id="rId40" xr:uid="{E731A7F5-607E-4D40-8AAE-D556D2668559}"/>
    <hyperlink ref="H36" r:id="rId41" xr:uid="{DDC063FF-11C0-45DE-9FBB-0DDEF4C7F11D}"/>
    <hyperlink ref="H37" r:id="rId42" xr:uid="{FCFE024D-79D7-4AFE-AE91-306FDBEFD228}"/>
    <hyperlink ref="H38" r:id="rId43" xr:uid="{B6264FCE-BD84-482B-B1C0-C86526A3CF54}"/>
    <hyperlink ref="H39" r:id="rId44" xr:uid="{66351F53-ED7A-4538-98D7-A99C6E4C11BB}"/>
    <hyperlink ref="H40" r:id="rId45" xr:uid="{58E8C8C7-0EBB-421B-96FA-0ADB22741F2A}"/>
    <hyperlink ref="H41" r:id="rId46" xr:uid="{8696CC15-E184-4651-8C1E-079E783BB401}"/>
    <hyperlink ref="H42" r:id="rId47" xr:uid="{3695D3A2-423B-4E82-A89E-B7979124B2BD}"/>
    <hyperlink ref="H43" r:id="rId48" xr:uid="{351C2212-82CA-4ED9-A89B-FDB8DC0120B0}"/>
    <hyperlink ref="H44" r:id="rId49" xr:uid="{9B1F1470-94DE-4467-A197-05392653E8CA}"/>
    <hyperlink ref="K44" r:id="rId50" xr:uid="{7FFC781B-A667-428A-BACD-9FA5D33F5BE2}"/>
    <hyperlink ref="H45" r:id="rId51" xr:uid="{786D5926-0377-44DC-8B65-358AB6909B5F}"/>
    <hyperlink ref="H46" r:id="rId52" xr:uid="{8C717AC2-C27A-42A3-B082-116F9263C321}"/>
    <hyperlink ref="H47" r:id="rId53" xr:uid="{C836646F-CFD1-44ED-A09C-750D442824B6}"/>
    <hyperlink ref="H48" r:id="rId54" xr:uid="{FDA077B0-3E68-47F5-A606-CDFC0B3AC91D}"/>
    <hyperlink ref="H49" r:id="rId55" xr:uid="{1BEF5ECE-D579-4506-9897-EB44F3A137D8}"/>
    <hyperlink ref="H50" r:id="rId56" xr:uid="{EBD599F5-0F1F-4CA7-9EDC-80960F7DDBBF}"/>
    <hyperlink ref="H51" r:id="rId57" xr:uid="{77F914BC-40C2-4C65-8CFA-60C150BDA6F0}"/>
    <hyperlink ref="H52" r:id="rId58" xr:uid="{B81C2EFA-5643-42AE-9511-9EADC0903891}"/>
    <hyperlink ref="H53" r:id="rId59" xr:uid="{7EE8768B-3630-42B5-A452-A45F31A62146}"/>
    <hyperlink ref="H54" r:id="rId60" xr:uid="{AEF39C1D-A660-4AE4-9DDC-051E34B9CEBA}"/>
    <hyperlink ref="K54" r:id="rId61" xr:uid="{D86A542F-81AF-458D-BB6F-8D37D9867DC0}"/>
    <hyperlink ref="H55" r:id="rId62" xr:uid="{6BBB8557-8145-4249-B375-676F1B882080}"/>
    <hyperlink ref="H56" r:id="rId63" xr:uid="{FF6638CC-745C-4F20-AEC1-A9D3BA0C76CB}"/>
    <hyperlink ref="H57" r:id="rId64" xr:uid="{59A3680B-D1C4-4B69-A1A5-8CE8C38B3082}"/>
    <hyperlink ref="H58" r:id="rId65" xr:uid="{09F080DA-F857-4082-98ED-E75D61B56149}"/>
    <hyperlink ref="H59" r:id="rId66" xr:uid="{296D8629-6EBF-4DC3-8B0E-A3A707A71518}"/>
    <hyperlink ref="H60" r:id="rId67" xr:uid="{FC4D911B-D81A-4991-91BE-D5DA3AB5E2E8}"/>
    <hyperlink ref="H61" r:id="rId68" xr:uid="{D1CA93DB-7AD1-472A-B524-F0911EAF84C7}"/>
    <hyperlink ref="H62" r:id="rId69" xr:uid="{051F950D-89B6-4FF5-B25A-A376CA7EE9C6}"/>
    <hyperlink ref="H63" r:id="rId70" xr:uid="{9477025B-D0D1-4628-87B5-D4F1B3076900}"/>
    <hyperlink ref="H64" r:id="rId71" xr:uid="{1B4CA891-0B3C-4A44-9543-F3EEBEC00F29}"/>
    <hyperlink ref="K64" r:id="rId72" xr:uid="{E5ABB7BB-A4BB-43D7-BD10-2E1581B607A8}"/>
    <hyperlink ref="H65" r:id="rId73" xr:uid="{4C39F3FA-7DB3-4C88-A216-5B6C9E111924}"/>
    <hyperlink ref="H66" r:id="rId74" xr:uid="{1CC17E1C-E9C6-44DC-A7B4-2595519B92A8}"/>
    <hyperlink ref="H67" r:id="rId75" xr:uid="{2CCAE270-A445-4259-A582-F4659610D3F7}"/>
    <hyperlink ref="H68" r:id="rId76" xr:uid="{165A64A8-F268-4D12-95A9-5576F6863E72}"/>
    <hyperlink ref="H69" r:id="rId77" xr:uid="{FE575415-895D-4524-9FED-F9EBAFAA0689}"/>
    <hyperlink ref="H70" r:id="rId78" xr:uid="{B8F18703-8076-44E6-9C9B-C2C9FC1C06D9}"/>
    <hyperlink ref="H71" r:id="rId79" xr:uid="{D8F7D9B7-E76A-4C14-837A-CE055C39D045}"/>
    <hyperlink ref="H72" r:id="rId80" xr:uid="{2FD10AD9-4DEE-42DC-BF17-A99F11CBD8B2}"/>
    <hyperlink ref="H73" r:id="rId81" xr:uid="{A3DAD272-14E3-4C09-99A8-DC5C3E3F398B}"/>
    <hyperlink ref="H74" r:id="rId82" xr:uid="{FF9BCEF4-BE30-443A-9349-5AEB424E054F}"/>
    <hyperlink ref="K74" r:id="rId83" xr:uid="{F60AC086-AC82-496E-BEA9-1EF6032AF82D}"/>
    <hyperlink ref="H75" r:id="rId84" xr:uid="{B3FC6D78-96F5-473D-B74F-D73EA7E40E2F}"/>
    <hyperlink ref="H76" r:id="rId85" xr:uid="{9521FCBF-6BF5-4877-A4B7-8C0BD1ABCE5F}"/>
    <hyperlink ref="H77" r:id="rId86" xr:uid="{9F16C2D4-F36C-4812-9B18-DEDBBAA6FED8}"/>
    <hyperlink ref="H78" r:id="rId87" xr:uid="{E7D93E06-9C7C-42B1-A467-954C869A52D7}"/>
    <hyperlink ref="H79" r:id="rId88" xr:uid="{EE580A3E-C60A-4170-90AC-3A1D2C3AC4DF}"/>
    <hyperlink ref="H80" r:id="rId89" xr:uid="{065A13FF-85F2-4C62-8EAC-E9A3493A40CF}"/>
    <hyperlink ref="H81" r:id="rId90" xr:uid="{4F96900B-7461-4889-AA68-0FB6219C83AB}"/>
    <hyperlink ref="H82" r:id="rId91" xr:uid="{A8D4905D-25CB-4089-8291-292D54C477E5}"/>
    <hyperlink ref="H83" r:id="rId92" xr:uid="{6295706D-EA73-41E5-94F6-8ADAC6CF29A6}"/>
    <hyperlink ref="H84" r:id="rId93" xr:uid="{6DA9280D-9062-4DF2-9A55-02BB359ED51C}"/>
    <hyperlink ref="K84" r:id="rId94" xr:uid="{ECD7BD33-A212-434F-B188-CC3530F838B8}"/>
    <hyperlink ref="H85" r:id="rId95" xr:uid="{2C712BE1-EF06-4B46-A32F-4093C81FD3DC}"/>
    <hyperlink ref="H86" r:id="rId96" xr:uid="{B9A03E84-83ED-4621-984D-3CBF91A41C7E}"/>
    <hyperlink ref="H87" r:id="rId97" xr:uid="{C52B6D09-DA64-4F49-ACC4-C65B75359D9A}"/>
    <hyperlink ref="H88" r:id="rId98" xr:uid="{7E55643D-6083-4DD3-B64B-FE7AC4A25C1B}"/>
    <hyperlink ref="H89" r:id="rId99" xr:uid="{72056E2B-2AB1-402B-B187-9EAC215B023D}"/>
    <hyperlink ref="H90" r:id="rId100" xr:uid="{A4AE400E-4014-433C-84D2-415E50874616}"/>
    <hyperlink ref="H91" r:id="rId101" xr:uid="{FAA4D051-34C4-4BD7-8C24-E12BF93624A9}"/>
    <hyperlink ref="H92" r:id="rId102" xr:uid="{AE4C4F09-EBB5-4014-BB8D-806E4B40A12C}"/>
    <hyperlink ref="H93" r:id="rId103" xr:uid="{B7139920-09FF-4119-88DE-8F5AEF9D7744}"/>
    <hyperlink ref="H94" r:id="rId104" xr:uid="{D8B43464-C4D8-4512-9D42-D7601AF32A88}"/>
    <hyperlink ref="K94" r:id="rId105" xr:uid="{8C79A802-4B26-442C-928F-A1E4ECB221C9}"/>
    <hyperlink ref="H95" r:id="rId106" xr:uid="{2027F812-7499-4C56-B75C-C0EE37AF3D3F}"/>
    <hyperlink ref="H96" r:id="rId107" xr:uid="{04DA6A2B-6320-4E09-AC68-A7EC3478F704}"/>
    <hyperlink ref="H97" r:id="rId108" xr:uid="{2796A75A-E502-47CC-A290-BE9F07AFA8E5}"/>
    <hyperlink ref="H98" r:id="rId109" xr:uid="{D56179A3-F974-4A1A-A057-C79FB8F55DB9}"/>
    <hyperlink ref="H99" r:id="rId110" xr:uid="{66D78ABD-3C93-4DF3-AA2A-D6FD14624F25}"/>
    <hyperlink ref="H100" r:id="rId111" xr:uid="{618009FD-11C1-4993-9099-20572C8A8BBE}"/>
    <hyperlink ref="H101" r:id="rId112" xr:uid="{2CCF35F1-0D3C-4C48-B8DA-6E2D9E2E9F86}"/>
    <hyperlink ref="H102" r:id="rId113" xr:uid="{273E5822-5223-4B10-A980-22EE1544B160}"/>
    <hyperlink ref="H103" r:id="rId114" xr:uid="{1218AD45-5C94-4181-ABCC-CFB0A07FD0AA}"/>
    <hyperlink ref="H104" r:id="rId115" xr:uid="{81CEC29C-0B9C-4CC2-AB5B-22115613A5EA}"/>
    <hyperlink ref="K104" r:id="rId116" xr:uid="{41833273-9C79-4953-B28A-6B40C6119E71}"/>
    <hyperlink ref="H105" r:id="rId117" xr:uid="{C15A5C14-0639-4CD2-9374-31B312E8D45C}"/>
    <hyperlink ref="H106" r:id="rId118" xr:uid="{D2AA07EF-7203-4F54-AF5A-EF5F863A640C}"/>
    <hyperlink ref="H107" r:id="rId119" xr:uid="{365BB729-3448-4BB3-AA66-61F6F9702D85}"/>
    <hyperlink ref="H108" r:id="rId120" xr:uid="{E7D309F8-86C6-4964-9F10-B13DDB884442}"/>
    <hyperlink ref="H109" r:id="rId121" xr:uid="{52FF4B0A-C383-4B1C-B673-90AD8B542DE9}"/>
    <hyperlink ref="H110" r:id="rId122" xr:uid="{0DB88E26-13DF-41D6-BDCD-C14C78201249}"/>
    <hyperlink ref="H111" r:id="rId123" xr:uid="{2E945CAC-7725-4498-9BFF-1C027B5774EF}"/>
    <hyperlink ref="H112" r:id="rId124" xr:uid="{46A2E92A-8602-40DD-BADA-24C68BB84834}"/>
    <hyperlink ref="H113" r:id="rId125" xr:uid="{5EFA362A-C237-4A09-9B4A-AAF510C4686B}"/>
    <hyperlink ref="H114" r:id="rId126" xr:uid="{6376DBA0-8978-43BC-8E98-13EBE8EB2AD1}"/>
    <hyperlink ref="K114" r:id="rId127" xr:uid="{CC637330-113C-4477-B6F4-6D721FB76928}"/>
    <hyperlink ref="H115" r:id="rId128" xr:uid="{293257FC-0736-4038-8BA7-AF64228F9C69}"/>
    <hyperlink ref="H116" r:id="rId129" xr:uid="{BDAF3650-DA25-4445-8EE6-A258DBAC839B}"/>
    <hyperlink ref="H117" r:id="rId130" xr:uid="{9C4C6850-8301-4594-B986-C1180012482E}"/>
    <hyperlink ref="H118" r:id="rId131" xr:uid="{F356DA22-EF9D-41CF-9907-DCA4EA5EFD91}"/>
    <hyperlink ref="H119" r:id="rId132" xr:uid="{20CDBFE6-3328-42B7-88A2-C83ACD232CB4}"/>
    <hyperlink ref="H120" r:id="rId133" xr:uid="{8602E9A5-EA58-4ECE-AA3E-8BAF5904D719}"/>
    <hyperlink ref="H121" r:id="rId134" xr:uid="{F9F7D7FC-DEA7-4032-A01A-1FE387C7E131}"/>
    <hyperlink ref="H122" r:id="rId135" xr:uid="{B7AE4FFA-2BCF-447E-B899-962EE6E6A22E}"/>
    <hyperlink ref="K122" r:id="rId136" xr:uid="{E58C5C24-9843-42B8-A9D5-38C26D5EA75D}"/>
    <hyperlink ref="H123" r:id="rId137" xr:uid="{D78EC099-E210-40A1-BB71-BF27DC8EC07C}"/>
    <hyperlink ref="H124" r:id="rId138" xr:uid="{68A0F1C4-66FB-40F1-93C6-9BDC8D051FF2}"/>
    <hyperlink ref="K124" r:id="rId139" xr:uid="{7354387F-200E-4539-9640-F14A0AB1CB9B}"/>
    <hyperlink ref="H125" r:id="rId140" xr:uid="{18D78B3D-3E2E-4737-A60C-0F7727CCA908}"/>
    <hyperlink ref="H126" r:id="rId141" xr:uid="{19EC38E4-102F-4735-B2CD-56FE9A80FBB0}"/>
    <hyperlink ref="H127" r:id="rId142" xr:uid="{6C2B41E0-5EA5-4C01-9198-2F98FF5CC132}"/>
    <hyperlink ref="H128" r:id="rId143" xr:uid="{6BB195CB-B6D4-4AD5-BC0E-E361530C70E7}"/>
    <hyperlink ref="H129" r:id="rId144" xr:uid="{440E8678-0B6C-464E-ACA1-FCF677DC243A}"/>
    <hyperlink ref="H130" r:id="rId145" xr:uid="{D011938D-D077-454C-B1E2-475B09B287E8}"/>
    <hyperlink ref="H131" r:id="rId146" xr:uid="{6F5FFC25-28D0-4652-B661-92B266D638E0}"/>
    <hyperlink ref="H132" r:id="rId147" xr:uid="{BB28401C-6927-40ED-8DB1-460275CE2F0F}"/>
    <hyperlink ref="H133" r:id="rId148" xr:uid="{3F5AE8A9-F151-4565-B65E-F31A10733DB1}"/>
    <hyperlink ref="H134" r:id="rId149" xr:uid="{380D4D5E-4C29-44B8-A2B4-FBC29AEB4844}"/>
    <hyperlink ref="H135" r:id="rId150" xr:uid="{1F63A04E-9A6E-4504-B0BF-D30FB5E3A61E}"/>
    <hyperlink ref="H136" r:id="rId151" xr:uid="{97EEB534-2D09-41BB-BE41-23C82F4ACEE7}"/>
    <hyperlink ref="H137" r:id="rId152" xr:uid="{E4F3D046-455D-49C4-A186-2EAD8573931C}"/>
    <hyperlink ref="H138" r:id="rId153" xr:uid="{7E56BA99-9722-4AE4-B102-E4A67CA22011}"/>
    <hyperlink ref="H139" r:id="rId154" xr:uid="{2F2059F2-39E1-4C7E-B36E-52DFCE65795A}"/>
    <hyperlink ref="H140" r:id="rId155" xr:uid="{01908D63-D23A-454C-8D72-04C444E9AD37}"/>
    <hyperlink ref="H141" r:id="rId156" xr:uid="{545D5BFB-7F4F-45EB-B8AD-AAB751B6941E}"/>
    <hyperlink ref="H142" r:id="rId157" xr:uid="{C29CC1B7-3892-4EFE-9A08-0B04BFEE2E67}"/>
    <hyperlink ref="H143" r:id="rId158" xr:uid="{552930E6-3966-405C-8B9B-69715253C438}"/>
    <hyperlink ref="H144" r:id="rId159" xr:uid="{6EBAED1C-B076-4D1F-B35E-3934E9AB5D73}"/>
    <hyperlink ref="H145" r:id="rId160" xr:uid="{151A0F68-D2C0-4665-82A9-302FC7562A93}"/>
    <hyperlink ref="H146" r:id="rId161" xr:uid="{98DA3178-A3F2-424F-AF84-9C57BEF5494C}"/>
    <hyperlink ref="H147" r:id="rId162" xr:uid="{4CF57ECC-C826-487B-807F-C9D86EE5A177}"/>
    <hyperlink ref="H148" r:id="rId163" xr:uid="{EF7CEF6C-C6E4-4FBD-A5A0-55C3CCCDBA36}"/>
    <hyperlink ref="H149" r:id="rId164" xr:uid="{CE184E04-9902-4657-8A17-10623A6069A9}"/>
    <hyperlink ref="H150" r:id="rId165" xr:uid="{B94B0589-D75E-47CA-915F-0083C6758B6D}"/>
    <hyperlink ref="H151" r:id="rId166" xr:uid="{DA963B84-EBC1-4779-B9FE-BBC27F5C7C29}"/>
    <hyperlink ref="H152" r:id="rId167" xr:uid="{5983D38E-BF82-441C-8E24-027AB76D41E7}"/>
    <hyperlink ref="H153" r:id="rId168" xr:uid="{DBD6D1D6-89D5-429A-BBC8-16316CC889BF}"/>
    <hyperlink ref="H154" r:id="rId169" xr:uid="{57BCB483-4DDA-42FF-A059-E0AEDC43B897}"/>
    <hyperlink ref="H155" r:id="rId170" xr:uid="{5EE26190-6A6A-44A1-92D6-E54960E2DF10}"/>
    <hyperlink ref="H156" r:id="rId171" xr:uid="{1123CB09-56DF-4B3E-AC7A-824BCD2C14DB}"/>
    <hyperlink ref="H157" r:id="rId172" xr:uid="{F75DEEAD-BDB2-43EF-840F-4820BE8D236E}"/>
    <hyperlink ref="H158" r:id="rId173" xr:uid="{FD406D85-65FB-4FD2-B55F-AA44E5D86BAC}"/>
    <hyperlink ref="H159" r:id="rId174" xr:uid="{78E9AF42-5B9C-45C3-88CA-1340A97DF4EC}"/>
    <hyperlink ref="H160" r:id="rId175" xr:uid="{6B803C31-1062-40BD-95C5-430934BD49F0}"/>
    <hyperlink ref="H161" r:id="rId176" xr:uid="{CC7F0728-500B-4F22-91C8-9324AE108AD9}"/>
    <hyperlink ref="H162" r:id="rId177" xr:uid="{803EECDF-7E01-4096-9085-9AF59CE615F0}"/>
    <hyperlink ref="H163" r:id="rId178" xr:uid="{40A23E0F-A56F-4395-9B5E-0D4F09F98831}"/>
    <hyperlink ref="H164" r:id="rId179" xr:uid="{80DB0E81-A229-4242-A004-F178FDFFB305}"/>
    <hyperlink ref="H165" r:id="rId180" xr:uid="{5C993892-D369-4707-8F98-FF2C237D95D4}"/>
    <hyperlink ref="H166" r:id="rId181" xr:uid="{66487179-6F86-4E39-B429-B1BF56179E04}"/>
    <hyperlink ref="H167" r:id="rId182" xr:uid="{CD70B70A-4D3C-4827-9C32-AA9EF15DD7E8}"/>
    <hyperlink ref="H168" r:id="rId183" xr:uid="{5FB16D51-564B-400D-9FB7-061E43FB781B}"/>
    <hyperlink ref="H169" r:id="rId184" xr:uid="{833B9EDA-8DF4-40B8-A373-FE7BA0AC55BF}"/>
    <hyperlink ref="H170" r:id="rId185" xr:uid="{0DC13E86-847A-4B82-BCD3-AAEAEB6328B4}"/>
    <hyperlink ref="H171" r:id="rId186" xr:uid="{E7D0D039-0E7F-48FC-BC6E-10F5B892F03A}"/>
    <hyperlink ref="H172" r:id="rId187" xr:uid="{0E6F089C-E5C9-4E05-AC45-EC906125256A}"/>
    <hyperlink ref="H173" r:id="rId188" xr:uid="{76E3032D-068E-48D4-B602-E41A6E2FE13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5E278-51B8-4CD1-81DA-224D480D0A86}">
  <dimension ref="A1:K173"/>
  <sheetViews>
    <sheetView workbookViewId="0">
      <selection sqref="A1:K173"/>
    </sheetView>
  </sheetViews>
  <sheetFormatPr defaultRowHeight="13.2"/>
  <cols>
    <col min="9" max="9" width="14.6640625" customWidth="1"/>
    <col min="10" max="10" width="18.109375" customWidth="1"/>
  </cols>
  <sheetData>
    <row r="1" spans="1:11" ht="39.6">
      <c r="A1" s="71" t="s">
        <v>1070</v>
      </c>
      <c r="B1" s="71" t="s">
        <v>1</v>
      </c>
      <c r="C1" s="71" t="s">
        <v>3223</v>
      </c>
      <c r="D1" s="71" t="s">
        <v>3224</v>
      </c>
      <c r="E1" s="71" t="s">
        <v>3225</v>
      </c>
      <c r="F1" s="71" t="s">
        <v>3226</v>
      </c>
      <c r="G1" s="71" t="s">
        <v>3227</v>
      </c>
      <c r="H1" s="71" t="s">
        <v>3228</v>
      </c>
      <c r="I1" s="3" t="s">
        <v>10</v>
      </c>
      <c r="J1" s="3" t="s">
        <v>11</v>
      </c>
      <c r="K1" s="71" t="s">
        <v>1076</v>
      </c>
    </row>
    <row r="2" spans="1:11" ht="277.2">
      <c r="A2" s="73">
        <v>1</v>
      </c>
      <c r="B2" s="85" t="str">
        <f>VLOOKUP(A2,[1]vaccines!A:B,2)</f>
        <v>BCG_Microgen</v>
      </c>
      <c r="C2" s="72" t="s">
        <v>3229</v>
      </c>
      <c r="D2" s="72" t="s">
        <v>3230</v>
      </c>
      <c r="E2" s="59">
        <v>45461</v>
      </c>
      <c r="F2" s="85"/>
      <c r="G2" s="85"/>
      <c r="H2" s="86" t="s">
        <v>1079</v>
      </c>
      <c r="I2" s="59">
        <v>45156</v>
      </c>
      <c r="J2" s="66">
        <v>45517</v>
      </c>
      <c r="K2" s="87" t="s">
        <v>2554</v>
      </c>
    </row>
    <row r="3" spans="1:11" ht="277.2">
      <c r="A3" s="73">
        <v>2</v>
      </c>
      <c r="B3" s="85" t="str">
        <f>VLOOKUP(A3,[1]vaccines!A:B,2)</f>
        <v>BCG_M_Microgen</v>
      </c>
      <c r="C3" s="72" t="s">
        <v>3229</v>
      </c>
      <c r="D3" s="72" t="s">
        <v>3230</v>
      </c>
      <c r="E3" s="59">
        <v>45461</v>
      </c>
      <c r="F3" s="85"/>
      <c r="G3" s="85"/>
      <c r="H3" s="86" t="s">
        <v>1082</v>
      </c>
      <c r="I3" s="59">
        <v>45108</v>
      </c>
      <c r="J3" s="66">
        <v>45517</v>
      </c>
      <c r="K3" s="88"/>
    </row>
    <row r="4" spans="1:11" ht="198">
      <c r="A4" s="73">
        <v>3</v>
      </c>
      <c r="B4" s="85" t="str">
        <f>VLOOKUP(A4,[1]vaccines!A:B,2)</f>
        <v>BCG_Gamaleya</v>
      </c>
      <c r="C4" s="62" t="s">
        <v>3231</v>
      </c>
      <c r="D4" s="72" t="s">
        <v>3232</v>
      </c>
      <c r="E4" s="59">
        <v>45769</v>
      </c>
      <c r="F4" s="73">
        <v>1</v>
      </c>
      <c r="G4" s="73">
        <v>0</v>
      </c>
      <c r="H4" s="86" t="s">
        <v>1085</v>
      </c>
      <c r="I4" s="59">
        <v>45108</v>
      </c>
      <c r="J4" s="66">
        <v>45801</v>
      </c>
      <c r="K4" s="88"/>
    </row>
    <row r="5" spans="1:11" ht="198">
      <c r="A5" s="73">
        <v>4</v>
      </c>
      <c r="B5" s="85" t="str">
        <f>VLOOKUP(A5,[1]vaccines!A:B,2)</f>
        <v>BCG_M_Gamaleya</v>
      </c>
      <c r="C5" s="62" t="s">
        <v>3231</v>
      </c>
      <c r="D5" s="72" t="s">
        <v>3232</v>
      </c>
      <c r="E5" s="59">
        <v>45771</v>
      </c>
      <c r="F5" s="73">
        <v>1</v>
      </c>
      <c r="G5" s="73">
        <v>0</v>
      </c>
      <c r="H5" s="86" t="s">
        <v>1088</v>
      </c>
      <c r="I5" s="59">
        <f>I4</f>
        <v>45108</v>
      </c>
      <c r="J5" s="66">
        <v>45818</v>
      </c>
      <c r="K5" s="87" t="s">
        <v>2557</v>
      </c>
    </row>
    <row r="6" spans="1:11" ht="198">
      <c r="A6" s="73">
        <v>5</v>
      </c>
      <c r="B6" s="85" t="str">
        <f>VLOOKUP(A6,[1]vaccines!A:B,2)</f>
        <v>Infanrix</v>
      </c>
      <c r="C6" s="62" t="s">
        <v>3231</v>
      </c>
      <c r="D6" s="72" t="s">
        <v>3232</v>
      </c>
      <c r="E6" s="59">
        <v>44211</v>
      </c>
      <c r="F6" s="85"/>
      <c r="G6" s="85"/>
      <c r="H6" s="86" t="s">
        <v>1091</v>
      </c>
      <c r="I6" s="59">
        <v>45105</v>
      </c>
      <c r="J6" s="66">
        <v>45481</v>
      </c>
      <c r="K6" s="87" t="s">
        <v>2554</v>
      </c>
    </row>
    <row r="7" spans="1:11" ht="277.2">
      <c r="A7" s="73">
        <v>6</v>
      </c>
      <c r="B7" s="85" t="str">
        <f>VLOOKUP(A7,[1]vaccines!A:B,2)</f>
        <v>AKDS_Microgen</v>
      </c>
      <c r="C7" s="72" t="s">
        <v>3229</v>
      </c>
      <c r="D7" s="72" t="s">
        <v>3230</v>
      </c>
      <c r="E7" s="66">
        <v>45415</v>
      </c>
      <c r="F7" s="85"/>
      <c r="G7" s="85"/>
      <c r="H7" s="86" t="s">
        <v>1094</v>
      </c>
      <c r="I7" s="43">
        <v>45115</v>
      </c>
      <c r="J7" s="43">
        <v>45461</v>
      </c>
      <c r="K7" s="88"/>
    </row>
    <row r="8" spans="1:11" ht="198">
      <c r="A8" s="73">
        <v>7</v>
      </c>
      <c r="B8" s="85" t="str">
        <f>VLOOKUP(A8,[1]vaccines!A:B,2)</f>
        <v>AKDS_Biomed</v>
      </c>
      <c r="C8" s="62" t="s">
        <v>3231</v>
      </c>
      <c r="D8" s="72" t="s">
        <v>3232</v>
      </c>
      <c r="E8" s="43">
        <v>41388</v>
      </c>
      <c r="F8" s="74">
        <v>1</v>
      </c>
      <c r="G8" s="74">
        <v>0</v>
      </c>
      <c r="H8" s="89" t="s">
        <v>1097</v>
      </c>
      <c r="I8" s="43">
        <v>45115</v>
      </c>
      <c r="J8" s="43"/>
      <c r="K8" s="88"/>
    </row>
    <row r="9" spans="1:11" ht="303.60000000000002">
      <c r="A9" s="73">
        <v>8</v>
      </c>
      <c r="B9" s="85" t="str">
        <f>VLOOKUP(A9,[1]vaccines!A:B,2)</f>
        <v>Bubo_kok</v>
      </c>
      <c r="C9" s="72" t="s">
        <v>3233</v>
      </c>
      <c r="D9" s="72" t="s">
        <v>3234</v>
      </c>
      <c r="E9" s="43">
        <v>40395</v>
      </c>
      <c r="F9" s="74">
        <v>1</v>
      </c>
      <c r="G9" s="74">
        <v>0</v>
      </c>
      <c r="H9" s="89" t="s">
        <v>1100</v>
      </c>
      <c r="I9" s="43">
        <v>45115</v>
      </c>
      <c r="J9" s="43"/>
      <c r="K9" s="88"/>
    </row>
    <row r="10" spans="1:11" ht="409.6">
      <c r="A10" s="73">
        <v>9</v>
      </c>
      <c r="B10" s="85" t="str">
        <f>VLOOKUP(A10,[1]vaccines!A:B,2)</f>
        <v>Pentaxim</v>
      </c>
      <c r="C10" s="72" t="s">
        <v>3235</v>
      </c>
      <c r="D10" s="72" t="s">
        <v>3236</v>
      </c>
      <c r="E10" s="59">
        <v>45980</v>
      </c>
      <c r="F10" s="73">
        <v>1</v>
      </c>
      <c r="G10" s="73">
        <v>0</v>
      </c>
      <c r="H10" s="86" t="s">
        <v>1104</v>
      </c>
      <c r="I10" s="59">
        <f t="shared" ref="I10:I11" si="0">I9</f>
        <v>45115</v>
      </c>
      <c r="J10" s="66">
        <v>46204</v>
      </c>
      <c r="K10" s="88"/>
    </row>
    <row r="11" spans="1:11" ht="316.8">
      <c r="A11" s="73">
        <v>10</v>
      </c>
      <c r="B11" s="85" t="str">
        <f>VLOOKUP(A11,[1]vaccines!A:B,2)</f>
        <v>Infanrix_Hexa</v>
      </c>
      <c r="C11" s="72" t="s">
        <v>3237</v>
      </c>
      <c r="D11" s="72" t="s">
        <v>3238</v>
      </c>
      <c r="E11" s="59">
        <v>45953</v>
      </c>
      <c r="F11" s="73">
        <v>1</v>
      </c>
      <c r="G11" s="73">
        <v>0</v>
      </c>
      <c r="H11" s="86" t="s">
        <v>1108</v>
      </c>
      <c r="I11" s="59">
        <f t="shared" si="0"/>
        <v>45115</v>
      </c>
      <c r="J11" s="66">
        <v>46000</v>
      </c>
      <c r="K11" s="88"/>
    </row>
    <row r="12" spans="1:11" ht="316.8">
      <c r="A12" s="73">
        <v>11</v>
      </c>
      <c r="B12" s="85" t="str">
        <f>VLOOKUP(A12,[1]vaccines!A:B,2)</f>
        <v>Bubo_M</v>
      </c>
      <c r="C12" s="72" t="s">
        <v>3239</v>
      </c>
      <c r="D12" s="72" t="s">
        <v>3240</v>
      </c>
      <c r="E12" s="59">
        <v>46136</v>
      </c>
      <c r="F12" s="73">
        <v>1</v>
      </c>
      <c r="G12" s="73">
        <v>0</v>
      </c>
      <c r="H12" s="86" t="s">
        <v>1111</v>
      </c>
      <c r="I12" s="59">
        <v>45116</v>
      </c>
      <c r="J12" s="66">
        <v>46188</v>
      </c>
      <c r="K12" s="88"/>
    </row>
    <row r="13" spans="1:11" ht="409.6">
      <c r="A13" s="73">
        <v>12</v>
      </c>
      <c r="B13" s="85" t="str">
        <f>VLOOKUP(A13,[1]vaccines!A:B,2)</f>
        <v>AD_M_Microgen</v>
      </c>
      <c r="C13" s="72" t="s">
        <v>3241</v>
      </c>
      <c r="D13" s="72" t="s">
        <v>3242</v>
      </c>
      <c r="E13" s="59">
        <v>45482</v>
      </c>
      <c r="F13" s="85"/>
      <c r="G13" s="85"/>
      <c r="H13" s="86" t="s">
        <v>1114</v>
      </c>
      <c r="I13" s="59">
        <f t="shared" ref="I13:I15" si="1">I12</f>
        <v>45116</v>
      </c>
      <c r="J13" s="66">
        <v>45518</v>
      </c>
      <c r="K13" s="88"/>
    </row>
    <row r="14" spans="1:11" ht="409.6">
      <c r="A14" s="73">
        <v>13</v>
      </c>
      <c r="B14" s="85" t="str">
        <f>VLOOKUP(A14,[1]vaccines!A:B,2)</f>
        <v>ADS_Microgen</v>
      </c>
      <c r="C14" s="72" t="s">
        <v>3243</v>
      </c>
      <c r="D14" s="72" t="s">
        <v>3244</v>
      </c>
      <c r="E14" s="59">
        <v>45488</v>
      </c>
      <c r="F14" s="85"/>
      <c r="G14" s="85"/>
      <c r="H14" s="86" t="s">
        <v>1117</v>
      </c>
      <c r="I14" s="59">
        <f t="shared" si="1"/>
        <v>45116</v>
      </c>
      <c r="J14" s="66">
        <v>45518</v>
      </c>
      <c r="K14" s="88"/>
    </row>
    <row r="15" spans="1:11" ht="409.6">
      <c r="A15" s="73">
        <v>14</v>
      </c>
      <c r="B15" s="85" t="str">
        <f>VLOOKUP(A15,[1]vaccines!A:B,2)</f>
        <v>ADS_M_Microgen</v>
      </c>
      <c r="C15" s="72" t="s">
        <v>3245</v>
      </c>
      <c r="D15" s="72" t="s">
        <v>3246</v>
      </c>
      <c r="E15" s="59">
        <v>45623</v>
      </c>
      <c r="F15" s="73">
        <v>1</v>
      </c>
      <c r="G15" s="73">
        <v>0</v>
      </c>
      <c r="H15" s="86" t="s">
        <v>1121</v>
      </c>
      <c r="I15" s="59">
        <f t="shared" si="1"/>
        <v>45116</v>
      </c>
      <c r="J15" s="66">
        <v>45861</v>
      </c>
      <c r="K15" s="87" t="s">
        <v>2557</v>
      </c>
    </row>
    <row r="16" spans="1:11" ht="198">
      <c r="A16" s="73">
        <v>15</v>
      </c>
      <c r="B16" s="85" t="str">
        <f>VLOOKUP(A16,[1]vaccines!A:B,2)</f>
        <v>ADS_M_Biomed</v>
      </c>
      <c r="C16" s="62" t="s">
        <v>3231</v>
      </c>
      <c r="D16" s="72" t="s">
        <v>3232</v>
      </c>
      <c r="E16" s="43">
        <v>41046</v>
      </c>
      <c r="F16" s="74">
        <v>1</v>
      </c>
      <c r="G16" s="74">
        <v>0</v>
      </c>
      <c r="H16" s="89" t="s">
        <v>1124</v>
      </c>
      <c r="I16" s="43">
        <v>45116</v>
      </c>
      <c r="J16" s="43"/>
      <c r="K16" s="88"/>
    </row>
    <row r="17" spans="1:11" ht="409.6">
      <c r="A17" s="73">
        <v>16</v>
      </c>
      <c r="B17" s="85" t="str">
        <f>VLOOKUP(A17,[1]vaccines!A:B,2)</f>
        <v>Adacel</v>
      </c>
      <c r="C17" s="72" t="s">
        <v>3247</v>
      </c>
      <c r="D17" s="72" t="s">
        <v>3248</v>
      </c>
      <c r="E17" s="59">
        <v>45456</v>
      </c>
      <c r="F17" s="85"/>
      <c r="G17" s="85"/>
      <c r="H17" s="86" t="s">
        <v>1127</v>
      </c>
      <c r="I17" s="59">
        <v>45117</v>
      </c>
      <c r="J17" s="66">
        <v>45589</v>
      </c>
      <c r="K17" s="88"/>
    </row>
    <row r="18" spans="1:11" ht="198">
      <c r="A18" s="73">
        <v>17</v>
      </c>
      <c r="B18" s="85" t="str">
        <f>VLOOKUP(A18,[1]vaccines!A:B,2)</f>
        <v>Algavac_M</v>
      </c>
      <c r="C18" s="62" t="s">
        <v>3231</v>
      </c>
      <c r="D18" s="72" t="s">
        <v>3232</v>
      </c>
      <c r="E18" s="43">
        <v>43369</v>
      </c>
      <c r="F18" s="74">
        <v>1</v>
      </c>
      <c r="G18" s="74">
        <v>0</v>
      </c>
      <c r="H18" s="89" t="s">
        <v>1130</v>
      </c>
      <c r="I18" s="43">
        <v>45117</v>
      </c>
      <c r="J18" s="43"/>
      <c r="K18" s="88"/>
    </row>
    <row r="19" spans="1:11" ht="343.2">
      <c r="A19" s="73">
        <v>18</v>
      </c>
      <c r="B19" s="85" t="str">
        <f>VLOOKUP(A19,[1]vaccines!A:B,2)</f>
        <v>Algavac</v>
      </c>
      <c r="C19" s="72" t="s">
        <v>3249</v>
      </c>
      <c r="D19" s="72" t="s">
        <v>3250</v>
      </c>
      <c r="E19" s="59">
        <v>46111</v>
      </c>
      <c r="F19" s="73">
        <v>1</v>
      </c>
      <c r="G19" s="73">
        <v>0</v>
      </c>
      <c r="H19" s="86" t="s">
        <v>1133</v>
      </c>
      <c r="I19" s="59">
        <f>I18</f>
        <v>45117</v>
      </c>
      <c r="J19" s="66">
        <v>46188</v>
      </c>
      <c r="K19" s="88"/>
    </row>
    <row r="20" spans="1:11" ht="409.6">
      <c r="A20" s="73">
        <v>19</v>
      </c>
      <c r="B20" s="85" t="str">
        <f>VLOOKUP(A20,[1]vaccines!A:B,2)</f>
        <v>Havrix_720</v>
      </c>
      <c r="C20" s="72" t="s">
        <v>3251</v>
      </c>
      <c r="D20" s="72" t="s">
        <v>3252</v>
      </c>
      <c r="E20" s="59">
        <v>45490</v>
      </c>
      <c r="F20" s="85"/>
      <c r="G20" s="85"/>
      <c r="H20" s="86" t="s">
        <v>1136</v>
      </c>
      <c r="I20" s="43">
        <v>45119</v>
      </c>
      <c r="J20" s="66">
        <v>45558</v>
      </c>
      <c r="K20" s="88"/>
    </row>
    <row r="21" spans="1:11" ht="409.6">
      <c r="A21" s="73">
        <v>20</v>
      </c>
      <c r="B21" s="85" t="str">
        <f>VLOOKUP(A21,[1]vaccines!A:B,2)</f>
        <v>Havrix_1440</v>
      </c>
      <c r="C21" s="72" t="s">
        <v>3251</v>
      </c>
      <c r="D21" s="72" t="s">
        <v>3252</v>
      </c>
      <c r="E21" s="59">
        <v>45490</v>
      </c>
      <c r="F21" s="73"/>
      <c r="G21" s="73"/>
      <c r="H21" s="86" t="s">
        <v>1136</v>
      </c>
      <c r="I21" s="43">
        <v>45119</v>
      </c>
      <c r="J21" s="66">
        <v>45558</v>
      </c>
      <c r="K21" s="88"/>
    </row>
    <row r="22" spans="1:11" ht="409.6">
      <c r="A22" s="73">
        <v>21</v>
      </c>
      <c r="B22" s="85" t="str">
        <f>VLOOKUP(A22,[1]vaccines!A:B,2)</f>
        <v>Avaxim_80</v>
      </c>
      <c r="C22" s="72" t="s">
        <v>3253</v>
      </c>
      <c r="D22" s="72" t="s">
        <v>3254</v>
      </c>
      <c r="E22" s="43">
        <v>43500</v>
      </c>
      <c r="F22" s="74">
        <v>3</v>
      </c>
      <c r="G22" s="74">
        <v>2</v>
      </c>
      <c r="H22" s="89" t="s">
        <v>1141</v>
      </c>
      <c r="I22" s="43">
        <v>45119</v>
      </c>
      <c r="J22" s="43"/>
      <c r="K22" s="88"/>
    </row>
    <row r="23" spans="1:11" ht="409.6">
      <c r="A23" s="73">
        <v>22</v>
      </c>
      <c r="B23" s="85" t="str">
        <f>VLOOKUP(A23,[1]vaccines!A:B,2)</f>
        <v>Avaxim_160</v>
      </c>
      <c r="C23" s="72" t="s">
        <v>3255</v>
      </c>
      <c r="D23" s="72" t="s">
        <v>3256</v>
      </c>
      <c r="E23" s="43">
        <v>42131</v>
      </c>
      <c r="F23" s="74">
        <v>1</v>
      </c>
      <c r="G23" s="74">
        <v>0</v>
      </c>
      <c r="H23" s="89" t="s">
        <v>1144</v>
      </c>
      <c r="I23" s="43">
        <v>45119</v>
      </c>
      <c r="J23" s="43"/>
      <c r="K23" s="88"/>
    </row>
    <row r="24" spans="1:11" ht="409.6">
      <c r="A24" s="73">
        <v>23</v>
      </c>
      <c r="B24" s="85" t="str">
        <f>VLOOKUP(A24,[1]vaccines!A:B,2)</f>
        <v>Regevac_0_5</v>
      </c>
      <c r="C24" s="72" t="s">
        <v>3257</v>
      </c>
      <c r="D24" s="72" t="s">
        <v>3258</v>
      </c>
      <c r="E24" s="59">
        <v>45216</v>
      </c>
      <c r="F24" s="73">
        <v>1</v>
      </c>
      <c r="G24" s="73">
        <v>0</v>
      </c>
      <c r="H24" s="86" t="s">
        <v>1147</v>
      </c>
      <c r="I24" s="59">
        <f t="shared" ref="I24:I25" si="2">I23</f>
        <v>45119</v>
      </c>
      <c r="J24" s="66">
        <v>45988</v>
      </c>
      <c r="K24" s="88"/>
    </row>
    <row r="25" spans="1:11" ht="277.2">
      <c r="A25" s="73">
        <v>24</v>
      </c>
      <c r="B25" s="85" t="str">
        <f>VLOOKUP(A25,[1]vaccines!A:B,2)</f>
        <v>HepB_Combiotech_0_5</v>
      </c>
      <c r="C25" s="72" t="s">
        <v>3259</v>
      </c>
      <c r="D25" s="72" t="s">
        <v>3260</v>
      </c>
      <c r="E25" s="59">
        <v>46056</v>
      </c>
      <c r="F25" s="73">
        <v>1</v>
      </c>
      <c r="G25" s="73">
        <v>0</v>
      </c>
      <c r="H25" s="86" t="s">
        <v>1150</v>
      </c>
      <c r="I25" s="59">
        <f t="shared" si="2"/>
        <v>45119</v>
      </c>
      <c r="J25" s="66">
        <v>46130</v>
      </c>
      <c r="K25" s="87" t="s">
        <v>2557</v>
      </c>
    </row>
    <row r="26" spans="1:11" ht="224.4">
      <c r="A26" s="73">
        <v>25</v>
      </c>
      <c r="B26" s="85" t="str">
        <f>VLOOKUP(A26,[1]vaccines!A:B,2)</f>
        <v>Euvax_B_0_5</v>
      </c>
      <c r="C26" s="72" t="s">
        <v>3261</v>
      </c>
      <c r="D26" s="72" t="s">
        <v>3262</v>
      </c>
      <c r="E26" s="43">
        <v>42410</v>
      </c>
      <c r="F26" s="74">
        <v>2</v>
      </c>
      <c r="G26" s="74">
        <v>1</v>
      </c>
      <c r="H26" s="89" t="s">
        <v>1153</v>
      </c>
      <c r="I26" s="43">
        <v>45120</v>
      </c>
      <c r="J26" s="43"/>
      <c r="K26" s="87" t="s">
        <v>2557</v>
      </c>
    </row>
    <row r="27" spans="1:11" ht="211.2">
      <c r="A27" s="73">
        <v>26</v>
      </c>
      <c r="B27" s="85" t="str">
        <f>VLOOKUP(A27,[1]vaccines!A:B,2)</f>
        <v>Euvax_B_1_0</v>
      </c>
      <c r="C27" s="72" t="s">
        <v>3263</v>
      </c>
      <c r="D27" s="72" t="s">
        <v>3264</v>
      </c>
      <c r="E27" s="43">
        <v>42410</v>
      </c>
      <c r="F27" s="74">
        <v>2</v>
      </c>
      <c r="G27" s="74">
        <v>1</v>
      </c>
      <c r="H27" s="89" t="s">
        <v>1153</v>
      </c>
      <c r="I27" s="43">
        <v>45120</v>
      </c>
      <c r="J27" s="43"/>
      <c r="K27" s="88"/>
    </row>
    <row r="28" spans="1:11" ht="409.6">
      <c r="A28" s="73">
        <v>27</v>
      </c>
      <c r="B28" s="85" t="str">
        <f>VLOOKUP(A28,[1]vaccines!A:B,2)</f>
        <v>Cervarix</v>
      </c>
      <c r="C28" s="72" t="s">
        <v>3265</v>
      </c>
      <c r="D28" s="72" t="s">
        <v>3266</v>
      </c>
      <c r="E28" s="59">
        <v>45513</v>
      </c>
      <c r="F28" s="85"/>
      <c r="G28" s="85"/>
      <c r="H28" s="86" t="s">
        <v>1158</v>
      </c>
      <c r="I28" s="59">
        <f>I27</f>
        <v>45120</v>
      </c>
      <c r="J28" s="66">
        <v>45589</v>
      </c>
      <c r="K28" s="88"/>
    </row>
    <row r="29" spans="1:11" ht="409.6">
      <c r="A29" s="73">
        <v>28</v>
      </c>
      <c r="B29" s="85" t="str">
        <f>VLOOKUP(A29,[1]vaccines!A:B,2)</f>
        <v>Gardasil_4</v>
      </c>
      <c r="C29" s="72" t="s">
        <v>3267</v>
      </c>
      <c r="D29" s="72" t="s">
        <v>3268</v>
      </c>
      <c r="E29" s="59">
        <v>45386</v>
      </c>
      <c r="F29" s="85"/>
      <c r="G29" s="85"/>
      <c r="H29" s="86" t="s">
        <v>1161</v>
      </c>
      <c r="I29" s="43">
        <v>45120</v>
      </c>
      <c r="J29" s="43">
        <v>45483</v>
      </c>
      <c r="K29" s="88"/>
    </row>
    <row r="30" spans="1:11" ht="409.6">
      <c r="A30" s="73">
        <v>29</v>
      </c>
      <c r="B30" s="85" t="str">
        <f>VLOOKUP(A30,[1]vaccines!A:B,2)</f>
        <v>Sputnik</v>
      </c>
      <c r="C30" s="72" t="s">
        <v>3269</v>
      </c>
      <c r="D30" s="72" t="s">
        <v>3270</v>
      </c>
      <c r="E30" s="59">
        <v>45839</v>
      </c>
      <c r="F30" s="73">
        <v>1</v>
      </c>
      <c r="G30" s="73">
        <v>0</v>
      </c>
      <c r="H30" s="86" t="s">
        <v>1164</v>
      </c>
      <c r="I30" s="59">
        <v>45121</v>
      </c>
      <c r="J30" s="66">
        <v>45923</v>
      </c>
      <c r="K30" s="88"/>
    </row>
    <row r="31" spans="1:11" ht="132">
      <c r="A31" s="73">
        <v>30</v>
      </c>
      <c r="B31" s="85" t="str">
        <f>VLOOKUP(A31,[1]vaccines!A:B,2)</f>
        <v>Sputnik_Lyo</v>
      </c>
      <c r="C31" s="72" t="s">
        <v>3271</v>
      </c>
      <c r="D31" s="72" t="s">
        <v>3272</v>
      </c>
      <c r="E31" s="43">
        <v>44068</v>
      </c>
      <c r="F31" s="74">
        <v>1</v>
      </c>
      <c r="G31" s="74">
        <v>0</v>
      </c>
      <c r="H31" s="89" t="s">
        <v>1167</v>
      </c>
      <c r="I31" s="43">
        <v>45121</v>
      </c>
      <c r="J31" s="43"/>
      <c r="K31" s="88"/>
    </row>
    <row r="32" spans="1:11" ht="132">
      <c r="A32" s="73">
        <v>31</v>
      </c>
      <c r="B32" s="85" t="str">
        <f>VLOOKUP(A32,[1]vaccines!A:B,2)</f>
        <v>EpiVacCorona</v>
      </c>
      <c r="C32" s="72" t="s">
        <v>3271</v>
      </c>
      <c r="D32" s="72" t="s">
        <v>3272</v>
      </c>
      <c r="E32" s="43">
        <v>44911</v>
      </c>
      <c r="F32" s="74">
        <v>1</v>
      </c>
      <c r="G32" s="74">
        <v>0</v>
      </c>
      <c r="H32" s="89" t="s">
        <v>1170</v>
      </c>
      <c r="I32" s="43">
        <v>45122</v>
      </c>
      <c r="J32" s="43"/>
      <c r="K32" s="88"/>
    </row>
    <row r="33" spans="1:11" ht="369.6">
      <c r="A33" s="73">
        <v>32</v>
      </c>
      <c r="B33" s="85" t="str">
        <f>VLOOKUP(A33,[1]vaccines!A:B,2)</f>
        <v>Grippol_Microgen</v>
      </c>
      <c r="C33" s="72" t="s">
        <v>3273</v>
      </c>
      <c r="D33" s="72" t="s">
        <v>3274</v>
      </c>
      <c r="E33" s="43">
        <v>41411</v>
      </c>
      <c r="F33" s="74">
        <v>1</v>
      </c>
      <c r="G33" s="74">
        <v>0</v>
      </c>
      <c r="H33" s="89" t="s">
        <v>1173</v>
      </c>
      <c r="I33" s="43">
        <v>45122</v>
      </c>
      <c r="J33" s="43"/>
      <c r="K33" s="88"/>
    </row>
    <row r="34" spans="1:11" ht="369.6">
      <c r="A34" s="73">
        <v>33</v>
      </c>
      <c r="B34" s="85" t="str">
        <f>VLOOKUP(A34,[1]vaccines!A:B,2)</f>
        <v>Grippol_Petrovax</v>
      </c>
      <c r="C34" s="72" t="s">
        <v>3273</v>
      </c>
      <c r="D34" s="72" t="s">
        <v>3274</v>
      </c>
      <c r="E34" s="43">
        <v>40634</v>
      </c>
      <c r="F34" s="74">
        <v>1</v>
      </c>
      <c r="G34" s="74">
        <v>0</v>
      </c>
      <c r="H34" s="89" t="s">
        <v>1176</v>
      </c>
      <c r="I34" s="43">
        <v>45122</v>
      </c>
      <c r="J34" s="43"/>
      <c r="K34" s="88"/>
    </row>
    <row r="35" spans="1:11" ht="409.6">
      <c r="A35" s="73">
        <v>34</v>
      </c>
      <c r="B35" s="85" t="str">
        <f>VLOOKUP(A35,[1]vaccines!A:B,2)</f>
        <v>Grippol_plus_0_5</v>
      </c>
      <c r="C35" s="72" t="s">
        <v>3275</v>
      </c>
      <c r="D35" s="72" t="s">
        <v>3276</v>
      </c>
      <c r="E35" s="59">
        <v>45182</v>
      </c>
      <c r="F35" s="85"/>
      <c r="G35" s="85"/>
      <c r="H35" s="86" t="s">
        <v>1179</v>
      </c>
      <c r="I35" s="43">
        <v>45122</v>
      </c>
      <c r="J35" s="43">
        <v>45483</v>
      </c>
      <c r="K35" s="87" t="s">
        <v>2557</v>
      </c>
    </row>
    <row r="36" spans="1:11" ht="409.6">
      <c r="A36" s="73">
        <v>35</v>
      </c>
      <c r="B36" s="85" t="str">
        <f>VLOOKUP(A36,[1]vaccines!A:B,2)</f>
        <v>Sovigripp</v>
      </c>
      <c r="C36" s="72" t="s">
        <v>3277</v>
      </c>
      <c r="D36" s="72" t="s">
        <v>3278</v>
      </c>
      <c r="E36" s="59">
        <v>45580</v>
      </c>
      <c r="F36" s="85"/>
      <c r="G36" s="85"/>
      <c r="H36" s="86" t="s">
        <v>1182</v>
      </c>
      <c r="I36" s="59">
        <f>I35</f>
        <v>45122</v>
      </c>
      <c r="J36" s="66">
        <v>45622</v>
      </c>
      <c r="K36" s="88"/>
    </row>
    <row r="37" spans="1:11" ht="409.6">
      <c r="A37" s="73">
        <v>36</v>
      </c>
      <c r="B37" s="85" t="str">
        <f>VLOOKUP(A37,[1]vaccines!A:B,2)</f>
        <v>Ultrix</v>
      </c>
      <c r="C37" s="72" t="s">
        <v>3279</v>
      </c>
      <c r="D37" s="72" t="s">
        <v>3280</v>
      </c>
      <c r="E37" s="59">
        <v>45211</v>
      </c>
      <c r="F37" s="85"/>
      <c r="G37" s="85"/>
      <c r="H37" s="86" t="s">
        <v>1185</v>
      </c>
      <c r="I37" s="43">
        <v>45123</v>
      </c>
      <c r="J37" s="43">
        <v>45483</v>
      </c>
      <c r="K37" s="88"/>
    </row>
    <row r="38" spans="1:11" ht="343.2">
      <c r="A38" s="73">
        <v>37</v>
      </c>
      <c r="B38" s="85" t="str">
        <f>VLOOKUP(A38,[1]vaccines!A:B,2)</f>
        <v>Flu_M</v>
      </c>
      <c r="C38" s="72" t="s">
        <v>3281</v>
      </c>
      <c r="D38" s="72" t="s">
        <v>3282</v>
      </c>
      <c r="E38" s="59">
        <v>46035</v>
      </c>
      <c r="F38" s="73">
        <v>1</v>
      </c>
      <c r="G38" s="73">
        <v>0</v>
      </c>
      <c r="H38" s="86" t="s">
        <v>1188</v>
      </c>
      <c r="I38" s="59">
        <f>I37</f>
        <v>45123</v>
      </c>
      <c r="J38" s="66">
        <v>46130</v>
      </c>
      <c r="K38" s="88"/>
    </row>
    <row r="39" spans="1:11" ht="409.6">
      <c r="A39" s="73">
        <v>38</v>
      </c>
      <c r="B39" s="85" t="str">
        <f>VLOOKUP(A39,[1]vaccines!A:B,2)</f>
        <v>Vaxigrip</v>
      </c>
      <c r="C39" s="72" t="s">
        <v>3283</v>
      </c>
      <c r="D39" s="72" t="s">
        <v>3284</v>
      </c>
      <c r="E39" s="43">
        <v>43598</v>
      </c>
      <c r="F39" s="74">
        <v>1</v>
      </c>
      <c r="G39" s="74">
        <v>0</v>
      </c>
      <c r="H39" s="89" t="s">
        <v>1651</v>
      </c>
      <c r="I39" s="43">
        <v>45123</v>
      </c>
      <c r="J39" s="43"/>
      <c r="K39" s="88"/>
    </row>
    <row r="40" spans="1:11" ht="409.6">
      <c r="A40" s="73">
        <v>39</v>
      </c>
      <c r="B40" s="85" t="str">
        <f>VLOOKUP(A40,[1]vaccines!A:B,2)</f>
        <v>Influvac</v>
      </c>
      <c r="C40" s="72" t="s">
        <v>3285</v>
      </c>
      <c r="D40" s="72" t="s">
        <v>3286</v>
      </c>
      <c r="E40" s="59">
        <v>46066</v>
      </c>
      <c r="F40" s="73">
        <v>1</v>
      </c>
      <c r="G40" s="73">
        <v>0</v>
      </c>
      <c r="H40" s="86" t="s">
        <v>1194</v>
      </c>
      <c r="I40" s="59">
        <f>I39</f>
        <v>45123</v>
      </c>
      <c r="J40" s="66">
        <v>46130</v>
      </c>
      <c r="K40" s="88"/>
    </row>
    <row r="41" spans="1:11" ht="409.6">
      <c r="A41" s="73">
        <v>40</v>
      </c>
      <c r="B41" s="85" t="str">
        <f>VLOOKUP(A41,[1]vaccines!A:B,2)</f>
        <v>Ultrix_quadri</v>
      </c>
      <c r="C41" s="72" t="s">
        <v>3287</v>
      </c>
      <c r="D41" s="72" t="s">
        <v>3288</v>
      </c>
      <c r="E41" s="59">
        <v>45524</v>
      </c>
      <c r="F41" s="85"/>
      <c r="G41" s="85"/>
      <c r="H41" s="86" t="s">
        <v>1197</v>
      </c>
      <c r="I41" s="43">
        <v>45124</v>
      </c>
      <c r="J41" s="66">
        <v>45589</v>
      </c>
      <c r="K41" s="88"/>
    </row>
    <row r="42" spans="1:11" ht="409.6">
      <c r="A42" s="73">
        <v>41</v>
      </c>
      <c r="B42" s="85" t="str">
        <f>VLOOKUP(A42,[1]vaccines!A:B,2)</f>
        <v>Grippol_quadrivalent</v>
      </c>
      <c r="C42" s="72" t="s">
        <v>3275</v>
      </c>
      <c r="D42" s="72" t="s">
        <v>3289</v>
      </c>
      <c r="E42" s="59">
        <v>45727</v>
      </c>
      <c r="F42" s="73">
        <v>1</v>
      </c>
      <c r="G42" s="73">
        <v>0</v>
      </c>
      <c r="H42" s="86" t="s">
        <v>1200</v>
      </c>
      <c r="I42" s="59">
        <f t="shared" ref="I42:I44" si="3">I41</f>
        <v>45124</v>
      </c>
      <c r="J42" s="66">
        <v>45818</v>
      </c>
      <c r="K42" s="88"/>
    </row>
    <row r="43" spans="1:11" ht="409.6">
      <c r="A43" s="73">
        <v>42</v>
      </c>
      <c r="B43" s="85" t="str">
        <f>VLOOKUP(A43,[1]vaccines!A:B,2)</f>
        <v>measles_Microgen</v>
      </c>
      <c r="C43" s="72" t="s">
        <v>3290</v>
      </c>
      <c r="D43" s="72" t="s">
        <v>3291</v>
      </c>
      <c r="E43" s="59">
        <v>45404</v>
      </c>
      <c r="F43" s="85"/>
      <c r="G43" s="85"/>
      <c r="H43" s="86" t="s">
        <v>1203</v>
      </c>
      <c r="I43" s="59">
        <f t="shared" si="3"/>
        <v>45124</v>
      </c>
      <c r="J43" s="59">
        <v>45483</v>
      </c>
      <c r="K43" s="88"/>
    </row>
    <row r="44" spans="1:11" ht="409.6">
      <c r="A44" s="73">
        <v>43</v>
      </c>
      <c r="B44" s="85" t="str">
        <f>VLOOKUP(A44,[1]vaccines!A:B,2)</f>
        <v>measles_Serum_India</v>
      </c>
      <c r="C44" s="72" t="s">
        <v>3292</v>
      </c>
      <c r="D44" s="72" t="s">
        <v>3293</v>
      </c>
      <c r="E44" s="59">
        <v>45981</v>
      </c>
      <c r="F44" s="73">
        <v>1</v>
      </c>
      <c r="G44" s="73">
        <v>0</v>
      </c>
      <c r="H44" s="86" t="s">
        <v>1206</v>
      </c>
      <c r="I44" s="59">
        <f t="shared" si="3"/>
        <v>45124</v>
      </c>
      <c r="J44" s="66">
        <v>46053</v>
      </c>
      <c r="K44" s="88"/>
    </row>
    <row r="45" spans="1:11" ht="409.6">
      <c r="A45" s="73">
        <v>44</v>
      </c>
      <c r="B45" s="85" t="str">
        <f>VLOOKUP(A45,[1]vaccines!A:B,2)</f>
        <v>measles_Vector</v>
      </c>
      <c r="C45" s="72" t="s">
        <v>3294</v>
      </c>
      <c r="D45" s="72" t="s">
        <v>3295</v>
      </c>
      <c r="E45" s="43">
        <v>39421</v>
      </c>
      <c r="F45" s="74">
        <v>1</v>
      </c>
      <c r="G45" s="74">
        <v>0</v>
      </c>
      <c r="H45" s="89" t="s">
        <v>1209</v>
      </c>
      <c r="I45" s="43">
        <v>45124</v>
      </c>
      <c r="J45" s="43"/>
      <c r="K45" s="87" t="s">
        <v>2557</v>
      </c>
    </row>
    <row r="46" spans="1:11" ht="409.6">
      <c r="A46" s="73">
        <v>45</v>
      </c>
      <c r="B46" s="85" t="str">
        <f>VLOOKUP(A46,[1]vaccines!A:B,2)</f>
        <v>measles_mumps_Microgen</v>
      </c>
      <c r="C46" s="72" t="s">
        <v>3296</v>
      </c>
      <c r="D46" s="72" t="s">
        <v>3297</v>
      </c>
      <c r="E46" s="59">
        <v>45460</v>
      </c>
      <c r="F46" s="85"/>
      <c r="G46" s="85"/>
      <c r="H46" s="86" t="s">
        <v>1212</v>
      </c>
      <c r="I46" s="59">
        <f t="shared" ref="I46:I47" si="4">I45</f>
        <v>45124</v>
      </c>
      <c r="J46" s="66">
        <v>45589</v>
      </c>
      <c r="K46" s="88"/>
    </row>
    <row r="47" spans="1:11" ht="409.6">
      <c r="A47" s="73">
        <v>46</v>
      </c>
      <c r="B47" s="85" t="str">
        <f>VLOOKUP(A47,[1]vaccines!A:B,2)</f>
        <v>Vactrivir</v>
      </c>
      <c r="C47" s="72" t="s">
        <v>3298</v>
      </c>
      <c r="D47" s="72" t="s">
        <v>3299</v>
      </c>
      <c r="E47" s="59">
        <v>45817</v>
      </c>
      <c r="F47" s="73">
        <v>1</v>
      </c>
      <c r="G47" s="73">
        <v>0</v>
      </c>
      <c r="H47" s="86" t="s">
        <v>1215</v>
      </c>
      <c r="I47" s="59">
        <f t="shared" si="4"/>
        <v>45124</v>
      </c>
      <c r="J47" s="66">
        <v>45830</v>
      </c>
      <c r="K47" s="88"/>
    </row>
    <row r="48" spans="1:11" ht="409.6">
      <c r="A48" s="73">
        <v>47</v>
      </c>
      <c r="B48" s="85" t="str">
        <f>VLOOKUP(A48,[1]vaccines!A:B,2)</f>
        <v>MMR_II</v>
      </c>
      <c r="C48" s="72" t="s">
        <v>3300</v>
      </c>
      <c r="D48" s="72" t="s">
        <v>3301</v>
      </c>
      <c r="E48" s="43">
        <v>42108</v>
      </c>
      <c r="F48" s="74">
        <v>1</v>
      </c>
      <c r="G48" s="74">
        <v>0</v>
      </c>
      <c r="H48" s="89" t="s">
        <v>3302</v>
      </c>
      <c r="I48" s="43">
        <v>45124</v>
      </c>
      <c r="J48" s="43"/>
      <c r="K48" s="88"/>
    </row>
    <row r="49" spans="1:11" ht="409.6">
      <c r="A49" s="73">
        <v>48</v>
      </c>
      <c r="B49" s="85" t="str">
        <f>VLOOKUP(A49,[1]vaccines!A:B,2)</f>
        <v>MenA_Microgen</v>
      </c>
      <c r="C49" s="72" t="s">
        <v>3303</v>
      </c>
      <c r="D49" s="72" t="s">
        <v>3304</v>
      </c>
      <c r="E49" s="43">
        <v>45414</v>
      </c>
      <c r="F49" s="88"/>
      <c r="G49" s="88"/>
      <c r="H49" s="86" t="s">
        <v>1221</v>
      </c>
      <c r="I49" s="43">
        <v>45124</v>
      </c>
      <c r="J49" s="43">
        <v>45460</v>
      </c>
      <c r="K49" s="88"/>
    </row>
    <row r="50" spans="1:11" ht="409.6">
      <c r="A50" s="73">
        <v>49</v>
      </c>
      <c r="B50" s="85" t="str">
        <f>VLOOKUP(A50,[1]vaccines!A:B,2)</f>
        <v>MeningoVac_A_C</v>
      </c>
      <c r="C50" s="72" t="s">
        <v>3305</v>
      </c>
      <c r="D50" s="72" t="s">
        <v>3306</v>
      </c>
      <c r="E50" s="66">
        <v>45414</v>
      </c>
      <c r="F50" s="85"/>
      <c r="G50" s="85"/>
      <c r="H50" s="86" t="s">
        <v>1674</v>
      </c>
      <c r="I50" s="43">
        <v>45124</v>
      </c>
      <c r="J50" s="43">
        <v>45460</v>
      </c>
      <c r="K50" s="88"/>
    </row>
    <row r="51" spans="1:11" ht="409.6">
      <c r="A51" s="73">
        <v>50</v>
      </c>
      <c r="B51" s="85" t="str">
        <f>VLOOKUP(A51,[1]vaccines!A:B,2)</f>
        <v>Menactra</v>
      </c>
      <c r="C51" s="72" t="s">
        <v>3307</v>
      </c>
      <c r="D51" s="72" t="s">
        <v>3308</v>
      </c>
      <c r="E51" s="59">
        <v>45188</v>
      </c>
      <c r="F51" s="85"/>
      <c r="G51" s="85"/>
      <c r="H51" s="86" t="s">
        <v>1226</v>
      </c>
      <c r="I51" s="66">
        <f t="shared" ref="I51:I52" si="5">I50</f>
        <v>45124</v>
      </c>
      <c r="J51" s="66">
        <v>45483</v>
      </c>
      <c r="K51" s="88"/>
    </row>
    <row r="52" spans="1:11" ht="409.6">
      <c r="A52" s="73">
        <v>51</v>
      </c>
      <c r="B52" s="85" t="str">
        <f>VLOOKUP(A52,[1]vaccines!A:B,2)</f>
        <v>mumps_Microgen</v>
      </c>
      <c r="C52" s="72" t="s">
        <v>3309</v>
      </c>
      <c r="D52" s="72" t="s">
        <v>3310</v>
      </c>
      <c r="E52" s="59">
        <v>45454</v>
      </c>
      <c r="F52" s="85"/>
      <c r="G52" s="85"/>
      <c r="H52" s="86" t="s">
        <v>1229</v>
      </c>
      <c r="I52" s="59">
        <f t="shared" si="5"/>
        <v>45124</v>
      </c>
      <c r="J52" s="66">
        <v>45589</v>
      </c>
      <c r="K52" s="88"/>
    </row>
    <row r="53" spans="1:11" ht="409.6">
      <c r="A53" s="73">
        <v>52</v>
      </c>
      <c r="B53" s="85" t="str">
        <f>VLOOKUP(A53,[1]vaccines!A:B,2)</f>
        <v>Prevenar_13</v>
      </c>
      <c r="C53" s="72" t="s">
        <v>3311</v>
      </c>
      <c r="D53" s="72" t="s">
        <v>3312</v>
      </c>
      <c r="E53" s="59">
        <v>45267</v>
      </c>
      <c r="F53" s="85"/>
      <c r="G53" s="85"/>
      <c r="H53" s="86" t="s">
        <v>1232</v>
      </c>
      <c r="I53" s="43">
        <v>45125</v>
      </c>
      <c r="J53" s="66">
        <v>45481</v>
      </c>
      <c r="K53" s="88"/>
    </row>
    <row r="54" spans="1:11" ht="409.6">
      <c r="A54" s="73">
        <v>53</v>
      </c>
      <c r="B54" s="85" t="str">
        <f>VLOOKUP(A54,[1]vaccines!A:B,2)</f>
        <v>Synflorix</v>
      </c>
      <c r="C54" s="72" t="s">
        <v>3313</v>
      </c>
      <c r="D54" s="72" t="s">
        <v>3314</v>
      </c>
      <c r="E54" s="43">
        <v>43605</v>
      </c>
      <c r="F54" s="74">
        <v>1</v>
      </c>
      <c r="G54" s="74">
        <v>0</v>
      </c>
      <c r="H54" s="89" t="s">
        <v>1235</v>
      </c>
      <c r="I54" s="43">
        <v>45125</v>
      </c>
      <c r="J54" s="43"/>
      <c r="K54" s="88"/>
    </row>
    <row r="55" spans="1:11" ht="264">
      <c r="A55" s="73">
        <v>54</v>
      </c>
      <c r="B55" s="85" t="str">
        <f>VLOOKUP(A55,[1]vaccines!A:B,2)</f>
        <v>Pneumovax_23</v>
      </c>
      <c r="C55" s="72" t="s">
        <v>3315</v>
      </c>
      <c r="D55" s="72" t="s">
        <v>3316</v>
      </c>
      <c r="E55" s="59">
        <v>45051</v>
      </c>
      <c r="F55" s="85"/>
      <c r="G55" s="85"/>
      <c r="H55" s="86" t="s">
        <v>1238</v>
      </c>
      <c r="I55" s="59">
        <f>I54</f>
        <v>45125</v>
      </c>
      <c r="J55" s="66">
        <v>45489</v>
      </c>
      <c r="K55" s="87" t="s">
        <v>2557</v>
      </c>
    </row>
    <row r="56" spans="1:11" ht="409.6">
      <c r="A56" s="73">
        <v>55</v>
      </c>
      <c r="B56" s="85" t="str">
        <f>VLOOKUP(A56,[1]vaccines!A:B,2)</f>
        <v>MonoVac_Polio</v>
      </c>
      <c r="C56" s="72" t="s">
        <v>3317</v>
      </c>
      <c r="D56" s="72" t="s">
        <v>3318</v>
      </c>
      <c r="E56" s="43">
        <v>44266</v>
      </c>
      <c r="F56" s="74">
        <v>1</v>
      </c>
      <c r="G56" s="74">
        <v>0</v>
      </c>
      <c r="H56" s="89" t="s">
        <v>3026</v>
      </c>
      <c r="I56" s="43">
        <v>45125</v>
      </c>
      <c r="J56" s="43"/>
      <c r="K56" s="88"/>
    </row>
    <row r="57" spans="1:11" ht="409.6">
      <c r="A57" s="73">
        <v>56</v>
      </c>
      <c r="B57" s="85" t="str">
        <f>VLOOKUP(A57,[1]vaccines!A:B,2)</f>
        <v>BiVac_Polio</v>
      </c>
      <c r="C57" s="72" t="s">
        <v>3317</v>
      </c>
      <c r="D57" s="72" t="s">
        <v>3318</v>
      </c>
      <c r="E57" s="59">
        <v>45736</v>
      </c>
      <c r="F57" s="73">
        <v>1</v>
      </c>
      <c r="G57" s="73">
        <v>0</v>
      </c>
      <c r="H57" s="86" t="s">
        <v>1244</v>
      </c>
      <c r="I57" s="59">
        <f t="shared" ref="I57:I59" si="6">I56</f>
        <v>45125</v>
      </c>
      <c r="J57" s="66">
        <v>45988</v>
      </c>
      <c r="K57" s="88"/>
    </row>
    <row r="58" spans="1:11" ht="409.6">
      <c r="A58" s="73">
        <v>57</v>
      </c>
      <c r="B58" s="85" t="str">
        <f>VLOOKUP(A58,[1]vaccines!A:B,2)</f>
        <v>Polymilex</v>
      </c>
      <c r="C58" s="72" t="s">
        <v>3319</v>
      </c>
      <c r="D58" s="72" t="s">
        <v>3320</v>
      </c>
      <c r="E58" s="59">
        <v>45623</v>
      </c>
      <c r="F58" s="73">
        <v>1</v>
      </c>
      <c r="G58" s="73">
        <v>0</v>
      </c>
      <c r="H58" s="86" t="s">
        <v>1247</v>
      </c>
      <c r="I58" s="59">
        <f t="shared" si="6"/>
        <v>45125</v>
      </c>
      <c r="J58" s="66">
        <v>45715</v>
      </c>
      <c r="K58" s="88"/>
    </row>
    <row r="59" spans="1:11" ht="409.6">
      <c r="A59" s="73">
        <v>58</v>
      </c>
      <c r="B59" s="85" t="str">
        <f>VLOOKUP(A59,[1]vaccines!A:B,2)</f>
        <v>COCAV</v>
      </c>
      <c r="C59" s="72" t="s">
        <v>3321</v>
      </c>
      <c r="D59" s="72" t="s">
        <v>3322</v>
      </c>
      <c r="E59" s="59">
        <v>45631</v>
      </c>
      <c r="F59" s="85"/>
      <c r="G59" s="85"/>
      <c r="H59" s="86" t="s">
        <v>1249</v>
      </c>
      <c r="I59" s="59">
        <f t="shared" si="6"/>
        <v>45125</v>
      </c>
      <c r="J59" s="66">
        <v>45678</v>
      </c>
      <c r="K59" s="88"/>
    </row>
    <row r="60" spans="1:11" ht="409.6">
      <c r="A60" s="73">
        <v>59</v>
      </c>
      <c r="B60" s="85" t="str">
        <f>VLOOKUP(A60,[1]vaccines!A:B,2)</f>
        <v>rabies_Chumakov</v>
      </c>
      <c r="C60" s="72" t="s">
        <v>3323</v>
      </c>
      <c r="D60" s="72" t="s">
        <v>3324</v>
      </c>
      <c r="E60" s="43">
        <v>44862</v>
      </c>
      <c r="F60" s="74">
        <v>1</v>
      </c>
      <c r="G60" s="74">
        <v>0</v>
      </c>
      <c r="H60" s="89" t="s">
        <v>1250</v>
      </c>
      <c r="I60" s="43">
        <v>45125</v>
      </c>
      <c r="J60" s="43"/>
      <c r="K60" s="88"/>
    </row>
    <row r="61" spans="1:11" ht="330">
      <c r="A61" s="73">
        <v>60</v>
      </c>
      <c r="B61" s="85" t="str">
        <f>VLOOKUP(A61,[1]vaccines!A:B,2)</f>
        <v>Rabivac_Vnukovo_32</v>
      </c>
      <c r="C61" s="72" t="s">
        <v>3325</v>
      </c>
      <c r="D61" s="72" t="s">
        <v>3326</v>
      </c>
      <c r="E61" s="43">
        <v>40925</v>
      </c>
      <c r="F61" s="74">
        <v>1</v>
      </c>
      <c r="G61" s="74">
        <v>0</v>
      </c>
      <c r="H61" s="89" t="s">
        <v>1251</v>
      </c>
      <c r="I61" s="43">
        <v>45125</v>
      </c>
      <c r="J61" s="43"/>
      <c r="K61" s="88"/>
    </row>
    <row r="62" spans="1:11" ht="198">
      <c r="A62" s="73">
        <v>61</v>
      </c>
      <c r="B62" s="85" t="str">
        <f>VLOOKUP(A62,[1]vaccines!A:B,2)</f>
        <v>RotaTeq</v>
      </c>
      <c r="C62" s="62" t="s">
        <v>3231</v>
      </c>
      <c r="D62" s="72" t="s">
        <v>3232</v>
      </c>
      <c r="E62" s="43">
        <v>44495</v>
      </c>
      <c r="F62" s="74">
        <v>4</v>
      </c>
      <c r="G62" s="74">
        <v>4</v>
      </c>
      <c r="H62" s="89" t="s">
        <v>3327</v>
      </c>
      <c r="I62" s="43">
        <v>45127</v>
      </c>
      <c r="J62" s="43"/>
      <c r="K62" s="88"/>
    </row>
    <row r="63" spans="1:11" ht="409.6">
      <c r="A63" s="73">
        <v>62</v>
      </c>
      <c r="B63" s="85" t="str">
        <f>VLOOKUP(A63,[1]vaccines!A:B,2)</f>
        <v>rubella_Microgen</v>
      </c>
      <c r="C63" s="72" t="s">
        <v>3328</v>
      </c>
      <c r="D63" s="72" t="s">
        <v>3329</v>
      </c>
      <c r="E63" s="59">
        <v>45531</v>
      </c>
      <c r="F63" s="85"/>
      <c r="G63" s="85"/>
      <c r="H63" s="86" t="s">
        <v>1256</v>
      </c>
      <c r="I63" s="59">
        <f>I62</f>
        <v>45127</v>
      </c>
      <c r="J63" s="66">
        <v>45589</v>
      </c>
      <c r="K63" s="88"/>
    </row>
    <row r="64" spans="1:11" ht="409.6">
      <c r="A64" s="73">
        <v>63</v>
      </c>
      <c r="B64" s="85" t="str">
        <f>VLOOKUP(A64,[1]vaccines!A:B,2)</f>
        <v>rubella_Serum</v>
      </c>
      <c r="C64" s="72" t="s">
        <v>3330</v>
      </c>
      <c r="D64" s="72" t="s">
        <v>3331</v>
      </c>
      <c r="E64" s="43">
        <v>40142</v>
      </c>
      <c r="F64" s="74">
        <v>1</v>
      </c>
      <c r="G64" s="74">
        <v>0</v>
      </c>
      <c r="H64" s="89" t="s">
        <v>1259</v>
      </c>
      <c r="I64" s="43">
        <v>45127</v>
      </c>
      <c r="J64" s="43"/>
      <c r="K64" s="88"/>
    </row>
    <row r="65" spans="1:11" ht="409.6">
      <c r="A65" s="73">
        <v>64</v>
      </c>
      <c r="B65" s="85" t="str">
        <f>VLOOKUP(A65,[1]vaccines!A:B,2)</f>
        <v>AS_Microgen</v>
      </c>
      <c r="C65" s="72" t="s">
        <v>3332</v>
      </c>
      <c r="D65" s="72" t="s">
        <v>3333</v>
      </c>
      <c r="E65" s="59">
        <v>45607</v>
      </c>
      <c r="F65" s="73">
        <v>1</v>
      </c>
      <c r="G65" s="73">
        <v>0</v>
      </c>
      <c r="H65" s="86" t="s">
        <v>1262</v>
      </c>
      <c r="I65" s="59">
        <f>I64</f>
        <v>45127</v>
      </c>
      <c r="J65" s="66">
        <v>46053</v>
      </c>
      <c r="K65" s="87" t="s">
        <v>2557</v>
      </c>
    </row>
    <row r="66" spans="1:11" ht="145.19999999999999">
      <c r="A66" s="73">
        <v>65</v>
      </c>
      <c r="B66" s="85" t="str">
        <f>VLOOKUP(A66,[1]vaccines!A:B,2)</f>
        <v>AS_Biomed</v>
      </c>
      <c r="C66" s="72" t="s">
        <v>3334</v>
      </c>
      <c r="D66" s="72" t="s">
        <v>3335</v>
      </c>
      <c r="E66" s="43">
        <v>41047</v>
      </c>
      <c r="F66" s="74">
        <v>1</v>
      </c>
      <c r="G66" s="74">
        <v>0</v>
      </c>
      <c r="H66" s="89" t="s">
        <v>1265</v>
      </c>
      <c r="I66" s="43">
        <v>45128</v>
      </c>
      <c r="J66" s="43"/>
      <c r="K66" s="88"/>
    </row>
    <row r="67" spans="1:11" ht="409.6">
      <c r="A67" s="73">
        <v>66</v>
      </c>
      <c r="B67" s="85" t="str">
        <f>VLOOKUP(A67,[1]vaccines!A:B,2)</f>
        <v>Vaqta_25</v>
      </c>
      <c r="C67" s="72" t="s">
        <v>3336</v>
      </c>
      <c r="D67" s="72" t="s">
        <v>3337</v>
      </c>
      <c r="E67" s="43">
        <v>41780</v>
      </c>
      <c r="F67" s="74">
        <v>1</v>
      </c>
      <c r="G67" s="74">
        <v>0</v>
      </c>
      <c r="H67" s="89" t="s">
        <v>1268</v>
      </c>
      <c r="I67" s="43">
        <v>45128</v>
      </c>
      <c r="J67" s="43"/>
      <c r="K67" s="88"/>
    </row>
    <row r="68" spans="1:11" ht="409.6">
      <c r="A68" s="73">
        <v>67</v>
      </c>
      <c r="B68" s="85" t="str">
        <f>VLOOKUP(A68,[1]vaccines!A:B,2)</f>
        <v>Vaqta_50</v>
      </c>
      <c r="C68" s="72" t="s">
        <v>3336</v>
      </c>
      <c r="D68" s="72" t="s">
        <v>3337</v>
      </c>
      <c r="E68" s="43">
        <v>41780</v>
      </c>
      <c r="F68" s="74">
        <v>1</v>
      </c>
      <c r="G68" s="74">
        <v>0</v>
      </c>
      <c r="H68" s="89" t="s">
        <v>1268</v>
      </c>
      <c r="I68" s="43">
        <v>45128</v>
      </c>
      <c r="J68" s="43"/>
      <c r="K68" s="88"/>
    </row>
    <row r="69" spans="1:11" ht="409.6">
      <c r="A69" s="73">
        <v>68</v>
      </c>
      <c r="B69" s="85" t="str">
        <f>VLOOKUP(A69,[1]vaccines!A:B,2)</f>
        <v>Klesh_E_Vac_0_5</v>
      </c>
      <c r="C69" s="92" t="s">
        <v>3338</v>
      </c>
      <c r="D69" s="92" t="s">
        <v>3339</v>
      </c>
      <c r="E69" s="59">
        <v>45904</v>
      </c>
      <c r="F69" s="73">
        <v>1</v>
      </c>
      <c r="G69" s="73">
        <v>0</v>
      </c>
      <c r="H69" s="86" t="s">
        <v>1273</v>
      </c>
      <c r="I69" s="59">
        <f t="shared" ref="I69:I74" si="7">I68</f>
        <v>45128</v>
      </c>
      <c r="J69" s="66">
        <v>45988</v>
      </c>
      <c r="K69" s="88"/>
    </row>
    <row r="70" spans="1:11" ht="409.6">
      <c r="A70" s="73">
        <v>69</v>
      </c>
      <c r="B70" s="85" t="str">
        <f>VLOOKUP(A70,[1]vaccines!A:B,2)</f>
        <v>Klesh_E_Vac_0_25</v>
      </c>
      <c r="C70" s="92" t="s">
        <v>3338</v>
      </c>
      <c r="D70" s="92" t="s">
        <v>3339</v>
      </c>
      <c r="E70" s="59">
        <v>45904</v>
      </c>
      <c r="F70" s="73">
        <v>1</v>
      </c>
      <c r="G70" s="73">
        <v>0</v>
      </c>
      <c r="H70" s="86" t="s">
        <v>1273</v>
      </c>
      <c r="I70" s="59">
        <f t="shared" si="7"/>
        <v>45128</v>
      </c>
      <c r="J70" s="66">
        <v>45988</v>
      </c>
      <c r="K70" s="88"/>
    </row>
    <row r="71" spans="1:11" ht="409.6">
      <c r="A71" s="73">
        <v>70</v>
      </c>
      <c r="B71" s="85" t="str">
        <f>VLOOKUP(A71,[1]vaccines!A:B,2)</f>
        <v>EnceVir_0_5</v>
      </c>
      <c r="C71" s="72" t="s">
        <v>3340</v>
      </c>
      <c r="D71" s="72" t="s">
        <v>3341</v>
      </c>
      <c r="E71" s="59">
        <v>45510</v>
      </c>
      <c r="F71" s="85"/>
      <c r="G71" s="85"/>
      <c r="H71" s="86" t="s">
        <v>1278</v>
      </c>
      <c r="I71" s="59">
        <f t="shared" si="7"/>
        <v>45128</v>
      </c>
      <c r="J71" s="66">
        <v>45589</v>
      </c>
      <c r="K71" s="88"/>
    </row>
    <row r="72" spans="1:11" ht="409.6">
      <c r="A72" s="73">
        <v>71</v>
      </c>
      <c r="B72" s="85" t="str">
        <f>VLOOKUP(A72,[1]vaccines!A:B,2)</f>
        <v>EnceVir_Neo_kids</v>
      </c>
      <c r="C72" s="72" t="s">
        <v>3342</v>
      </c>
      <c r="D72" s="72" t="s">
        <v>3343</v>
      </c>
      <c r="E72" s="59">
        <v>45520</v>
      </c>
      <c r="F72" s="85"/>
      <c r="G72" s="85"/>
      <c r="H72" s="86" t="s">
        <v>1281</v>
      </c>
      <c r="I72" s="59">
        <f t="shared" si="7"/>
        <v>45128</v>
      </c>
      <c r="J72" s="66">
        <v>45589</v>
      </c>
      <c r="K72" s="88"/>
    </row>
    <row r="73" spans="1:11" ht="409.6">
      <c r="A73" s="73">
        <v>72</v>
      </c>
      <c r="B73" s="85" t="str">
        <f>VLOOKUP(A73,[1]vaccines!A:B,2)</f>
        <v>TBE_Chumakov_lyo</v>
      </c>
      <c r="C73" s="72" t="s">
        <v>3338</v>
      </c>
      <c r="D73" s="72" t="s">
        <v>3339</v>
      </c>
      <c r="E73" s="59">
        <v>45727</v>
      </c>
      <c r="F73" s="73">
        <v>1</v>
      </c>
      <c r="G73" s="73">
        <v>0</v>
      </c>
      <c r="H73" s="86" t="s">
        <v>1284</v>
      </c>
      <c r="I73" s="59">
        <f t="shared" si="7"/>
        <v>45128</v>
      </c>
      <c r="J73" s="66">
        <v>45750</v>
      </c>
      <c r="K73" s="88"/>
    </row>
    <row r="74" spans="1:11" ht="409.6">
      <c r="A74" s="73">
        <v>73</v>
      </c>
      <c r="B74" s="85" t="str">
        <f>VLOOKUP(A74,[1]vaccines!A:B,2)</f>
        <v>Varilrix</v>
      </c>
      <c r="C74" s="72" t="s">
        <v>3344</v>
      </c>
      <c r="D74" s="72" t="s">
        <v>3345</v>
      </c>
      <c r="E74" s="59">
        <v>45439</v>
      </c>
      <c r="F74" s="73">
        <v>1</v>
      </c>
      <c r="G74" s="73">
        <v>0</v>
      </c>
      <c r="H74" s="86" t="s">
        <v>1287</v>
      </c>
      <c r="I74" s="59">
        <f t="shared" si="7"/>
        <v>45128</v>
      </c>
      <c r="J74" s="59">
        <v>45830</v>
      </c>
      <c r="K74" s="88"/>
    </row>
    <row r="75" spans="1:11" ht="198">
      <c r="A75" s="73">
        <v>74</v>
      </c>
      <c r="B75" s="85" t="str">
        <f>VLOOKUP(A75,[1]vaccines!A:B,2)</f>
        <v>YF_Chumakov_lyo</v>
      </c>
      <c r="C75" s="62" t="s">
        <v>3231</v>
      </c>
      <c r="D75" s="72" t="s">
        <v>3232</v>
      </c>
      <c r="E75" s="43">
        <v>45288</v>
      </c>
      <c r="F75" s="74">
        <v>3</v>
      </c>
      <c r="G75" s="74">
        <v>2</v>
      </c>
      <c r="H75" s="89" t="s">
        <v>3346</v>
      </c>
      <c r="I75" s="43">
        <v>45129</v>
      </c>
      <c r="J75" s="43">
        <v>45715</v>
      </c>
      <c r="K75" s="87" t="s">
        <v>2557</v>
      </c>
    </row>
    <row r="76" spans="1:11" ht="409.6">
      <c r="A76" s="73">
        <v>75</v>
      </c>
      <c r="B76" s="85" t="str">
        <f>VLOOKUP(A76,[1]vaccines!A:B,2)</f>
        <v>tularemia_Microgen</v>
      </c>
      <c r="C76" s="72" t="s">
        <v>3347</v>
      </c>
      <c r="D76" s="72" t="s">
        <v>3348</v>
      </c>
      <c r="E76" s="59">
        <v>45562</v>
      </c>
      <c r="F76" s="85"/>
      <c r="G76" s="85"/>
      <c r="H76" s="86" t="s">
        <v>1294</v>
      </c>
      <c r="I76" s="59">
        <f>I75</f>
        <v>45129</v>
      </c>
      <c r="J76" s="66">
        <v>45589</v>
      </c>
      <c r="K76" s="88"/>
    </row>
    <row r="77" spans="1:11" ht="316.8">
      <c r="A77" s="73">
        <v>76</v>
      </c>
      <c r="B77" s="85" t="str">
        <f>VLOOKUP(A77,[1]vaccines!A:B,2)</f>
        <v>plague_molecular_lyo_RPN</v>
      </c>
      <c r="C77" s="72" t="s">
        <v>3349</v>
      </c>
      <c r="D77" s="72" t="s">
        <v>3350</v>
      </c>
      <c r="E77" s="43">
        <v>43209</v>
      </c>
      <c r="F77" s="74">
        <v>1</v>
      </c>
      <c r="G77" s="74">
        <v>0</v>
      </c>
      <c r="H77" s="89" t="s">
        <v>2713</v>
      </c>
      <c r="I77" s="43">
        <v>45129</v>
      </c>
      <c r="J77" s="43"/>
      <c r="K77" s="88"/>
    </row>
    <row r="78" spans="1:11" ht="409.6">
      <c r="A78" s="73">
        <v>77</v>
      </c>
      <c r="B78" s="85" t="str">
        <f>VLOOKUP(A78,[1]vaccines!A:B,2)</f>
        <v>plague_live_lyo_48_NII_Minoborony</v>
      </c>
      <c r="C78" s="72" t="s">
        <v>3351</v>
      </c>
      <c r="D78" s="72" t="s">
        <v>3352</v>
      </c>
      <c r="E78" s="43">
        <v>40675</v>
      </c>
      <c r="F78" s="74">
        <v>1</v>
      </c>
      <c r="G78" s="74">
        <v>0</v>
      </c>
      <c r="H78" s="89" t="s">
        <v>1301</v>
      </c>
      <c r="I78" s="43">
        <v>45129</v>
      </c>
      <c r="J78" s="43"/>
      <c r="K78" s="88"/>
    </row>
    <row r="79" spans="1:11" ht="224.4">
      <c r="A79" s="73">
        <v>78</v>
      </c>
      <c r="B79" s="85" t="str">
        <f>VLOOKUP(A79,[1]vaccines!A:B,2)</f>
        <v>plague_live_tablets_48_NII_Minoborony</v>
      </c>
      <c r="C79" s="72" t="s">
        <v>3353</v>
      </c>
      <c r="D79" s="72" t="s">
        <v>3354</v>
      </c>
      <c r="E79" s="43">
        <v>40126</v>
      </c>
      <c r="F79" s="74">
        <v>1</v>
      </c>
      <c r="G79" s="74">
        <v>0</v>
      </c>
      <c r="H79" s="89" t="s">
        <v>1304</v>
      </c>
      <c r="I79" s="43">
        <v>45129</v>
      </c>
      <c r="J79" s="43"/>
      <c r="K79" s="88"/>
    </row>
    <row r="80" spans="1:11" ht="409.6">
      <c r="A80" s="73">
        <v>79</v>
      </c>
      <c r="B80" s="85" t="str">
        <f>VLOOKUP(A80,[1]vaccines!A:B,2)</f>
        <v>plague_live_lyo_RPN</v>
      </c>
      <c r="C80" s="72" t="s">
        <v>3355</v>
      </c>
      <c r="D80" s="72" t="s">
        <v>3356</v>
      </c>
      <c r="E80" s="43">
        <v>44158</v>
      </c>
      <c r="F80" s="74">
        <v>1</v>
      </c>
      <c r="G80" s="74">
        <v>0</v>
      </c>
      <c r="H80" s="89" t="s">
        <v>1307</v>
      </c>
      <c r="I80" s="43">
        <v>45129</v>
      </c>
      <c r="J80" s="43"/>
      <c r="K80" s="88"/>
    </row>
    <row r="81" spans="1:11" ht="171.6">
      <c r="A81" s="73">
        <v>80</v>
      </c>
      <c r="B81" s="85" t="str">
        <f>VLOOKUP(A81,[1]vaccines!A:B,2)</f>
        <v>brucellosis_therapeutic_48_NII_Minoborony</v>
      </c>
      <c r="C81" s="72" t="s">
        <v>3357</v>
      </c>
      <c r="D81" s="72" t="s">
        <v>3358</v>
      </c>
      <c r="E81" s="43">
        <v>40263</v>
      </c>
      <c r="F81" s="74">
        <v>1</v>
      </c>
      <c r="G81" s="74">
        <v>0</v>
      </c>
      <c r="H81" s="89" t="s">
        <v>1310</v>
      </c>
      <c r="I81" s="43">
        <v>45130</v>
      </c>
      <c r="J81" s="43"/>
      <c r="K81" s="88"/>
    </row>
    <row r="82" spans="1:11" ht="409.6">
      <c r="A82" s="73">
        <v>81</v>
      </c>
      <c r="B82" s="85" t="str">
        <f>VLOOKUP(A82,[1]vaccines!A:B,2)</f>
        <v>brucellosis_prophylactic_Microgen</v>
      </c>
      <c r="C82" s="72" t="s">
        <v>3359</v>
      </c>
      <c r="D82" s="72" t="s">
        <v>3360</v>
      </c>
      <c r="E82" s="59">
        <v>45743</v>
      </c>
      <c r="F82" s="73">
        <v>1</v>
      </c>
      <c r="G82" s="73">
        <v>0</v>
      </c>
      <c r="H82" s="86" t="s">
        <v>1313</v>
      </c>
      <c r="I82" s="59">
        <f>I81</f>
        <v>45130</v>
      </c>
      <c r="J82" s="66">
        <v>45798</v>
      </c>
      <c r="K82" s="88"/>
    </row>
    <row r="83" spans="1:11" ht="211.2">
      <c r="A83" s="73">
        <v>82</v>
      </c>
      <c r="B83" s="85" t="str">
        <f>VLOOKUP(A83,[1]vaccines!A:B,2)</f>
        <v>anthrax_live_48_NII_Minoborony</v>
      </c>
      <c r="C83" s="72" t="s">
        <v>3361</v>
      </c>
      <c r="D83" s="72" t="s">
        <v>3362</v>
      </c>
      <c r="E83" s="43">
        <v>43754</v>
      </c>
      <c r="F83" s="74">
        <v>1</v>
      </c>
      <c r="G83" s="74">
        <v>0</v>
      </c>
      <c r="H83" s="89" t="s">
        <v>1316</v>
      </c>
      <c r="I83" s="43">
        <v>45130</v>
      </c>
      <c r="J83" s="43"/>
      <c r="K83" s="88"/>
    </row>
    <row r="84" spans="1:11" ht="224.4">
      <c r="A84" s="73">
        <v>83</v>
      </c>
      <c r="B84" s="85" t="str">
        <f>VLOOKUP(A84,[1]vaccines!A:B,2)</f>
        <v>anthrax_combined_48_NII_Minoborony</v>
      </c>
      <c r="C84" s="72" t="s">
        <v>3363</v>
      </c>
      <c r="D84" s="72" t="s">
        <v>3364</v>
      </c>
      <c r="E84" s="43">
        <v>39773</v>
      </c>
      <c r="F84" s="74">
        <v>1</v>
      </c>
      <c r="G84" s="74">
        <v>0</v>
      </c>
      <c r="H84" s="89" t="s">
        <v>1319</v>
      </c>
      <c r="I84" s="43">
        <v>45130</v>
      </c>
      <c r="J84" s="43"/>
      <c r="K84" s="88"/>
    </row>
    <row r="85" spans="1:11" ht="409.6">
      <c r="A85" s="73">
        <v>84</v>
      </c>
      <c r="B85" s="85" t="str">
        <f>VLOOKUP(A85,[1]vaccines!A:B,2)</f>
        <v>Rabipur</v>
      </c>
      <c r="C85" s="72" t="s">
        <v>3365</v>
      </c>
      <c r="D85" s="72" t="s">
        <v>3366</v>
      </c>
      <c r="E85" s="43">
        <v>42996</v>
      </c>
      <c r="F85" s="74">
        <v>1</v>
      </c>
      <c r="G85" s="74">
        <v>0</v>
      </c>
      <c r="H85" s="89" t="s">
        <v>1321</v>
      </c>
      <c r="I85" s="43">
        <v>45130</v>
      </c>
      <c r="J85" s="43"/>
      <c r="K85" s="87" t="s">
        <v>2557</v>
      </c>
    </row>
    <row r="86" spans="1:11" ht="198">
      <c r="A86" s="73">
        <v>85</v>
      </c>
      <c r="B86" s="85" t="str">
        <f>VLOOKUP(A86,[1]vaccines!A:B,2)</f>
        <v>leptospirosis_Rostov_NII</v>
      </c>
      <c r="C86" s="62" t="s">
        <v>3231</v>
      </c>
      <c r="D86" s="72" t="s">
        <v>3232</v>
      </c>
      <c r="E86" s="43">
        <v>43881</v>
      </c>
      <c r="F86" s="74">
        <v>1</v>
      </c>
      <c r="G86" s="74">
        <v>0</v>
      </c>
      <c r="H86" s="89" t="s">
        <v>1323</v>
      </c>
      <c r="I86" s="43">
        <v>45130</v>
      </c>
      <c r="J86" s="43"/>
      <c r="K86" s="88"/>
    </row>
    <row r="87" spans="1:11" ht="409.6">
      <c r="A87" s="73">
        <v>86</v>
      </c>
      <c r="B87" s="85" t="str">
        <f>VLOOKUP(A87,[1]vaccines!A:B,2)</f>
        <v>Q_fever_M_44_Microgen</v>
      </c>
      <c r="C87" s="72" t="s">
        <v>3347</v>
      </c>
      <c r="D87" s="72" t="s">
        <v>3348</v>
      </c>
      <c r="E87" s="59">
        <v>45691</v>
      </c>
      <c r="F87" s="73">
        <v>1</v>
      </c>
      <c r="G87" s="73">
        <v>0</v>
      </c>
      <c r="H87" s="86" t="s">
        <v>1327</v>
      </c>
      <c r="I87" s="59">
        <f>I86</f>
        <v>45130</v>
      </c>
      <c r="J87" s="66">
        <v>45716</v>
      </c>
      <c r="K87" s="88"/>
    </row>
    <row r="88" spans="1:11" ht="132">
      <c r="A88" s="73">
        <v>87</v>
      </c>
      <c r="B88" s="85" t="str">
        <f>VLOOKUP(A88,[1]vaccines!A:B,2)</f>
        <v>cholera_NII_Microb</v>
      </c>
      <c r="C88" s="72" t="s">
        <v>3367</v>
      </c>
      <c r="D88" s="72" t="s">
        <v>3368</v>
      </c>
      <c r="E88" s="43">
        <v>44705</v>
      </c>
      <c r="F88" s="74">
        <v>1</v>
      </c>
      <c r="G88" s="74">
        <v>0</v>
      </c>
      <c r="H88" s="89" t="s">
        <v>2740</v>
      </c>
      <c r="I88" s="43">
        <v>45130</v>
      </c>
      <c r="J88" s="43"/>
      <c r="K88" s="88"/>
    </row>
    <row r="89" spans="1:11" ht="250.8">
      <c r="A89" s="73">
        <v>88</v>
      </c>
      <c r="B89" s="85" t="str">
        <f>VLOOKUP(A89,[1]vaccines!A:B,2)</f>
        <v>Vianvac</v>
      </c>
      <c r="C89" s="72" t="s">
        <v>3369</v>
      </c>
      <c r="D89" s="72" t="s">
        <v>3370</v>
      </c>
      <c r="E89" s="59">
        <v>46036</v>
      </c>
      <c r="F89" s="73">
        <v>1</v>
      </c>
      <c r="G89" s="73">
        <v>0</v>
      </c>
      <c r="H89" s="86" t="s">
        <v>1333</v>
      </c>
      <c r="I89" s="59">
        <f>I88</f>
        <v>45130</v>
      </c>
      <c r="J89" s="66">
        <v>46130</v>
      </c>
      <c r="K89" s="88"/>
    </row>
    <row r="90" spans="1:11" ht="198">
      <c r="A90" s="73">
        <v>89</v>
      </c>
      <c r="B90" s="85" t="str">
        <f>VLOOKUP(A90,[1]vaccines!A:B,2)</f>
        <v>Typhivac</v>
      </c>
      <c r="C90" s="62" t="s">
        <v>3231</v>
      </c>
      <c r="D90" s="72" t="s">
        <v>3232</v>
      </c>
      <c r="E90" s="43">
        <v>42762</v>
      </c>
      <c r="F90" s="74">
        <v>1</v>
      </c>
      <c r="G90" s="74">
        <v>0</v>
      </c>
      <c r="H90" s="89" t="s">
        <v>1336</v>
      </c>
      <c r="I90" s="43">
        <v>45130</v>
      </c>
      <c r="J90" s="43"/>
      <c r="K90" s="88"/>
    </row>
    <row r="91" spans="1:11" ht="250.8">
      <c r="A91" s="73">
        <v>90</v>
      </c>
      <c r="B91" s="85" t="str">
        <f>VLOOKUP(A91,[1]vaccines!A:B,2)</f>
        <v>Shigellvac</v>
      </c>
      <c r="C91" s="72" t="s">
        <v>3369</v>
      </c>
      <c r="D91" s="72" t="s">
        <v>3370</v>
      </c>
      <c r="E91" s="59">
        <v>46015</v>
      </c>
      <c r="F91" s="73">
        <v>1</v>
      </c>
      <c r="G91" s="73">
        <v>0</v>
      </c>
      <c r="H91" s="86" t="s">
        <v>1339</v>
      </c>
      <c r="I91" s="59">
        <f>I90</f>
        <v>45130</v>
      </c>
      <c r="J91" s="66">
        <v>46130</v>
      </c>
      <c r="K91" s="88"/>
    </row>
    <row r="92" spans="1:11" ht="409.6">
      <c r="A92" s="73">
        <v>91</v>
      </c>
      <c r="B92" s="85" t="str">
        <f>VLOOKUP(A92,[1]vaccines!A:B,2)</f>
        <v>CoviVac</v>
      </c>
      <c r="C92" s="72" t="s">
        <v>3371</v>
      </c>
      <c r="D92" s="72" t="s">
        <v>3372</v>
      </c>
      <c r="E92" s="43">
        <v>44246</v>
      </c>
      <c r="F92" s="74">
        <v>1</v>
      </c>
      <c r="G92" s="74">
        <v>0</v>
      </c>
      <c r="H92" s="89" t="s">
        <v>3082</v>
      </c>
      <c r="I92" s="43">
        <v>45130</v>
      </c>
      <c r="J92" s="43"/>
      <c r="K92" s="88"/>
    </row>
    <row r="93" spans="1:11" ht="409.6">
      <c r="A93" s="73">
        <v>92</v>
      </c>
      <c r="B93" s="85" t="str">
        <f>VLOOKUP(A93,[1]vaccines!A:B,2)</f>
        <v>Sputnik_light</v>
      </c>
      <c r="C93" s="72" t="s">
        <v>3373</v>
      </c>
      <c r="D93" s="72" t="s">
        <v>3374</v>
      </c>
      <c r="E93" s="59">
        <v>45810</v>
      </c>
      <c r="F93" s="73">
        <v>1</v>
      </c>
      <c r="G93" s="73">
        <v>0</v>
      </c>
      <c r="H93" s="86" t="s">
        <v>1343</v>
      </c>
      <c r="I93" s="59">
        <f>I92</f>
        <v>45130</v>
      </c>
      <c r="J93" s="66">
        <v>45830</v>
      </c>
      <c r="K93" s="88"/>
    </row>
    <row r="94" spans="1:11" ht="409.6">
      <c r="A94" s="73">
        <v>93</v>
      </c>
      <c r="B94" s="85" t="str">
        <f>VLOOKUP(A94,[1]vaccines!A:B,2)</f>
        <v>Sputnik_M</v>
      </c>
      <c r="C94" s="72" t="s">
        <v>3375</v>
      </c>
      <c r="D94" s="72" t="s">
        <v>3376</v>
      </c>
      <c r="E94" s="43">
        <v>44524</v>
      </c>
      <c r="F94" s="74">
        <v>1</v>
      </c>
      <c r="G94" s="74">
        <v>0</v>
      </c>
      <c r="H94" s="89" t="s">
        <v>1346</v>
      </c>
      <c r="I94" s="43">
        <v>45130</v>
      </c>
      <c r="J94" s="43"/>
      <c r="K94" s="88"/>
    </row>
    <row r="95" spans="1:11" ht="158.4">
      <c r="A95" s="73">
        <v>94</v>
      </c>
      <c r="B95" s="85" t="str">
        <f>VLOOKUP(A95,[1]vaccines!A:B,2)</f>
        <v>Convacel</v>
      </c>
      <c r="C95" s="72" t="s">
        <v>3377</v>
      </c>
      <c r="D95" s="72" t="s">
        <v>3378</v>
      </c>
      <c r="E95" s="59">
        <v>46009</v>
      </c>
      <c r="F95" s="73">
        <v>1</v>
      </c>
      <c r="G95" s="73">
        <v>0</v>
      </c>
      <c r="H95" s="86" t="s">
        <v>1350</v>
      </c>
      <c r="I95" s="59">
        <f>I94</f>
        <v>45130</v>
      </c>
      <c r="J95" s="66">
        <v>46053</v>
      </c>
      <c r="K95" s="87" t="s">
        <v>2557</v>
      </c>
    </row>
    <row r="96" spans="1:11" ht="39.6">
      <c r="A96" s="73">
        <v>95</v>
      </c>
      <c r="B96" s="85" t="str">
        <f>VLOOKUP(A96,[1]vaccines!A:B,2)</f>
        <v>Aurora</v>
      </c>
      <c r="C96" s="72" t="s">
        <v>3379</v>
      </c>
      <c r="D96" s="72" t="s">
        <v>3380</v>
      </c>
      <c r="E96" s="43">
        <v>44434</v>
      </c>
      <c r="F96" s="74">
        <v>1</v>
      </c>
      <c r="G96" s="74">
        <v>0</v>
      </c>
      <c r="H96" s="89" t="s">
        <v>2758</v>
      </c>
      <c r="I96" s="43">
        <v>45130</v>
      </c>
      <c r="J96" s="43"/>
      <c r="K96" s="88"/>
    </row>
    <row r="97" spans="1:11" ht="409.6">
      <c r="A97" s="73">
        <v>96</v>
      </c>
      <c r="B97" s="85" t="str">
        <f>VLOOKUP(A97,[1]vaccines!A:B,2)</f>
        <v>Rota_V_Aid</v>
      </c>
      <c r="C97" s="72" t="s">
        <v>3381</v>
      </c>
      <c r="D97" s="72" t="s">
        <v>3382</v>
      </c>
      <c r="E97" s="59">
        <v>45594</v>
      </c>
      <c r="F97" s="85"/>
      <c r="G97" s="85"/>
      <c r="H97" s="86" t="s">
        <v>1356</v>
      </c>
      <c r="I97" s="59">
        <f>I96</f>
        <v>45130</v>
      </c>
      <c r="J97" s="59">
        <v>45629</v>
      </c>
      <c r="K97" s="88"/>
    </row>
    <row r="98" spans="1:11" ht="198">
      <c r="A98" s="73">
        <v>97</v>
      </c>
      <c r="B98" s="85" t="str">
        <f>VLOOKUP(A98,[1]vaccines!A:B,2)</f>
        <v>Hib_Rostov</v>
      </c>
      <c r="C98" s="62" t="s">
        <v>3231</v>
      </c>
      <c r="D98" s="72" t="s">
        <v>3232</v>
      </c>
      <c r="E98" s="43">
        <v>42577</v>
      </c>
      <c r="F98" s="74">
        <v>1</v>
      </c>
      <c r="G98" s="74">
        <v>0</v>
      </c>
      <c r="H98" s="89" t="s">
        <v>1359</v>
      </c>
      <c r="I98" s="43">
        <v>45130</v>
      </c>
      <c r="J98" s="43"/>
      <c r="K98" s="88"/>
    </row>
    <row r="99" spans="1:11" ht="277.2">
      <c r="A99" s="73">
        <v>98</v>
      </c>
      <c r="B99" s="85" t="str">
        <f>VLOOKUP(A99,[1]vaccines!A:B,2)</f>
        <v>HepB_Combiotech_1_0</v>
      </c>
      <c r="C99" s="72" t="s">
        <v>3259</v>
      </c>
      <c r="D99" s="72" t="s">
        <v>3260</v>
      </c>
      <c r="E99" s="59">
        <v>46056</v>
      </c>
      <c r="F99" s="73">
        <v>1</v>
      </c>
      <c r="G99" s="73">
        <v>0</v>
      </c>
      <c r="H99" s="86" t="s">
        <v>1150</v>
      </c>
      <c r="I99" s="59">
        <f t="shared" ref="I99:I101" si="8">I98</f>
        <v>45130</v>
      </c>
      <c r="J99" s="66">
        <v>46130</v>
      </c>
      <c r="K99" s="88"/>
    </row>
    <row r="100" spans="1:11" ht="409.6">
      <c r="A100" s="73">
        <v>99</v>
      </c>
      <c r="B100" s="85" t="str">
        <f>VLOOKUP(A100,[1]vaccines!A:B,2)</f>
        <v>Regevac_1_0</v>
      </c>
      <c r="C100" s="72" t="s">
        <v>3257</v>
      </c>
      <c r="D100" s="72" t="s">
        <v>3258</v>
      </c>
      <c r="E100" s="59">
        <v>45216</v>
      </c>
      <c r="F100" s="73">
        <v>1</v>
      </c>
      <c r="G100" s="73">
        <v>0</v>
      </c>
      <c r="H100" s="86" t="s">
        <v>1147</v>
      </c>
      <c r="I100" s="59">
        <f t="shared" si="8"/>
        <v>45130</v>
      </c>
      <c r="J100" s="66">
        <v>45988</v>
      </c>
      <c r="K100" s="88"/>
    </row>
    <row r="101" spans="1:11" ht="409.6">
      <c r="A101" s="73">
        <v>100</v>
      </c>
      <c r="B101" s="85" t="str">
        <f>VLOOKUP(A101,[1]vaccines!A:B,2)</f>
        <v>Priorix_Tetra</v>
      </c>
      <c r="C101" s="72" t="s">
        <v>3383</v>
      </c>
      <c r="D101" s="72" t="s">
        <v>3384</v>
      </c>
      <c r="E101" s="59">
        <v>45453</v>
      </c>
      <c r="F101" s="85"/>
      <c r="G101" s="85"/>
      <c r="H101" s="86" t="s">
        <v>1366</v>
      </c>
      <c r="I101" s="59">
        <f t="shared" si="8"/>
        <v>45130</v>
      </c>
      <c r="J101" s="66">
        <v>45510</v>
      </c>
      <c r="K101" s="88"/>
    </row>
    <row r="102" spans="1:11" ht="184.8">
      <c r="A102" s="73">
        <v>101</v>
      </c>
      <c r="B102" s="85" t="str">
        <f>VLOOKUP(A102,[1]vaccines!A:B,2)</f>
        <v>Menveo</v>
      </c>
      <c r="C102" s="72" t="s">
        <v>3385</v>
      </c>
      <c r="D102" s="72" t="s">
        <v>3386</v>
      </c>
      <c r="E102" s="43">
        <v>44890</v>
      </c>
      <c r="F102" s="74">
        <v>4</v>
      </c>
      <c r="G102" s="74">
        <v>3</v>
      </c>
      <c r="H102" s="89" t="s">
        <v>3387</v>
      </c>
      <c r="I102" s="43">
        <v>45130</v>
      </c>
      <c r="J102" s="43"/>
      <c r="K102" s="88"/>
    </row>
    <row r="103" spans="1:11" ht="158.4">
      <c r="A103" s="73">
        <v>102</v>
      </c>
      <c r="B103" s="85" t="str">
        <f>VLOOKUP(A103,[1]vaccines!A:B,2)</f>
        <v>Sputnik_intranasal</v>
      </c>
      <c r="C103" s="72" t="s">
        <v>3377</v>
      </c>
      <c r="D103" s="72" t="s">
        <v>3378</v>
      </c>
      <c r="E103" s="43">
        <v>44651</v>
      </c>
      <c r="F103" s="74">
        <v>1</v>
      </c>
      <c r="G103" s="74">
        <v>0</v>
      </c>
      <c r="H103" s="89" t="s">
        <v>1372</v>
      </c>
      <c r="I103" s="43">
        <v>45130</v>
      </c>
      <c r="J103" s="43"/>
      <c r="K103" s="88"/>
    </row>
    <row r="104" spans="1:11" ht="409.6">
      <c r="A104" s="73">
        <v>103</v>
      </c>
      <c r="B104" s="85" t="str">
        <f>VLOOKUP(A104,[1]vaccines!A:B,2)</f>
        <v>Grippol_plus_0_25</v>
      </c>
      <c r="C104" s="72" t="s">
        <v>3275</v>
      </c>
      <c r="D104" s="72" t="s">
        <v>3276</v>
      </c>
      <c r="E104" s="59">
        <v>45182</v>
      </c>
      <c r="F104" s="85"/>
      <c r="G104" s="85"/>
      <c r="H104" s="86" t="s">
        <v>1179</v>
      </c>
      <c r="I104" s="43">
        <v>45130</v>
      </c>
      <c r="J104" s="43">
        <v>45483</v>
      </c>
      <c r="K104" s="88"/>
    </row>
    <row r="105" spans="1:11" ht="343.2">
      <c r="A105" s="73">
        <v>104</v>
      </c>
      <c r="B105" s="85" t="str">
        <f>VLOOKUP(A105,[1]vaccines!A:B,2)</f>
        <v>Flu_M_Tetra</v>
      </c>
      <c r="C105" s="72" t="s">
        <v>3281</v>
      </c>
      <c r="D105" s="72" t="s">
        <v>3282</v>
      </c>
      <c r="E105" s="59">
        <v>45741</v>
      </c>
      <c r="F105" s="73">
        <v>1</v>
      </c>
      <c r="G105" s="73">
        <v>0</v>
      </c>
      <c r="H105" s="86" t="s">
        <v>1377</v>
      </c>
      <c r="I105" s="59">
        <f t="shared" ref="I105:I106" si="9">I104</f>
        <v>45130</v>
      </c>
      <c r="J105" s="66">
        <v>45798</v>
      </c>
      <c r="K105" s="87" t="s">
        <v>2557</v>
      </c>
    </row>
    <row r="106" spans="1:11" ht="409.6">
      <c r="A106" s="73">
        <v>105</v>
      </c>
      <c r="B106" s="85" t="str">
        <f>VLOOKUP(A106,[1]vaccines!A:B,2)</f>
        <v>Vaxigrip_Tetra</v>
      </c>
      <c r="C106" s="72" t="s">
        <v>3388</v>
      </c>
      <c r="D106" s="72" t="s">
        <v>3389</v>
      </c>
      <c r="E106" s="59">
        <v>45300</v>
      </c>
      <c r="F106" s="85"/>
      <c r="G106" s="85"/>
      <c r="H106" s="86" t="s">
        <v>1380</v>
      </c>
      <c r="I106" s="59">
        <f t="shared" si="9"/>
        <v>45130</v>
      </c>
      <c r="J106" s="66">
        <v>45489</v>
      </c>
      <c r="K106" s="88"/>
    </row>
    <row r="107" spans="1:11" ht="409.6">
      <c r="A107" s="73">
        <v>106</v>
      </c>
      <c r="B107" s="85" t="str">
        <f>VLOOKUP(A107,[1]vaccines!A:B,2)</f>
        <v>Ocavax</v>
      </c>
      <c r="C107" s="72" t="s">
        <v>3390</v>
      </c>
      <c r="D107" s="72" t="s">
        <v>3391</v>
      </c>
      <c r="E107" s="43">
        <v>40233</v>
      </c>
      <c r="F107" s="74">
        <v>1</v>
      </c>
      <c r="G107" s="74">
        <v>0</v>
      </c>
      <c r="H107" s="89" t="s">
        <v>1383</v>
      </c>
      <c r="I107" s="43">
        <v>45130</v>
      </c>
      <c r="J107" s="43"/>
      <c r="K107" s="88"/>
    </row>
    <row r="108" spans="1:11" ht="330">
      <c r="A108" s="73">
        <v>107</v>
      </c>
      <c r="B108" s="85" t="str">
        <f>VLOOKUP(A108,[1]vaccines!A:B,2)</f>
        <v>Pneumo_23</v>
      </c>
      <c r="C108" s="72" t="s">
        <v>3392</v>
      </c>
      <c r="D108" s="72" t="s">
        <v>3393</v>
      </c>
      <c r="E108" s="43">
        <v>41688</v>
      </c>
      <c r="F108" s="74">
        <v>1</v>
      </c>
      <c r="G108" s="74">
        <v>0</v>
      </c>
      <c r="H108" s="89" t="s">
        <v>1386</v>
      </c>
      <c r="I108" s="43">
        <v>45130</v>
      </c>
      <c r="J108" s="43"/>
      <c r="K108" s="88"/>
    </row>
    <row r="109" spans="1:11" ht="409.6">
      <c r="A109" s="73">
        <v>108</v>
      </c>
      <c r="B109" s="85" t="str">
        <f>VLOOKUP(A109,[1]vaccines!A:B,2)</f>
        <v>Varivax</v>
      </c>
      <c r="C109" s="72" t="s">
        <v>3394</v>
      </c>
      <c r="D109" s="72" t="s">
        <v>3395</v>
      </c>
      <c r="E109" s="59">
        <v>45126</v>
      </c>
      <c r="F109" s="85"/>
      <c r="G109" s="85"/>
      <c r="H109" s="86" t="s">
        <v>1389</v>
      </c>
      <c r="I109" s="43">
        <v>45131</v>
      </c>
      <c r="J109" s="66">
        <v>45489</v>
      </c>
      <c r="K109" s="88"/>
    </row>
    <row r="110" spans="1:11" ht="171.6">
      <c r="A110" s="73">
        <v>109</v>
      </c>
      <c r="B110" s="85" t="str">
        <f>VLOOKUP(A110,[1]vaccines!A:B,2)</f>
        <v>Pneumotex</v>
      </c>
      <c r="C110" s="72" t="s">
        <v>3396</v>
      </c>
      <c r="D110" s="72" t="s">
        <v>3397</v>
      </c>
      <c r="E110" s="59">
        <v>45777</v>
      </c>
      <c r="F110" s="73">
        <v>1</v>
      </c>
      <c r="G110" s="73">
        <v>0</v>
      </c>
      <c r="H110" s="86" t="s">
        <v>1392</v>
      </c>
      <c r="I110" s="43">
        <v>45131</v>
      </c>
      <c r="J110" s="66">
        <v>45818</v>
      </c>
      <c r="K110" s="88"/>
    </row>
    <row r="111" spans="1:11" ht="409.6">
      <c r="A111" s="73">
        <v>110</v>
      </c>
      <c r="B111" s="85" t="str">
        <f>VLOOKUP(A111,[1]vaccines!A:B,2)</f>
        <v>Priorix</v>
      </c>
      <c r="C111" s="72" t="s">
        <v>3398</v>
      </c>
      <c r="D111" s="72" t="s">
        <v>3399</v>
      </c>
      <c r="E111" s="43">
        <v>43437</v>
      </c>
      <c r="F111" s="74">
        <v>5</v>
      </c>
      <c r="G111" s="74">
        <v>7</v>
      </c>
      <c r="H111" s="89" t="s">
        <v>3400</v>
      </c>
      <c r="I111" s="43">
        <v>45131</v>
      </c>
      <c r="J111" s="43"/>
      <c r="K111" s="88"/>
    </row>
    <row r="112" spans="1:11" ht="409.6">
      <c r="A112" s="73">
        <v>111</v>
      </c>
      <c r="B112" s="85" t="str">
        <f>VLOOKUP(A112,[1]vaccines!A:B,2)</f>
        <v>MenQuadfi</v>
      </c>
      <c r="C112" s="72" t="s">
        <v>3401</v>
      </c>
      <c r="D112" s="72" t="s">
        <v>3402</v>
      </c>
      <c r="E112" s="59">
        <v>45932</v>
      </c>
      <c r="F112" s="73">
        <v>1</v>
      </c>
      <c r="G112" s="73">
        <v>0</v>
      </c>
      <c r="H112" s="86" t="s">
        <v>1398</v>
      </c>
      <c r="I112" s="43">
        <v>45131</v>
      </c>
      <c r="J112" s="66">
        <v>46072</v>
      </c>
      <c r="K112" s="88"/>
    </row>
    <row r="113" spans="1:11" ht="409.6">
      <c r="A113" s="73">
        <v>112</v>
      </c>
      <c r="B113" s="85" t="str">
        <f>VLOOKUP(A113,[1]vaccines!A:B,2)</f>
        <v>Bexsero</v>
      </c>
      <c r="C113" s="72" t="s">
        <v>3403</v>
      </c>
      <c r="D113" s="72" t="s">
        <v>3404</v>
      </c>
      <c r="E113" s="59">
        <v>45391</v>
      </c>
      <c r="F113" s="85"/>
      <c r="G113" s="85"/>
      <c r="H113" s="86" t="s">
        <v>1401</v>
      </c>
      <c r="I113" s="43">
        <v>45131</v>
      </c>
      <c r="J113" s="66">
        <v>45489</v>
      </c>
      <c r="K113" s="88"/>
    </row>
    <row r="114" spans="1:11" ht="409.6">
      <c r="A114" s="73">
        <v>113</v>
      </c>
      <c r="B114" s="85" t="str">
        <f>VLOOKUP(A114,[1]vaccines!A:B,2)</f>
        <v>Sputnik_D</v>
      </c>
      <c r="C114" s="72" t="s">
        <v>3405</v>
      </c>
      <c r="D114" s="72" t="s">
        <v>3406</v>
      </c>
      <c r="E114" s="43">
        <v>45030</v>
      </c>
      <c r="F114" s="74">
        <v>1</v>
      </c>
      <c r="G114" s="74">
        <v>0</v>
      </c>
      <c r="H114" s="89" t="s">
        <v>2797</v>
      </c>
      <c r="I114" s="43">
        <v>45131</v>
      </c>
      <c r="J114" s="43"/>
      <c r="K114" s="88"/>
    </row>
    <row r="115" spans="1:11" ht="409.6">
      <c r="A115" s="73">
        <v>114</v>
      </c>
      <c r="B115" s="85" t="str">
        <f>VLOOKUP(A115,[1]vaccines!A:B,2)</f>
        <v>Encepur_0_25</v>
      </c>
      <c r="C115" s="72" t="s">
        <v>3407</v>
      </c>
      <c r="D115" s="72" t="s">
        <v>3408</v>
      </c>
      <c r="E115" s="43">
        <v>40252</v>
      </c>
      <c r="F115" s="74">
        <v>1</v>
      </c>
      <c r="G115" s="74">
        <v>0</v>
      </c>
      <c r="H115" s="89" t="s">
        <v>1407</v>
      </c>
      <c r="I115" s="43">
        <v>45131</v>
      </c>
      <c r="J115" s="43"/>
      <c r="K115" s="87" t="s">
        <v>2557</v>
      </c>
    </row>
    <row r="116" spans="1:11" ht="409.6">
      <c r="A116" s="73">
        <v>115</v>
      </c>
      <c r="B116" s="85" t="str">
        <f>VLOOKUP(A116,[1]vaccines!A:B,2)</f>
        <v>Encepur_0_5</v>
      </c>
      <c r="C116" s="72" t="s">
        <v>3409</v>
      </c>
      <c r="D116" s="72" t="s">
        <v>3410</v>
      </c>
      <c r="E116" s="43">
        <v>39878</v>
      </c>
      <c r="F116" s="74">
        <v>1</v>
      </c>
      <c r="G116" s="74">
        <v>0</v>
      </c>
      <c r="H116" s="89" t="s">
        <v>1410</v>
      </c>
      <c r="I116" s="43">
        <v>45131</v>
      </c>
      <c r="J116" s="43"/>
      <c r="K116" s="88"/>
    </row>
    <row r="117" spans="1:11" ht="198">
      <c r="A117" s="73">
        <v>116</v>
      </c>
      <c r="B117" s="85" t="str">
        <f>VLOOKUP(A117,[1]vaccines!A:B,2)</f>
        <v>Poliovaccine</v>
      </c>
      <c r="C117" s="62" t="s">
        <v>3231</v>
      </c>
      <c r="D117" s="72" t="s">
        <v>3232</v>
      </c>
      <c r="E117" s="43">
        <v>44476</v>
      </c>
      <c r="F117" s="74">
        <v>1</v>
      </c>
      <c r="G117" s="74">
        <v>0</v>
      </c>
      <c r="H117" s="89" t="s">
        <v>2804</v>
      </c>
      <c r="I117" s="43">
        <v>45131</v>
      </c>
      <c r="J117" s="43"/>
      <c r="K117" s="88"/>
    </row>
    <row r="118" spans="1:11" ht="409.6">
      <c r="A118" s="73">
        <v>117</v>
      </c>
      <c r="B118" s="85" t="str">
        <f>VLOOKUP(A118,[1]vaccines!A:B,2)</f>
        <v>Act_Hib</v>
      </c>
      <c r="C118" s="72" t="s">
        <v>3411</v>
      </c>
      <c r="D118" s="72" t="s">
        <v>3412</v>
      </c>
      <c r="E118" s="43">
        <v>41936</v>
      </c>
      <c r="F118" s="74">
        <v>1</v>
      </c>
      <c r="G118" s="74">
        <v>0</v>
      </c>
      <c r="H118" s="89" t="s">
        <v>1414</v>
      </c>
      <c r="I118" s="43">
        <v>45131</v>
      </c>
      <c r="J118" s="43"/>
      <c r="K118" s="88"/>
    </row>
    <row r="119" spans="1:11" ht="277.2">
      <c r="A119" s="73">
        <v>118</v>
      </c>
      <c r="B119" s="85" t="str">
        <f>VLOOKUP(A119,[1]vaccines!A:B,2)</f>
        <v>Hiberix</v>
      </c>
      <c r="C119" s="72" t="s">
        <v>3413</v>
      </c>
      <c r="D119" s="72" t="s">
        <v>3414</v>
      </c>
      <c r="E119" s="43">
        <v>41047</v>
      </c>
      <c r="F119" s="74">
        <v>1</v>
      </c>
      <c r="G119" s="74">
        <v>0</v>
      </c>
      <c r="H119" s="89" t="s">
        <v>1417</v>
      </c>
      <c r="I119" s="43">
        <v>45131</v>
      </c>
      <c r="J119" s="43"/>
      <c r="K119" s="88"/>
    </row>
    <row r="120" spans="1:11" ht="409.6">
      <c r="A120" s="73">
        <v>119</v>
      </c>
      <c r="B120" s="85" t="str">
        <f>VLOOKUP(A120,[1]vaccines!A:B,2)</f>
        <v>FSME_Immun_Junior</v>
      </c>
      <c r="C120" s="72" t="s">
        <v>3415</v>
      </c>
      <c r="D120" s="72" t="s">
        <v>3416</v>
      </c>
      <c r="E120" s="43">
        <v>43115</v>
      </c>
      <c r="F120" s="74">
        <v>1</v>
      </c>
      <c r="G120" s="74">
        <v>0</v>
      </c>
      <c r="H120" s="89" t="s">
        <v>1420</v>
      </c>
      <c r="I120" s="43">
        <v>45131</v>
      </c>
      <c r="J120" s="43"/>
      <c r="K120" s="88"/>
    </row>
    <row r="121" spans="1:11" ht="409.6">
      <c r="A121" s="73">
        <v>120</v>
      </c>
      <c r="B121" s="85" t="str">
        <f>VLOOKUP(A121,[1]vaccines!A:B,2)</f>
        <v>FSME_Immun</v>
      </c>
      <c r="C121" s="72" t="s">
        <v>3417</v>
      </c>
      <c r="D121" s="72" t="s">
        <v>3418</v>
      </c>
      <c r="E121" s="43">
        <v>44169</v>
      </c>
      <c r="F121" s="74">
        <v>1</v>
      </c>
      <c r="G121" s="74">
        <v>0</v>
      </c>
      <c r="H121" s="89" t="s">
        <v>1423</v>
      </c>
      <c r="I121" s="43">
        <v>45131</v>
      </c>
      <c r="J121" s="43"/>
      <c r="K121" s="87" t="s">
        <v>2557</v>
      </c>
    </row>
    <row r="122" spans="1:11" ht="330">
      <c r="A122" s="73">
        <v>121</v>
      </c>
      <c r="B122" s="85" t="str">
        <f>VLOOKUP(A122,[1]vaccines!A:B,2)</f>
        <v>SciBiVac</v>
      </c>
      <c r="C122" s="72" t="s">
        <v>3419</v>
      </c>
      <c r="D122" s="72" t="s">
        <v>3420</v>
      </c>
      <c r="E122" s="43">
        <v>44762</v>
      </c>
      <c r="F122" s="74">
        <v>1</v>
      </c>
      <c r="G122" s="74">
        <v>0</v>
      </c>
      <c r="H122" s="89" t="s">
        <v>1426</v>
      </c>
      <c r="I122" s="43">
        <v>45131</v>
      </c>
      <c r="J122" s="43"/>
      <c r="K122" s="88"/>
    </row>
    <row r="123" spans="1:11" ht="409.6">
      <c r="A123" s="73">
        <v>122</v>
      </c>
      <c r="B123" s="85" t="str">
        <f>VLOOKUP(A123,[1]vaccines!A:B,2)</f>
        <v>Pentavaccina</v>
      </c>
      <c r="C123" s="72" t="s">
        <v>3421</v>
      </c>
      <c r="D123" s="72" t="s">
        <v>3422</v>
      </c>
      <c r="E123" s="66">
        <v>45320</v>
      </c>
      <c r="F123" s="88"/>
      <c r="G123" s="88"/>
      <c r="H123" s="89" t="s">
        <v>1429</v>
      </c>
      <c r="I123" s="43">
        <v>45131</v>
      </c>
      <c r="J123" s="43">
        <v>45460</v>
      </c>
      <c r="K123" s="88"/>
    </row>
    <row r="124" spans="1:11" ht="158.4">
      <c r="A124" s="73">
        <v>123</v>
      </c>
      <c r="B124" s="85" t="str">
        <f>VLOOKUP(A124,[1]vaccines!A:B,2)</f>
        <v>Vitagerpavac</v>
      </c>
      <c r="C124" s="72" t="s">
        <v>3423</v>
      </c>
      <c r="D124" s="72" t="s">
        <v>3424</v>
      </c>
      <c r="E124" s="59">
        <v>40255</v>
      </c>
      <c r="F124" s="73">
        <v>1</v>
      </c>
      <c r="G124" s="73">
        <v>0</v>
      </c>
      <c r="H124" s="86" t="s">
        <v>1432</v>
      </c>
      <c r="I124" s="43">
        <v>45169</v>
      </c>
      <c r="J124" s="43"/>
      <c r="K124" s="87" t="s">
        <v>2554</v>
      </c>
    </row>
    <row r="125" spans="1:11" ht="409.6">
      <c r="A125" s="85">
        <v>124</v>
      </c>
      <c r="B125" s="85" t="str">
        <f>VLOOKUP(A125,[1]vaccines!A:B,2)</f>
        <v>Shingrix</v>
      </c>
      <c r="C125" s="72" t="s">
        <v>3229</v>
      </c>
      <c r="D125" s="72" t="s">
        <v>3425</v>
      </c>
      <c r="E125" s="59">
        <v>45440</v>
      </c>
      <c r="F125" s="85"/>
      <c r="G125" s="85"/>
      <c r="H125" s="86" t="s">
        <v>1435</v>
      </c>
      <c r="I125" s="59">
        <v>45447</v>
      </c>
      <c r="J125" s="59">
        <v>45589</v>
      </c>
      <c r="K125" s="88"/>
    </row>
    <row r="126" spans="1:11" ht="409.6">
      <c r="A126" s="85">
        <v>125</v>
      </c>
      <c r="B126" s="85" t="str">
        <f>VLOOKUP(A126,[1]vaccines!A:B,2)</f>
        <v>Trivaid</v>
      </c>
      <c r="C126" s="72" t="s">
        <v>3426</v>
      </c>
      <c r="D126" s="72" t="s">
        <v>3427</v>
      </c>
      <c r="E126" s="59">
        <v>45996</v>
      </c>
      <c r="F126" s="73">
        <v>1</v>
      </c>
      <c r="G126" s="73">
        <v>0</v>
      </c>
      <c r="H126" s="86" t="s">
        <v>1438</v>
      </c>
      <c r="I126" s="59">
        <v>45436</v>
      </c>
      <c r="J126" s="59">
        <v>46053</v>
      </c>
      <c r="K126" s="88"/>
    </row>
    <row r="127" spans="1:11" ht="316.8">
      <c r="A127" s="85">
        <v>126</v>
      </c>
      <c r="B127" s="85" t="str">
        <f>VLOOKUP(A127,[1]vaccines!A:B,2)</f>
        <v>BabyHib</v>
      </c>
      <c r="C127" s="72" t="s">
        <v>3239</v>
      </c>
      <c r="D127" s="72" t="s">
        <v>3240</v>
      </c>
      <c r="E127" s="59">
        <v>45938</v>
      </c>
      <c r="F127" s="73">
        <v>1</v>
      </c>
      <c r="G127" s="73">
        <v>0</v>
      </c>
      <c r="H127" s="86" t="s">
        <v>1441</v>
      </c>
      <c r="I127" s="59">
        <v>45436</v>
      </c>
      <c r="J127" s="59">
        <v>45988</v>
      </c>
      <c r="K127" s="88"/>
    </row>
    <row r="128" spans="1:11" ht="198">
      <c r="A128" s="85">
        <v>127</v>
      </c>
      <c r="B128" s="85" t="str">
        <f>VLOOKUP(A128,[1]vaccines!A:B,2)</f>
        <v>AD_M_Biomed</v>
      </c>
      <c r="C128" s="62" t="s">
        <v>3231</v>
      </c>
      <c r="D128" s="72" t="s">
        <v>3232</v>
      </c>
      <c r="E128" s="59">
        <v>41046</v>
      </c>
      <c r="F128" s="73">
        <v>1</v>
      </c>
      <c r="G128" s="73">
        <v>0</v>
      </c>
      <c r="H128" s="86" t="s">
        <v>1444</v>
      </c>
      <c r="I128" s="59">
        <v>45461</v>
      </c>
      <c r="J128" s="43"/>
      <c r="K128" s="88"/>
    </row>
    <row r="129" spans="1:11" ht="277.2">
      <c r="A129" s="85">
        <v>128</v>
      </c>
      <c r="B129" s="85" t="str">
        <f>VLOOKUP(A129,[1]vaccines!A:B,2)</f>
        <v>AS_D_Microgen</v>
      </c>
      <c r="C129" s="72" t="s">
        <v>3428</v>
      </c>
      <c r="D129" s="72" t="s">
        <v>3429</v>
      </c>
      <c r="E129" s="59">
        <v>45266</v>
      </c>
      <c r="F129" s="85"/>
      <c r="G129" s="85"/>
      <c r="H129" s="86" t="s">
        <v>1447</v>
      </c>
      <c r="I129" s="59">
        <v>45461</v>
      </c>
      <c r="J129" s="43"/>
      <c r="K129" s="88"/>
    </row>
    <row r="130" spans="1:11" ht="409.6">
      <c r="A130" s="85">
        <v>129</v>
      </c>
      <c r="B130" s="85" t="str">
        <f>VLOOKUP(A130,[1]vaccines!A:B,2)</f>
        <v>Variola</v>
      </c>
      <c r="C130" s="72" t="s">
        <v>3430</v>
      </c>
      <c r="D130" s="72" t="s">
        <v>3431</v>
      </c>
      <c r="E130" s="59">
        <v>45252</v>
      </c>
      <c r="F130" s="85"/>
      <c r="G130" s="85"/>
      <c r="H130" s="86" t="s">
        <v>1450</v>
      </c>
      <c r="I130" s="59">
        <v>45461</v>
      </c>
      <c r="J130" s="43"/>
      <c r="K130" s="88"/>
    </row>
    <row r="131" spans="1:11" ht="277.2">
      <c r="A131" s="85">
        <v>130</v>
      </c>
      <c r="B131" s="85" t="str">
        <f>VLOOKUP(A131,[1]vaccines!A:B,2)</f>
        <v>AKDS_HepB_Microgen</v>
      </c>
      <c r="C131" s="72" t="s">
        <v>3432</v>
      </c>
      <c r="D131" s="72" t="s">
        <v>3433</v>
      </c>
      <c r="E131" s="59">
        <v>45135</v>
      </c>
      <c r="F131" s="85"/>
      <c r="G131" s="85"/>
      <c r="H131" s="86" t="s">
        <v>1453</v>
      </c>
      <c r="I131" s="59">
        <v>45464</v>
      </c>
      <c r="J131" s="43"/>
      <c r="K131" s="88"/>
    </row>
    <row r="132" spans="1:11" ht="409.6">
      <c r="A132" s="85">
        <v>131</v>
      </c>
      <c r="B132" s="85" t="str">
        <f>VLOOKUP(A132,[1]vaccines!A:B,2)</f>
        <v>Rickettsia</v>
      </c>
      <c r="C132" s="72" t="s">
        <v>3434</v>
      </c>
      <c r="D132" s="72" t="s">
        <v>3435</v>
      </c>
      <c r="E132" s="59">
        <v>45107</v>
      </c>
      <c r="F132" s="85"/>
      <c r="G132" s="85"/>
      <c r="H132" s="86" t="s">
        <v>1456</v>
      </c>
      <c r="I132" s="59">
        <v>45464</v>
      </c>
      <c r="J132" s="43"/>
      <c r="K132" s="88"/>
    </row>
    <row r="133" spans="1:11" ht="409.6">
      <c r="A133" s="85">
        <v>132</v>
      </c>
      <c r="B133" s="85" t="str">
        <f>VLOOKUP(A133,[1]vaccines!A:B,2)</f>
        <v>OspaVir</v>
      </c>
      <c r="C133" s="72" t="s">
        <v>3436</v>
      </c>
      <c r="D133" s="72" t="s">
        <v>3437</v>
      </c>
      <c r="E133" s="59">
        <v>45077</v>
      </c>
      <c r="F133" s="85"/>
      <c r="G133" s="85"/>
      <c r="H133" s="86" t="s">
        <v>1459</v>
      </c>
      <c r="I133" s="59">
        <v>45464</v>
      </c>
      <c r="J133" s="43"/>
      <c r="K133" s="88"/>
    </row>
    <row r="134" spans="1:11" ht="409.2">
      <c r="A134" s="85">
        <v>133</v>
      </c>
      <c r="B134" s="85" t="str">
        <f>VLOOKUP(A134,[1]vaccines!A:B,2)</f>
        <v>Gonovaccina_therapeutic</v>
      </c>
      <c r="C134" s="72" t="s">
        <v>3438</v>
      </c>
      <c r="D134" s="72" t="s">
        <v>3439</v>
      </c>
      <c r="E134" s="59">
        <v>44942</v>
      </c>
      <c r="F134" s="85"/>
      <c r="G134" s="85"/>
      <c r="H134" s="86" t="s">
        <v>1462</v>
      </c>
      <c r="I134" s="59">
        <v>45464</v>
      </c>
      <c r="J134" s="43"/>
      <c r="K134" s="88"/>
    </row>
    <row r="135" spans="1:11" ht="409.6">
      <c r="A135" s="85">
        <v>134</v>
      </c>
      <c r="B135" s="85" t="str">
        <f>VLOOKUP(A135,[1]vaccines!A:B,2)</f>
        <v>OrtopoxVac</v>
      </c>
      <c r="C135" s="72" t="s">
        <v>3440</v>
      </c>
      <c r="D135" s="72" t="s">
        <v>3441</v>
      </c>
      <c r="E135" s="43">
        <v>45147</v>
      </c>
      <c r="F135" s="88"/>
      <c r="G135" s="88"/>
      <c r="H135" s="89" t="s">
        <v>1465</v>
      </c>
      <c r="I135" s="43">
        <v>45465</v>
      </c>
      <c r="J135" s="43"/>
      <c r="K135" s="88"/>
    </row>
    <row r="136" spans="1:11" ht="250.8">
      <c r="A136" s="85">
        <v>135</v>
      </c>
      <c r="B136" s="85" t="str">
        <f>VLOOKUP(A136,[1]vaccines!A:B,2)</f>
        <v>FlexVac</v>
      </c>
      <c r="C136" s="72" t="s">
        <v>3369</v>
      </c>
      <c r="D136" s="72" t="s">
        <v>3370</v>
      </c>
      <c r="E136" s="59">
        <v>46126</v>
      </c>
      <c r="F136" s="73">
        <v>1</v>
      </c>
      <c r="G136" s="73">
        <v>0</v>
      </c>
      <c r="H136" s="86" t="s">
        <v>1468</v>
      </c>
      <c r="I136" s="59">
        <v>45465</v>
      </c>
      <c r="J136" s="59">
        <v>46188</v>
      </c>
      <c r="K136" s="88"/>
    </row>
    <row r="137" spans="1:11" ht="171.6">
      <c r="A137" s="85">
        <v>136</v>
      </c>
      <c r="B137" s="85" t="str">
        <f>VLOOKUP(A137,[1]vaccines!A:B,2)</f>
        <v>SinSaVac</v>
      </c>
      <c r="C137" s="72" t="s">
        <v>3442</v>
      </c>
      <c r="D137" s="72" t="s">
        <v>3443</v>
      </c>
      <c r="E137" s="59">
        <v>45635</v>
      </c>
      <c r="F137" s="73">
        <v>4</v>
      </c>
      <c r="G137" s="73">
        <v>4</v>
      </c>
      <c r="H137" s="86" t="s">
        <v>3444</v>
      </c>
      <c r="I137" s="59">
        <v>45465</v>
      </c>
      <c r="J137" s="43">
        <v>45716</v>
      </c>
      <c r="K137" s="88"/>
    </row>
    <row r="138" spans="1:11" ht="250.8">
      <c r="A138" s="85">
        <v>138</v>
      </c>
      <c r="B138" s="85" t="str">
        <f>VLOOKUP(A138,[1]vaccines!A:B,2)</f>
        <v>EpiVacEbola</v>
      </c>
      <c r="C138" s="72" t="s">
        <v>3445</v>
      </c>
      <c r="D138" s="72" t="s">
        <v>3446</v>
      </c>
      <c r="E138" s="59">
        <v>43185</v>
      </c>
      <c r="F138" s="73">
        <v>1</v>
      </c>
      <c r="G138" s="73">
        <v>0</v>
      </c>
      <c r="H138" s="86" t="s">
        <v>1474</v>
      </c>
      <c r="I138" s="59">
        <v>45465</v>
      </c>
      <c r="J138" s="43"/>
      <c r="K138" s="88"/>
    </row>
    <row r="139" spans="1:11" ht="224.4">
      <c r="A139" s="85">
        <v>139</v>
      </c>
      <c r="B139" s="85" t="str">
        <f>VLOOKUP(A139,[1]vaccines!A:B,2)</f>
        <v>GamEvac_Combi</v>
      </c>
      <c r="C139" s="72" t="s">
        <v>3447</v>
      </c>
      <c r="D139" s="72" t="s">
        <v>3448</v>
      </c>
      <c r="E139" s="59">
        <v>46099</v>
      </c>
      <c r="F139" s="73">
        <v>1</v>
      </c>
      <c r="G139" s="73">
        <v>0</v>
      </c>
      <c r="H139" s="86" t="s">
        <v>1477</v>
      </c>
      <c r="I139" s="59">
        <v>46131</v>
      </c>
      <c r="J139" s="43"/>
      <c r="K139" s="88"/>
    </row>
    <row r="140" spans="1:11" ht="52.8">
      <c r="A140" s="85">
        <v>141</v>
      </c>
      <c r="B140" s="85" t="str">
        <f>VLOOKUP(A140,[1]vaccines!A:B,2)</f>
        <v>Staphylococcus_therapeutic_Biomed</v>
      </c>
      <c r="C140" s="72" t="s">
        <v>3449</v>
      </c>
      <c r="D140" s="72" t="s">
        <v>3450</v>
      </c>
      <c r="E140" s="59">
        <v>43388</v>
      </c>
      <c r="F140" s="73">
        <v>1</v>
      </c>
      <c r="G140" s="73">
        <v>0</v>
      </c>
      <c r="H140" s="86" t="s">
        <v>1480</v>
      </c>
      <c r="I140" s="59">
        <v>45465</v>
      </c>
      <c r="J140" s="43"/>
      <c r="K140" s="88"/>
    </row>
    <row r="141" spans="1:11" ht="92.4">
      <c r="A141" s="85">
        <v>142</v>
      </c>
      <c r="B141" s="85" t="str">
        <f>VLOOKUP(A141,[1]vaccines!A:B,2)</f>
        <v>Pseudovac</v>
      </c>
      <c r="C141" s="72" t="s">
        <v>3451</v>
      </c>
      <c r="D141" s="72" t="s">
        <v>3452</v>
      </c>
      <c r="E141" s="59">
        <v>42809</v>
      </c>
      <c r="F141" s="73">
        <v>1</v>
      </c>
      <c r="G141" s="73">
        <v>0</v>
      </c>
      <c r="H141" s="86" t="s">
        <v>1483</v>
      </c>
      <c r="I141" s="59">
        <v>45466</v>
      </c>
      <c r="J141" s="43"/>
      <c r="K141" s="88"/>
    </row>
    <row r="142" spans="1:11" ht="198">
      <c r="A142" s="85">
        <v>143</v>
      </c>
      <c r="B142" s="85" t="str">
        <f>VLOOKUP(A142,[1]vaccines!A:B,2)</f>
        <v>SPSA_therapeutic</v>
      </c>
      <c r="C142" s="62" t="s">
        <v>3231</v>
      </c>
      <c r="D142" s="72" t="s">
        <v>3232</v>
      </c>
      <c r="E142" s="59">
        <v>40819</v>
      </c>
      <c r="F142" s="73">
        <v>1</v>
      </c>
      <c r="G142" s="73">
        <v>0</v>
      </c>
      <c r="H142" s="86" t="s">
        <v>1486</v>
      </c>
      <c r="I142" s="59">
        <v>45466</v>
      </c>
      <c r="J142" s="43"/>
      <c r="K142" s="88"/>
    </row>
    <row r="143" spans="1:11" ht="198">
      <c r="A143" s="85">
        <v>144</v>
      </c>
      <c r="B143" s="85" t="str">
        <f>VLOOKUP(A143,[1]vaccines!A:B,2)</f>
        <v>HepB_Serum_India_0_5</v>
      </c>
      <c r="C143" s="62" t="s">
        <v>3231</v>
      </c>
      <c r="D143" s="72" t="s">
        <v>3232</v>
      </c>
      <c r="E143" s="59">
        <v>45981</v>
      </c>
      <c r="F143" s="73">
        <v>1</v>
      </c>
      <c r="G143" s="73">
        <v>0</v>
      </c>
      <c r="H143" s="86" t="s">
        <v>1489</v>
      </c>
      <c r="I143" s="59">
        <v>45466</v>
      </c>
      <c r="J143" s="59">
        <v>46053</v>
      </c>
      <c r="K143" s="88"/>
    </row>
    <row r="144" spans="1:11" ht="409.6">
      <c r="A144" s="85">
        <v>145</v>
      </c>
      <c r="B144" s="85" t="str">
        <f>VLOOKUP(A144,[1]vaccines!A:B,2)</f>
        <v>Polio_1_2_3</v>
      </c>
      <c r="C144" s="72" t="s">
        <v>3453</v>
      </c>
      <c r="D144" s="72" t="s">
        <v>3454</v>
      </c>
      <c r="E144" s="59">
        <v>45275</v>
      </c>
      <c r="F144" s="73">
        <v>1</v>
      </c>
      <c r="G144" s="73">
        <v>0</v>
      </c>
      <c r="H144" s="86" t="s">
        <v>1492</v>
      </c>
      <c r="I144" s="59">
        <v>45466</v>
      </c>
      <c r="J144" s="43"/>
      <c r="K144" s="88"/>
    </row>
    <row r="145" spans="1:11" ht="52.8">
      <c r="A145" s="85">
        <v>146</v>
      </c>
      <c r="B145" s="85" t="str">
        <f>VLOOKUP(A145,[1]vaccines!A:B,2)</f>
        <v>TEOVac_chew_tablets</v>
      </c>
      <c r="C145" s="72" t="s">
        <v>3449</v>
      </c>
      <c r="D145" s="72" t="s">
        <v>3450</v>
      </c>
      <c r="E145" s="59">
        <v>40396</v>
      </c>
      <c r="F145" s="73">
        <v>1</v>
      </c>
      <c r="G145" s="73">
        <v>0</v>
      </c>
      <c r="H145" s="86" t="s">
        <v>1495</v>
      </c>
      <c r="I145" s="59">
        <v>45467</v>
      </c>
      <c r="J145" s="43"/>
      <c r="K145" s="88"/>
    </row>
    <row r="146" spans="1:11" ht="52.8">
      <c r="A146" s="85">
        <v>147</v>
      </c>
      <c r="B146" s="85" t="str">
        <f>VLOOKUP(A146,[1]vaccines!A:B,2)</f>
        <v>TEOVac_tablets</v>
      </c>
      <c r="C146" s="72" t="s">
        <v>3449</v>
      </c>
      <c r="D146" s="72" t="s">
        <v>3450</v>
      </c>
      <c r="E146" s="59">
        <v>40392</v>
      </c>
      <c r="F146" s="73">
        <v>1</v>
      </c>
      <c r="G146" s="73">
        <v>0</v>
      </c>
      <c r="H146" s="86" t="s">
        <v>1497</v>
      </c>
      <c r="I146" s="59">
        <v>45467</v>
      </c>
      <c r="J146" s="43"/>
      <c r="K146" s="88"/>
    </row>
    <row r="147" spans="1:11" ht="409.6">
      <c r="A147" s="74">
        <v>148</v>
      </c>
      <c r="B147" s="85" t="str">
        <f>VLOOKUP(A147,[1]vaccines!A:B,2)</f>
        <v>Uro_BCG_therapeutic</v>
      </c>
      <c r="C147" s="72" t="s">
        <v>3455</v>
      </c>
      <c r="D147" s="72" t="s">
        <v>3456</v>
      </c>
      <c r="E147" s="59">
        <v>42947</v>
      </c>
      <c r="F147" s="73">
        <v>1</v>
      </c>
      <c r="G147" s="73">
        <v>0</v>
      </c>
      <c r="H147" s="86" t="s">
        <v>1499</v>
      </c>
      <c r="I147" s="59">
        <v>45494</v>
      </c>
      <c r="J147" s="43"/>
      <c r="K147" s="88"/>
    </row>
    <row r="148" spans="1:11" ht="198">
      <c r="A148" s="85">
        <v>149</v>
      </c>
      <c r="B148" s="85" t="str">
        <f>VLOOKUP(A148,[1]vaccines!A:B,2)</f>
        <v>Flu_Microgen</v>
      </c>
      <c r="C148" s="62" t="s">
        <v>3231</v>
      </c>
      <c r="D148" s="72" t="s">
        <v>3232</v>
      </c>
      <c r="E148" s="59">
        <v>40940</v>
      </c>
      <c r="F148" s="73">
        <v>1</v>
      </c>
      <c r="G148" s="73">
        <v>0</v>
      </c>
      <c r="H148" s="86" t="s">
        <v>1502</v>
      </c>
      <c r="I148" s="59">
        <v>45494</v>
      </c>
      <c r="J148" s="43"/>
      <c r="K148" s="88"/>
    </row>
    <row r="149" spans="1:11" ht="369.6">
      <c r="A149" s="74">
        <v>150</v>
      </c>
      <c r="B149" s="85" t="str">
        <f>VLOOKUP(A149,[1]vaccines!A:B,2)</f>
        <v>MonoGrippol_plus</v>
      </c>
      <c r="C149" s="72" t="s">
        <v>3273</v>
      </c>
      <c r="D149" s="72" t="s">
        <v>3274</v>
      </c>
      <c r="E149" s="59">
        <v>42719</v>
      </c>
      <c r="F149" s="73">
        <v>1</v>
      </c>
      <c r="G149" s="73">
        <v>0</v>
      </c>
      <c r="H149" s="86" t="s">
        <v>1505</v>
      </c>
      <c r="I149" s="59">
        <v>45494</v>
      </c>
      <c r="J149" s="43"/>
      <c r="K149" s="88"/>
    </row>
    <row r="150" spans="1:11" ht="369.6">
      <c r="A150" s="85">
        <v>151</v>
      </c>
      <c r="B150" s="85" t="str">
        <f>VLOOKUP(A150,[1]vaccines!A:B,2)</f>
        <v>MonoGrippol_Neo</v>
      </c>
      <c r="C150" s="72" t="s">
        <v>3273</v>
      </c>
      <c r="D150" s="72" t="s">
        <v>3274</v>
      </c>
      <c r="E150" s="59">
        <v>40102</v>
      </c>
      <c r="F150" s="73">
        <v>1</v>
      </c>
      <c r="G150" s="73">
        <v>0</v>
      </c>
      <c r="H150" s="86" t="s">
        <v>1508</v>
      </c>
      <c r="I150" s="59">
        <v>45494</v>
      </c>
      <c r="J150" s="43"/>
      <c r="K150" s="88"/>
    </row>
    <row r="151" spans="1:11" ht="369.6">
      <c r="A151" s="74">
        <v>152</v>
      </c>
      <c r="B151" s="85" t="str">
        <f>VLOOKUP(A151,[1]vaccines!A:B,2)</f>
        <v>MonoGrippol</v>
      </c>
      <c r="C151" s="72" t="s">
        <v>3273</v>
      </c>
      <c r="D151" s="72" t="s">
        <v>3274</v>
      </c>
      <c r="E151" s="59">
        <v>40102</v>
      </c>
      <c r="F151" s="73">
        <v>1</v>
      </c>
      <c r="G151" s="73">
        <v>0</v>
      </c>
      <c r="H151" s="86" t="s">
        <v>1510</v>
      </c>
      <c r="I151" s="59">
        <v>45494</v>
      </c>
      <c r="J151" s="43"/>
      <c r="K151" s="88"/>
    </row>
    <row r="152" spans="1:11" ht="277.2">
      <c r="A152" s="85">
        <v>153</v>
      </c>
      <c r="B152" s="85" t="str">
        <f>VLOOKUP(A152,[1]vaccines!A:B,2)</f>
        <v>Influvir</v>
      </c>
      <c r="C152" s="72" t="s">
        <v>3457</v>
      </c>
      <c r="D152" s="72" t="s">
        <v>3458</v>
      </c>
      <c r="E152" s="59">
        <v>45681</v>
      </c>
      <c r="F152" s="73">
        <v>1</v>
      </c>
      <c r="G152" s="73">
        <v>0</v>
      </c>
      <c r="H152" s="86" t="s">
        <v>1512</v>
      </c>
      <c r="I152" s="59">
        <v>45494</v>
      </c>
      <c r="J152" s="59">
        <v>45717</v>
      </c>
      <c r="K152" s="88"/>
    </row>
    <row r="153" spans="1:11" ht="409.6">
      <c r="A153" s="74">
        <v>154</v>
      </c>
      <c r="B153" s="85" t="str">
        <f>VLOOKUP(A153,[1]vaccines!A:B,2)</f>
        <v>Pandeflu</v>
      </c>
      <c r="C153" s="72" t="s">
        <v>3459</v>
      </c>
      <c r="D153" s="72" t="s">
        <v>3460</v>
      </c>
      <c r="E153" s="59">
        <v>45719</v>
      </c>
      <c r="F153" s="73">
        <v>1</v>
      </c>
      <c r="G153" s="73">
        <v>0</v>
      </c>
      <c r="H153" s="86" t="s">
        <v>1515</v>
      </c>
      <c r="I153" s="59">
        <v>45494</v>
      </c>
      <c r="J153" s="59">
        <v>45750</v>
      </c>
      <c r="K153" s="88"/>
    </row>
    <row r="154" spans="1:11" ht="369.6">
      <c r="A154" s="85">
        <v>155</v>
      </c>
      <c r="B154" s="85" t="str">
        <f>VLOOKUP(A154,[1]vaccines!A:B,2)</f>
        <v>Grippol_Neo</v>
      </c>
      <c r="C154" s="72" t="s">
        <v>3273</v>
      </c>
      <c r="D154" s="72" t="s">
        <v>3274</v>
      </c>
      <c r="E154" s="59">
        <v>40274</v>
      </c>
      <c r="F154" s="73">
        <v>1</v>
      </c>
      <c r="G154" s="73">
        <v>0</v>
      </c>
      <c r="H154" s="86" t="s">
        <v>1518</v>
      </c>
      <c r="I154" s="59">
        <v>45494</v>
      </c>
      <c r="J154" s="43"/>
      <c r="K154" s="88"/>
    </row>
    <row r="155" spans="1:11" ht="277.2">
      <c r="A155" s="74">
        <v>156</v>
      </c>
      <c r="B155" s="85" t="str">
        <f>VLOOKUP(A155,[1]vaccines!A:B,2)</f>
        <v>Ultravac</v>
      </c>
      <c r="C155" s="72" t="s">
        <v>3457</v>
      </c>
      <c r="D155" s="72" t="s">
        <v>3458</v>
      </c>
      <c r="E155" s="59">
        <v>45569</v>
      </c>
      <c r="F155" s="85"/>
      <c r="G155" s="85"/>
      <c r="H155" s="86" t="s">
        <v>1521</v>
      </c>
      <c r="I155" s="59">
        <v>45494</v>
      </c>
      <c r="J155" s="59">
        <v>45622</v>
      </c>
      <c r="K155" s="88"/>
    </row>
    <row r="156" spans="1:11" ht="198">
      <c r="A156" s="74">
        <v>158</v>
      </c>
      <c r="B156" s="85" t="str">
        <f>VLOOKUP(A156,[1]vaccines!A:B,2)</f>
        <v>Gerpovax_therapeutic</v>
      </c>
      <c r="C156" s="72" t="s">
        <v>3461</v>
      </c>
      <c r="D156" s="72" t="s">
        <v>3462</v>
      </c>
      <c r="E156" s="59">
        <v>43808</v>
      </c>
      <c r="F156" s="73">
        <v>1</v>
      </c>
      <c r="G156" s="73">
        <v>0</v>
      </c>
      <c r="H156" s="86" t="s">
        <v>1524</v>
      </c>
      <c r="I156" s="59">
        <v>45496</v>
      </c>
      <c r="J156" s="43"/>
      <c r="K156" s="88"/>
    </row>
    <row r="157" spans="1:11" ht="277.2">
      <c r="A157" s="74">
        <v>159</v>
      </c>
      <c r="B157" s="85" t="str">
        <f>VLOOKUP(A157,[1]vaccines!A:B,2)</f>
        <v>Ultragrivac</v>
      </c>
      <c r="C157" s="72" t="s">
        <v>3457</v>
      </c>
      <c r="D157" s="72" t="s">
        <v>3458</v>
      </c>
      <c r="E157" s="59">
        <v>45775</v>
      </c>
      <c r="F157" s="73">
        <v>1</v>
      </c>
      <c r="G157" s="73">
        <v>0</v>
      </c>
      <c r="H157" s="86" t="s">
        <v>1527</v>
      </c>
      <c r="I157" s="59">
        <v>45496</v>
      </c>
      <c r="J157" s="59">
        <v>45818</v>
      </c>
      <c r="K157" s="88"/>
    </row>
    <row r="158" spans="1:11" ht="171.6">
      <c r="A158" s="74">
        <v>160</v>
      </c>
      <c r="B158" s="85" t="str">
        <f>VLOOKUP(A158,[1]vaccines!A:B,2)</f>
        <v>OrniFlu</v>
      </c>
      <c r="C158" s="72" t="s">
        <v>3463</v>
      </c>
      <c r="D158" s="72" t="s">
        <v>3464</v>
      </c>
      <c r="E158" s="59">
        <v>45720</v>
      </c>
      <c r="F158" s="73">
        <v>1</v>
      </c>
      <c r="G158" s="73">
        <v>0</v>
      </c>
      <c r="H158" s="86" t="s">
        <v>1530</v>
      </c>
      <c r="I158" s="59">
        <v>45496</v>
      </c>
      <c r="J158" s="59">
        <v>45750</v>
      </c>
      <c r="K158" s="88"/>
    </row>
    <row r="159" spans="1:11" ht="198">
      <c r="A159" s="74">
        <v>161</v>
      </c>
      <c r="B159" s="85" t="str">
        <f>VLOOKUP(A159,[1]vaccines!A:B,2)</f>
        <v>rubella_Croatia</v>
      </c>
      <c r="C159" s="62" t="s">
        <v>3231</v>
      </c>
      <c r="D159" s="72" t="s">
        <v>3232</v>
      </c>
      <c r="E159" s="59">
        <v>37712</v>
      </c>
      <c r="F159" s="73">
        <v>1</v>
      </c>
      <c r="G159" s="73">
        <v>0</v>
      </c>
      <c r="H159" s="86" t="s">
        <v>1533</v>
      </c>
      <c r="I159" s="59">
        <v>45496</v>
      </c>
      <c r="J159" s="43"/>
      <c r="K159" s="88"/>
    </row>
    <row r="160" spans="1:11" ht="303.60000000000002">
      <c r="A160" s="74">
        <v>162</v>
      </c>
      <c r="B160" s="85" t="str">
        <f>VLOOKUP(A160,[1]vaccines!A:B,2)</f>
        <v>Tetraanatoxin</v>
      </c>
      <c r="C160" s="72" t="s">
        <v>3465</v>
      </c>
      <c r="D160" s="72" t="s">
        <v>3466</v>
      </c>
      <c r="E160" s="59">
        <v>45546</v>
      </c>
      <c r="F160" s="85"/>
      <c r="G160" s="85"/>
      <c r="H160" s="86" t="s">
        <v>1536</v>
      </c>
      <c r="I160" s="59">
        <v>45497</v>
      </c>
      <c r="J160" s="59">
        <v>45581</v>
      </c>
      <c r="K160" s="88"/>
    </row>
    <row r="161" spans="1:11" ht="409.6">
      <c r="A161" s="74">
        <v>163</v>
      </c>
      <c r="B161" s="85" t="str">
        <f>VLOOKUP(A161,[1]vaccines!A:B,2)</f>
        <v>Staphylococcus_Gamaleya</v>
      </c>
      <c r="C161" s="72" t="s">
        <v>3467</v>
      </c>
      <c r="D161" s="72" t="s">
        <v>3468</v>
      </c>
      <c r="E161" s="59">
        <v>45799</v>
      </c>
      <c r="F161" s="73">
        <v>1</v>
      </c>
      <c r="G161" s="73">
        <v>0</v>
      </c>
      <c r="H161" s="86" t="s">
        <v>1539</v>
      </c>
      <c r="I161" s="59">
        <v>45497</v>
      </c>
      <c r="J161" s="59">
        <v>45830</v>
      </c>
      <c r="K161" s="88"/>
    </row>
    <row r="162" spans="1:11" ht="409.6">
      <c r="A162" s="74">
        <v>164</v>
      </c>
      <c r="B162" s="85" t="str">
        <f>VLOOKUP(A162,[1]vaccines!A:B,2)</f>
        <v>Staphylococcus_therapeutic_Gamaleya</v>
      </c>
      <c r="C162" s="72" t="s">
        <v>3469</v>
      </c>
      <c r="D162" s="72" t="s">
        <v>3470</v>
      </c>
      <c r="E162" s="59">
        <v>45799</v>
      </c>
      <c r="F162" s="73">
        <v>1</v>
      </c>
      <c r="G162" s="73">
        <v>0</v>
      </c>
      <c r="H162" s="86" t="s">
        <v>1542</v>
      </c>
      <c r="I162" s="59">
        <v>45497</v>
      </c>
      <c r="J162" s="59">
        <v>45830</v>
      </c>
      <c r="K162" s="88"/>
    </row>
    <row r="163" spans="1:11" ht="409.6">
      <c r="A163" s="74">
        <v>165</v>
      </c>
      <c r="B163" s="85" t="str">
        <f>VLOOKUP(A163,[1]vaccines!A:B,2)</f>
        <v>Imuron_vac_therapeutic</v>
      </c>
      <c r="C163" s="72" t="s">
        <v>3471</v>
      </c>
      <c r="D163" s="72" t="s">
        <v>3472</v>
      </c>
      <c r="E163" s="59">
        <v>45811</v>
      </c>
      <c r="F163" s="73">
        <v>1</v>
      </c>
      <c r="G163" s="73">
        <v>0</v>
      </c>
      <c r="H163" s="86" t="s">
        <v>1545</v>
      </c>
      <c r="I163" s="59">
        <v>45497</v>
      </c>
      <c r="J163" s="59">
        <v>45861</v>
      </c>
      <c r="K163" s="88"/>
    </row>
    <row r="164" spans="1:11" ht="198">
      <c r="A164" s="74">
        <v>166</v>
      </c>
      <c r="B164" s="85" t="str">
        <f>VLOOKUP(A164,[1]vaccines!A:B,2)</f>
        <v>HepB_Serum_India_1_0</v>
      </c>
      <c r="C164" s="62" t="s">
        <v>3231</v>
      </c>
      <c r="D164" s="72" t="s">
        <v>3232</v>
      </c>
      <c r="E164" s="59">
        <v>45981</v>
      </c>
      <c r="F164" s="73">
        <v>1</v>
      </c>
      <c r="G164" s="73">
        <v>0</v>
      </c>
      <c r="H164" s="86" t="s">
        <v>1489</v>
      </c>
      <c r="I164" s="59">
        <v>45466</v>
      </c>
      <c r="J164" s="59">
        <v>46053</v>
      </c>
      <c r="K164" s="88"/>
    </row>
    <row r="165" spans="1:11" ht="409.6">
      <c r="A165" s="74">
        <v>167</v>
      </c>
      <c r="B165" s="85" t="str">
        <f>VLOOKUP(A165,[1]vaccines!A:B,2)</f>
        <v>Hexaxim</v>
      </c>
      <c r="C165" s="72" t="s">
        <v>3473</v>
      </c>
      <c r="D165" s="72" t="s">
        <v>3474</v>
      </c>
      <c r="E165" s="59">
        <v>45504</v>
      </c>
      <c r="F165" s="85"/>
      <c r="G165" s="85"/>
      <c r="H165" s="86" t="s">
        <v>1550</v>
      </c>
      <c r="I165" s="59">
        <v>45558</v>
      </c>
      <c r="J165" s="43"/>
      <c r="K165" s="88"/>
    </row>
    <row r="166" spans="1:11" ht="409.6">
      <c r="A166" s="74">
        <v>168</v>
      </c>
      <c r="B166" s="85" t="str">
        <f>VLOOKUP(A166,[1]vaccines!A:B,2)</f>
        <v>Gam_VLP_multivac</v>
      </c>
      <c r="C166" s="72" t="s">
        <v>3475</v>
      </c>
      <c r="D166" s="72" t="s">
        <v>3476</v>
      </c>
      <c r="E166" s="59">
        <v>45632</v>
      </c>
      <c r="F166" s="73">
        <v>1</v>
      </c>
      <c r="G166" s="73">
        <v>0</v>
      </c>
      <c r="H166" s="86" t="s">
        <v>1553</v>
      </c>
      <c r="I166" s="59">
        <v>45678</v>
      </c>
      <c r="J166" s="43"/>
      <c r="K166" s="88"/>
    </row>
    <row r="167" spans="1:11" ht="409.6">
      <c r="A167" s="74">
        <v>169</v>
      </c>
      <c r="B167" s="85" t="str">
        <f>VLOOKUP(A167,[1]vaccines!A:B,2)</f>
        <v>Gam_VLP_multivac_nasal</v>
      </c>
      <c r="C167" s="72" t="s">
        <v>3477</v>
      </c>
      <c r="D167" s="72" t="s">
        <v>3478</v>
      </c>
      <c r="E167" s="59">
        <v>45737</v>
      </c>
      <c r="F167" s="73">
        <v>1</v>
      </c>
      <c r="G167" s="73">
        <v>0</v>
      </c>
      <c r="H167" s="86" t="s">
        <v>1555</v>
      </c>
      <c r="I167" s="59">
        <v>45742</v>
      </c>
      <c r="J167" s="43"/>
      <c r="K167" s="88"/>
    </row>
    <row r="168" spans="1:11" ht="409.6">
      <c r="A168" s="74">
        <v>170</v>
      </c>
      <c r="B168" s="85" t="str">
        <f>VLOOKUP(A168,[1]vaccines!A:B,2)</f>
        <v>Cegardex</v>
      </c>
      <c r="C168" s="72" t="s">
        <v>3479</v>
      </c>
      <c r="D168" s="72" t="s">
        <v>3480</v>
      </c>
      <c r="E168" s="59">
        <v>45721</v>
      </c>
      <c r="F168" s="73">
        <v>1</v>
      </c>
      <c r="G168" s="73">
        <v>0</v>
      </c>
      <c r="H168" s="86" t="s">
        <v>1557</v>
      </c>
      <c r="I168" s="59">
        <v>45742</v>
      </c>
      <c r="J168" s="43"/>
      <c r="K168" s="88"/>
    </row>
    <row r="169" spans="1:11" ht="409.6">
      <c r="A169" s="74">
        <v>171</v>
      </c>
      <c r="B169" s="85" t="str">
        <f>VLOOKUP(A169,[1]vaccines!A:B,2)</f>
        <v>Menvaid</v>
      </c>
      <c r="C169" s="72" t="s">
        <v>3481</v>
      </c>
      <c r="D169" s="72" t="s">
        <v>3482</v>
      </c>
      <c r="E169" s="59">
        <v>45740</v>
      </c>
      <c r="F169" s="73">
        <v>1</v>
      </c>
      <c r="G169" s="73">
        <v>0</v>
      </c>
      <c r="H169" s="86" t="s">
        <v>1560</v>
      </c>
      <c r="I169" s="59">
        <v>45755</v>
      </c>
      <c r="J169" s="43"/>
      <c r="K169" s="88"/>
    </row>
    <row r="170" spans="1:11" ht="409.6">
      <c r="A170" s="74">
        <v>172</v>
      </c>
      <c r="B170" s="85" t="str">
        <f>VLOOKUP(A170,[1]vaccines!A:B,2)</f>
        <v>ChiroRab</v>
      </c>
      <c r="C170" s="72" t="s">
        <v>3365</v>
      </c>
      <c r="D170" s="72" t="s">
        <v>3366</v>
      </c>
      <c r="E170" s="43">
        <v>42996</v>
      </c>
      <c r="F170" s="74">
        <v>1</v>
      </c>
      <c r="G170" s="74">
        <v>0</v>
      </c>
      <c r="H170" s="89" t="s">
        <v>1321</v>
      </c>
      <c r="I170" s="43">
        <v>45818</v>
      </c>
      <c r="J170" s="43"/>
      <c r="K170" s="91" t="s">
        <v>1562</v>
      </c>
    </row>
    <row r="171" spans="1:11" ht="409.6">
      <c r="A171" s="74">
        <v>173</v>
      </c>
      <c r="B171" s="85" t="str">
        <f>VLOOKUP(A171,[1]vaccines!A:B,2)</f>
        <v>Prevenar_20</v>
      </c>
      <c r="C171" s="72" t="s">
        <v>3483</v>
      </c>
      <c r="D171" s="72" t="s">
        <v>3484</v>
      </c>
      <c r="E171" s="59">
        <v>45835</v>
      </c>
      <c r="F171" s="73">
        <v>1</v>
      </c>
      <c r="G171" s="73">
        <v>0</v>
      </c>
      <c r="H171" s="86" t="s">
        <v>1564</v>
      </c>
      <c r="I171" s="59">
        <v>45861</v>
      </c>
      <c r="J171" s="43"/>
      <c r="K171" s="88"/>
    </row>
    <row r="172" spans="1:11" ht="409.6">
      <c r="A172" s="74">
        <v>174</v>
      </c>
      <c r="B172" s="85" t="str">
        <f>VLOOKUP(A172,[1]vaccines!A:B,2)</f>
        <v>aAKDS_M</v>
      </c>
      <c r="C172" s="72" t="s">
        <v>3485</v>
      </c>
      <c r="D172" s="72" t="s">
        <v>3486</v>
      </c>
      <c r="E172" s="59">
        <v>46104</v>
      </c>
      <c r="F172" s="73">
        <v>1</v>
      </c>
      <c r="G172" s="73">
        <v>0</v>
      </c>
      <c r="H172" s="86" t="s">
        <v>1567</v>
      </c>
      <c r="I172" s="59">
        <v>46131</v>
      </c>
      <c r="J172" s="43"/>
      <c r="K172" s="88"/>
    </row>
    <row r="173" spans="1:11" ht="250.8">
      <c r="A173" s="74">
        <v>175</v>
      </c>
      <c r="B173" s="85" t="str">
        <f>VLOOKUP(A173,[1]vaccines!A:B,2)</f>
        <v>Nimenrix</v>
      </c>
      <c r="C173" s="72" t="s">
        <v>3487</v>
      </c>
      <c r="D173" s="72" t="s">
        <v>3488</v>
      </c>
      <c r="E173" s="59">
        <v>46111</v>
      </c>
      <c r="F173" s="73">
        <v>1</v>
      </c>
      <c r="G173" s="73">
        <v>0</v>
      </c>
      <c r="H173" s="86" t="s">
        <v>1570</v>
      </c>
      <c r="I173" s="59">
        <v>46131</v>
      </c>
      <c r="J173" s="43"/>
      <c r="K173" s="88"/>
    </row>
  </sheetData>
  <dataValidations count="2">
    <dataValidation type="decimal" allowBlank="1" showDropDown="1" showErrorMessage="1" sqref="F2:F6 F10:F15 F17 F19:F21 F24:F25 F29:F30 F35:F38 F40:F44 F46:F47 F50:F53 F57:F59 F63 F65 F69:F74 F76 F82 F87 F89 F91 F93 F95 F99:F101 F104:F106 F109:F110 F112:F113" xr:uid="{42001A0B-0095-499D-8665-0C684A560C5D}">
      <formula1>1</formula1>
      <formula2>15</formula2>
    </dataValidation>
    <dataValidation type="custom" allowBlank="1" showDropDown="1" showErrorMessage="1" sqref="E2:E7 E10:E15 E17 E19:E21 E24:E25 E29:E30 E35:E38 E40:E44 E46:E47 E50:E53 E55 E57:E59 E63 E65 E69:E74 E76 E82 E87 E89 E91 E93 E95 E99:E101 E104:E106 E109:E110 E112:E113 E123" xr:uid="{22B4012E-9417-4212-A829-B50EB3C5D5CB}">
      <formula1>OR(NOT(ISERROR(DATEVALUE(E2))), AND(ISNUMBER(E2), LEFT(CELL("format", E2))="D"))</formula1>
    </dataValidation>
  </dataValidations>
  <hyperlinks>
    <hyperlink ref="H2" r:id="rId1" xr:uid="{E1944AFC-A7EB-4AF3-BEBC-2866A0D580AF}"/>
    <hyperlink ref="K2" r:id="rId2" xr:uid="{25ACCB78-552F-4277-86EA-242B975E1DDB}"/>
    <hyperlink ref="H3" r:id="rId3" xr:uid="{E6610F43-7BAD-4CD7-A9AA-C42873C2B981}"/>
    <hyperlink ref="H4" r:id="rId4" xr:uid="{CE808C6A-ABAC-4853-8EB3-9091C078AFA2}"/>
    <hyperlink ref="H5" r:id="rId5" xr:uid="{057E1056-CF71-4797-A93D-F12298AB820B}"/>
    <hyperlink ref="K5" r:id="rId6" xr:uid="{F0857051-9578-470D-B665-E8D51DBBF94F}"/>
    <hyperlink ref="H6" r:id="rId7" xr:uid="{33FCB09A-780C-4D8B-A207-E53448239541}"/>
    <hyperlink ref="K6" r:id="rId8" xr:uid="{BABC48F8-89ED-440E-9E4A-7A82749A55A8}"/>
    <hyperlink ref="H7" r:id="rId9" xr:uid="{48B23C68-C673-4F32-A854-044835C23A74}"/>
    <hyperlink ref="H8" r:id="rId10" xr:uid="{B2AC6FA9-54E5-41C7-94FC-498F708C9E6C}"/>
    <hyperlink ref="H9" r:id="rId11" xr:uid="{7FC30DE0-67EA-4304-B3B1-04E37F089D63}"/>
    <hyperlink ref="H10" r:id="rId12" xr:uid="{D46DEABA-9A43-4D38-8A8B-633D13DD1732}"/>
    <hyperlink ref="H11" r:id="rId13" xr:uid="{00203B60-5E21-4627-9542-C7ADAA44CE6D}"/>
    <hyperlink ref="H12" r:id="rId14" xr:uid="{8BD5E55B-5EF7-4668-9DD4-C5A8DB66A038}"/>
    <hyperlink ref="H13" r:id="rId15" xr:uid="{09A12327-620B-440C-ABA2-DB3D2CEB3C6E}"/>
    <hyperlink ref="H14" r:id="rId16" xr:uid="{1E8494C5-5901-4F89-9908-E2D43C8AE594}"/>
    <hyperlink ref="H15" r:id="rId17" xr:uid="{04BE1517-A56F-4220-87C3-F039B976ACC4}"/>
    <hyperlink ref="K15" r:id="rId18" xr:uid="{CD043A1A-3DA1-4DF6-8E19-DCAB209DF69D}"/>
    <hyperlink ref="H16" r:id="rId19" xr:uid="{2FF0A872-AB4D-4F48-B32A-275C3E9CC083}"/>
    <hyperlink ref="H17" r:id="rId20" xr:uid="{DD54E5AB-9155-46B0-AE60-CBCFE073597C}"/>
    <hyperlink ref="H18" r:id="rId21" xr:uid="{D47B45F9-9CFC-40D9-A224-5E39CD6C09BD}"/>
    <hyperlink ref="H19" r:id="rId22" xr:uid="{C3972228-0D3E-4059-8094-B35FBE89EC9B}"/>
    <hyperlink ref="H20" r:id="rId23" xr:uid="{924AD7E7-929F-45E3-BACA-892A7D252B68}"/>
    <hyperlink ref="H21" r:id="rId24" xr:uid="{DA7F4D49-949E-442D-B031-8E5A78682AB2}"/>
    <hyperlink ref="H22" r:id="rId25" xr:uid="{6A6D61FF-3873-453D-AE71-5C96D0789BDD}"/>
    <hyperlink ref="H23" r:id="rId26" xr:uid="{B3EDBB11-805F-4486-A650-6ACF1F084F46}"/>
    <hyperlink ref="H24" r:id="rId27" xr:uid="{4E7E5656-FC54-4513-AA4C-851881419967}"/>
    <hyperlink ref="H25" r:id="rId28" xr:uid="{29D40152-6D73-4F72-A14A-B964F560AB20}"/>
    <hyperlink ref="K25" r:id="rId29" xr:uid="{85B7D4F4-2E06-4C51-AA41-32282C28D822}"/>
    <hyperlink ref="H26" r:id="rId30" xr:uid="{F8822DF3-6177-4338-9629-6C8B7664403B}"/>
    <hyperlink ref="K26" r:id="rId31" xr:uid="{E9F846CF-653D-4789-BE3E-C9EE52FAFFBF}"/>
    <hyperlink ref="H27" r:id="rId32" xr:uid="{DEBE51E7-AAAB-43C2-935E-F07B47D0A4F1}"/>
    <hyperlink ref="H28" r:id="rId33" xr:uid="{CBD4A0DB-F5B4-4493-9532-873144C76B27}"/>
    <hyperlink ref="H29" r:id="rId34" xr:uid="{C05A4E0D-7157-4A76-8176-DE47ADDA606F}"/>
    <hyperlink ref="H30" r:id="rId35" xr:uid="{D8C37862-0D0B-476F-95CE-1761529B9C6C}"/>
    <hyperlink ref="H31" r:id="rId36" xr:uid="{491CE2BF-7A3F-4A50-84AF-9827EF375B8D}"/>
    <hyperlink ref="H32" r:id="rId37" xr:uid="{58A286C1-CE6F-4E6E-A6CC-8DFE108AD5B9}"/>
    <hyperlink ref="H33" r:id="rId38" xr:uid="{43763689-F1F6-4626-82F3-8396AD89FEE6}"/>
    <hyperlink ref="H34" r:id="rId39" xr:uid="{F89C1659-69F0-4E3F-8801-B53A666700D2}"/>
    <hyperlink ref="H35" r:id="rId40" xr:uid="{5A785117-C750-4BED-A558-A77F0275FB98}"/>
    <hyperlink ref="K35" r:id="rId41" xr:uid="{26705661-4213-4E9D-AA79-4CEB4F8087D9}"/>
    <hyperlink ref="H36" r:id="rId42" xr:uid="{DF35188C-13AC-4258-8F67-F69ED43EFA5A}"/>
    <hyperlink ref="H37" r:id="rId43" xr:uid="{28F9D14D-4681-451D-90EC-3C8A8E6E63F3}"/>
    <hyperlink ref="H38" r:id="rId44" xr:uid="{45EA75C0-4B2C-475C-967E-81A73666F079}"/>
    <hyperlink ref="H39" r:id="rId45" xr:uid="{7D136965-200E-4B82-86A0-E3AC524D1D61}"/>
    <hyperlink ref="H40" r:id="rId46" xr:uid="{A08BCE3F-1B97-4314-9670-F96CE54FD116}"/>
    <hyperlink ref="H41" r:id="rId47" xr:uid="{07FC69ED-E48E-4989-8392-BDB117DBCB2A}"/>
    <hyperlink ref="H42" r:id="rId48" xr:uid="{4597B37A-9F84-4596-BBB8-F99821704D30}"/>
    <hyperlink ref="H43" r:id="rId49" xr:uid="{D64973EB-CC05-4AE0-9815-31C7F7DA952D}"/>
    <hyperlink ref="H44" r:id="rId50" xr:uid="{6A489C37-9A66-4C1A-B270-54C675EA28E7}"/>
    <hyperlink ref="H45" r:id="rId51" xr:uid="{3C1AA25F-5C49-406C-8F9A-51E7358B01E9}"/>
    <hyperlink ref="K45" r:id="rId52" xr:uid="{83312492-446B-41C0-815E-D1FE2A5D47C1}"/>
    <hyperlink ref="H46" r:id="rId53" xr:uid="{4E2CA684-B72C-4AAF-9025-5475293B6AFF}"/>
    <hyperlink ref="H47" r:id="rId54" xr:uid="{656A79F1-BF5A-4DE7-8ADB-D822A4A4085E}"/>
    <hyperlink ref="H48" r:id="rId55" xr:uid="{B8BFBBD5-071F-4E29-A96D-9AC6AADB9681}"/>
    <hyperlink ref="H49" r:id="rId56" xr:uid="{0BB611BE-EB8E-4DF7-B47F-AF18B22BF18B}"/>
    <hyperlink ref="H50" r:id="rId57" xr:uid="{23AB479C-0B02-4FFB-B3F5-93FB40C8FF3B}"/>
    <hyperlink ref="H51" r:id="rId58" xr:uid="{64B08E0A-7299-4ED0-A674-5D354D376D88}"/>
    <hyperlink ref="H52" r:id="rId59" xr:uid="{FFF41162-B0DF-40AB-ABF9-C69E26A219E0}"/>
    <hyperlink ref="H53" r:id="rId60" xr:uid="{B170A286-D3CB-4C0E-960F-0787050BBE73}"/>
    <hyperlink ref="H54" r:id="rId61" xr:uid="{D4C9F365-C4A6-4370-98C9-4DBFFAE1AF51}"/>
    <hyperlink ref="H55" r:id="rId62" xr:uid="{B38A7DDD-7B18-4991-BDA6-DF303E20413F}"/>
    <hyperlink ref="K55" r:id="rId63" xr:uid="{289D328F-70C2-41C6-B101-60EC01CC913E}"/>
    <hyperlink ref="H56" r:id="rId64" xr:uid="{468A9E9B-0045-44BF-A4DF-4F90C29B381C}"/>
    <hyperlink ref="H57" r:id="rId65" xr:uid="{408E7F59-0554-402C-9742-A0BD14A3A1DF}"/>
    <hyperlink ref="H58" r:id="rId66" xr:uid="{60EDABAC-878F-42A3-B17A-AA15FED24269}"/>
    <hyperlink ref="H59" r:id="rId67" xr:uid="{AF5BC2A6-8DB9-4046-A87C-1BBBAD4725B6}"/>
    <hyperlink ref="H60" r:id="rId68" xr:uid="{5C7514B6-8DEE-466B-88EF-70115121E10B}"/>
    <hyperlink ref="H61" r:id="rId69" xr:uid="{F12B197E-08B9-454A-9B99-C03A91905FDE}"/>
    <hyperlink ref="H62" r:id="rId70" xr:uid="{BDCB9464-B893-4AB1-BEC5-64EA94784E1B}"/>
    <hyperlink ref="H63" r:id="rId71" xr:uid="{79200169-A56C-4A40-987F-A7A25E86D98C}"/>
    <hyperlink ref="H64" r:id="rId72" xr:uid="{B2E6284D-610D-4DAA-A58F-6A0792A78F00}"/>
    <hyperlink ref="H65" r:id="rId73" xr:uid="{3BF74EF3-477C-44A1-A528-91D105761E69}"/>
    <hyperlink ref="K65" r:id="rId74" xr:uid="{905FA88D-D528-4882-9CF1-D08DC6932FEF}"/>
    <hyperlink ref="H66" r:id="rId75" xr:uid="{71C8FA5B-C739-4D76-B4A7-7570DCB4D675}"/>
    <hyperlink ref="H67" r:id="rId76" xr:uid="{DDC86522-B038-477B-8C4C-49084B14053B}"/>
    <hyperlink ref="H68" r:id="rId77" xr:uid="{60C62391-096D-486A-9CF8-F3A3A380F2C7}"/>
    <hyperlink ref="H69" r:id="rId78" xr:uid="{67D57CD1-EF68-4433-A048-176ED683EFEC}"/>
    <hyperlink ref="H70" r:id="rId79" xr:uid="{A03EAC7D-A372-4C1A-B30C-821D5246B61A}"/>
    <hyperlink ref="H71" r:id="rId80" xr:uid="{B777057B-6B72-4CCE-870E-A4AE788E56CD}"/>
    <hyperlink ref="H72" r:id="rId81" xr:uid="{826EC3E3-151B-474C-9596-ECC96256D1B0}"/>
    <hyperlink ref="H73" r:id="rId82" xr:uid="{D3BDCA86-9045-4A0C-B64D-85DB2B38DFEE}"/>
    <hyperlink ref="H74" r:id="rId83" xr:uid="{90EE3A80-7B4F-4C76-8AFE-9AEC2766A69A}"/>
    <hyperlink ref="H75" r:id="rId84" xr:uid="{442060C7-DC76-4D0D-BF99-73749D2331AD}"/>
    <hyperlink ref="K75" r:id="rId85" xr:uid="{9E70D100-D9B1-4A45-BF36-80C84FD0F770}"/>
    <hyperlink ref="H76" r:id="rId86" xr:uid="{F3BE0C2B-7027-4280-A90C-A50624A47152}"/>
    <hyperlink ref="H77" r:id="rId87" xr:uid="{0800C82E-C118-468C-A0FF-637799BD480D}"/>
    <hyperlink ref="H78" r:id="rId88" xr:uid="{91C2FD46-B78E-4B6E-B757-36AA9C77757F}"/>
    <hyperlink ref="H79" r:id="rId89" xr:uid="{C0D495B7-071F-467D-A306-F5AB268494A6}"/>
    <hyperlink ref="H80" r:id="rId90" xr:uid="{3735DC24-50C0-45DF-B005-F81A87B93AC4}"/>
    <hyperlink ref="H81" r:id="rId91" xr:uid="{0EE7574E-69CC-48DC-920A-EBDD140CFE20}"/>
    <hyperlink ref="H82" r:id="rId92" xr:uid="{B2C29C67-781A-4897-BB8B-3D97E003A908}"/>
    <hyperlink ref="H83" r:id="rId93" xr:uid="{B7B967FA-2838-4946-B403-95C68B8E4930}"/>
    <hyperlink ref="H84" r:id="rId94" xr:uid="{120DA3CD-70BF-4F34-927E-53E520E24B14}"/>
    <hyperlink ref="H85" r:id="rId95" xr:uid="{7A2F6889-C67F-4362-8789-224770093EFB}"/>
    <hyperlink ref="K85" r:id="rId96" xr:uid="{BCA45F6D-1125-4C1E-ABE8-B1F3A5D66C54}"/>
    <hyperlink ref="H86" r:id="rId97" xr:uid="{23EC0D26-C9E7-4596-B8B0-A3BCF03EDC5B}"/>
    <hyperlink ref="H87" r:id="rId98" xr:uid="{64641466-7BB6-4447-AF4E-AD835368EA17}"/>
    <hyperlink ref="H88" r:id="rId99" xr:uid="{ED1F51CF-3A9C-40D7-9A5C-EE04A8ACE308}"/>
    <hyperlink ref="H89" r:id="rId100" xr:uid="{237234A3-0F24-4B42-B085-04789DE4B1AE}"/>
    <hyperlink ref="H90" r:id="rId101" xr:uid="{6A14168F-80E6-441B-95C5-6EDAC0391D51}"/>
    <hyperlink ref="H91" r:id="rId102" xr:uid="{421CB55B-FDAE-49FA-873B-2DB5F21C1E7D}"/>
    <hyperlink ref="H92" r:id="rId103" xr:uid="{67F49C8A-6A8D-40C9-8C16-2608ACAE1E32}"/>
    <hyperlink ref="H93" r:id="rId104" xr:uid="{52AAE19B-E97E-4210-AEEC-8D36381B93AF}"/>
    <hyperlink ref="H94" r:id="rId105" xr:uid="{751B32BE-CD29-47A1-A00A-C3F2219CB9C6}"/>
    <hyperlink ref="H95" r:id="rId106" xr:uid="{A2AE8E42-EB4C-4C16-ADD5-A7423288D031}"/>
    <hyperlink ref="K95" r:id="rId107" xr:uid="{5755DA03-C821-4933-9465-79776488A73E}"/>
    <hyperlink ref="H96" r:id="rId108" xr:uid="{DB268C1E-DBD0-4AB4-9E02-49A665B2BF4C}"/>
    <hyperlink ref="H97" r:id="rId109" xr:uid="{C427E2E5-65A7-4A88-B93B-D282C4576559}"/>
    <hyperlink ref="H98" r:id="rId110" xr:uid="{1912633F-839B-466C-94C8-CEA09051EB70}"/>
    <hyperlink ref="H99" r:id="rId111" xr:uid="{374FB5DA-DB49-4DAC-9C25-458BEB5621F6}"/>
    <hyperlink ref="H100" r:id="rId112" xr:uid="{5A1F415D-3B28-41ED-8AB0-C26C6EB1A4C9}"/>
    <hyperlink ref="H101" r:id="rId113" xr:uid="{2F52CEC1-A315-41CB-8A78-0FFB18CB9142}"/>
    <hyperlink ref="H102" r:id="rId114" xr:uid="{BF0F785A-E498-4B70-A219-0531DC9CBF7B}"/>
    <hyperlink ref="H103" r:id="rId115" xr:uid="{1DCDB3CC-33CE-4A94-95D1-C67588F61063}"/>
    <hyperlink ref="H104" r:id="rId116" xr:uid="{4AA85D25-EFAD-43FC-8FB3-51CFD53577FD}"/>
    <hyperlink ref="H105" r:id="rId117" xr:uid="{DA5E6C28-66D6-4969-83E5-0B1C37B328B1}"/>
    <hyperlink ref="K105" r:id="rId118" xr:uid="{DE72E9EA-00F3-481F-AA0A-45EAE8DA269D}"/>
    <hyperlink ref="H106" r:id="rId119" xr:uid="{0F270FC0-086C-44A0-A2B6-34E8CDC52859}"/>
    <hyperlink ref="H107" r:id="rId120" xr:uid="{ACB2D9E9-2F3F-4D98-B567-5700F39D7515}"/>
    <hyperlink ref="H108" r:id="rId121" xr:uid="{9CE41FC8-96AD-4099-9E04-D368513636FC}"/>
    <hyperlink ref="H109" r:id="rId122" xr:uid="{C99D9134-85B5-4137-ADA5-F20316DAC0B6}"/>
    <hyperlink ref="H110" r:id="rId123" xr:uid="{5D44B0B4-4FCA-4F98-BBAF-F1EA75CB2EF7}"/>
    <hyperlink ref="H111" r:id="rId124" xr:uid="{FD81E50F-1431-4078-88AE-C7A65CFC54B0}"/>
    <hyperlink ref="H112" r:id="rId125" xr:uid="{FBFE588C-D0F2-455B-BF31-D33CE367F1B2}"/>
    <hyperlink ref="H113" r:id="rId126" xr:uid="{40768E2B-9901-4B27-9603-81DEE6FC05C5}"/>
    <hyperlink ref="H114" r:id="rId127" xr:uid="{B7A11049-824F-451C-8748-5F8718948B41}"/>
    <hyperlink ref="H115" r:id="rId128" xr:uid="{A896CCFC-3D47-4F06-AD6C-8249B9F7A8E1}"/>
    <hyperlink ref="K115" r:id="rId129" xr:uid="{D0F28A13-FF19-4D73-BE5C-350699DF4C88}"/>
    <hyperlink ref="H116" r:id="rId130" xr:uid="{74A4EE9A-8545-4867-B391-E009FDC71FC8}"/>
    <hyperlink ref="H117" r:id="rId131" xr:uid="{44CF9A4C-E72A-4601-BAC4-8E58D01AFE39}"/>
    <hyperlink ref="H118" r:id="rId132" xr:uid="{C6E750E3-29E0-458B-845F-7315150312A2}"/>
    <hyperlink ref="H119" r:id="rId133" xr:uid="{75DE0F24-16FE-436F-9E96-71C8C88A8E44}"/>
    <hyperlink ref="H120" r:id="rId134" xr:uid="{F1CF939D-8469-40AE-A489-0C11CB499870}"/>
    <hyperlink ref="H121" r:id="rId135" xr:uid="{9A35F3BC-2B99-4F3F-9011-858B9332F2CE}"/>
    <hyperlink ref="K121" r:id="rId136" xr:uid="{52549EEB-DECF-4E38-AEE6-35C976EDB88B}"/>
    <hyperlink ref="H122" r:id="rId137" xr:uid="{377430D7-0903-476D-BC64-FD52408F68C8}"/>
    <hyperlink ref="H123" r:id="rId138" xr:uid="{EFE10971-7B14-4FEB-93F6-068D1CD9D36D}"/>
    <hyperlink ref="H124" r:id="rId139" xr:uid="{1197724A-8841-4AF7-8C7E-294D5BCFB532}"/>
    <hyperlink ref="K124" r:id="rId140" xr:uid="{E3E8F4B0-0E74-44EF-B90D-3881EDF32377}"/>
    <hyperlink ref="H125" r:id="rId141" xr:uid="{E9A3858D-540D-45D4-B07D-8411E01F9552}"/>
    <hyperlink ref="H126" r:id="rId142" xr:uid="{5FB9D6E8-6E3B-41BB-8419-38888A0E4120}"/>
    <hyperlink ref="H127" r:id="rId143" xr:uid="{2F066DF5-3F2F-44D6-9016-55B88A450258}"/>
    <hyperlink ref="H128" r:id="rId144" xr:uid="{49B46A0D-B348-4536-8AFB-E16A1E3F7399}"/>
    <hyperlink ref="H129" r:id="rId145" xr:uid="{326CB06D-FB43-40E0-9102-57446EE5B305}"/>
    <hyperlink ref="H130" r:id="rId146" xr:uid="{409717D6-87B5-4ABD-9788-5EB77E817BEB}"/>
    <hyperlink ref="H131" r:id="rId147" xr:uid="{9386A599-2041-4CC3-82D1-AFA594F28F99}"/>
    <hyperlink ref="H132" r:id="rId148" xr:uid="{6AB315A9-8308-462E-810B-499CB3E94B7E}"/>
    <hyperlink ref="H133" r:id="rId149" xr:uid="{8F20BA06-AF75-45D2-B29F-AC4157242907}"/>
    <hyperlink ref="H134" r:id="rId150" xr:uid="{F901A362-759A-4EEB-A917-0E660DAAB0F7}"/>
    <hyperlink ref="H135" r:id="rId151" xr:uid="{290A0F45-2C45-40B0-81A7-45326E76991D}"/>
    <hyperlink ref="H136" r:id="rId152" xr:uid="{234291FB-E9E5-440E-90BD-7CDAEA9C337B}"/>
    <hyperlink ref="H137" r:id="rId153" xr:uid="{EB538A82-7D5D-4BA8-8C61-1CEB4AF98EF9}"/>
    <hyperlink ref="H138" r:id="rId154" xr:uid="{6A3448AC-7420-40C1-BAEF-5164DFB8663B}"/>
    <hyperlink ref="H139" r:id="rId155" xr:uid="{D277109B-2C56-4D15-A3B0-5312EA2070EF}"/>
    <hyperlink ref="H140" r:id="rId156" xr:uid="{2E7FD14B-495B-4C5C-867A-08C7409CC35E}"/>
    <hyperlink ref="H141" r:id="rId157" xr:uid="{5241036E-E5ED-4099-9153-5D3FB6EA3ADC}"/>
    <hyperlink ref="H142" r:id="rId158" xr:uid="{A6F8FF72-8D32-4CD8-8F87-9A4C3B19265C}"/>
    <hyperlink ref="H143" r:id="rId159" xr:uid="{3E30A883-D605-4DC6-9388-E751FB7A23BC}"/>
    <hyperlink ref="H144" r:id="rId160" xr:uid="{6D00345D-5469-4944-9D83-2912AE80FD18}"/>
    <hyperlink ref="H145" r:id="rId161" xr:uid="{DC120396-190A-4D7E-93E6-49929F98CE12}"/>
    <hyperlink ref="H146" r:id="rId162" xr:uid="{8F8948D4-FCE2-414C-90A7-1EBBE0C5C825}"/>
    <hyperlink ref="H147" r:id="rId163" xr:uid="{39D36D9D-0390-4783-8E8C-6FAFEAE0E7A3}"/>
    <hyperlink ref="H148" r:id="rId164" xr:uid="{BFE47483-D424-4523-A526-8525C42FB506}"/>
    <hyperlink ref="H149" r:id="rId165" xr:uid="{0CB9C2F0-9402-4881-8BA7-B9BE17E5DE8B}"/>
    <hyperlink ref="H150" r:id="rId166" xr:uid="{B600FC80-81B9-4691-812B-DBF1EE5F1BEF}"/>
    <hyperlink ref="H151" r:id="rId167" xr:uid="{82E49037-0F09-4969-949A-AC0641FC2491}"/>
    <hyperlink ref="H152" r:id="rId168" xr:uid="{AA2CED92-8627-4205-AB99-416AB6BC3ECB}"/>
    <hyperlink ref="H153" r:id="rId169" xr:uid="{235476C2-3FC1-4EDE-8E85-B72904BA36D3}"/>
    <hyperlink ref="H154" r:id="rId170" xr:uid="{ABC02634-3EC6-499A-B9BD-A677F3647877}"/>
    <hyperlink ref="H155" r:id="rId171" xr:uid="{450608BE-0E26-4880-9716-67A89FAEDB20}"/>
    <hyperlink ref="H156" r:id="rId172" xr:uid="{CA3D4B97-AFCF-4BBF-B299-BEB09612BE57}"/>
    <hyperlink ref="H157" r:id="rId173" xr:uid="{0241563E-FCD7-47F6-BB42-183666C4C27B}"/>
    <hyperlink ref="H158" r:id="rId174" xr:uid="{0369E214-E3C2-42E5-ACB8-4BB6E44B95D5}"/>
    <hyperlink ref="H159" r:id="rId175" xr:uid="{CE9527D4-857F-4CD2-A994-F11D3C7094BC}"/>
    <hyperlink ref="H160" r:id="rId176" xr:uid="{068E42E2-3EEB-419C-9B52-4A65B272A120}"/>
    <hyperlink ref="H161" r:id="rId177" xr:uid="{2C08FE7C-D8C1-47B4-932B-A9E864A0A3DB}"/>
    <hyperlink ref="H162" r:id="rId178" xr:uid="{C772D5F6-7227-413E-96F3-F74C72036C2B}"/>
    <hyperlink ref="H163" r:id="rId179" xr:uid="{4828B513-7566-41E0-A7D6-7593C1C61BDE}"/>
    <hyperlink ref="H164" r:id="rId180" xr:uid="{F01AD68C-DF25-4C0C-AE3E-F8C141BBF099}"/>
    <hyperlink ref="H165" r:id="rId181" xr:uid="{8E202A4D-BF76-4A6E-A429-AC20B2AD39AD}"/>
    <hyperlink ref="H166" r:id="rId182" xr:uid="{50B7AA2F-6BBB-43F3-AEC3-ED80EAA9E9E1}"/>
    <hyperlink ref="H167" r:id="rId183" xr:uid="{095601C5-484D-41A6-9CAB-41CA354ECD95}"/>
    <hyperlink ref="H168" r:id="rId184" xr:uid="{32C4D02C-4261-4748-BD3F-E8E1156CDDFC}"/>
    <hyperlink ref="H169" r:id="rId185" xr:uid="{010C8AA4-A406-4064-9594-70CF133B154B}"/>
    <hyperlink ref="H170" r:id="rId186" xr:uid="{2B966CB1-86C3-4EC2-8355-292093A49D31}"/>
    <hyperlink ref="H171" r:id="rId187" xr:uid="{2E0FC28E-B0B3-44F5-997D-86707D4255C2}"/>
    <hyperlink ref="H172" r:id="rId188" xr:uid="{BA792405-B1B8-4977-9F95-9B8F57A2C3EA}"/>
    <hyperlink ref="H173" r:id="rId189" xr:uid="{192BCAC6-8A32-4649-83B5-15AC1A6AC9C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011BA-6E7D-4BB3-8BBB-2387380D171F}">
  <dimension ref="A1:K173"/>
  <sheetViews>
    <sheetView workbookViewId="0">
      <selection sqref="A1:K173"/>
    </sheetView>
  </sheetViews>
  <sheetFormatPr defaultRowHeight="13.2"/>
  <sheetData>
    <row r="1" spans="1:11" ht="52.8">
      <c r="A1" s="71" t="s">
        <v>1070</v>
      </c>
      <c r="B1" s="71" t="s">
        <v>1</v>
      </c>
      <c r="C1" s="71" t="s">
        <v>3489</v>
      </c>
      <c r="D1" s="71" t="s">
        <v>3490</v>
      </c>
      <c r="E1" s="71" t="s">
        <v>3491</v>
      </c>
      <c r="F1" s="71" t="s">
        <v>3492</v>
      </c>
      <c r="G1" s="71" t="s">
        <v>3493</v>
      </c>
      <c r="H1" s="71" t="s">
        <v>3494</v>
      </c>
      <c r="I1" s="3" t="s">
        <v>10</v>
      </c>
      <c r="J1" s="3" t="s">
        <v>11</v>
      </c>
      <c r="K1" s="71" t="s">
        <v>1076</v>
      </c>
    </row>
    <row r="2" spans="1:11" ht="409.6">
      <c r="A2" s="73">
        <v>1</v>
      </c>
      <c r="B2" s="65" t="str">
        <f>VLOOKUP(A2,[1]vaccines!A:B,2)</f>
        <v>BCG_Microgen</v>
      </c>
      <c r="C2" s="72" t="s">
        <v>3495</v>
      </c>
      <c r="D2" s="72" t="s">
        <v>3496</v>
      </c>
      <c r="E2" s="59">
        <v>45461</v>
      </c>
      <c r="F2" s="85"/>
      <c r="G2" s="85"/>
      <c r="H2" s="86" t="s">
        <v>1079</v>
      </c>
      <c r="I2" s="59">
        <v>45156</v>
      </c>
      <c r="J2" s="66">
        <v>45517</v>
      </c>
      <c r="K2" s="87" t="s">
        <v>2554</v>
      </c>
    </row>
    <row r="3" spans="1:11" ht="409.6">
      <c r="A3" s="73">
        <v>2</v>
      </c>
      <c r="B3" s="65" t="str">
        <f>VLOOKUP(A3,[1]vaccines!A:B,2)</f>
        <v>BCG_M_Microgen</v>
      </c>
      <c r="C3" s="72" t="s">
        <v>3497</v>
      </c>
      <c r="D3" s="72" t="s">
        <v>3498</v>
      </c>
      <c r="E3" s="59">
        <v>45461</v>
      </c>
      <c r="F3" s="85"/>
      <c r="G3" s="85"/>
      <c r="H3" s="86" t="s">
        <v>1082</v>
      </c>
      <c r="I3" s="59">
        <v>45108</v>
      </c>
      <c r="J3" s="66">
        <v>45517</v>
      </c>
      <c r="K3" s="88"/>
    </row>
    <row r="4" spans="1:11" ht="409.6">
      <c r="A4" s="73">
        <v>3</v>
      </c>
      <c r="B4" s="65" t="str">
        <f>VLOOKUP(A4,[1]vaccines!A:B,2)</f>
        <v>BCG_Gamaleya</v>
      </c>
      <c r="C4" s="72" t="s">
        <v>3499</v>
      </c>
      <c r="D4" s="72" t="s">
        <v>3500</v>
      </c>
      <c r="E4" s="59">
        <v>45769</v>
      </c>
      <c r="F4" s="73">
        <v>1</v>
      </c>
      <c r="G4" s="73">
        <v>0</v>
      </c>
      <c r="H4" s="86" t="s">
        <v>1085</v>
      </c>
      <c r="I4" s="59">
        <v>45108</v>
      </c>
      <c r="J4" s="66">
        <v>45801</v>
      </c>
      <c r="K4" s="88"/>
    </row>
    <row r="5" spans="1:11" ht="409.6">
      <c r="A5" s="73">
        <v>4</v>
      </c>
      <c r="B5" s="65" t="str">
        <f>VLOOKUP(A5,[1]vaccines!A:B,2)</f>
        <v>BCG_M_Gamaleya</v>
      </c>
      <c r="C5" s="72" t="s">
        <v>3501</v>
      </c>
      <c r="D5" s="72" t="s">
        <v>3502</v>
      </c>
      <c r="E5" s="59">
        <v>45771</v>
      </c>
      <c r="F5" s="73">
        <v>1</v>
      </c>
      <c r="G5" s="73">
        <v>0</v>
      </c>
      <c r="H5" s="86" t="s">
        <v>1088</v>
      </c>
      <c r="I5" s="59">
        <f>I4</f>
        <v>45108</v>
      </c>
      <c r="J5" s="66">
        <v>45818</v>
      </c>
      <c r="K5" s="88"/>
    </row>
    <row r="6" spans="1:11" ht="409.6">
      <c r="A6" s="73">
        <v>5</v>
      </c>
      <c r="B6" s="65" t="str">
        <f>VLOOKUP(A6,[1]vaccines!A:B,2)</f>
        <v>Infanrix</v>
      </c>
      <c r="C6" s="72" t="s">
        <v>3503</v>
      </c>
      <c r="D6" s="72" t="s">
        <v>3504</v>
      </c>
      <c r="E6" s="59">
        <v>44211</v>
      </c>
      <c r="F6" s="85"/>
      <c r="G6" s="85"/>
      <c r="H6" s="86" t="s">
        <v>1091</v>
      </c>
      <c r="I6" s="59">
        <v>45105</v>
      </c>
      <c r="J6" s="66">
        <v>45481</v>
      </c>
      <c r="K6" s="87" t="s">
        <v>2554</v>
      </c>
    </row>
    <row r="7" spans="1:11" ht="409.6">
      <c r="A7" s="73">
        <v>6</v>
      </c>
      <c r="B7" s="65" t="str">
        <f>VLOOKUP(A7,[1]vaccines!A:B,2)</f>
        <v>AKDS_Microgen</v>
      </c>
      <c r="C7" s="72" t="s">
        <v>3505</v>
      </c>
      <c r="D7" s="72" t="s">
        <v>3506</v>
      </c>
      <c r="E7" s="66">
        <v>45415</v>
      </c>
      <c r="F7" s="85"/>
      <c r="G7" s="85"/>
      <c r="H7" s="86" t="s">
        <v>1094</v>
      </c>
      <c r="I7" s="43">
        <v>45115</v>
      </c>
      <c r="J7" s="43">
        <v>45461</v>
      </c>
      <c r="K7" s="87" t="s">
        <v>2557</v>
      </c>
    </row>
    <row r="8" spans="1:11" ht="369.6">
      <c r="A8" s="73">
        <v>7</v>
      </c>
      <c r="B8" s="65" t="str">
        <f>VLOOKUP(A8,[1]vaccines!A:B,2)</f>
        <v>AKDS_Biomed</v>
      </c>
      <c r="C8" s="72" t="s">
        <v>3507</v>
      </c>
      <c r="D8" s="72" t="s">
        <v>3508</v>
      </c>
      <c r="E8" s="43">
        <v>41388</v>
      </c>
      <c r="F8" s="74">
        <v>1</v>
      </c>
      <c r="G8" s="74">
        <v>0</v>
      </c>
      <c r="H8" s="89" t="s">
        <v>1097</v>
      </c>
      <c r="I8" s="43">
        <v>45115</v>
      </c>
      <c r="J8" s="43"/>
      <c r="K8" s="88"/>
    </row>
    <row r="9" spans="1:11" ht="409.2">
      <c r="A9" s="73">
        <v>8</v>
      </c>
      <c r="B9" s="65" t="str">
        <f>VLOOKUP(A9,[1]vaccines!A:B,2)</f>
        <v>Bubo_kok</v>
      </c>
      <c r="C9" s="72" t="s">
        <v>3509</v>
      </c>
      <c r="D9" s="72" t="s">
        <v>3510</v>
      </c>
      <c r="E9" s="43">
        <v>40395</v>
      </c>
      <c r="F9" s="74">
        <v>1</v>
      </c>
      <c r="G9" s="74">
        <v>0</v>
      </c>
      <c r="H9" s="89" t="s">
        <v>1100</v>
      </c>
      <c r="I9" s="43">
        <v>45115</v>
      </c>
      <c r="J9" s="43"/>
      <c r="K9" s="88"/>
    </row>
    <row r="10" spans="1:11" ht="409.6">
      <c r="A10" s="73">
        <v>9</v>
      </c>
      <c r="B10" s="65" t="str">
        <f>VLOOKUP(A10,[1]vaccines!A:B,2)</f>
        <v>Pentaxim</v>
      </c>
      <c r="C10" s="72" t="s">
        <v>3511</v>
      </c>
      <c r="D10" s="72" t="s">
        <v>3512</v>
      </c>
      <c r="E10" s="59">
        <v>45980</v>
      </c>
      <c r="F10" s="73">
        <v>1</v>
      </c>
      <c r="G10" s="73">
        <v>0</v>
      </c>
      <c r="H10" s="86" t="s">
        <v>1104</v>
      </c>
      <c r="I10" s="59">
        <f t="shared" ref="I10:I11" si="0">I9</f>
        <v>45115</v>
      </c>
      <c r="J10" s="66">
        <v>46204</v>
      </c>
      <c r="K10" s="88"/>
    </row>
    <row r="11" spans="1:11" ht="409.6">
      <c r="A11" s="73">
        <v>10</v>
      </c>
      <c r="B11" s="65" t="str">
        <f>VLOOKUP(A11,[1]vaccines!A:B,2)</f>
        <v>Infanrix_Hexa</v>
      </c>
      <c r="C11" s="72" t="s">
        <v>3513</v>
      </c>
      <c r="D11" s="72" t="s">
        <v>3514</v>
      </c>
      <c r="E11" s="59">
        <v>45953</v>
      </c>
      <c r="F11" s="73">
        <v>1</v>
      </c>
      <c r="G11" s="73">
        <v>0</v>
      </c>
      <c r="H11" s="86" t="s">
        <v>1108</v>
      </c>
      <c r="I11" s="59">
        <f t="shared" si="0"/>
        <v>45115</v>
      </c>
      <c r="J11" s="66">
        <v>46000</v>
      </c>
      <c r="K11" s="88"/>
    </row>
    <row r="12" spans="1:11" ht="409.6">
      <c r="A12" s="73">
        <v>11</v>
      </c>
      <c r="B12" s="65" t="str">
        <f>VLOOKUP(A12,[1]vaccines!A:B,2)</f>
        <v>Bubo_M</v>
      </c>
      <c r="C12" s="72" t="s">
        <v>3515</v>
      </c>
      <c r="D12" s="72" t="s">
        <v>3516</v>
      </c>
      <c r="E12" s="59">
        <v>46136</v>
      </c>
      <c r="F12" s="73">
        <v>1</v>
      </c>
      <c r="G12" s="73">
        <v>0</v>
      </c>
      <c r="H12" s="86" t="s">
        <v>1111</v>
      </c>
      <c r="I12" s="59">
        <v>45116</v>
      </c>
      <c r="J12" s="66">
        <v>46188</v>
      </c>
      <c r="K12" s="88"/>
    </row>
    <row r="13" spans="1:11" ht="409.6">
      <c r="A13" s="73">
        <v>12</v>
      </c>
      <c r="B13" s="65" t="str">
        <f>VLOOKUP(A13,[1]vaccines!A:B,2)</f>
        <v>AD_M_Microgen</v>
      </c>
      <c r="C13" s="72" t="s">
        <v>3517</v>
      </c>
      <c r="D13" s="72" t="s">
        <v>3518</v>
      </c>
      <c r="E13" s="59">
        <v>45482</v>
      </c>
      <c r="F13" s="85"/>
      <c r="G13" s="85"/>
      <c r="H13" s="86" t="s">
        <v>1114</v>
      </c>
      <c r="I13" s="59">
        <f t="shared" ref="I13:I15" si="1">I12</f>
        <v>45116</v>
      </c>
      <c r="J13" s="66">
        <v>45518</v>
      </c>
      <c r="K13" s="88"/>
    </row>
    <row r="14" spans="1:11" ht="409.6">
      <c r="A14" s="73">
        <v>13</v>
      </c>
      <c r="B14" s="65" t="str">
        <f>VLOOKUP(A14,[1]vaccines!A:B,2)</f>
        <v>ADS_Microgen</v>
      </c>
      <c r="C14" s="72" t="s">
        <v>3519</v>
      </c>
      <c r="D14" s="72" t="s">
        <v>3520</v>
      </c>
      <c r="E14" s="59">
        <v>45488</v>
      </c>
      <c r="F14" s="85"/>
      <c r="G14" s="85"/>
      <c r="H14" s="86" t="s">
        <v>1117</v>
      </c>
      <c r="I14" s="59">
        <f t="shared" si="1"/>
        <v>45116</v>
      </c>
      <c r="J14" s="66">
        <v>45518</v>
      </c>
      <c r="K14" s="88"/>
    </row>
    <row r="15" spans="1:11" ht="409.6">
      <c r="A15" s="73">
        <v>14</v>
      </c>
      <c r="B15" s="65" t="str">
        <f>VLOOKUP(A15,[1]vaccines!A:B,2)</f>
        <v>ADS_M_Microgen</v>
      </c>
      <c r="C15" s="72" t="s">
        <v>3521</v>
      </c>
      <c r="D15" s="72" t="s">
        <v>3522</v>
      </c>
      <c r="E15" s="59">
        <v>45623</v>
      </c>
      <c r="F15" s="73">
        <v>1</v>
      </c>
      <c r="G15" s="73">
        <v>0</v>
      </c>
      <c r="H15" s="86" t="s">
        <v>1121</v>
      </c>
      <c r="I15" s="59">
        <f t="shared" si="1"/>
        <v>45116</v>
      </c>
      <c r="J15" s="66">
        <v>45861</v>
      </c>
      <c r="K15" s="88"/>
    </row>
    <row r="16" spans="1:11" ht="264">
      <c r="A16" s="73">
        <v>15</v>
      </c>
      <c r="B16" s="65" t="str">
        <f>VLOOKUP(A16,[1]vaccines!A:B,2)</f>
        <v>ADS_M_Biomed</v>
      </c>
      <c r="C16" s="72" t="s">
        <v>3523</v>
      </c>
      <c r="D16" s="72" t="s">
        <v>3524</v>
      </c>
      <c r="E16" s="43">
        <v>41046</v>
      </c>
      <c r="F16" s="74">
        <v>1</v>
      </c>
      <c r="G16" s="74">
        <v>0</v>
      </c>
      <c r="H16" s="89" t="s">
        <v>1124</v>
      </c>
      <c r="I16" s="43">
        <v>45116</v>
      </c>
      <c r="J16" s="43"/>
      <c r="K16" s="87" t="s">
        <v>2557</v>
      </c>
    </row>
    <row r="17" spans="1:11" ht="409.6">
      <c r="A17" s="73">
        <v>16</v>
      </c>
      <c r="B17" s="65" t="str">
        <f>VLOOKUP(A17,[1]vaccines!A:B,2)</f>
        <v>Adacel</v>
      </c>
      <c r="C17" s="72" t="s">
        <v>3525</v>
      </c>
      <c r="D17" s="72" t="s">
        <v>3526</v>
      </c>
      <c r="E17" s="59">
        <v>45456</v>
      </c>
      <c r="F17" s="85"/>
      <c r="G17" s="85"/>
      <c r="H17" s="86" t="s">
        <v>1127</v>
      </c>
      <c r="I17" s="59">
        <v>45117</v>
      </c>
      <c r="J17" s="66">
        <v>45589</v>
      </c>
      <c r="K17" s="88"/>
    </row>
    <row r="18" spans="1:11" ht="409.6">
      <c r="A18" s="73">
        <v>17</v>
      </c>
      <c r="B18" s="65" t="str">
        <f>VLOOKUP(A18,[1]vaccines!A:B,2)</f>
        <v>Algavac_M</v>
      </c>
      <c r="C18" s="72" t="s">
        <v>3527</v>
      </c>
      <c r="D18" s="72" t="s">
        <v>3528</v>
      </c>
      <c r="E18" s="43">
        <v>43369</v>
      </c>
      <c r="F18" s="74">
        <v>1</v>
      </c>
      <c r="G18" s="74">
        <v>0</v>
      </c>
      <c r="H18" s="89" t="s">
        <v>1130</v>
      </c>
      <c r="I18" s="43">
        <v>45117</v>
      </c>
      <c r="J18" s="43"/>
      <c r="K18" s="88"/>
    </row>
    <row r="19" spans="1:11" ht="409.6">
      <c r="A19" s="73">
        <v>18</v>
      </c>
      <c r="B19" s="65" t="str">
        <f>VLOOKUP(A19,[1]vaccines!A:B,2)</f>
        <v>Algavac</v>
      </c>
      <c r="C19" s="72" t="s">
        <v>3529</v>
      </c>
      <c r="D19" s="72" t="s">
        <v>3530</v>
      </c>
      <c r="E19" s="59">
        <v>46111</v>
      </c>
      <c r="F19" s="73">
        <v>1</v>
      </c>
      <c r="G19" s="73">
        <v>0</v>
      </c>
      <c r="H19" s="86" t="s">
        <v>1133</v>
      </c>
      <c r="I19" s="59">
        <f>I18</f>
        <v>45117</v>
      </c>
      <c r="J19" s="66">
        <v>46188</v>
      </c>
      <c r="K19" s="88"/>
    </row>
    <row r="20" spans="1:11" ht="409.6">
      <c r="A20" s="73">
        <v>19</v>
      </c>
      <c r="B20" s="65" t="str">
        <f>VLOOKUP(A20,[1]vaccines!A:B,2)</f>
        <v>Havrix_720</v>
      </c>
      <c r="C20" s="72" t="s">
        <v>3531</v>
      </c>
      <c r="D20" s="72" t="s">
        <v>3532</v>
      </c>
      <c r="E20" s="59">
        <v>45490</v>
      </c>
      <c r="F20" s="85"/>
      <c r="G20" s="85"/>
      <c r="H20" s="86" t="s">
        <v>1136</v>
      </c>
      <c r="I20" s="43">
        <v>45119</v>
      </c>
      <c r="J20" s="66">
        <v>45558</v>
      </c>
      <c r="K20" s="88"/>
    </row>
    <row r="21" spans="1:11" ht="409.6">
      <c r="A21" s="73">
        <v>20</v>
      </c>
      <c r="B21" s="65" t="str">
        <f>VLOOKUP(A21,[1]vaccines!A:B,2)</f>
        <v>Havrix_1440</v>
      </c>
      <c r="C21" s="72" t="s">
        <v>3531</v>
      </c>
      <c r="D21" s="72" t="s">
        <v>3532</v>
      </c>
      <c r="E21" s="59">
        <v>45490</v>
      </c>
      <c r="F21" s="73"/>
      <c r="G21" s="73"/>
      <c r="H21" s="86" t="s">
        <v>1136</v>
      </c>
      <c r="I21" s="43">
        <v>45119</v>
      </c>
      <c r="J21" s="66">
        <v>45558</v>
      </c>
      <c r="K21" s="88"/>
    </row>
    <row r="22" spans="1:11" ht="409.6">
      <c r="A22" s="73">
        <v>21</v>
      </c>
      <c r="B22" s="65" t="str">
        <f>VLOOKUP(A22,[1]vaccines!A:B,2)</f>
        <v>Avaxim_80</v>
      </c>
      <c r="C22" s="72" t="s">
        <v>3533</v>
      </c>
      <c r="D22" s="72" t="s">
        <v>3534</v>
      </c>
      <c r="E22" s="43">
        <v>43500</v>
      </c>
      <c r="F22" s="74">
        <v>3</v>
      </c>
      <c r="G22" s="74">
        <v>2</v>
      </c>
      <c r="H22" s="89" t="s">
        <v>1141</v>
      </c>
      <c r="I22" s="43">
        <v>45119</v>
      </c>
      <c r="J22" s="43"/>
      <c r="K22" s="88"/>
    </row>
    <row r="23" spans="1:11" ht="409.6">
      <c r="A23" s="73">
        <v>22</v>
      </c>
      <c r="B23" s="65" t="str">
        <f>VLOOKUP(A23,[1]vaccines!A:B,2)</f>
        <v>Avaxim_160</v>
      </c>
      <c r="C23" s="72" t="s">
        <v>3535</v>
      </c>
      <c r="D23" s="72" t="s">
        <v>3536</v>
      </c>
      <c r="E23" s="43">
        <v>42131</v>
      </c>
      <c r="F23" s="74">
        <v>1</v>
      </c>
      <c r="G23" s="74">
        <v>0</v>
      </c>
      <c r="H23" s="89" t="s">
        <v>1144</v>
      </c>
      <c r="I23" s="43">
        <v>45119</v>
      </c>
      <c r="J23" s="43"/>
      <c r="K23" s="88"/>
    </row>
    <row r="24" spans="1:11" ht="409.6">
      <c r="A24" s="73">
        <v>23</v>
      </c>
      <c r="B24" s="65" t="str">
        <f>VLOOKUP(A24,[1]vaccines!A:B,2)</f>
        <v>Regevac_0_5</v>
      </c>
      <c r="C24" s="72" t="s">
        <v>3537</v>
      </c>
      <c r="D24" s="72" t="s">
        <v>3538</v>
      </c>
      <c r="E24" s="59">
        <v>45216</v>
      </c>
      <c r="F24" s="73">
        <v>1</v>
      </c>
      <c r="G24" s="73">
        <v>0</v>
      </c>
      <c r="H24" s="86" t="s">
        <v>1147</v>
      </c>
      <c r="I24" s="59">
        <f t="shared" ref="I24:I25" si="2">I23</f>
        <v>45119</v>
      </c>
      <c r="J24" s="66">
        <v>45988</v>
      </c>
      <c r="K24" s="88"/>
    </row>
    <row r="25" spans="1:11" ht="409.6">
      <c r="A25" s="73">
        <v>24</v>
      </c>
      <c r="B25" s="65" t="str">
        <f>VLOOKUP(A25,[1]vaccines!A:B,2)</f>
        <v>HepB_Combiotech_0_5</v>
      </c>
      <c r="C25" s="72" t="s">
        <v>3539</v>
      </c>
      <c r="D25" s="72" t="s">
        <v>3540</v>
      </c>
      <c r="E25" s="59">
        <v>46056</v>
      </c>
      <c r="F25" s="73">
        <v>1</v>
      </c>
      <c r="G25" s="73">
        <v>0</v>
      </c>
      <c r="H25" s="86" t="s">
        <v>1150</v>
      </c>
      <c r="I25" s="59">
        <f t="shared" si="2"/>
        <v>45119</v>
      </c>
      <c r="J25" s="66">
        <v>46130</v>
      </c>
      <c r="K25" s="88"/>
    </row>
    <row r="26" spans="1:11" ht="409.6">
      <c r="A26" s="73">
        <v>25</v>
      </c>
      <c r="B26" s="65" t="str">
        <f>VLOOKUP(A26,[1]vaccines!A:B,2)</f>
        <v>Euvax_B_0_5</v>
      </c>
      <c r="C26" s="72" t="s">
        <v>3541</v>
      </c>
      <c r="D26" s="72" t="s">
        <v>3542</v>
      </c>
      <c r="E26" s="43">
        <v>42410</v>
      </c>
      <c r="F26" s="74">
        <v>2</v>
      </c>
      <c r="G26" s="74">
        <v>1</v>
      </c>
      <c r="H26" s="89" t="s">
        <v>1153</v>
      </c>
      <c r="I26" s="43">
        <v>45120</v>
      </c>
      <c r="J26" s="43"/>
      <c r="K26" s="87" t="s">
        <v>2557</v>
      </c>
    </row>
    <row r="27" spans="1:11" ht="409.6">
      <c r="A27" s="73">
        <v>26</v>
      </c>
      <c r="B27" s="65" t="str">
        <f>VLOOKUP(A27,[1]vaccines!A:B,2)</f>
        <v>Euvax_B_1_0</v>
      </c>
      <c r="C27" s="72" t="s">
        <v>3543</v>
      </c>
      <c r="D27" s="72" t="s">
        <v>3544</v>
      </c>
      <c r="E27" s="43">
        <v>42410</v>
      </c>
      <c r="F27" s="74">
        <v>2</v>
      </c>
      <c r="G27" s="74">
        <v>1</v>
      </c>
      <c r="H27" s="89" t="s">
        <v>1153</v>
      </c>
      <c r="I27" s="43">
        <v>45120</v>
      </c>
      <c r="J27" s="43"/>
      <c r="K27" s="88"/>
    </row>
    <row r="28" spans="1:11" ht="409.6">
      <c r="A28" s="73">
        <v>27</v>
      </c>
      <c r="B28" s="65" t="str">
        <f>VLOOKUP(A28,[1]vaccines!A:B,2)</f>
        <v>Cervarix</v>
      </c>
      <c r="C28" s="72" t="s">
        <v>3545</v>
      </c>
      <c r="D28" s="72" t="s">
        <v>3546</v>
      </c>
      <c r="E28" s="59">
        <v>45513</v>
      </c>
      <c r="F28" s="85"/>
      <c r="G28" s="85"/>
      <c r="H28" s="86" t="s">
        <v>1158</v>
      </c>
      <c r="I28" s="59">
        <f>I27</f>
        <v>45120</v>
      </c>
      <c r="J28" s="66">
        <v>45589</v>
      </c>
      <c r="K28" s="88"/>
    </row>
    <row r="29" spans="1:11" ht="409.6">
      <c r="A29" s="73">
        <v>28</v>
      </c>
      <c r="B29" s="65" t="str">
        <f>VLOOKUP(A29,[1]vaccines!A:B,2)</f>
        <v>Gardasil_4</v>
      </c>
      <c r="C29" s="72" t="s">
        <v>3547</v>
      </c>
      <c r="D29" s="72" t="s">
        <v>3548</v>
      </c>
      <c r="E29" s="59">
        <v>45386</v>
      </c>
      <c r="F29" s="85"/>
      <c r="G29" s="85"/>
      <c r="H29" s="86" t="s">
        <v>1161</v>
      </c>
      <c r="I29" s="43">
        <v>45120</v>
      </c>
      <c r="J29" s="43">
        <v>45483</v>
      </c>
      <c r="K29" s="88"/>
    </row>
    <row r="30" spans="1:11" ht="409.6">
      <c r="A30" s="73">
        <v>29</v>
      </c>
      <c r="B30" s="65" t="str">
        <f>VLOOKUP(A30,[1]vaccines!A:B,2)</f>
        <v>Sputnik</v>
      </c>
      <c r="C30" s="72" t="s">
        <v>3549</v>
      </c>
      <c r="D30" s="72" t="s">
        <v>3550</v>
      </c>
      <c r="E30" s="59">
        <v>45839</v>
      </c>
      <c r="F30" s="73">
        <v>1</v>
      </c>
      <c r="G30" s="73">
        <v>0</v>
      </c>
      <c r="H30" s="86" t="s">
        <v>1164</v>
      </c>
      <c r="I30" s="59">
        <v>45121</v>
      </c>
      <c r="J30" s="66">
        <v>45923</v>
      </c>
      <c r="K30" s="88"/>
    </row>
    <row r="31" spans="1:11" ht="105.6">
      <c r="A31" s="73">
        <v>30</v>
      </c>
      <c r="B31" s="65" t="str">
        <f>VLOOKUP(A31,[1]vaccines!A:B,2)</f>
        <v>Sputnik_Lyo</v>
      </c>
      <c r="C31" s="72" t="s">
        <v>3551</v>
      </c>
      <c r="D31" s="72" t="s">
        <v>3552</v>
      </c>
      <c r="E31" s="43">
        <v>44068</v>
      </c>
      <c r="F31" s="74">
        <v>1</v>
      </c>
      <c r="G31" s="74">
        <v>0</v>
      </c>
      <c r="H31" s="89" t="s">
        <v>1167</v>
      </c>
      <c r="I31" s="43">
        <v>45121</v>
      </c>
      <c r="J31" s="43"/>
      <c r="K31" s="88"/>
    </row>
    <row r="32" spans="1:11" ht="105.6">
      <c r="A32" s="73">
        <v>31</v>
      </c>
      <c r="B32" s="65" t="str">
        <f>VLOOKUP(A32,[1]vaccines!A:B,2)</f>
        <v>EpiVacCorona</v>
      </c>
      <c r="C32" s="72" t="s">
        <v>3551</v>
      </c>
      <c r="D32" s="72" t="s">
        <v>3552</v>
      </c>
      <c r="E32" s="43">
        <v>44911</v>
      </c>
      <c r="F32" s="74">
        <v>1</v>
      </c>
      <c r="G32" s="74">
        <v>0</v>
      </c>
      <c r="H32" s="89" t="s">
        <v>1170</v>
      </c>
      <c r="I32" s="43">
        <v>45122</v>
      </c>
      <c r="J32" s="43"/>
      <c r="K32" s="88"/>
    </row>
    <row r="33" spans="1:11" ht="409.6">
      <c r="A33" s="73">
        <v>32</v>
      </c>
      <c r="B33" s="65" t="str">
        <f>VLOOKUP(A33,[1]vaccines!A:B,2)</f>
        <v>Grippol_Microgen</v>
      </c>
      <c r="C33" s="72" t="s">
        <v>3553</v>
      </c>
      <c r="D33" s="72" t="s">
        <v>3554</v>
      </c>
      <c r="E33" s="43">
        <v>41411</v>
      </c>
      <c r="F33" s="74">
        <v>1</v>
      </c>
      <c r="G33" s="74">
        <v>0</v>
      </c>
      <c r="H33" s="89" t="s">
        <v>1173</v>
      </c>
      <c r="I33" s="43">
        <v>45122</v>
      </c>
      <c r="J33" s="43"/>
      <c r="K33" s="88"/>
    </row>
    <row r="34" spans="1:11" ht="409.6">
      <c r="A34" s="73">
        <v>33</v>
      </c>
      <c r="B34" s="65" t="str">
        <f>VLOOKUP(A34,[1]vaccines!A:B,2)</f>
        <v>Grippol_Petrovax</v>
      </c>
      <c r="C34" s="72" t="s">
        <v>3555</v>
      </c>
      <c r="D34" s="72" t="s">
        <v>3556</v>
      </c>
      <c r="E34" s="43">
        <v>40634</v>
      </c>
      <c r="F34" s="74">
        <v>1</v>
      </c>
      <c r="G34" s="74">
        <v>0</v>
      </c>
      <c r="H34" s="89" t="s">
        <v>1176</v>
      </c>
      <c r="I34" s="43">
        <v>45122</v>
      </c>
      <c r="J34" s="43"/>
      <c r="K34" s="88"/>
    </row>
    <row r="35" spans="1:11" ht="409.6">
      <c r="A35" s="73">
        <v>34</v>
      </c>
      <c r="B35" s="65" t="str">
        <f>VLOOKUP(A35,[1]vaccines!A:B,2)</f>
        <v>Grippol_plus_0_5</v>
      </c>
      <c r="C35" s="72" t="s">
        <v>3557</v>
      </c>
      <c r="D35" s="72" t="s">
        <v>3558</v>
      </c>
      <c r="E35" s="59">
        <v>45182</v>
      </c>
      <c r="F35" s="85"/>
      <c r="G35" s="85"/>
      <c r="H35" s="86" t="s">
        <v>1179</v>
      </c>
      <c r="I35" s="43">
        <v>45122</v>
      </c>
      <c r="J35" s="43">
        <v>45483</v>
      </c>
      <c r="K35" s="88"/>
    </row>
    <row r="36" spans="1:11" ht="409.6">
      <c r="A36" s="73">
        <v>35</v>
      </c>
      <c r="B36" s="65" t="str">
        <f>VLOOKUP(A36,[1]vaccines!A:B,2)</f>
        <v>Sovigripp</v>
      </c>
      <c r="C36" s="72" t="s">
        <v>3559</v>
      </c>
      <c r="D36" s="72" t="s">
        <v>3560</v>
      </c>
      <c r="E36" s="59">
        <v>45580</v>
      </c>
      <c r="F36" s="85"/>
      <c r="G36" s="85"/>
      <c r="H36" s="86" t="s">
        <v>1182</v>
      </c>
      <c r="I36" s="59">
        <f>I35</f>
        <v>45122</v>
      </c>
      <c r="J36" s="66">
        <v>45622</v>
      </c>
      <c r="K36" s="87" t="s">
        <v>2557</v>
      </c>
    </row>
    <row r="37" spans="1:11" ht="409.6">
      <c r="A37" s="73">
        <v>36</v>
      </c>
      <c r="B37" s="65" t="str">
        <f>VLOOKUP(A37,[1]vaccines!A:B,2)</f>
        <v>Ultrix</v>
      </c>
      <c r="C37" s="72" t="s">
        <v>3561</v>
      </c>
      <c r="D37" s="72" t="s">
        <v>3562</v>
      </c>
      <c r="E37" s="59">
        <v>45211</v>
      </c>
      <c r="F37" s="85"/>
      <c r="G37" s="85"/>
      <c r="H37" s="86" t="s">
        <v>1185</v>
      </c>
      <c r="I37" s="43">
        <v>45123</v>
      </c>
      <c r="J37" s="43">
        <v>45483</v>
      </c>
      <c r="K37" s="88"/>
    </row>
    <row r="38" spans="1:11" ht="409.6">
      <c r="A38" s="73">
        <v>37</v>
      </c>
      <c r="B38" s="65" t="str">
        <f>VLOOKUP(A38,[1]vaccines!A:B,2)</f>
        <v>Flu_M</v>
      </c>
      <c r="C38" s="72" t="s">
        <v>3563</v>
      </c>
      <c r="D38" s="72" t="s">
        <v>3564</v>
      </c>
      <c r="E38" s="59">
        <v>46035</v>
      </c>
      <c r="F38" s="73">
        <v>1</v>
      </c>
      <c r="G38" s="73">
        <v>0</v>
      </c>
      <c r="H38" s="86" t="s">
        <v>1188</v>
      </c>
      <c r="I38" s="59">
        <f>I37</f>
        <v>45123</v>
      </c>
      <c r="J38" s="66">
        <v>46130</v>
      </c>
      <c r="K38" s="88"/>
    </row>
    <row r="39" spans="1:11" ht="369.6">
      <c r="A39" s="73">
        <v>38</v>
      </c>
      <c r="B39" s="65" t="str">
        <f>VLOOKUP(A39,[1]vaccines!A:B,2)</f>
        <v>Vaxigrip</v>
      </c>
      <c r="C39" s="72" t="s">
        <v>3565</v>
      </c>
      <c r="D39" s="72" t="s">
        <v>3566</v>
      </c>
      <c r="E39" s="43">
        <v>43598</v>
      </c>
      <c r="F39" s="74">
        <v>1</v>
      </c>
      <c r="G39" s="74">
        <v>0</v>
      </c>
      <c r="H39" s="89" t="s">
        <v>1651</v>
      </c>
      <c r="I39" s="43">
        <v>45123</v>
      </c>
      <c r="J39" s="43"/>
      <c r="K39" s="88"/>
    </row>
    <row r="40" spans="1:11" ht="409.6">
      <c r="A40" s="73">
        <v>39</v>
      </c>
      <c r="B40" s="65" t="str">
        <f>VLOOKUP(A40,[1]vaccines!A:B,2)</f>
        <v>Influvac</v>
      </c>
      <c r="C40" s="72" t="s">
        <v>3567</v>
      </c>
      <c r="D40" s="72" t="s">
        <v>3568</v>
      </c>
      <c r="E40" s="59">
        <v>46066</v>
      </c>
      <c r="F40" s="73">
        <v>1</v>
      </c>
      <c r="G40" s="73">
        <v>0</v>
      </c>
      <c r="H40" s="86" t="s">
        <v>1194</v>
      </c>
      <c r="I40" s="59">
        <f>I39</f>
        <v>45123</v>
      </c>
      <c r="J40" s="66">
        <v>46130</v>
      </c>
      <c r="K40" s="88"/>
    </row>
    <row r="41" spans="1:11" ht="409.6">
      <c r="A41" s="73">
        <v>40</v>
      </c>
      <c r="B41" s="65" t="str">
        <f>VLOOKUP(A41,[1]vaccines!A:B,2)</f>
        <v>Ultrix_quadri</v>
      </c>
      <c r="C41" s="72" t="s">
        <v>3569</v>
      </c>
      <c r="D41" s="72" t="s">
        <v>3570</v>
      </c>
      <c r="E41" s="59">
        <v>45524</v>
      </c>
      <c r="F41" s="85"/>
      <c r="G41" s="85"/>
      <c r="H41" s="86" t="s">
        <v>1197</v>
      </c>
      <c r="I41" s="43">
        <v>45124</v>
      </c>
      <c r="J41" s="66">
        <v>45589</v>
      </c>
      <c r="K41" s="88"/>
    </row>
    <row r="42" spans="1:11" ht="409.6">
      <c r="A42" s="73">
        <v>41</v>
      </c>
      <c r="B42" s="65" t="str">
        <f>VLOOKUP(A42,[1]vaccines!A:B,2)</f>
        <v>Grippol_quadrivalent</v>
      </c>
      <c r="C42" s="72" t="s">
        <v>3571</v>
      </c>
      <c r="D42" s="72" t="s">
        <v>3572</v>
      </c>
      <c r="E42" s="59">
        <v>45727</v>
      </c>
      <c r="F42" s="73">
        <v>1</v>
      </c>
      <c r="G42" s="73">
        <v>0</v>
      </c>
      <c r="H42" s="86" t="s">
        <v>1200</v>
      </c>
      <c r="I42" s="59">
        <f t="shared" ref="I42:I44" si="3">I41</f>
        <v>45124</v>
      </c>
      <c r="J42" s="66">
        <v>45818</v>
      </c>
      <c r="K42" s="88"/>
    </row>
    <row r="43" spans="1:11" ht="409.6">
      <c r="A43" s="73">
        <v>42</v>
      </c>
      <c r="B43" s="65" t="str">
        <f>VLOOKUP(A43,[1]vaccines!A:B,2)</f>
        <v>measles_Microgen</v>
      </c>
      <c r="C43" s="72" t="s">
        <v>3573</v>
      </c>
      <c r="D43" s="72" t="s">
        <v>3574</v>
      </c>
      <c r="E43" s="59">
        <v>45404</v>
      </c>
      <c r="F43" s="85"/>
      <c r="G43" s="85"/>
      <c r="H43" s="86" t="s">
        <v>1203</v>
      </c>
      <c r="I43" s="59">
        <f t="shared" si="3"/>
        <v>45124</v>
      </c>
      <c r="J43" s="59">
        <v>45483</v>
      </c>
      <c r="K43" s="88"/>
    </row>
    <row r="44" spans="1:11" ht="409.6">
      <c r="A44" s="73">
        <v>43</v>
      </c>
      <c r="B44" s="65" t="str">
        <f>VLOOKUP(A44,[1]vaccines!A:B,2)</f>
        <v>measles_Serum_India</v>
      </c>
      <c r="C44" s="72" t="s">
        <v>3575</v>
      </c>
      <c r="D44" s="72" t="s">
        <v>3576</v>
      </c>
      <c r="E44" s="59">
        <v>45981</v>
      </c>
      <c r="F44" s="73">
        <v>1</v>
      </c>
      <c r="G44" s="73">
        <v>0</v>
      </c>
      <c r="H44" s="86" t="s">
        <v>1206</v>
      </c>
      <c r="I44" s="59">
        <f t="shared" si="3"/>
        <v>45124</v>
      </c>
      <c r="J44" s="66">
        <v>46053</v>
      </c>
      <c r="K44" s="88"/>
    </row>
    <row r="45" spans="1:11" ht="409.6">
      <c r="A45" s="73">
        <v>44</v>
      </c>
      <c r="B45" s="65" t="str">
        <f>VLOOKUP(A45,[1]vaccines!A:B,2)</f>
        <v>measles_Vector</v>
      </c>
      <c r="C45" s="72" t="s">
        <v>3577</v>
      </c>
      <c r="D45" s="72" t="s">
        <v>3578</v>
      </c>
      <c r="E45" s="43">
        <v>39421</v>
      </c>
      <c r="F45" s="74">
        <v>1</v>
      </c>
      <c r="G45" s="74">
        <v>0</v>
      </c>
      <c r="H45" s="89" t="s">
        <v>1209</v>
      </c>
      <c r="I45" s="43">
        <v>45124</v>
      </c>
      <c r="J45" s="43"/>
      <c r="K45" s="88"/>
    </row>
    <row r="46" spans="1:11" ht="409.6">
      <c r="A46" s="73">
        <v>45</v>
      </c>
      <c r="B46" s="65" t="str">
        <f>VLOOKUP(A46,[1]vaccines!A:B,2)</f>
        <v>measles_mumps_Microgen</v>
      </c>
      <c r="C46" s="72" t="s">
        <v>3579</v>
      </c>
      <c r="D46" s="72" t="s">
        <v>3580</v>
      </c>
      <c r="E46" s="59">
        <v>45460</v>
      </c>
      <c r="F46" s="85"/>
      <c r="G46" s="85"/>
      <c r="H46" s="86" t="s">
        <v>1212</v>
      </c>
      <c r="I46" s="59">
        <f t="shared" ref="I46:I47" si="4">I45</f>
        <v>45124</v>
      </c>
      <c r="J46" s="66">
        <v>45589</v>
      </c>
      <c r="K46" s="87" t="s">
        <v>2557</v>
      </c>
    </row>
    <row r="47" spans="1:11" ht="409.6">
      <c r="A47" s="73">
        <v>46</v>
      </c>
      <c r="B47" s="65" t="str">
        <f>VLOOKUP(A47,[1]vaccines!A:B,2)</f>
        <v>Vactrivir</v>
      </c>
      <c r="C47" s="72" t="s">
        <v>3581</v>
      </c>
      <c r="D47" s="72" t="s">
        <v>3582</v>
      </c>
      <c r="E47" s="59">
        <v>45817</v>
      </c>
      <c r="F47" s="73">
        <v>1</v>
      </c>
      <c r="G47" s="73">
        <v>0</v>
      </c>
      <c r="H47" s="86" t="s">
        <v>1215</v>
      </c>
      <c r="I47" s="59">
        <f t="shared" si="4"/>
        <v>45124</v>
      </c>
      <c r="J47" s="66">
        <v>45830</v>
      </c>
      <c r="K47" s="88"/>
    </row>
    <row r="48" spans="1:11" ht="409.6">
      <c r="A48" s="73">
        <v>47</v>
      </c>
      <c r="B48" s="65" t="str">
        <f>VLOOKUP(A48,[1]vaccines!A:B,2)</f>
        <v>MMR_II</v>
      </c>
      <c r="C48" s="72" t="s">
        <v>3583</v>
      </c>
      <c r="D48" s="72" t="s">
        <v>3584</v>
      </c>
      <c r="E48" s="43">
        <v>44228</v>
      </c>
      <c r="F48" s="74">
        <v>6</v>
      </c>
      <c r="G48" s="74">
        <v>6</v>
      </c>
      <c r="H48" s="89" t="s">
        <v>3011</v>
      </c>
      <c r="I48" s="43">
        <v>45124</v>
      </c>
      <c r="J48" s="43"/>
      <c r="K48" s="93" t="s">
        <v>3585</v>
      </c>
    </row>
    <row r="49" spans="1:11" ht="409.6">
      <c r="A49" s="73">
        <v>48</v>
      </c>
      <c r="B49" s="65" t="str">
        <f>VLOOKUP(A49,[1]vaccines!A:B,2)</f>
        <v>MenA_Microgen</v>
      </c>
      <c r="C49" s="72" t="s">
        <v>3586</v>
      </c>
      <c r="D49" s="72" t="s">
        <v>3587</v>
      </c>
      <c r="E49" s="43">
        <v>45414</v>
      </c>
      <c r="F49" s="88"/>
      <c r="G49" s="88"/>
      <c r="H49" s="86" t="s">
        <v>1221</v>
      </c>
      <c r="I49" s="43">
        <v>45124</v>
      </c>
      <c r="J49" s="43">
        <v>45460</v>
      </c>
      <c r="K49" s="88"/>
    </row>
    <row r="50" spans="1:11" ht="409.6">
      <c r="A50" s="73">
        <v>49</v>
      </c>
      <c r="B50" s="65" t="str">
        <f>VLOOKUP(A50,[1]vaccines!A:B,2)</f>
        <v>MeningoVac_A_C</v>
      </c>
      <c r="C50" s="72" t="s">
        <v>3588</v>
      </c>
      <c r="D50" s="72" t="s">
        <v>3589</v>
      </c>
      <c r="E50" s="66">
        <v>45414</v>
      </c>
      <c r="F50" s="85"/>
      <c r="G50" s="85"/>
      <c r="H50" s="86" t="s">
        <v>1674</v>
      </c>
      <c r="I50" s="43">
        <v>45124</v>
      </c>
      <c r="J50" s="43">
        <v>45460</v>
      </c>
      <c r="K50" s="88"/>
    </row>
    <row r="51" spans="1:11" ht="409.6">
      <c r="A51" s="73">
        <v>50</v>
      </c>
      <c r="B51" s="65" t="str">
        <f>VLOOKUP(A51,[1]vaccines!A:B,2)</f>
        <v>Menactra</v>
      </c>
      <c r="C51" s="72" t="s">
        <v>3590</v>
      </c>
      <c r="D51" s="72" t="s">
        <v>3591</v>
      </c>
      <c r="E51" s="59">
        <v>45188</v>
      </c>
      <c r="F51" s="85"/>
      <c r="G51" s="85"/>
      <c r="H51" s="86" t="s">
        <v>1226</v>
      </c>
      <c r="I51" s="66">
        <f t="shared" ref="I51:I52" si="5">I50</f>
        <v>45124</v>
      </c>
      <c r="J51" s="66">
        <v>45483</v>
      </c>
      <c r="K51" s="88"/>
    </row>
    <row r="52" spans="1:11" ht="409.6">
      <c r="A52" s="73">
        <v>51</v>
      </c>
      <c r="B52" s="65" t="str">
        <f>VLOOKUP(A52,[1]vaccines!A:B,2)</f>
        <v>mumps_Microgen</v>
      </c>
      <c r="C52" s="72" t="s">
        <v>3592</v>
      </c>
      <c r="D52" s="72" t="s">
        <v>3593</v>
      </c>
      <c r="E52" s="59">
        <v>45454</v>
      </c>
      <c r="F52" s="85"/>
      <c r="G52" s="85"/>
      <c r="H52" s="86" t="s">
        <v>1229</v>
      </c>
      <c r="I52" s="59">
        <f t="shared" si="5"/>
        <v>45124</v>
      </c>
      <c r="J52" s="66">
        <v>45589</v>
      </c>
      <c r="K52" s="88"/>
    </row>
    <row r="53" spans="1:11" ht="409.6">
      <c r="A53" s="73">
        <v>52</v>
      </c>
      <c r="B53" s="65" t="str">
        <f>VLOOKUP(A53,[1]vaccines!A:B,2)</f>
        <v>Prevenar_13</v>
      </c>
      <c r="C53" s="72" t="s">
        <v>3594</v>
      </c>
      <c r="D53" s="72" t="s">
        <v>3595</v>
      </c>
      <c r="E53" s="59">
        <v>45267</v>
      </c>
      <c r="F53" s="85"/>
      <c r="G53" s="85"/>
      <c r="H53" s="86" t="s">
        <v>1232</v>
      </c>
      <c r="I53" s="43">
        <v>45125</v>
      </c>
      <c r="J53" s="66">
        <v>45481</v>
      </c>
      <c r="K53" s="88"/>
    </row>
    <row r="54" spans="1:11" ht="409.6">
      <c r="A54" s="73">
        <v>53</v>
      </c>
      <c r="B54" s="65" t="str">
        <f>VLOOKUP(A54,[1]vaccines!A:B,2)</f>
        <v>Synflorix</v>
      </c>
      <c r="C54" s="72" t="s">
        <v>3596</v>
      </c>
      <c r="D54" s="72" t="s">
        <v>3597</v>
      </c>
      <c r="E54" s="43">
        <v>43605</v>
      </c>
      <c r="F54" s="74">
        <v>1</v>
      </c>
      <c r="G54" s="74">
        <v>0</v>
      </c>
      <c r="H54" s="89" t="s">
        <v>1235</v>
      </c>
      <c r="I54" s="43">
        <v>45125</v>
      </c>
      <c r="J54" s="43"/>
      <c r="K54" s="88"/>
    </row>
    <row r="55" spans="1:11" ht="409.6">
      <c r="A55" s="73">
        <v>54</v>
      </c>
      <c r="B55" s="65" t="str">
        <f>VLOOKUP(A55,[1]vaccines!A:B,2)</f>
        <v>Pneumovax_23</v>
      </c>
      <c r="C55" s="72" t="s">
        <v>3598</v>
      </c>
      <c r="D55" s="72" t="s">
        <v>3599</v>
      </c>
      <c r="E55" s="59">
        <v>45051</v>
      </c>
      <c r="F55" s="85"/>
      <c r="G55" s="85"/>
      <c r="H55" s="86" t="s">
        <v>1238</v>
      </c>
      <c r="I55" s="59">
        <f>I54</f>
        <v>45125</v>
      </c>
      <c r="J55" s="66">
        <v>45489</v>
      </c>
      <c r="K55" s="88"/>
    </row>
    <row r="56" spans="1:11" ht="409.6">
      <c r="A56" s="73">
        <v>55</v>
      </c>
      <c r="B56" s="65" t="str">
        <f>VLOOKUP(A56,[1]vaccines!A:B,2)</f>
        <v>MonoVac_Polio</v>
      </c>
      <c r="C56" s="72" t="s">
        <v>3600</v>
      </c>
      <c r="D56" s="72" t="s">
        <v>3601</v>
      </c>
      <c r="E56" s="43">
        <v>44266</v>
      </c>
      <c r="F56" s="74">
        <v>1</v>
      </c>
      <c r="G56" s="74">
        <v>0</v>
      </c>
      <c r="H56" s="89" t="s">
        <v>3026</v>
      </c>
      <c r="I56" s="43">
        <v>45125</v>
      </c>
      <c r="J56" s="43"/>
      <c r="K56" s="87" t="s">
        <v>2557</v>
      </c>
    </row>
    <row r="57" spans="1:11" ht="409.6">
      <c r="A57" s="73">
        <v>56</v>
      </c>
      <c r="B57" s="65" t="str">
        <f>VLOOKUP(A57,[1]vaccines!A:B,2)</f>
        <v>BiVac_Polio</v>
      </c>
      <c r="C57" s="72" t="s">
        <v>3602</v>
      </c>
      <c r="D57" s="72" t="s">
        <v>3603</v>
      </c>
      <c r="E57" s="59">
        <v>45736</v>
      </c>
      <c r="F57" s="73">
        <v>1</v>
      </c>
      <c r="G57" s="73">
        <v>0</v>
      </c>
      <c r="H57" s="86" t="s">
        <v>1244</v>
      </c>
      <c r="I57" s="59">
        <f t="shared" ref="I57:I59" si="6">I56</f>
        <v>45125</v>
      </c>
      <c r="J57" s="66">
        <v>45988</v>
      </c>
      <c r="K57" s="88"/>
    </row>
    <row r="58" spans="1:11" ht="409.6">
      <c r="A58" s="73">
        <v>57</v>
      </c>
      <c r="B58" s="65" t="str">
        <f>VLOOKUP(A58,[1]vaccines!A:B,2)</f>
        <v>Polymilex</v>
      </c>
      <c r="C58" s="72" t="s">
        <v>3604</v>
      </c>
      <c r="D58" s="72" t="s">
        <v>3605</v>
      </c>
      <c r="E58" s="59">
        <v>45623</v>
      </c>
      <c r="F58" s="73">
        <v>1</v>
      </c>
      <c r="G58" s="73">
        <v>0</v>
      </c>
      <c r="H58" s="86" t="s">
        <v>1247</v>
      </c>
      <c r="I58" s="59">
        <f t="shared" si="6"/>
        <v>45125</v>
      </c>
      <c r="J58" s="66">
        <v>45715</v>
      </c>
      <c r="K58" s="88"/>
    </row>
    <row r="59" spans="1:11" ht="409.6">
      <c r="A59" s="73">
        <v>58</v>
      </c>
      <c r="B59" s="65" t="str">
        <f>VLOOKUP(A59,[1]vaccines!A:B,2)</f>
        <v>COCAV</v>
      </c>
      <c r="C59" s="72" t="s">
        <v>3606</v>
      </c>
      <c r="D59" s="72" t="s">
        <v>3607</v>
      </c>
      <c r="E59" s="59">
        <v>45631</v>
      </c>
      <c r="F59" s="85"/>
      <c r="G59" s="85"/>
      <c r="H59" s="86" t="s">
        <v>1249</v>
      </c>
      <c r="I59" s="59">
        <f t="shared" si="6"/>
        <v>45125</v>
      </c>
      <c r="J59" s="66">
        <v>45678</v>
      </c>
      <c r="K59" s="88"/>
    </row>
    <row r="60" spans="1:11" ht="409.6">
      <c r="A60" s="73">
        <v>59</v>
      </c>
      <c r="B60" s="65" t="str">
        <f>VLOOKUP(A60,[1]vaccines!A:B,2)</f>
        <v>rabies_Chumakov</v>
      </c>
      <c r="C60" s="72" t="s">
        <v>3608</v>
      </c>
      <c r="D60" s="72" t="s">
        <v>3609</v>
      </c>
      <c r="E60" s="43">
        <v>44862</v>
      </c>
      <c r="F60" s="74">
        <v>1</v>
      </c>
      <c r="G60" s="74">
        <v>0</v>
      </c>
      <c r="H60" s="89" t="s">
        <v>1250</v>
      </c>
      <c r="I60" s="43">
        <v>45125</v>
      </c>
      <c r="J60" s="43"/>
      <c r="K60" s="88"/>
    </row>
    <row r="61" spans="1:11" ht="409.6">
      <c r="A61" s="73">
        <v>60</v>
      </c>
      <c r="B61" s="65" t="str">
        <f>VLOOKUP(A61,[1]vaccines!A:B,2)</f>
        <v>Rabivac_Vnukovo_32</v>
      </c>
      <c r="C61" s="72" t="s">
        <v>3610</v>
      </c>
      <c r="D61" s="72" t="s">
        <v>3611</v>
      </c>
      <c r="E61" s="43">
        <v>40925</v>
      </c>
      <c r="F61" s="74">
        <v>1</v>
      </c>
      <c r="G61" s="74">
        <v>0</v>
      </c>
      <c r="H61" s="89" t="s">
        <v>1251</v>
      </c>
      <c r="I61" s="43">
        <v>45125</v>
      </c>
      <c r="J61" s="43"/>
      <c r="K61" s="88"/>
    </row>
    <row r="62" spans="1:11" ht="409.6">
      <c r="A62" s="73">
        <v>61</v>
      </c>
      <c r="B62" s="65" t="str">
        <f>VLOOKUP(A62,[1]vaccines!A:B,2)</f>
        <v>RotaTeq</v>
      </c>
      <c r="C62" s="72" t="s">
        <v>3612</v>
      </c>
      <c r="D62" s="72" t="s">
        <v>3613</v>
      </c>
      <c r="E62" s="43">
        <v>44495</v>
      </c>
      <c r="F62" s="74">
        <v>4</v>
      </c>
      <c r="G62" s="74">
        <v>4</v>
      </c>
      <c r="H62" s="89" t="s">
        <v>3327</v>
      </c>
      <c r="I62" s="43">
        <v>45127</v>
      </c>
      <c r="J62" s="43"/>
      <c r="K62" s="88"/>
    </row>
    <row r="63" spans="1:11" ht="409.6">
      <c r="A63" s="73">
        <v>62</v>
      </c>
      <c r="B63" s="65" t="str">
        <f>VLOOKUP(A63,[1]vaccines!A:B,2)</f>
        <v>rubella_Microgen</v>
      </c>
      <c r="C63" s="72" t="s">
        <v>3614</v>
      </c>
      <c r="D63" s="72" t="s">
        <v>3615</v>
      </c>
      <c r="E63" s="59">
        <v>45531</v>
      </c>
      <c r="F63" s="85"/>
      <c r="G63" s="85"/>
      <c r="H63" s="86" t="s">
        <v>1256</v>
      </c>
      <c r="I63" s="59">
        <f>I62</f>
        <v>45127</v>
      </c>
      <c r="J63" s="66">
        <v>45589</v>
      </c>
      <c r="K63" s="88"/>
    </row>
    <row r="64" spans="1:11" ht="409.6">
      <c r="A64" s="73">
        <v>63</v>
      </c>
      <c r="B64" s="65" t="str">
        <f>VLOOKUP(A64,[1]vaccines!A:B,2)</f>
        <v>rubella_Serum</v>
      </c>
      <c r="C64" s="72" t="s">
        <v>3616</v>
      </c>
      <c r="D64" s="72" t="s">
        <v>3617</v>
      </c>
      <c r="E64" s="43">
        <v>40142</v>
      </c>
      <c r="F64" s="74">
        <v>1</v>
      </c>
      <c r="G64" s="74">
        <v>0</v>
      </c>
      <c r="H64" s="89" t="s">
        <v>1259</v>
      </c>
      <c r="I64" s="43">
        <v>45127</v>
      </c>
      <c r="J64" s="43"/>
      <c r="K64" s="88"/>
    </row>
    <row r="65" spans="1:11" ht="409.6">
      <c r="A65" s="73">
        <v>64</v>
      </c>
      <c r="B65" s="65" t="str">
        <f>VLOOKUP(A65,[1]vaccines!A:B,2)</f>
        <v>AS_Microgen</v>
      </c>
      <c r="C65" s="72" t="s">
        <v>3618</v>
      </c>
      <c r="D65" s="72" t="s">
        <v>3619</v>
      </c>
      <c r="E65" s="59">
        <v>45607</v>
      </c>
      <c r="F65" s="73">
        <v>1</v>
      </c>
      <c r="G65" s="73">
        <v>0</v>
      </c>
      <c r="H65" s="86" t="s">
        <v>1262</v>
      </c>
      <c r="I65" s="59">
        <f>I64</f>
        <v>45127</v>
      </c>
      <c r="J65" s="66">
        <v>46053</v>
      </c>
      <c r="K65" s="88"/>
    </row>
    <row r="66" spans="1:11" ht="145.19999999999999">
      <c r="A66" s="73">
        <v>65</v>
      </c>
      <c r="B66" s="65" t="str">
        <f>VLOOKUP(A66,[1]vaccines!A:B,2)</f>
        <v>AS_Biomed</v>
      </c>
      <c r="C66" s="72" t="s">
        <v>3334</v>
      </c>
      <c r="D66" s="72" t="s">
        <v>3335</v>
      </c>
      <c r="E66" s="43">
        <v>41047</v>
      </c>
      <c r="F66" s="74">
        <v>1</v>
      </c>
      <c r="G66" s="74">
        <v>0</v>
      </c>
      <c r="H66" s="89" t="s">
        <v>1265</v>
      </c>
      <c r="I66" s="43">
        <v>45128</v>
      </c>
      <c r="J66" s="43"/>
      <c r="K66" s="87" t="s">
        <v>2557</v>
      </c>
    </row>
    <row r="67" spans="1:11" ht="409.6">
      <c r="A67" s="73">
        <v>66</v>
      </c>
      <c r="B67" s="65" t="str">
        <f>VLOOKUP(A67,[1]vaccines!A:B,2)</f>
        <v>Vaqta_25</v>
      </c>
      <c r="C67" s="72" t="s">
        <v>3620</v>
      </c>
      <c r="D67" s="72" t="s">
        <v>3621</v>
      </c>
      <c r="E67" s="43">
        <v>41780</v>
      </c>
      <c r="F67" s="74">
        <v>1</v>
      </c>
      <c r="G67" s="74">
        <v>0</v>
      </c>
      <c r="H67" s="89" t="s">
        <v>1268</v>
      </c>
      <c r="I67" s="43">
        <v>45128</v>
      </c>
      <c r="J67" s="43"/>
      <c r="K67" s="88"/>
    </row>
    <row r="68" spans="1:11" ht="409.6">
      <c r="A68" s="73">
        <v>67</v>
      </c>
      <c r="B68" s="65" t="str">
        <f>VLOOKUP(A68,[1]vaccines!A:B,2)</f>
        <v>Vaqta_50</v>
      </c>
      <c r="C68" s="72" t="s">
        <v>3620</v>
      </c>
      <c r="D68" s="72" t="s">
        <v>3621</v>
      </c>
      <c r="E68" s="43">
        <v>41780</v>
      </c>
      <c r="F68" s="74">
        <v>1</v>
      </c>
      <c r="G68" s="74">
        <v>0</v>
      </c>
      <c r="H68" s="89" t="s">
        <v>1268</v>
      </c>
      <c r="I68" s="43">
        <v>45128</v>
      </c>
      <c r="J68" s="43"/>
      <c r="K68" s="88"/>
    </row>
    <row r="69" spans="1:11" ht="409.6">
      <c r="A69" s="73">
        <v>68</v>
      </c>
      <c r="B69" s="65" t="str">
        <f>VLOOKUP(A69,[1]vaccines!A:B,2)</f>
        <v>Klesh_E_Vac_0_5</v>
      </c>
      <c r="C69" s="72" t="s">
        <v>3622</v>
      </c>
      <c r="D69" s="72" t="s">
        <v>3623</v>
      </c>
      <c r="E69" s="59">
        <v>45904</v>
      </c>
      <c r="F69" s="73">
        <v>1</v>
      </c>
      <c r="G69" s="73">
        <v>0</v>
      </c>
      <c r="H69" s="86" t="s">
        <v>1273</v>
      </c>
      <c r="I69" s="59">
        <f t="shared" ref="I69:I74" si="7">I68</f>
        <v>45128</v>
      </c>
      <c r="J69" s="66">
        <v>45988</v>
      </c>
      <c r="K69" s="88"/>
    </row>
    <row r="70" spans="1:11" ht="409.6">
      <c r="A70" s="73">
        <v>69</v>
      </c>
      <c r="B70" s="65" t="str">
        <f>VLOOKUP(A70,[1]vaccines!A:B,2)</f>
        <v>Klesh_E_Vac_0_25</v>
      </c>
      <c r="C70" s="72" t="s">
        <v>3622</v>
      </c>
      <c r="D70" s="72" t="s">
        <v>3623</v>
      </c>
      <c r="E70" s="59">
        <v>45904</v>
      </c>
      <c r="F70" s="73">
        <v>1</v>
      </c>
      <c r="G70" s="73">
        <v>0</v>
      </c>
      <c r="H70" s="86" t="s">
        <v>1273</v>
      </c>
      <c r="I70" s="59">
        <f t="shared" si="7"/>
        <v>45128</v>
      </c>
      <c r="J70" s="66">
        <v>45988</v>
      </c>
      <c r="K70" s="88"/>
    </row>
    <row r="71" spans="1:11" ht="409.6">
      <c r="A71" s="73">
        <v>70</v>
      </c>
      <c r="B71" s="65" t="str">
        <f>VLOOKUP(A71,[1]vaccines!A:B,2)</f>
        <v>EnceVir_0_5</v>
      </c>
      <c r="C71" s="72" t="s">
        <v>3624</v>
      </c>
      <c r="D71" s="72" t="s">
        <v>3625</v>
      </c>
      <c r="E71" s="59">
        <v>45510</v>
      </c>
      <c r="F71" s="85"/>
      <c r="G71" s="85"/>
      <c r="H71" s="86" t="s">
        <v>1278</v>
      </c>
      <c r="I71" s="59">
        <f t="shared" si="7"/>
        <v>45128</v>
      </c>
      <c r="J71" s="66">
        <v>45589</v>
      </c>
      <c r="K71" s="88"/>
    </row>
    <row r="72" spans="1:11" ht="409.6">
      <c r="A72" s="73">
        <v>71</v>
      </c>
      <c r="B72" s="65" t="str">
        <f>VLOOKUP(A72,[1]vaccines!A:B,2)</f>
        <v>EnceVir_Neo_kids</v>
      </c>
      <c r="C72" s="72" t="s">
        <v>3626</v>
      </c>
      <c r="D72" s="72" t="s">
        <v>3627</v>
      </c>
      <c r="E72" s="59">
        <v>45520</v>
      </c>
      <c r="F72" s="85"/>
      <c r="G72" s="85"/>
      <c r="H72" s="86" t="s">
        <v>1281</v>
      </c>
      <c r="I72" s="59">
        <f t="shared" si="7"/>
        <v>45128</v>
      </c>
      <c r="J72" s="66">
        <v>45589</v>
      </c>
      <c r="K72" s="88"/>
    </row>
    <row r="73" spans="1:11" ht="409.6">
      <c r="A73" s="73">
        <v>72</v>
      </c>
      <c r="B73" s="65" t="str">
        <f>VLOOKUP(A73,[1]vaccines!A:B,2)</f>
        <v>TBE_Chumakov_lyo</v>
      </c>
      <c r="C73" s="72" t="s">
        <v>3628</v>
      </c>
      <c r="D73" s="72" t="s">
        <v>3629</v>
      </c>
      <c r="E73" s="59">
        <v>45727</v>
      </c>
      <c r="F73" s="73">
        <v>1</v>
      </c>
      <c r="G73" s="73">
        <v>0</v>
      </c>
      <c r="H73" s="86" t="s">
        <v>1284</v>
      </c>
      <c r="I73" s="59">
        <f t="shared" si="7"/>
        <v>45128</v>
      </c>
      <c r="J73" s="66">
        <v>45750</v>
      </c>
      <c r="K73" s="88"/>
    </row>
    <row r="74" spans="1:11" ht="409.6">
      <c r="A74" s="73">
        <v>73</v>
      </c>
      <c r="B74" s="65" t="str">
        <f>VLOOKUP(A74,[1]vaccines!A:B,2)</f>
        <v>Varilrix</v>
      </c>
      <c r="C74" s="72" t="s">
        <v>3630</v>
      </c>
      <c r="D74" s="72" t="s">
        <v>3631</v>
      </c>
      <c r="E74" s="59">
        <v>45439</v>
      </c>
      <c r="F74" s="73">
        <v>1</v>
      </c>
      <c r="G74" s="73">
        <v>0</v>
      </c>
      <c r="H74" s="86" t="s">
        <v>1287</v>
      </c>
      <c r="I74" s="59">
        <f t="shared" si="7"/>
        <v>45128</v>
      </c>
      <c r="J74" s="59">
        <v>45830</v>
      </c>
      <c r="K74" s="88"/>
    </row>
    <row r="75" spans="1:11" ht="409.6">
      <c r="A75" s="73">
        <v>74</v>
      </c>
      <c r="B75" s="65" t="str">
        <f>VLOOKUP(A75,[1]vaccines!A:B,2)</f>
        <v>YF_Chumakov_lyo</v>
      </c>
      <c r="C75" s="72" t="s">
        <v>3632</v>
      </c>
      <c r="D75" s="72" t="s">
        <v>3633</v>
      </c>
      <c r="E75" s="43">
        <v>45288</v>
      </c>
      <c r="F75" s="74">
        <v>3</v>
      </c>
      <c r="G75" s="74">
        <v>2</v>
      </c>
      <c r="H75" s="89" t="s">
        <v>3346</v>
      </c>
      <c r="I75" s="43">
        <v>45129</v>
      </c>
      <c r="J75" s="43">
        <v>45715</v>
      </c>
      <c r="K75" s="88"/>
    </row>
    <row r="76" spans="1:11" ht="330">
      <c r="A76" s="73">
        <v>75</v>
      </c>
      <c r="B76" s="65" t="str">
        <f>VLOOKUP(A76,[1]vaccines!A:B,2)</f>
        <v>tularemia_Microgen</v>
      </c>
      <c r="C76" s="72" t="s">
        <v>3634</v>
      </c>
      <c r="D76" s="72" t="s">
        <v>3635</v>
      </c>
      <c r="E76" s="59">
        <v>45562</v>
      </c>
      <c r="F76" s="85"/>
      <c r="G76" s="85"/>
      <c r="H76" s="86" t="s">
        <v>1294</v>
      </c>
      <c r="I76" s="59">
        <f>I75</f>
        <v>45129</v>
      </c>
      <c r="J76" s="66">
        <v>45589</v>
      </c>
      <c r="K76" s="87" t="s">
        <v>2557</v>
      </c>
    </row>
    <row r="77" spans="1:11" ht="105.6">
      <c r="A77" s="73">
        <v>76</v>
      </c>
      <c r="B77" s="65" t="str">
        <f>VLOOKUP(A77,[1]vaccines!A:B,2)</f>
        <v>plague_molecular_lyo_RPN</v>
      </c>
      <c r="C77" s="72" t="s">
        <v>3551</v>
      </c>
      <c r="D77" s="72" t="s">
        <v>3552</v>
      </c>
      <c r="E77" s="43">
        <v>43209</v>
      </c>
      <c r="F77" s="74">
        <v>1</v>
      </c>
      <c r="G77" s="74">
        <v>0</v>
      </c>
      <c r="H77" s="89" t="s">
        <v>2713</v>
      </c>
      <c r="I77" s="43">
        <v>45129</v>
      </c>
      <c r="J77" s="43"/>
      <c r="K77" s="88"/>
    </row>
    <row r="78" spans="1:11" ht="330">
      <c r="A78" s="73">
        <v>77</v>
      </c>
      <c r="B78" s="65" t="str">
        <f>VLOOKUP(A78,[1]vaccines!A:B,2)</f>
        <v>plague_live_lyo_48_NII_Minoborony</v>
      </c>
      <c r="C78" s="72" t="s">
        <v>3636</v>
      </c>
      <c r="D78" s="72" t="s">
        <v>3637</v>
      </c>
      <c r="E78" s="43">
        <v>40675</v>
      </c>
      <c r="F78" s="74">
        <v>1</v>
      </c>
      <c r="G78" s="74">
        <v>0</v>
      </c>
      <c r="H78" s="89" t="s">
        <v>1301</v>
      </c>
      <c r="I78" s="43">
        <v>45129</v>
      </c>
      <c r="J78" s="43"/>
      <c r="K78" s="88"/>
    </row>
    <row r="79" spans="1:11" ht="356.4">
      <c r="A79" s="73">
        <v>78</v>
      </c>
      <c r="B79" s="65" t="str">
        <f>VLOOKUP(A79,[1]vaccines!A:B,2)</f>
        <v>plague_live_tablets_48_NII_Minoborony</v>
      </c>
      <c r="C79" s="72" t="s">
        <v>3638</v>
      </c>
      <c r="D79" s="72" t="s">
        <v>3639</v>
      </c>
      <c r="E79" s="43">
        <v>40126</v>
      </c>
      <c r="F79" s="74">
        <v>1</v>
      </c>
      <c r="G79" s="74">
        <v>0</v>
      </c>
      <c r="H79" s="89" t="s">
        <v>1304</v>
      </c>
      <c r="I79" s="43">
        <v>45129</v>
      </c>
      <c r="J79" s="43"/>
      <c r="K79" s="88"/>
    </row>
    <row r="80" spans="1:11" ht="382.8">
      <c r="A80" s="73">
        <v>79</v>
      </c>
      <c r="B80" s="65" t="str">
        <f>VLOOKUP(A80,[1]vaccines!A:B,2)</f>
        <v>plague_live_lyo_RPN</v>
      </c>
      <c r="C80" s="72" t="s">
        <v>3640</v>
      </c>
      <c r="D80" s="72" t="s">
        <v>3641</v>
      </c>
      <c r="E80" s="43">
        <v>44158</v>
      </c>
      <c r="F80" s="74">
        <v>1</v>
      </c>
      <c r="G80" s="74">
        <v>0</v>
      </c>
      <c r="H80" s="89" t="s">
        <v>1307</v>
      </c>
      <c r="I80" s="43">
        <v>45129</v>
      </c>
      <c r="J80" s="43"/>
      <c r="K80" s="88"/>
    </row>
    <row r="81" spans="1:11" ht="184.8">
      <c r="A81" s="73">
        <v>80</v>
      </c>
      <c r="B81" s="65" t="str">
        <f>VLOOKUP(A81,[1]vaccines!A:B,2)</f>
        <v>brucellosis_therapeutic_48_NII_Minoborony</v>
      </c>
      <c r="C81" s="62" t="s">
        <v>3642</v>
      </c>
      <c r="D81" s="72" t="s">
        <v>3643</v>
      </c>
      <c r="E81" s="43">
        <v>40263</v>
      </c>
      <c r="F81" s="74">
        <v>1</v>
      </c>
      <c r="G81" s="74">
        <v>0</v>
      </c>
      <c r="H81" s="89" t="s">
        <v>1310</v>
      </c>
      <c r="I81" s="43">
        <v>45130</v>
      </c>
      <c r="J81" s="43"/>
      <c r="K81" s="88"/>
    </row>
    <row r="82" spans="1:11" ht="409.6">
      <c r="A82" s="73">
        <v>81</v>
      </c>
      <c r="B82" s="65" t="str">
        <f>VLOOKUP(A82,[1]vaccines!A:B,2)</f>
        <v>brucellosis_prophylactic_Microgen</v>
      </c>
      <c r="C82" s="72" t="s">
        <v>3644</v>
      </c>
      <c r="D82" s="72" t="s">
        <v>3645</v>
      </c>
      <c r="E82" s="59">
        <v>45743</v>
      </c>
      <c r="F82" s="73">
        <v>1</v>
      </c>
      <c r="G82" s="73">
        <v>0</v>
      </c>
      <c r="H82" s="86" t="s">
        <v>1313</v>
      </c>
      <c r="I82" s="59">
        <f>I81</f>
        <v>45130</v>
      </c>
      <c r="J82" s="66">
        <v>45798</v>
      </c>
      <c r="K82" s="88"/>
    </row>
    <row r="83" spans="1:11" ht="356.4">
      <c r="A83" s="73">
        <v>82</v>
      </c>
      <c r="B83" s="65" t="str">
        <f>VLOOKUP(A83,[1]vaccines!A:B,2)</f>
        <v>anthrax_live_48_NII_Minoborony</v>
      </c>
      <c r="C83" s="72" t="s">
        <v>3646</v>
      </c>
      <c r="D83" s="72" t="s">
        <v>3647</v>
      </c>
      <c r="E83" s="43">
        <v>43754</v>
      </c>
      <c r="F83" s="74">
        <v>1</v>
      </c>
      <c r="G83" s="74">
        <v>0</v>
      </c>
      <c r="H83" s="89" t="s">
        <v>1316</v>
      </c>
      <c r="I83" s="43">
        <v>45130</v>
      </c>
      <c r="J83" s="43"/>
      <c r="K83" s="88"/>
    </row>
    <row r="84" spans="1:11" ht="356.4">
      <c r="A84" s="73">
        <v>83</v>
      </c>
      <c r="B84" s="65" t="str">
        <f>VLOOKUP(A84,[1]vaccines!A:B,2)</f>
        <v>anthrax_combined_48_NII_Minoborony</v>
      </c>
      <c r="C84" s="72" t="s">
        <v>3646</v>
      </c>
      <c r="D84" s="72" t="s">
        <v>3647</v>
      </c>
      <c r="E84" s="43">
        <v>39773</v>
      </c>
      <c r="F84" s="74">
        <v>1</v>
      </c>
      <c r="G84" s="74">
        <v>0</v>
      </c>
      <c r="H84" s="89" t="s">
        <v>1319</v>
      </c>
      <c r="I84" s="43">
        <v>45130</v>
      </c>
      <c r="J84" s="43"/>
      <c r="K84" s="88"/>
    </row>
    <row r="85" spans="1:11" ht="409.6">
      <c r="A85" s="73">
        <v>84</v>
      </c>
      <c r="B85" s="65" t="str">
        <f>VLOOKUP(A85,[1]vaccines!A:B,2)</f>
        <v>Rabipur</v>
      </c>
      <c r="C85" s="72" t="s">
        <v>3648</v>
      </c>
      <c r="D85" s="72" t="s">
        <v>3649</v>
      </c>
      <c r="E85" s="43">
        <v>42996</v>
      </c>
      <c r="F85" s="74">
        <v>1</v>
      </c>
      <c r="G85" s="74">
        <v>0</v>
      </c>
      <c r="H85" s="89" t="s">
        <v>1321</v>
      </c>
      <c r="I85" s="43">
        <v>45130</v>
      </c>
      <c r="J85" s="43"/>
      <c r="K85" s="88"/>
    </row>
    <row r="86" spans="1:11" ht="409.6">
      <c r="A86" s="73">
        <v>85</v>
      </c>
      <c r="B86" s="65" t="str">
        <f>VLOOKUP(A86,[1]vaccines!A:B,2)</f>
        <v>leptospirosis_Rostov_NII</v>
      </c>
      <c r="C86" s="72" t="s">
        <v>3650</v>
      </c>
      <c r="D86" s="72" t="s">
        <v>3651</v>
      </c>
      <c r="E86" s="43">
        <v>43881</v>
      </c>
      <c r="F86" s="74">
        <v>1</v>
      </c>
      <c r="G86" s="74">
        <v>0</v>
      </c>
      <c r="H86" s="89" t="s">
        <v>1323</v>
      </c>
      <c r="I86" s="43">
        <v>45130</v>
      </c>
      <c r="J86" s="43"/>
      <c r="K86" s="87" t="s">
        <v>2557</v>
      </c>
    </row>
    <row r="87" spans="1:11" ht="409.6">
      <c r="A87" s="73">
        <v>86</v>
      </c>
      <c r="B87" s="65" t="str">
        <f>VLOOKUP(A87,[1]vaccines!A:B,2)</f>
        <v>Q_fever_M_44_Microgen</v>
      </c>
      <c r="C87" s="72" t="s">
        <v>3652</v>
      </c>
      <c r="D87" s="72" t="s">
        <v>3653</v>
      </c>
      <c r="E87" s="59">
        <v>45691</v>
      </c>
      <c r="F87" s="73">
        <v>1</v>
      </c>
      <c r="G87" s="73">
        <v>0</v>
      </c>
      <c r="H87" s="86" t="s">
        <v>1327</v>
      </c>
      <c r="I87" s="59">
        <f>I86</f>
        <v>45130</v>
      </c>
      <c r="J87" s="66">
        <v>45716</v>
      </c>
      <c r="K87" s="88"/>
    </row>
    <row r="88" spans="1:11" ht="145.19999999999999">
      <c r="A88" s="73">
        <v>87</v>
      </c>
      <c r="B88" s="65" t="str">
        <f>VLOOKUP(A88,[1]vaccines!A:B,2)</f>
        <v>cholera_NII_Microb</v>
      </c>
      <c r="C88" s="72" t="s">
        <v>3334</v>
      </c>
      <c r="D88" s="72" t="s">
        <v>3335</v>
      </c>
      <c r="E88" s="43">
        <v>44705</v>
      </c>
      <c r="F88" s="74">
        <v>1</v>
      </c>
      <c r="G88" s="74">
        <v>0</v>
      </c>
      <c r="H88" s="89" t="s">
        <v>2740</v>
      </c>
      <c r="I88" s="43">
        <v>45130</v>
      </c>
      <c r="J88" s="43"/>
      <c r="K88" s="88"/>
    </row>
    <row r="89" spans="1:11" ht="409.6">
      <c r="A89" s="73">
        <v>88</v>
      </c>
      <c r="B89" s="65" t="str">
        <f>VLOOKUP(A89,[1]vaccines!A:B,2)</f>
        <v>Vianvac</v>
      </c>
      <c r="C89" s="72" t="s">
        <v>3654</v>
      </c>
      <c r="D89" s="72" t="s">
        <v>3655</v>
      </c>
      <c r="E89" s="59">
        <v>46036</v>
      </c>
      <c r="F89" s="73">
        <v>1</v>
      </c>
      <c r="G89" s="73">
        <v>0</v>
      </c>
      <c r="H89" s="86" t="s">
        <v>1333</v>
      </c>
      <c r="I89" s="59">
        <f>I88</f>
        <v>45130</v>
      </c>
      <c r="J89" s="66">
        <v>46130</v>
      </c>
      <c r="K89" s="88"/>
    </row>
    <row r="90" spans="1:11" ht="277.2">
      <c r="A90" s="73">
        <v>89</v>
      </c>
      <c r="B90" s="65" t="str">
        <f>VLOOKUP(A90,[1]vaccines!A:B,2)</f>
        <v>Typhivac</v>
      </c>
      <c r="C90" s="72" t="s">
        <v>3656</v>
      </c>
      <c r="D90" s="72" t="s">
        <v>3657</v>
      </c>
      <c r="E90" s="43">
        <v>42762</v>
      </c>
      <c r="F90" s="74">
        <v>1</v>
      </c>
      <c r="G90" s="74">
        <v>0</v>
      </c>
      <c r="H90" s="89" t="s">
        <v>1336</v>
      </c>
      <c r="I90" s="43">
        <v>45130</v>
      </c>
      <c r="J90" s="43"/>
      <c r="K90" s="88"/>
    </row>
    <row r="91" spans="1:11" ht="409.6">
      <c r="A91" s="73">
        <v>90</v>
      </c>
      <c r="B91" s="65" t="str">
        <f>VLOOKUP(A91,[1]vaccines!A:B,2)</f>
        <v>Shigellvac</v>
      </c>
      <c r="C91" s="72" t="s">
        <v>3658</v>
      </c>
      <c r="D91" s="72" t="s">
        <v>3659</v>
      </c>
      <c r="E91" s="59">
        <v>46015</v>
      </c>
      <c r="F91" s="73">
        <v>1</v>
      </c>
      <c r="G91" s="73">
        <v>0</v>
      </c>
      <c r="H91" s="86" t="s">
        <v>1339</v>
      </c>
      <c r="I91" s="59">
        <f>I90</f>
        <v>45130</v>
      </c>
      <c r="J91" s="66">
        <v>46130</v>
      </c>
      <c r="K91" s="88"/>
    </row>
    <row r="92" spans="1:11" ht="409.6">
      <c r="A92" s="73">
        <v>91</v>
      </c>
      <c r="B92" s="65" t="str">
        <f>VLOOKUP(A92,[1]vaccines!A:B,2)</f>
        <v>CoviVac</v>
      </c>
      <c r="C92" s="72" t="s">
        <v>3660</v>
      </c>
      <c r="D92" s="72" t="s">
        <v>3661</v>
      </c>
      <c r="E92" s="43">
        <v>44246</v>
      </c>
      <c r="F92" s="74">
        <v>1</v>
      </c>
      <c r="G92" s="74">
        <v>0</v>
      </c>
      <c r="H92" s="89" t="s">
        <v>3082</v>
      </c>
      <c r="I92" s="43">
        <v>45130</v>
      </c>
      <c r="J92" s="43"/>
      <c r="K92" s="88"/>
    </row>
    <row r="93" spans="1:11" ht="409.6">
      <c r="A93" s="73">
        <v>92</v>
      </c>
      <c r="B93" s="65" t="str">
        <f>VLOOKUP(A93,[1]vaccines!A:B,2)</f>
        <v>Sputnik_light</v>
      </c>
      <c r="C93" s="72" t="s">
        <v>3662</v>
      </c>
      <c r="D93" s="72" t="s">
        <v>3663</v>
      </c>
      <c r="E93" s="59">
        <v>45810</v>
      </c>
      <c r="F93" s="73">
        <v>1</v>
      </c>
      <c r="G93" s="73">
        <v>0</v>
      </c>
      <c r="H93" s="86" t="s">
        <v>1343</v>
      </c>
      <c r="I93" s="59">
        <f>I92</f>
        <v>45130</v>
      </c>
      <c r="J93" s="66">
        <v>45830</v>
      </c>
      <c r="K93" s="88"/>
    </row>
    <row r="94" spans="1:11" ht="409.6">
      <c r="A94" s="73">
        <v>93</v>
      </c>
      <c r="B94" s="65" t="str">
        <f>VLOOKUP(A94,[1]vaccines!A:B,2)</f>
        <v>Sputnik_M</v>
      </c>
      <c r="C94" s="72" t="s">
        <v>3664</v>
      </c>
      <c r="D94" s="72" t="s">
        <v>3665</v>
      </c>
      <c r="E94" s="43">
        <v>44524</v>
      </c>
      <c r="F94" s="74">
        <v>1</v>
      </c>
      <c r="G94" s="74">
        <v>0</v>
      </c>
      <c r="H94" s="89" t="s">
        <v>1346</v>
      </c>
      <c r="I94" s="43">
        <v>45130</v>
      </c>
      <c r="J94" s="43"/>
      <c r="K94" s="88"/>
    </row>
    <row r="95" spans="1:11" ht="409.6">
      <c r="A95" s="73">
        <v>94</v>
      </c>
      <c r="B95" s="65" t="str">
        <f>VLOOKUP(A95,[1]vaccines!A:B,2)</f>
        <v>Convacel</v>
      </c>
      <c r="C95" s="72" t="s">
        <v>3666</v>
      </c>
      <c r="D95" s="72" t="s">
        <v>3667</v>
      </c>
      <c r="E95" s="59">
        <v>46009</v>
      </c>
      <c r="F95" s="73">
        <v>1</v>
      </c>
      <c r="G95" s="73">
        <v>0</v>
      </c>
      <c r="H95" s="86" t="s">
        <v>1350</v>
      </c>
      <c r="I95" s="59">
        <f>I94</f>
        <v>45130</v>
      </c>
      <c r="J95" s="66">
        <v>46053</v>
      </c>
      <c r="K95" s="88"/>
    </row>
    <row r="96" spans="1:11" ht="39.6">
      <c r="A96" s="73">
        <v>95</v>
      </c>
      <c r="B96" s="65" t="str">
        <f>VLOOKUP(A96,[1]vaccines!A:B,2)</f>
        <v>Aurora</v>
      </c>
      <c r="C96" s="72" t="s">
        <v>3379</v>
      </c>
      <c r="D96" s="72" t="s">
        <v>3380</v>
      </c>
      <c r="E96" s="43">
        <v>44434</v>
      </c>
      <c r="F96" s="74">
        <v>1</v>
      </c>
      <c r="G96" s="74">
        <v>0</v>
      </c>
      <c r="H96" s="89" t="s">
        <v>2758</v>
      </c>
      <c r="I96" s="43">
        <v>45130</v>
      </c>
      <c r="J96" s="43"/>
      <c r="K96" s="87" t="s">
        <v>2557</v>
      </c>
    </row>
    <row r="97" spans="1:11" ht="409.6">
      <c r="A97" s="73">
        <v>96</v>
      </c>
      <c r="B97" s="65" t="str">
        <f>VLOOKUP(A97,[1]vaccines!A:B,2)</f>
        <v>Rota_V_Aid</v>
      </c>
      <c r="C97" s="72" t="s">
        <v>3668</v>
      </c>
      <c r="D97" s="72" t="s">
        <v>3669</v>
      </c>
      <c r="E97" s="59">
        <v>45594</v>
      </c>
      <c r="F97" s="85"/>
      <c r="G97" s="85"/>
      <c r="H97" s="86" t="s">
        <v>1356</v>
      </c>
      <c r="I97" s="59">
        <f>I96</f>
        <v>45130</v>
      </c>
      <c r="J97" s="59">
        <v>45629</v>
      </c>
      <c r="K97" s="88"/>
    </row>
    <row r="98" spans="1:11" ht="409.2">
      <c r="A98" s="73">
        <v>97</v>
      </c>
      <c r="B98" s="65" t="str">
        <f>VLOOKUP(A98,[1]vaccines!A:B,2)</f>
        <v>Hib_Rostov</v>
      </c>
      <c r="C98" s="72" t="s">
        <v>3670</v>
      </c>
      <c r="D98" s="72" t="s">
        <v>3671</v>
      </c>
      <c r="E98" s="43">
        <v>42577</v>
      </c>
      <c r="F98" s="74">
        <v>1</v>
      </c>
      <c r="G98" s="74">
        <v>0</v>
      </c>
      <c r="H98" s="89" t="s">
        <v>1359</v>
      </c>
      <c r="I98" s="43">
        <v>45130</v>
      </c>
      <c r="J98" s="43"/>
      <c r="K98" s="88"/>
    </row>
    <row r="99" spans="1:11" ht="409.6">
      <c r="A99" s="73">
        <v>98</v>
      </c>
      <c r="B99" s="65" t="str">
        <f>VLOOKUP(A99,[1]vaccines!A:B,2)</f>
        <v>HepB_Combiotech_1_0</v>
      </c>
      <c r="C99" s="72" t="s">
        <v>3539</v>
      </c>
      <c r="D99" s="72" t="s">
        <v>3540</v>
      </c>
      <c r="E99" s="59">
        <v>46056</v>
      </c>
      <c r="F99" s="73">
        <v>1</v>
      </c>
      <c r="G99" s="73">
        <v>0</v>
      </c>
      <c r="H99" s="86" t="s">
        <v>1150</v>
      </c>
      <c r="I99" s="59">
        <f t="shared" ref="I99:I101" si="8">I98</f>
        <v>45130</v>
      </c>
      <c r="J99" s="66">
        <v>46130</v>
      </c>
      <c r="K99" s="88"/>
    </row>
    <row r="100" spans="1:11" ht="409.6">
      <c r="A100" s="73">
        <v>99</v>
      </c>
      <c r="B100" s="65" t="str">
        <f>VLOOKUP(A100,[1]vaccines!A:B,2)</f>
        <v>Regevac_1_0</v>
      </c>
      <c r="C100" s="72" t="s">
        <v>3537</v>
      </c>
      <c r="D100" s="72" t="s">
        <v>3538</v>
      </c>
      <c r="E100" s="59">
        <v>45216</v>
      </c>
      <c r="F100" s="73">
        <v>1</v>
      </c>
      <c r="G100" s="73">
        <v>0</v>
      </c>
      <c r="H100" s="86" t="s">
        <v>1147</v>
      </c>
      <c r="I100" s="59">
        <f t="shared" si="8"/>
        <v>45130</v>
      </c>
      <c r="J100" s="66">
        <v>45988</v>
      </c>
      <c r="K100" s="88"/>
    </row>
    <row r="101" spans="1:11" ht="409.6">
      <c r="A101" s="73">
        <v>100</v>
      </c>
      <c r="B101" s="65" t="str">
        <f>VLOOKUP(A101,[1]vaccines!A:B,2)</f>
        <v>Priorix_Tetra</v>
      </c>
      <c r="C101" s="72" t="s">
        <v>3672</v>
      </c>
      <c r="D101" s="72" t="s">
        <v>3673</v>
      </c>
      <c r="E101" s="59">
        <v>45453</v>
      </c>
      <c r="F101" s="85"/>
      <c r="G101" s="85"/>
      <c r="H101" s="86" t="s">
        <v>1366</v>
      </c>
      <c r="I101" s="59">
        <f t="shared" si="8"/>
        <v>45130</v>
      </c>
      <c r="J101" s="66">
        <v>45510</v>
      </c>
      <c r="K101" s="88"/>
    </row>
    <row r="102" spans="1:11" ht="409.6">
      <c r="A102" s="73">
        <v>101</v>
      </c>
      <c r="B102" s="65" t="str">
        <f>VLOOKUP(A102,[1]vaccines!A:B,2)</f>
        <v>Menveo</v>
      </c>
      <c r="C102" s="72" t="s">
        <v>3674</v>
      </c>
      <c r="D102" s="72" t="s">
        <v>3675</v>
      </c>
      <c r="E102" s="43">
        <v>44890</v>
      </c>
      <c r="F102" s="74">
        <v>4</v>
      </c>
      <c r="G102" s="74">
        <v>3</v>
      </c>
      <c r="H102" s="89" t="s">
        <v>3387</v>
      </c>
      <c r="I102" s="43">
        <v>45130</v>
      </c>
      <c r="J102" s="43"/>
      <c r="K102" s="88"/>
    </row>
    <row r="103" spans="1:11" ht="158.4">
      <c r="A103" s="73">
        <v>102</v>
      </c>
      <c r="B103" s="65" t="str">
        <f>VLOOKUP(A103,[1]vaccines!A:B,2)</f>
        <v>Sputnik_intranasal</v>
      </c>
      <c r="C103" s="72" t="s">
        <v>3377</v>
      </c>
      <c r="D103" s="72" t="s">
        <v>3378</v>
      </c>
      <c r="E103" s="43">
        <v>44651</v>
      </c>
      <c r="F103" s="74">
        <v>1</v>
      </c>
      <c r="G103" s="74">
        <v>0</v>
      </c>
      <c r="H103" s="89" t="s">
        <v>1372</v>
      </c>
      <c r="I103" s="43">
        <v>45130</v>
      </c>
      <c r="J103" s="43"/>
      <c r="K103" s="88"/>
    </row>
    <row r="104" spans="1:11" ht="409.6">
      <c r="A104" s="73">
        <v>103</v>
      </c>
      <c r="B104" s="65" t="str">
        <f>VLOOKUP(A104,[1]vaccines!A:B,2)</f>
        <v>Grippol_plus_0_25</v>
      </c>
      <c r="C104" s="72" t="s">
        <v>3557</v>
      </c>
      <c r="D104" s="72" t="s">
        <v>3558</v>
      </c>
      <c r="E104" s="59">
        <v>45182</v>
      </c>
      <c r="F104" s="85"/>
      <c r="G104" s="85"/>
      <c r="H104" s="86" t="s">
        <v>1179</v>
      </c>
      <c r="I104" s="43">
        <v>45130</v>
      </c>
      <c r="J104" s="43">
        <v>45483</v>
      </c>
      <c r="K104" s="88"/>
    </row>
    <row r="105" spans="1:11" ht="409.6">
      <c r="A105" s="73">
        <v>104</v>
      </c>
      <c r="B105" s="65" t="str">
        <f>VLOOKUP(A105,[1]vaccines!A:B,2)</f>
        <v>Flu_M_Tetra</v>
      </c>
      <c r="C105" s="72" t="s">
        <v>3676</v>
      </c>
      <c r="D105" s="72" t="s">
        <v>3677</v>
      </c>
      <c r="E105" s="59">
        <v>45741</v>
      </c>
      <c r="F105" s="73">
        <v>1</v>
      </c>
      <c r="G105" s="73">
        <v>0</v>
      </c>
      <c r="H105" s="86" t="s">
        <v>1377</v>
      </c>
      <c r="I105" s="59">
        <f t="shared" ref="I105:I106" si="9">I104</f>
        <v>45130</v>
      </c>
      <c r="J105" s="66">
        <v>45798</v>
      </c>
      <c r="K105" s="88"/>
    </row>
    <row r="106" spans="1:11" ht="409.6">
      <c r="A106" s="73">
        <v>105</v>
      </c>
      <c r="B106" s="65" t="str">
        <f>VLOOKUP(A106,[1]vaccines!A:B,2)</f>
        <v>Vaxigrip_Tetra</v>
      </c>
      <c r="C106" s="72" t="s">
        <v>3678</v>
      </c>
      <c r="D106" s="72" t="s">
        <v>3679</v>
      </c>
      <c r="E106" s="59">
        <v>45300</v>
      </c>
      <c r="F106" s="85"/>
      <c r="G106" s="85"/>
      <c r="H106" s="86" t="s">
        <v>1380</v>
      </c>
      <c r="I106" s="59">
        <f t="shared" si="9"/>
        <v>45130</v>
      </c>
      <c r="J106" s="66">
        <v>45489</v>
      </c>
      <c r="K106" s="94" t="s">
        <v>3680</v>
      </c>
    </row>
    <row r="107" spans="1:11" ht="409.6">
      <c r="A107" s="73">
        <v>106</v>
      </c>
      <c r="B107" s="65" t="str">
        <f>VLOOKUP(A107,[1]vaccines!A:B,2)</f>
        <v>Ocavax</v>
      </c>
      <c r="C107" s="72" t="s">
        <v>3681</v>
      </c>
      <c r="D107" s="72" t="s">
        <v>3682</v>
      </c>
      <c r="E107" s="43">
        <v>40233</v>
      </c>
      <c r="F107" s="74">
        <v>1</v>
      </c>
      <c r="G107" s="74">
        <v>0</v>
      </c>
      <c r="H107" s="89" t="s">
        <v>1383</v>
      </c>
      <c r="I107" s="43">
        <v>45130</v>
      </c>
      <c r="J107" s="43"/>
      <c r="K107" s="88"/>
    </row>
    <row r="108" spans="1:11" ht="369.6">
      <c r="A108" s="73">
        <v>107</v>
      </c>
      <c r="B108" s="65" t="str">
        <f>VLOOKUP(A108,[1]vaccines!A:B,2)</f>
        <v>Pneumo_23</v>
      </c>
      <c r="C108" s="72" t="s">
        <v>3683</v>
      </c>
      <c r="D108" s="72" t="s">
        <v>3684</v>
      </c>
      <c r="E108" s="43">
        <v>41688</v>
      </c>
      <c r="F108" s="74">
        <v>1</v>
      </c>
      <c r="G108" s="74">
        <v>0</v>
      </c>
      <c r="H108" s="89" t="s">
        <v>1386</v>
      </c>
      <c r="I108" s="43">
        <v>45130</v>
      </c>
      <c r="J108" s="43"/>
      <c r="K108" s="88"/>
    </row>
    <row r="109" spans="1:11" ht="409.6">
      <c r="A109" s="73">
        <v>108</v>
      </c>
      <c r="B109" s="65" t="str">
        <f>VLOOKUP(A109,[1]vaccines!A:B,2)</f>
        <v>Varivax</v>
      </c>
      <c r="C109" s="72" t="s">
        <v>3685</v>
      </c>
      <c r="D109" s="72" t="s">
        <v>3686</v>
      </c>
      <c r="E109" s="59">
        <v>45126</v>
      </c>
      <c r="F109" s="85"/>
      <c r="G109" s="85"/>
      <c r="H109" s="86" t="s">
        <v>1389</v>
      </c>
      <c r="I109" s="43">
        <v>45131</v>
      </c>
      <c r="J109" s="66">
        <v>45489</v>
      </c>
      <c r="K109" s="88"/>
    </row>
    <row r="110" spans="1:11" ht="409.6">
      <c r="A110" s="73">
        <v>109</v>
      </c>
      <c r="B110" s="65" t="str">
        <f>VLOOKUP(A110,[1]vaccines!A:B,2)</f>
        <v>Pneumotex</v>
      </c>
      <c r="C110" s="72" t="s">
        <v>3687</v>
      </c>
      <c r="D110" s="72" t="s">
        <v>3688</v>
      </c>
      <c r="E110" s="59">
        <v>45777</v>
      </c>
      <c r="F110" s="73">
        <v>1</v>
      </c>
      <c r="G110" s="73">
        <v>0</v>
      </c>
      <c r="H110" s="86" t="s">
        <v>1392</v>
      </c>
      <c r="I110" s="43">
        <v>45131</v>
      </c>
      <c r="J110" s="66">
        <v>45818</v>
      </c>
      <c r="K110" s="88"/>
    </row>
    <row r="111" spans="1:11" ht="409.6">
      <c r="A111" s="73">
        <v>110</v>
      </c>
      <c r="B111" s="65" t="str">
        <f>VLOOKUP(A111,[1]vaccines!A:B,2)</f>
        <v>Priorix</v>
      </c>
      <c r="C111" s="72" t="s">
        <v>3689</v>
      </c>
      <c r="D111" s="72" t="s">
        <v>3690</v>
      </c>
      <c r="E111" s="43">
        <v>43437</v>
      </c>
      <c r="F111" s="74">
        <v>5</v>
      </c>
      <c r="G111" s="74">
        <v>7</v>
      </c>
      <c r="H111" s="89" t="s">
        <v>3400</v>
      </c>
      <c r="I111" s="43">
        <v>45131</v>
      </c>
      <c r="J111" s="43"/>
      <c r="K111" s="88"/>
    </row>
    <row r="112" spans="1:11" ht="409.6">
      <c r="A112" s="73">
        <v>111</v>
      </c>
      <c r="B112" s="65" t="str">
        <f>VLOOKUP(A112,[1]vaccines!A:B,2)</f>
        <v>MenQuadfi</v>
      </c>
      <c r="C112" s="72" t="s">
        <v>3691</v>
      </c>
      <c r="D112" s="72" t="s">
        <v>3692</v>
      </c>
      <c r="E112" s="59">
        <v>45932</v>
      </c>
      <c r="F112" s="73">
        <v>1</v>
      </c>
      <c r="G112" s="73">
        <v>0</v>
      </c>
      <c r="H112" s="86" t="s">
        <v>1398</v>
      </c>
      <c r="I112" s="43">
        <v>45131</v>
      </c>
      <c r="J112" s="66">
        <v>46072</v>
      </c>
      <c r="K112" s="88"/>
    </row>
    <row r="113" spans="1:11" ht="409.6">
      <c r="A113" s="73">
        <v>112</v>
      </c>
      <c r="B113" s="65" t="str">
        <f>VLOOKUP(A113,[1]vaccines!A:B,2)</f>
        <v>Bexsero</v>
      </c>
      <c r="C113" s="72" t="s">
        <v>3693</v>
      </c>
      <c r="D113" s="72" t="s">
        <v>3694</v>
      </c>
      <c r="E113" s="59">
        <v>45391</v>
      </c>
      <c r="F113" s="85"/>
      <c r="G113" s="85"/>
      <c r="H113" s="86" t="s">
        <v>1401</v>
      </c>
      <c r="I113" s="43">
        <v>45131</v>
      </c>
      <c r="J113" s="66">
        <v>45489</v>
      </c>
      <c r="K113" s="88"/>
    </row>
    <row r="114" spans="1:11" ht="409.6">
      <c r="A114" s="73">
        <v>113</v>
      </c>
      <c r="B114" s="65" t="str">
        <f>VLOOKUP(A114,[1]vaccines!A:B,2)</f>
        <v>Sputnik_D</v>
      </c>
      <c r="C114" s="72" t="s">
        <v>3695</v>
      </c>
      <c r="D114" s="72" t="s">
        <v>3696</v>
      </c>
      <c r="E114" s="43">
        <v>45030</v>
      </c>
      <c r="F114" s="74">
        <v>1</v>
      </c>
      <c r="G114" s="74">
        <v>0</v>
      </c>
      <c r="H114" s="89" t="s">
        <v>2797</v>
      </c>
      <c r="I114" s="43">
        <v>45131</v>
      </c>
      <c r="J114" s="43"/>
      <c r="K114" s="88"/>
    </row>
    <row r="115" spans="1:11" ht="303.60000000000002">
      <c r="A115" s="73">
        <v>114</v>
      </c>
      <c r="B115" s="65" t="str">
        <f>VLOOKUP(A115,[1]vaccines!A:B,2)</f>
        <v>Encepur_0_25</v>
      </c>
      <c r="C115" s="72" t="s">
        <v>3697</v>
      </c>
      <c r="D115" s="72" t="s">
        <v>3698</v>
      </c>
      <c r="E115" s="43">
        <v>40252</v>
      </c>
      <c r="F115" s="74">
        <v>1</v>
      </c>
      <c r="G115" s="74">
        <v>0</v>
      </c>
      <c r="H115" s="89" t="s">
        <v>1407</v>
      </c>
      <c r="I115" s="43">
        <v>45131</v>
      </c>
      <c r="J115" s="43"/>
      <c r="K115" s="88"/>
    </row>
    <row r="116" spans="1:11" ht="303.60000000000002">
      <c r="A116" s="73">
        <v>115</v>
      </c>
      <c r="B116" s="65" t="str">
        <f>VLOOKUP(A116,[1]vaccines!A:B,2)</f>
        <v>Encepur_0_5</v>
      </c>
      <c r="C116" s="72" t="s">
        <v>3699</v>
      </c>
      <c r="D116" s="72" t="s">
        <v>3700</v>
      </c>
      <c r="E116" s="43">
        <v>39878</v>
      </c>
      <c r="F116" s="74">
        <v>1</v>
      </c>
      <c r="G116" s="74">
        <v>0</v>
      </c>
      <c r="H116" s="89" t="s">
        <v>1410</v>
      </c>
      <c r="I116" s="43">
        <v>45131</v>
      </c>
      <c r="J116" s="43"/>
      <c r="K116" s="87" t="s">
        <v>2557</v>
      </c>
    </row>
    <row r="117" spans="1:11" ht="409.6">
      <c r="A117" s="73">
        <v>116</v>
      </c>
      <c r="B117" s="65" t="str">
        <f>VLOOKUP(A117,[1]vaccines!A:B,2)</f>
        <v>Poliovaccine</v>
      </c>
      <c r="C117" s="72" t="s">
        <v>3701</v>
      </c>
      <c r="D117" s="72" t="s">
        <v>3702</v>
      </c>
      <c r="E117" s="43">
        <v>44476</v>
      </c>
      <c r="F117" s="74">
        <v>1</v>
      </c>
      <c r="G117" s="74">
        <v>0</v>
      </c>
      <c r="H117" s="89" t="s">
        <v>2804</v>
      </c>
      <c r="I117" s="43">
        <v>45131</v>
      </c>
      <c r="J117" s="43"/>
      <c r="K117" s="88"/>
    </row>
    <row r="118" spans="1:11" ht="409.6">
      <c r="A118" s="73">
        <v>117</v>
      </c>
      <c r="B118" s="65" t="str">
        <f>VLOOKUP(A118,[1]vaccines!A:B,2)</f>
        <v>Act_Hib</v>
      </c>
      <c r="C118" s="72" t="s">
        <v>3703</v>
      </c>
      <c r="D118" s="72" t="s">
        <v>3704</v>
      </c>
      <c r="E118" s="43">
        <v>41936</v>
      </c>
      <c r="F118" s="74">
        <v>1</v>
      </c>
      <c r="G118" s="74">
        <v>0</v>
      </c>
      <c r="H118" s="89" t="s">
        <v>1414</v>
      </c>
      <c r="I118" s="43">
        <v>45131</v>
      </c>
      <c r="J118" s="43"/>
      <c r="K118" s="88"/>
    </row>
    <row r="119" spans="1:11" ht="409.6">
      <c r="A119" s="73">
        <v>118</v>
      </c>
      <c r="B119" s="65" t="str">
        <f>VLOOKUP(A119,[1]vaccines!A:B,2)</f>
        <v>Hiberix</v>
      </c>
      <c r="C119" s="72" t="s">
        <v>3705</v>
      </c>
      <c r="D119" s="72" t="s">
        <v>3706</v>
      </c>
      <c r="E119" s="43">
        <v>41047</v>
      </c>
      <c r="F119" s="74">
        <v>1</v>
      </c>
      <c r="G119" s="74">
        <v>0</v>
      </c>
      <c r="H119" s="89" t="s">
        <v>1417</v>
      </c>
      <c r="I119" s="43">
        <v>45131</v>
      </c>
      <c r="J119" s="43"/>
      <c r="K119" s="88"/>
    </row>
    <row r="120" spans="1:11" ht="409.6">
      <c r="A120" s="73">
        <v>119</v>
      </c>
      <c r="B120" s="65" t="str">
        <f>VLOOKUP(A120,[1]vaccines!A:B,2)</f>
        <v>FSME_Immun_Junior</v>
      </c>
      <c r="C120" s="72" t="s">
        <v>3707</v>
      </c>
      <c r="D120" s="72" t="s">
        <v>3708</v>
      </c>
      <c r="E120" s="43">
        <v>43115</v>
      </c>
      <c r="F120" s="74">
        <v>1</v>
      </c>
      <c r="G120" s="74">
        <v>0</v>
      </c>
      <c r="H120" s="89" t="s">
        <v>1420</v>
      </c>
      <c r="I120" s="43">
        <v>45131</v>
      </c>
      <c r="J120" s="43"/>
      <c r="K120" s="87" t="s">
        <v>2557</v>
      </c>
    </row>
    <row r="121" spans="1:11" ht="409.6">
      <c r="A121" s="73">
        <v>120</v>
      </c>
      <c r="B121" s="65" t="str">
        <f>VLOOKUP(A121,[1]vaccines!A:B,2)</f>
        <v>FSME_Immun</v>
      </c>
      <c r="C121" s="72" t="s">
        <v>3709</v>
      </c>
      <c r="D121" s="72" t="s">
        <v>3710</v>
      </c>
      <c r="E121" s="43">
        <v>44169</v>
      </c>
      <c r="F121" s="74">
        <v>1</v>
      </c>
      <c r="G121" s="74">
        <v>0</v>
      </c>
      <c r="H121" s="89" t="s">
        <v>1423</v>
      </c>
      <c r="I121" s="43">
        <v>45131</v>
      </c>
      <c r="J121" s="43"/>
      <c r="K121" s="88"/>
    </row>
    <row r="122" spans="1:11" ht="303.60000000000002">
      <c r="A122" s="73">
        <v>121</v>
      </c>
      <c r="B122" s="65" t="str">
        <f>VLOOKUP(A122,[1]vaccines!A:B,2)</f>
        <v>SciBiVac</v>
      </c>
      <c r="C122" s="72" t="s">
        <v>3711</v>
      </c>
      <c r="D122" s="72" t="s">
        <v>3712</v>
      </c>
      <c r="E122" s="43">
        <v>44762</v>
      </c>
      <c r="F122" s="74">
        <v>1</v>
      </c>
      <c r="G122" s="74">
        <v>0</v>
      </c>
      <c r="H122" s="89" t="s">
        <v>1426</v>
      </c>
      <c r="I122" s="43">
        <v>45131</v>
      </c>
      <c r="J122" s="43"/>
      <c r="K122" s="88"/>
    </row>
    <row r="123" spans="1:11" ht="409.6">
      <c r="A123" s="73">
        <v>122</v>
      </c>
      <c r="B123" s="65" t="str">
        <f>VLOOKUP(A123,[1]vaccines!A:B,2)</f>
        <v>Pentavaccina</v>
      </c>
      <c r="C123" s="72" t="s">
        <v>3713</v>
      </c>
      <c r="D123" s="72" t="s">
        <v>3714</v>
      </c>
      <c r="E123" s="66">
        <v>45320</v>
      </c>
      <c r="F123" s="88"/>
      <c r="G123" s="88"/>
      <c r="H123" s="89" t="s">
        <v>1429</v>
      </c>
      <c r="I123" s="43">
        <v>45131</v>
      </c>
      <c r="J123" s="43">
        <v>45460</v>
      </c>
      <c r="K123" s="88"/>
    </row>
    <row r="124" spans="1:11" ht="184.8">
      <c r="A124" s="73">
        <v>123</v>
      </c>
      <c r="B124" s="85" t="str">
        <f>VLOOKUP(A124,[1]vaccines!A:B,2)</f>
        <v>Vitagerpavac</v>
      </c>
      <c r="C124" s="62" t="s">
        <v>3642</v>
      </c>
      <c r="D124" s="62" t="s">
        <v>3715</v>
      </c>
      <c r="E124" s="59">
        <v>40255</v>
      </c>
      <c r="F124" s="73">
        <v>1</v>
      </c>
      <c r="G124" s="73">
        <v>0</v>
      </c>
      <c r="H124" s="86" t="s">
        <v>1432</v>
      </c>
      <c r="I124" s="43">
        <v>45169</v>
      </c>
      <c r="J124" s="43"/>
      <c r="K124" s="87" t="s">
        <v>2554</v>
      </c>
    </row>
    <row r="125" spans="1:11" ht="409.6">
      <c r="A125" s="85">
        <v>124</v>
      </c>
      <c r="B125" s="85" t="str">
        <f>VLOOKUP(A125,[1]vaccines!A:B,2)</f>
        <v>Shingrix</v>
      </c>
      <c r="C125" s="72" t="s">
        <v>3716</v>
      </c>
      <c r="D125" s="72" t="s">
        <v>3717</v>
      </c>
      <c r="E125" s="59">
        <v>45440</v>
      </c>
      <c r="F125" s="85"/>
      <c r="G125" s="85"/>
      <c r="H125" s="86" t="s">
        <v>1435</v>
      </c>
      <c r="I125" s="59">
        <v>45447</v>
      </c>
      <c r="J125" s="59">
        <v>45589</v>
      </c>
      <c r="K125" s="88"/>
    </row>
    <row r="126" spans="1:11" ht="409.6">
      <c r="A126" s="85">
        <v>125</v>
      </c>
      <c r="B126" s="85" t="str">
        <f>VLOOKUP(A126,[1]vaccines!A:B,2)</f>
        <v>Trivaid</v>
      </c>
      <c r="C126" s="72" t="s">
        <v>3718</v>
      </c>
      <c r="D126" s="72" t="s">
        <v>3719</v>
      </c>
      <c r="E126" s="59">
        <v>45996</v>
      </c>
      <c r="F126" s="73">
        <v>1</v>
      </c>
      <c r="G126" s="73">
        <v>0</v>
      </c>
      <c r="H126" s="86" t="s">
        <v>1438</v>
      </c>
      <c r="I126" s="59">
        <v>45436</v>
      </c>
      <c r="J126" s="59">
        <v>46053</v>
      </c>
      <c r="K126" s="88"/>
    </row>
    <row r="127" spans="1:11" ht="409.6">
      <c r="A127" s="85">
        <v>126</v>
      </c>
      <c r="B127" s="85" t="str">
        <f>VLOOKUP(A127,[1]vaccines!A:B,2)</f>
        <v>BabyHib</v>
      </c>
      <c r="C127" s="72" t="s">
        <v>3720</v>
      </c>
      <c r="D127" s="72" t="s">
        <v>3721</v>
      </c>
      <c r="E127" s="59">
        <v>45938</v>
      </c>
      <c r="F127" s="73">
        <v>1</v>
      </c>
      <c r="G127" s="73">
        <v>0</v>
      </c>
      <c r="H127" s="86" t="s">
        <v>1441</v>
      </c>
      <c r="I127" s="59">
        <v>45436</v>
      </c>
      <c r="J127" s="59">
        <v>45988</v>
      </c>
      <c r="K127" s="88"/>
    </row>
    <row r="128" spans="1:11" ht="250.8">
      <c r="A128" s="85">
        <v>127</v>
      </c>
      <c r="B128" s="85" t="str">
        <f>VLOOKUP(A128,[1]vaccines!A:B,2)</f>
        <v>AD_M_Biomed</v>
      </c>
      <c r="C128" s="72" t="s">
        <v>3722</v>
      </c>
      <c r="D128" s="72" t="s">
        <v>3723</v>
      </c>
      <c r="E128" s="59">
        <v>41046</v>
      </c>
      <c r="F128" s="73">
        <v>1</v>
      </c>
      <c r="G128" s="73">
        <v>0</v>
      </c>
      <c r="H128" s="86" t="s">
        <v>1444</v>
      </c>
      <c r="I128" s="59">
        <v>45461</v>
      </c>
      <c r="J128" s="43"/>
      <c r="K128" s="88"/>
    </row>
    <row r="129" spans="1:11" ht="198">
      <c r="A129" s="85">
        <v>128</v>
      </c>
      <c r="B129" s="85" t="str">
        <f>VLOOKUP(A129,[1]vaccines!A:B,2)</f>
        <v>AS_D_Microgen</v>
      </c>
      <c r="C129" s="72" t="s">
        <v>3724</v>
      </c>
      <c r="D129" s="72" t="s">
        <v>3725</v>
      </c>
      <c r="E129" s="59">
        <v>45266</v>
      </c>
      <c r="F129" s="85"/>
      <c r="G129" s="85"/>
      <c r="H129" s="86" t="s">
        <v>1447</v>
      </c>
      <c r="I129" s="59">
        <v>45461</v>
      </c>
      <c r="J129" s="43"/>
      <c r="K129" s="88"/>
    </row>
    <row r="130" spans="1:11" ht="277.2">
      <c r="A130" s="85">
        <v>129</v>
      </c>
      <c r="B130" s="85" t="str">
        <f>VLOOKUP(A130,[1]vaccines!A:B,2)</f>
        <v>Variola</v>
      </c>
      <c r="C130" s="72" t="s">
        <v>3726</v>
      </c>
      <c r="D130" s="72" t="s">
        <v>3727</v>
      </c>
      <c r="E130" s="59">
        <v>45252</v>
      </c>
      <c r="F130" s="85"/>
      <c r="G130" s="85"/>
      <c r="H130" s="86" t="s">
        <v>1450</v>
      </c>
      <c r="I130" s="59">
        <v>45461</v>
      </c>
      <c r="J130" s="43"/>
      <c r="K130" s="88"/>
    </row>
    <row r="131" spans="1:11" ht="409.6">
      <c r="A131" s="85">
        <v>130</v>
      </c>
      <c r="B131" s="85" t="str">
        <f>VLOOKUP(A131,[1]vaccines!A:B,2)</f>
        <v>AKDS_HepB_Microgen</v>
      </c>
      <c r="C131" s="72" t="s">
        <v>3728</v>
      </c>
      <c r="D131" s="72" t="s">
        <v>3729</v>
      </c>
      <c r="E131" s="59">
        <v>45135</v>
      </c>
      <c r="F131" s="85"/>
      <c r="G131" s="85"/>
      <c r="H131" s="86" t="s">
        <v>1453</v>
      </c>
      <c r="I131" s="59">
        <v>45464</v>
      </c>
      <c r="J131" s="43"/>
      <c r="K131" s="88"/>
    </row>
    <row r="132" spans="1:11" ht="224.4">
      <c r="A132" s="85">
        <v>131</v>
      </c>
      <c r="B132" s="85" t="str">
        <f>VLOOKUP(A132,[1]vaccines!A:B,2)</f>
        <v>Rickettsia</v>
      </c>
      <c r="C132" s="72" t="s">
        <v>3730</v>
      </c>
      <c r="D132" s="72" t="s">
        <v>3731</v>
      </c>
      <c r="E132" s="59">
        <v>45107</v>
      </c>
      <c r="F132" s="85"/>
      <c r="G132" s="85"/>
      <c r="H132" s="86" t="s">
        <v>1456</v>
      </c>
      <c r="I132" s="59">
        <v>45464</v>
      </c>
      <c r="J132" s="43"/>
      <c r="K132" s="88"/>
    </row>
    <row r="133" spans="1:11" ht="211.2">
      <c r="A133" s="85">
        <v>132</v>
      </c>
      <c r="B133" s="85" t="str">
        <f>VLOOKUP(A133,[1]vaccines!A:B,2)</f>
        <v>OspaVir</v>
      </c>
      <c r="C133" s="72" t="s">
        <v>3732</v>
      </c>
      <c r="D133" s="72" t="s">
        <v>3733</v>
      </c>
      <c r="E133" s="59">
        <v>45077</v>
      </c>
      <c r="F133" s="85"/>
      <c r="G133" s="85"/>
      <c r="H133" s="86" t="s">
        <v>1459</v>
      </c>
      <c r="I133" s="59">
        <v>45464</v>
      </c>
      <c r="J133" s="43"/>
      <c r="K133" s="88"/>
    </row>
    <row r="134" spans="1:11" ht="184.8">
      <c r="A134" s="85">
        <v>133</v>
      </c>
      <c r="B134" s="85" t="str">
        <f>VLOOKUP(A134,[1]vaccines!A:B,2)</f>
        <v>Gonovaccina_therapeutic</v>
      </c>
      <c r="C134" s="62" t="s">
        <v>3642</v>
      </c>
      <c r="D134" s="62" t="s">
        <v>3715</v>
      </c>
      <c r="E134" s="59">
        <v>44942</v>
      </c>
      <c r="F134" s="85"/>
      <c r="G134" s="85"/>
      <c r="H134" s="86" t="s">
        <v>1462</v>
      </c>
      <c r="I134" s="59">
        <v>45464</v>
      </c>
      <c r="J134" s="43"/>
      <c r="K134" s="88"/>
    </row>
    <row r="135" spans="1:11" ht="396">
      <c r="A135" s="85">
        <v>134</v>
      </c>
      <c r="B135" s="85" t="str">
        <f>VLOOKUP(A135,[1]vaccines!A:B,2)</f>
        <v>OrtopoxVac</v>
      </c>
      <c r="C135" s="72" t="s">
        <v>3734</v>
      </c>
      <c r="D135" s="72" t="s">
        <v>3735</v>
      </c>
      <c r="E135" s="43">
        <v>45147</v>
      </c>
      <c r="F135" s="88"/>
      <c r="G135" s="88"/>
      <c r="H135" s="89" t="s">
        <v>1465</v>
      </c>
      <c r="I135" s="43">
        <v>45465</v>
      </c>
      <c r="J135" s="43"/>
      <c r="K135" s="88"/>
    </row>
    <row r="136" spans="1:11" ht="409.6">
      <c r="A136" s="85">
        <v>135</v>
      </c>
      <c r="B136" s="85" t="str">
        <f>VLOOKUP(A136,[1]vaccines!A:B,2)</f>
        <v>FlexVac</v>
      </c>
      <c r="C136" s="72" t="s">
        <v>3736</v>
      </c>
      <c r="D136" s="72" t="s">
        <v>3737</v>
      </c>
      <c r="E136" s="59">
        <v>46126</v>
      </c>
      <c r="F136" s="73">
        <v>1</v>
      </c>
      <c r="G136" s="73">
        <v>0</v>
      </c>
      <c r="H136" s="86" t="s">
        <v>1468</v>
      </c>
      <c r="I136" s="59">
        <v>45465</v>
      </c>
      <c r="J136" s="59">
        <v>46188</v>
      </c>
      <c r="K136" s="88"/>
    </row>
    <row r="137" spans="1:11" ht="409.6">
      <c r="A137" s="85">
        <v>136</v>
      </c>
      <c r="B137" s="85" t="str">
        <f>VLOOKUP(A137,[1]vaccines!A:B,2)</f>
        <v>SinSaVac</v>
      </c>
      <c r="C137" s="72" t="s">
        <v>3738</v>
      </c>
      <c r="D137" s="72" t="s">
        <v>3739</v>
      </c>
      <c r="E137" s="59">
        <v>45635</v>
      </c>
      <c r="F137" s="73">
        <v>4</v>
      </c>
      <c r="G137" s="73">
        <v>4</v>
      </c>
      <c r="H137" s="86" t="s">
        <v>3444</v>
      </c>
      <c r="I137" s="59">
        <v>45465</v>
      </c>
      <c r="J137" s="43">
        <v>45716</v>
      </c>
      <c r="K137" s="88"/>
    </row>
    <row r="138" spans="1:11" ht="250.8">
      <c r="A138" s="85">
        <v>138</v>
      </c>
      <c r="B138" s="85" t="str">
        <f>VLOOKUP(A138,[1]vaccines!A:B,2)</f>
        <v>EpiVacEbola</v>
      </c>
      <c r="C138" s="72" t="s">
        <v>3445</v>
      </c>
      <c r="D138" s="72" t="s">
        <v>3446</v>
      </c>
      <c r="E138" s="59">
        <v>43185</v>
      </c>
      <c r="F138" s="73">
        <v>1</v>
      </c>
      <c r="G138" s="73">
        <v>0</v>
      </c>
      <c r="H138" s="86" t="s">
        <v>1474</v>
      </c>
      <c r="I138" s="59">
        <v>45465</v>
      </c>
      <c r="J138" s="43"/>
      <c r="K138" s="88"/>
    </row>
    <row r="139" spans="1:11" ht="224.4">
      <c r="A139" s="85">
        <v>139</v>
      </c>
      <c r="B139" s="85" t="str">
        <f>VLOOKUP(A139,[1]vaccines!A:B,2)</f>
        <v>GamEvac_Combi</v>
      </c>
      <c r="C139" s="72" t="s">
        <v>3447</v>
      </c>
      <c r="D139" s="72" t="s">
        <v>3448</v>
      </c>
      <c r="E139" s="59">
        <v>46099</v>
      </c>
      <c r="F139" s="73">
        <v>1</v>
      </c>
      <c r="G139" s="73">
        <v>0</v>
      </c>
      <c r="H139" s="86" t="s">
        <v>1477</v>
      </c>
      <c r="I139" s="59">
        <v>46131</v>
      </c>
      <c r="J139" s="43"/>
      <c r="K139" s="88"/>
    </row>
    <row r="140" spans="1:11" ht="52.8">
      <c r="A140" s="85">
        <v>141</v>
      </c>
      <c r="B140" s="85" t="str">
        <f>VLOOKUP(A140,[1]vaccines!A:B,2)</f>
        <v>Staphylococcus_therapeutic_Biomed</v>
      </c>
      <c r="C140" s="72" t="s">
        <v>3449</v>
      </c>
      <c r="D140" s="72" t="s">
        <v>3450</v>
      </c>
      <c r="E140" s="59">
        <v>43388</v>
      </c>
      <c r="F140" s="73">
        <v>1</v>
      </c>
      <c r="G140" s="73">
        <v>0</v>
      </c>
      <c r="H140" s="86" t="s">
        <v>1480</v>
      </c>
      <c r="I140" s="59">
        <v>45465</v>
      </c>
      <c r="J140" s="43"/>
      <c r="K140" s="88"/>
    </row>
    <row r="141" spans="1:11" ht="92.4">
      <c r="A141" s="85">
        <v>142</v>
      </c>
      <c r="B141" s="85" t="str">
        <f>VLOOKUP(A141,[1]vaccines!A:B,2)</f>
        <v>Pseudovac</v>
      </c>
      <c r="C141" s="72" t="s">
        <v>3451</v>
      </c>
      <c r="D141" s="72" t="s">
        <v>3452</v>
      </c>
      <c r="E141" s="59">
        <v>42809</v>
      </c>
      <c r="F141" s="73">
        <v>1</v>
      </c>
      <c r="G141" s="73">
        <v>0</v>
      </c>
      <c r="H141" s="86" t="s">
        <v>1483</v>
      </c>
      <c r="I141" s="59">
        <v>45466</v>
      </c>
      <c r="J141" s="43"/>
      <c r="K141" s="88"/>
    </row>
    <row r="142" spans="1:11" ht="198">
      <c r="A142" s="85">
        <v>143</v>
      </c>
      <c r="B142" s="85" t="str">
        <f>VLOOKUP(A142,[1]vaccines!A:B,2)</f>
        <v>SPSA_therapeutic</v>
      </c>
      <c r="C142" s="72" t="s">
        <v>3740</v>
      </c>
      <c r="D142" s="72" t="s">
        <v>3741</v>
      </c>
      <c r="E142" s="59">
        <v>40819</v>
      </c>
      <c r="F142" s="73">
        <v>1</v>
      </c>
      <c r="G142" s="73">
        <v>0</v>
      </c>
      <c r="H142" s="86" t="s">
        <v>1486</v>
      </c>
      <c r="I142" s="59">
        <v>45466</v>
      </c>
      <c r="J142" s="43"/>
      <c r="K142" s="88"/>
    </row>
    <row r="143" spans="1:11" ht="409.6">
      <c r="A143" s="85">
        <v>144</v>
      </c>
      <c r="B143" s="85" t="str">
        <f>VLOOKUP(A143,[1]vaccines!A:B,2)</f>
        <v>HepB_Serum_India_0_5</v>
      </c>
      <c r="C143" s="72" t="s">
        <v>3742</v>
      </c>
      <c r="D143" s="72" t="s">
        <v>3743</v>
      </c>
      <c r="E143" s="59">
        <v>45981</v>
      </c>
      <c r="F143" s="73">
        <v>1</v>
      </c>
      <c r="G143" s="73">
        <v>0</v>
      </c>
      <c r="H143" s="86" t="s">
        <v>1489</v>
      </c>
      <c r="I143" s="59">
        <v>45466</v>
      </c>
      <c r="J143" s="59">
        <v>46053</v>
      </c>
      <c r="K143" s="88"/>
    </row>
    <row r="144" spans="1:11" ht="409.6">
      <c r="A144" s="85">
        <v>145</v>
      </c>
      <c r="B144" s="85" t="str">
        <f>VLOOKUP(A144,[1]vaccines!A:B,2)</f>
        <v>Polio_1_2_3</v>
      </c>
      <c r="C144" s="72" t="s">
        <v>3744</v>
      </c>
      <c r="D144" s="72" t="s">
        <v>3745</v>
      </c>
      <c r="E144" s="59">
        <v>45275</v>
      </c>
      <c r="F144" s="73">
        <v>1</v>
      </c>
      <c r="G144" s="73">
        <v>0</v>
      </c>
      <c r="H144" s="86" t="s">
        <v>1492</v>
      </c>
      <c r="I144" s="59">
        <v>45466</v>
      </c>
      <c r="J144" s="43"/>
      <c r="K144" s="88"/>
    </row>
    <row r="145" spans="1:11" ht="237.6">
      <c r="A145" s="85">
        <v>146</v>
      </c>
      <c r="B145" s="85" t="str">
        <f>VLOOKUP(A145,[1]vaccines!A:B,2)</f>
        <v>TEOVac_chew_tablets</v>
      </c>
      <c r="C145" s="72" t="s">
        <v>3746</v>
      </c>
      <c r="D145" s="72" t="s">
        <v>3747</v>
      </c>
      <c r="E145" s="59">
        <v>40396</v>
      </c>
      <c r="F145" s="73">
        <v>1</v>
      </c>
      <c r="G145" s="73">
        <v>0</v>
      </c>
      <c r="H145" s="86" t="s">
        <v>1495</v>
      </c>
      <c r="I145" s="59">
        <v>45467</v>
      </c>
      <c r="J145" s="43"/>
      <c r="K145" s="88"/>
    </row>
    <row r="146" spans="1:11" ht="237.6">
      <c r="A146" s="85">
        <v>147</v>
      </c>
      <c r="B146" s="85" t="str">
        <f>VLOOKUP(A146,[1]vaccines!A:B,2)</f>
        <v>TEOVac_tablets</v>
      </c>
      <c r="C146" s="72" t="s">
        <v>3746</v>
      </c>
      <c r="D146" s="72" t="s">
        <v>3747</v>
      </c>
      <c r="E146" s="59">
        <v>40392</v>
      </c>
      <c r="F146" s="73">
        <v>1</v>
      </c>
      <c r="G146" s="73">
        <v>0</v>
      </c>
      <c r="H146" s="86" t="s">
        <v>1497</v>
      </c>
      <c r="I146" s="59">
        <v>45467</v>
      </c>
      <c r="J146" s="43"/>
      <c r="K146" s="88"/>
    </row>
    <row r="147" spans="1:11" ht="184.8">
      <c r="A147" s="74">
        <v>148</v>
      </c>
      <c r="B147" s="85" t="str">
        <f>VLOOKUP(A147,[1]vaccines!A:B,2)</f>
        <v>Uro_BCG_therapeutic</v>
      </c>
      <c r="C147" s="62" t="s">
        <v>3642</v>
      </c>
      <c r="D147" s="62" t="s">
        <v>3715</v>
      </c>
      <c r="E147" s="59">
        <v>42947</v>
      </c>
      <c r="F147" s="73">
        <v>1</v>
      </c>
      <c r="G147" s="73">
        <v>0</v>
      </c>
      <c r="H147" s="86" t="s">
        <v>1499</v>
      </c>
      <c r="I147" s="59">
        <v>45494</v>
      </c>
      <c r="J147" s="43"/>
      <c r="K147" s="88"/>
    </row>
    <row r="148" spans="1:11" ht="409.6">
      <c r="A148" s="85">
        <v>149</v>
      </c>
      <c r="B148" s="85" t="str">
        <f>VLOOKUP(A148,[1]vaccines!A:B,2)</f>
        <v>Flu_Microgen</v>
      </c>
      <c r="C148" s="72" t="s">
        <v>3748</v>
      </c>
      <c r="D148" s="72" t="s">
        <v>3749</v>
      </c>
      <c r="E148" s="59">
        <v>40940</v>
      </c>
      <c r="F148" s="73">
        <v>1</v>
      </c>
      <c r="G148" s="73">
        <v>0</v>
      </c>
      <c r="H148" s="86" t="s">
        <v>1502</v>
      </c>
      <c r="I148" s="59">
        <v>45494</v>
      </c>
      <c r="J148" s="43"/>
      <c r="K148" s="88"/>
    </row>
    <row r="149" spans="1:11" ht="409.6">
      <c r="A149" s="74">
        <v>150</v>
      </c>
      <c r="B149" s="85" t="str">
        <f>VLOOKUP(A149,[1]vaccines!A:B,2)</f>
        <v>MonoGrippol_plus</v>
      </c>
      <c r="C149" s="72" t="s">
        <v>3750</v>
      </c>
      <c r="D149" s="72" t="s">
        <v>3751</v>
      </c>
      <c r="E149" s="59">
        <v>42719</v>
      </c>
      <c r="F149" s="73">
        <v>1</v>
      </c>
      <c r="G149" s="73">
        <v>0</v>
      </c>
      <c r="H149" s="86" t="s">
        <v>1505</v>
      </c>
      <c r="I149" s="59">
        <v>45494</v>
      </c>
      <c r="J149" s="43"/>
      <c r="K149" s="88"/>
    </row>
    <row r="150" spans="1:11" ht="409.6">
      <c r="A150" s="85">
        <v>151</v>
      </c>
      <c r="B150" s="85" t="str">
        <f>VLOOKUP(A150,[1]vaccines!A:B,2)</f>
        <v>MonoGrippol_Neo</v>
      </c>
      <c r="C150" s="72" t="s">
        <v>3752</v>
      </c>
      <c r="D150" s="72" t="s">
        <v>3753</v>
      </c>
      <c r="E150" s="59">
        <v>40102</v>
      </c>
      <c r="F150" s="73">
        <v>1</v>
      </c>
      <c r="G150" s="73">
        <v>0</v>
      </c>
      <c r="H150" s="86" t="s">
        <v>1508</v>
      </c>
      <c r="I150" s="59">
        <v>45494</v>
      </c>
      <c r="J150" s="43"/>
      <c r="K150" s="88"/>
    </row>
    <row r="151" spans="1:11" ht="409.6">
      <c r="A151" s="74">
        <v>152</v>
      </c>
      <c r="B151" s="85" t="str">
        <f>VLOOKUP(A151,[1]vaccines!A:B,2)</f>
        <v>MonoGrippol</v>
      </c>
      <c r="C151" s="72" t="s">
        <v>3754</v>
      </c>
      <c r="D151" s="72" t="s">
        <v>3755</v>
      </c>
      <c r="E151" s="59">
        <v>40102</v>
      </c>
      <c r="F151" s="73">
        <v>1</v>
      </c>
      <c r="G151" s="73">
        <v>0</v>
      </c>
      <c r="H151" s="86" t="s">
        <v>1510</v>
      </c>
      <c r="I151" s="59">
        <v>45494</v>
      </c>
      <c r="J151" s="43"/>
      <c r="K151" s="88"/>
    </row>
    <row r="152" spans="1:11" ht="409.6">
      <c r="A152" s="85">
        <v>153</v>
      </c>
      <c r="B152" s="85" t="str">
        <f>VLOOKUP(A152,[1]vaccines!A:B,2)</f>
        <v>Influvir</v>
      </c>
      <c r="C152" s="72" t="s">
        <v>3756</v>
      </c>
      <c r="D152" s="72" t="s">
        <v>3757</v>
      </c>
      <c r="E152" s="59">
        <v>45681</v>
      </c>
      <c r="F152" s="73">
        <v>1</v>
      </c>
      <c r="G152" s="73">
        <v>0</v>
      </c>
      <c r="H152" s="86" t="s">
        <v>1512</v>
      </c>
      <c r="I152" s="59">
        <v>45494</v>
      </c>
      <c r="J152" s="59">
        <v>45717</v>
      </c>
      <c r="K152" s="88"/>
    </row>
    <row r="153" spans="1:11" ht="409.6">
      <c r="A153" s="74">
        <v>154</v>
      </c>
      <c r="B153" s="85" t="str">
        <f>VLOOKUP(A153,[1]vaccines!A:B,2)</f>
        <v>Pandeflu</v>
      </c>
      <c r="C153" s="72" t="s">
        <v>3758</v>
      </c>
      <c r="D153" s="72" t="s">
        <v>3759</v>
      </c>
      <c r="E153" s="59">
        <v>45719</v>
      </c>
      <c r="F153" s="73">
        <v>1</v>
      </c>
      <c r="G153" s="73">
        <v>0</v>
      </c>
      <c r="H153" s="86" t="s">
        <v>1515</v>
      </c>
      <c r="I153" s="59">
        <v>45494</v>
      </c>
      <c r="J153" s="59">
        <v>45750</v>
      </c>
      <c r="K153" s="88"/>
    </row>
    <row r="154" spans="1:11" ht="409.6">
      <c r="A154" s="85">
        <v>155</v>
      </c>
      <c r="B154" s="85" t="str">
        <f>VLOOKUP(A154,[1]vaccines!A:B,2)</f>
        <v>Grippol_Neo</v>
      </c>
      <c r="C154" s="72" t="s">
        <v>3760</v>
      </c>
      <c r="D154" s="72" t="s">
        <v>3761</v>
      </c>
      <c r="E154" s="59">
        <v>40274</v>
      </c>
      <c r="F154" s="73">
        <v>1</v>
      </c>
      <c r="G154" s="73">
        <v>0</v>
      </c>
      <c r="H154" s="86" t="s">
        <v>1518</v>
      </c>
      <c r="I154" s="59">
        <v>45494</v>
      </c>
      <c r="J154" s="43"/>
      <c r="K154" s="88"/>
    </row>
    <row r="155" spans="1:11" ht="277.2">
      <c r="A155" s="74">
        <v>156</v>
      </c>
      <c r="B155" s="85" t="str">
        <f>VLOOKUP(A155,[1]vaccines!A:B,2)</f>
        <v>Ultravac</v>
      </c>
      <c r="C155" s="72" t="s">
        <v>3762</v>
      </c>
      <c r="D155" s="72" t="s">
        <v>3763</v>
      </c>
      <c r="E155" s="59">
        <v>45569</v>
      </c>
      <c r="F155" s="85"/>
      <c r="G155" s="85"/>
      <c r="H155" s="86" t="s">
        <v>1521</v>
      </c>
      <c r="I155" s="59">
        <v>45494</v>
      </c>
      <c r="J155" s="59">
        <v>45622</v>
      </c>
      <c r="K155" s="88"/>
    </row>
    <row r="156" spans="1:11" ht="184.8">
      <c r="A156" s="74">
        <v>158</v>
      </c>
      <c r="B156" s="85" t="str">
        <f>VLOOKUP(A156,[1]vaccines!A:B,2)</f>
        <v>Gerpovax_therapeutic</v>
      </c>
      <c r="C156" s="62" t="s">
        <v>3642</v>
      </c>
      <c r="D156" s="62" t="s">
        <v>3715</v>
      </c>
      <c r="E156" s="59">
        <v>43808</v>
      </c>
      <c r="F156" s="73">
        <v>1</v>
      </c>
      <c r="G156" s="73">
        <v>0</v>
      </c>
      <c r="H156" s="86" t="s">
        <v>1524</v>
      </c>
      <c r="I156" s="59">
        <v>45496</v>
      </c>
      <c r="J156" s="43"/>
      <c r="K156" s="88"/>
    </row>
    <row r="157" spans="1:11" ht="409.6">
      <c r="A157" s="74">
        <v>159</v>
      </c>
      <c r="B157" s="85" t="str">
        <f>VLOOKUP(A157,[1]vaccines!A:B,2)</f>
        <v>Ultragrivac</v>
      </c>
      <c r="C157" s="72" t="s">
        <v>3756</v>
      </c>
      <c r="D157" s="72" t="s">
        <v>3757</v>
      </c>
      <c r="E157" s="59">
        <v>45775</v>
      </c>
      <c r="F157" s="73">
        <v>1</v>
      </c>
      <c r="G157" s="73">
        <v>0</v>
      </c>
      <c r="H157" s="86" t="s">
        <v>1527</v>
      </c>
      <c r="I157" s="59">
        <v>45496</v>
      </c>
      <c r="J157" s="59">
        <v>45818</v>
      </c>
      <c r="K157" s="88"/>
    </row>
    <row r="158" spans="1:11" ht="409.6">
      <c r="A158" s="74">
        <v>160</v>
      </c>
      <c r="B158" s="85" t="str">
        <f>VLOOKUP(A158,[1]vaccines!A:B,2)</f>
        <v>OrniFlu</v>
      </c>
      <c r="C158" s="72" t="s">
        <v>3561</v>
      </c>
      <c r="D158" s="72" t="s">
        <v>3562</v>
      </c>
      <c r="E158" s="59">
        <v>45720</v>
      </c>
      <c r="F158" s="73">
        <v>1</v>
      </c>
      <c r="G158" s="73">
        <v>0</v>
      </c>
      <c r="H158" s="86" t="s">
        <v>1530</v>
      </c>
      <c r="I158" s="59">
        <v>45496</v>
      </c>
      <c r="J158" s="59">
        <v>45750</v>
      </c>
      <c r="K158" s="88"/>
    </row>
    <row r="159" spans="1:11" ht="409.6">
      <c r="A159" s="74">
        <v>161</v>
      </c>
      <c r="B159" s="85" t="str">
        <f>VLOOKUP(A159,[1]vaccines!A:B,2)</f>
        <v>rubella_Croatia</v>
      </c>
      <c r="C159" s="72" t="s">
        <v>3764</v>
      </c>
      <c r="D159" s="72" t="s">
        <v>3765</v>
      </c>
      <c r="E159" s="59">
        <v>37712</v>
      </c>
      <c r="F159" s="73">
        <v>1</v>
      </c>
      <c r="G159" s="73">
        <v>0</v>
      </c>
      <c r="H159" s="86" t="s">
        <v>1533</v>
      </c>
      <c r="I159" s="59">
        <v>45496</v>
      </c>
      <c r="J159" s="43"/>
      <c r="K159" s="88"/>
    </row>
    <row r="160" spans="1:11" ht="409.6">
      <c r="A160" s="74">
        <v>162</v>
      </c>
      <c r="B160" s="85" t="str">
        <f>VLOOKUP(A160,[1]vaccines!A:B,2)</f>
        <v>Tetraanatoxin</v>
      </c>
      <c r="C160" s="72" t="s">
        <v>3766</v>
      </c>
      <c r="D160" s="72" t="s">
        <v>3767</v>
      </c>
      <c r="E160" s="59">
        <v>45546</v>
      </c>
      <c r="F160" s="85"/>
      <c r="G160" s="85"/>
      <c r="H160" s="86" t="s">
        <v>1536</v>
      </c>
      <c r="I160" s="59">
        <v>45497</v>
      </c>
      <c r="J160" s="59">
        <v>45581</v>
      </c>
      <c r="K160" s="88"/>
    </row>
    <row r="161" spans="1:11" ht="184.8">
      <c r="A161" s="74">
        <v>163</v>
      </c>
      <c r="B161" s="85" t="str">
        <f>VLOOKUP(A161,[1]vaccines!A:B,2)</f>
        <v>Staphylococcus_Gamaleya</v>
      </c>
      <c r="C161" s="62" t="s">
        <v>3642</v>
      </c>
      <c r="D161" s="62" t="s">
        <v>3715</v>
      </c>
      <c r="E161" s="59">
        <v>45799</v>
      </c>
      <c r="F161" s="73">
        <v>1</v>
      </c>
      <c r="G161" s="73">
        <v>0</v>
      </c>
      <c r="H161" s="86" t="s">
        <v>1539</v>
      </c>
      <c r="I161" s="59">
        <v>45497</v>
      </c>
      <c r="J161" s="59">
        <v>45830</v>
      </c>
      <c r="K161" s="88"/>
    </row>
    <row r="162" spans="1:11" ht="184.8">
      <c r="A162" s="74">
        <v>164</v>
      </c>
      <c r="B162" s="85" t="str">
        <f>VLOOKUP(A162,[1]vaccines!A:B,2)</f>
        <v>Staphylococcus_therapeutic_Gamaleya</v>
      </c>
      <c r="C162" s="62" t="s">
        <v>3642</v>
      </c>
      <c r="D162" s="62" t="s">
        <v>3715</v>
      </c>
      <c r="E162" s="59">
        <v>45799</v>
      </c>
      <c r="F162" s="73">
        <v>1</v>
      </c>
      <c r="G162" s="73">
        <v>0</v>
      </c>
      <c r="H162" s="86" t="s">
        <v>1542</v>
      </c>
      <c r="I162" s="59">
        <v>45497</v>
      </c>
      <c r="J162" s="59">
        <v>45830</v>
      </c>
      <c r="K162" s="88"/>
    </row>
    <row r="163" spans="1:11" ht="184.8">
      <c r="A163" s="74">
        <v>165</v>
      </c>
      <c r="B163" s="85" t="str">
        <f>VLOOKUP(A163,[1]vaccines!A:B,2)</f>
        <v>Imuron_vac_therapeutic</v>
      </c>
      <c r="C163" s="62" t="s">
        <v>3642</v>
      </c>
      <c r="D163" s="62" t="s">
        <v>3715</v>
      </c>
      <c r="E163" s="59">
        <v>45811</v>
      </c>
      <c r="F163" s="73">
        <v>1</v>
      </c>
      <c r="G163" s="73">
        <v>0</v>
      </c>
      <c r="H163" s="86" t="s">
        <v>1545</v>
      </c>
      <c r="I163" s="59">
        <v>45497</v>
      </c>
      <c r="J163" s="59">
        <v>45861</v>
      </c>
      <c r="K163" s="88"/>
    </row>
    <row r="164" spans="1:11" ht="409.6">
      <c r="A164" s="74">
        <v>166</v>
      </c>
      <c r="B164" s="85" t="str">
        <f>VLOOKUP(A164,[1]vaccines!A:B,2)</f>
        <v>HepB_Serum_India_1_0</v>
      </c>
      <c r="C164" s="72" t="s">
        <v>3742</v>
      </c>
      <c r="D164" s="72" t="s">
        <v>3743</v>
      </c>
      <c r="E164" s="59">
        <v>45981</v>
      </c>
      <c r="F164" s="73">
        <v>1</v>
      </c>
      <c r="G164" s="73">
        <v>0</v>
      </c>
      <c r="H164" s="86" t="s">
        <v>1489</v>
      </c>
      <c r="I164" s="59">
        <v>45466</v>
      </c>
      <c r="J164" s="59">
        <v>46053</v>
      </c>
      <c r="K164" s="88"/>
    </row>
    <row r="165" spans="1:11" ht="409.6">
      <c r="A165" s="74">
        <v>167</v>
      </c>
      <c r="B165" s="85" t="str">
        <f>VLOOKUP(A165,[1]vaccines!A:B,2)</f>
        <v>Hexaxim</v>
      </c>
      <c r="C165" s="72" t="s">
        <v>3768</v>
      </c>
      <c r="D165" s="72" t="s">
        <v>3769</v>
      </c>
      <c r="E165" s="59">
        <v>45504</v>
      </c>
      <c r="F165" s="85"/>
      <c r="G165" s="85"/>
      <c r="H165" s="86" t="s">
        <v>1550</v>
      </c>
      <c r="I165" s="59">
        <v>45558</v>
      </c>
      <c r="J165" s="43"/>
      <c r="K165" s="88"/>
    </row>
    <row r="166" spans="1:11" ht="409.6">
      <c r="A166" s="74">
        <v>168</v>
      </c>
      <c r="B166" s="85" t="str">
        <f>VLOOKUP(A166,[1]vaccines!A:B,2)</f>
        <v>Gam_VLP_multivac</v>
      </c>
      <c r="C166" s="72" t="s">
        <v>3770</v>
      </c>
      <c r="D166" s="72" t="s">
        <v>3771</v>
      </c>
      <c r="E166" s="59">
        <v>45632</v>
      </c>
      <c r="F166" s="73">
        <v>1</v>
      </c>
      <c r="G166" s="73">
        <v>0</v>
      </c>
      <c r="H166" s="86" t="s">
        <v>1553</v>
      </c>
      <c r="I166" s="59">
        <v>45678</v>
      </c>
      <c r="J166" s="43"/>
      <c r="K166" s="88"/>
    </row>
    <row r="167" spans="1:11" ht="158.4">
      <c r="A167" s="74">
        <v>169</v>
      </c>
      <c r="B167" s="85" t="str">
        <f>VLOOKUP(A167,[1]vaccines!A:B,2)</f>
        <v>Gam_VLP_multivac_nasal</v>
      </c>
      <c r="C167" s="72" t="s">
        <v>3377</v>
      </c>
      <c r="D167" s="72" t="s">
        <v>3378</v>
      </c>
      <c r="E167" s="59">
        <v>45737</v>
      </c>
      <c r="F167" s="73">
        <v>1</v>
      </c>
      <c r="G167" s="73">
        <v>0</v>
      </c>
      <c r="H167" s="86" t="s">
        <v>1555</v>
      </c>
      <c r="I167" s="59">
        <v>45742</v>
      </c>
      <c r="J167" s="43"/>
      <c r="K167" s="88"/>
    </row>
    <row r="168" spans="1:11" ht="409.6">
      <c r="A168" s="74">
        <v>170</v>
      </c>
      <c r="B168" s="85" t="str">
        <f>VLOOKUP(A168,[1]vaccines!A:B,2)</f>
        <v>Cegardex</v>
      </c>
      <c r="C168" s="72" t="s">
        <v>3772</v>
      </c>
      <c r="D168" s="72" t="s">
        <v>3773</v>
      </c>
      <c r="E168" s="59">
        <v>45721</v>
      </c>
      <c r="F168" s="73">
        <v>1</v>
      </c>
      <c r="G168" s="73">
        <v>0</v>
      </c>
      <c r="H168" s="86" t="s">
        <v>1557</v>
      </c>
      <c r="I168" s="59">
        <v>45742</v>
      </c>
      <c r="J168" s="43"/>
      <c r="K168" s="88"/>
    </row>
    <row r="169" spans="1:11" ht="409.6">
      <c r="A169" s="74">
        <v>171</v>
      </c>
      <c r="B169" s="85" t="str">
        <f>VLOOKUP(A169,[1]vaccines!A:B,2)</f>
        <v>Menvaid</v>
      </c>
      <c r="C169" s="72" t="s">
        <v>3774</v>
      </c>
      <c r="D169" s="72" t="s">
        <v>3775</v>
      </c>
      <c r="E169" s="59">
        <v>45740</v>
      </c>
      <c r="F169" s="73">
        <v>1</v>
      </c>
      <c r="G169" s="73">
        <v>0</v>
      </c>
      <c r="H169" s="86" t="s">
        <v>1560</v>
      </c>
      <c r="I169" s="59">
        <v>45755</v>
      </c>
      <c r="J169" s="43"/>
      <c r="K169" s="88"/>
    </row>
    <row r="170" spans="1:11" ht="409.6">
      <c r="A170" s="74">
        <v>172</v>
      </c>
      <c r="B170" s="85" t="str">
        <f>VLOOKUP(A170,[1]vaccines!A:B,2)</f>
        <v>ChiroRab</v>
      </c>
      <c r="C170" s="72" t="s">
        <v>3648</v>
      </c>
      <c r="D170" s="72" t="s">
        <v>3649</v>
      </c>
      <c r="E170" s="43">
        <v>42996</v>
      </c>
      <c r="F170" s="74">
        <v>1</v>
      </c>
      <c r="G170" s="74">
        <v>0</v>
      </c>
      <c r="H170" s="89" t="s">
        <v>1321</v>
      </c>
      <c r="I170" s="43">
        <v>45818</v>
      </c>
      <c r="J170" s="43"/>
      <c r="K170" s="91" t="s">
        <v>1562</v>
      </c>
    </row>
    <row r="171" spans="1:11" ht="409.6">
      <c r="A171" s="74">
        <v>173</v>
      </c>
      <c r="B171" s="85" t="str">
        <f>VLOOKUP(A171,[1]vaccines!A:B,2)</f>
        <v>Prevenar_20</v>
      </c>
      <c r="C171" s="72" t="s">
        <v>3776</v>
      </c>
      <c r="D171" s="72" t="s">
        <v>3777</v>
      </c>
      <c r="E171" s="59">
        <v>45835</v>
      </c>
      <c r="F171" s="73">
        <v>1</v>
      </c>
      <c r="G171" s="73">
        <v>0</v>
      </c>
      <c r="H171" s="86" t="s">
        <v>1564</v>
      </c>
      <c r="I171" s="59">
        <v>45861</v>
      </c>
      <c r="J171" s="43"/>
      <c r="K171" s="88"/>
    </row>
    <row r="172" spans="1:11" ht="409.6">
      <c r="A172" s="74">
        <v>174</v>
      </c>
      <c r="B172" s="85" t="str">
        <f>VLOOKUP(A172,[1]vaccines!A:B,2)</f>
        <v>aAKDS_M</v>
      </c>
      <c r="C172" s="72" t="s">
        <v>3778</v>
      </c>
      <c r="D172" s="72" t="s">
        <v>3779</v>
      </c>
      <c r="E172" s="59">
        <v>46104</v>
      </c>
      <c r="F172" s="73">
        <v>1</v>
      </c>
      <c r="G172" s="73">
        <v>0</v>
      </c>
      <c r="H172" s="86" t="s">
        <v>1567</v>
      </c>
      <c r="I172" s="59">
        <v>46131</v>
      </c>
      <c r="J172" s="43"/>
      <c r="K172" s="88"/>
    </row>
    <row r="173" spans="1:11" ht="409.6">
      <c r="A173" s="74">
        <v>175</v>
      </c>
      <c r="B173" s="85" t="str">
        <f>VLOOKUP(A173,[1]vaccines!A:B,2)</f>
        <v>Nimenrix</v>
      </c>
      <c r="C173" s="72" t="s">
        <v>3780</v>
      </c>
      <c r="D173" s="72" t="s">
        <v>3781</v>
      </c>
      <c r="E173" s="59">
        <v>46111</v>
      </c>
      <c r="F173" s="73">
        <v>1</v>
      </c>
      <c r="G173" s="73">
        <v>0</v>
      </c>
      <c r="H173" s="86" t="s">
        <v>1570</v>
      </c>
      <c r="I173" s="59">
        <v>46131</v>
      </c>
      <c r="J173" s="43"/>
      <c r="K173" s="88"/>
    </row>
  </sheetData>
  <dataValidations count="2">
    <dataValidation type="decimal" allowBlank="1" showDropDown="1" showErrorMessage="1" sqref="F2:F6 F10:F15 F17 F19:F21 F24:F25 F29:F30 F35:F38 F40:F44 F46:F47 F50:F53 F57:F59 F63 F65 F69:F74 F76 F82 F87 F89 F91 F93 F95 F99:F101 F104:F106 F109:F110 F112:F113" xr:uid="{50F9E89E-AA94-46F1-B35A-149FC7AC876D}">
      <formula1>1</formula1>
      <formula2>15</formula2>
    </dataValidation>
    <dataValidation type="custom" allowBlank="1" showDropDown="1" showErrorMessage="1" sqref="E2:E7 E10:E15 E17 E19:E21 E24:E25 E29:E30 E35:E38 E40:E44 E46:E47 E50:E53 E55 E57:E59 E63 E65 E69:E74 E76 E82 E87 E89 E91 E93 E95 E99:E101 E104:E106 E109:E110 E112:E113 E123" xr:uid="{7869F5FB-447C-4A11-9876-0AB4E4E4B564}">
      <formula1>OR(NOT(ISERROR(DATEVALUE(E2))), AND(ISNUMBER(E2), LEFT(CELL("format", E2))="D"))</formula1>
    </dataValidation>
  </dataValidations>
  <hyperlinks>
    <hyperlink ref="H2" r:id="rId1" xr:uid="{736ED858-2E5B-4BF5-BEBD-500A38D9DEA5}"/>
    <hyperlink ref="K2" r:id="rId2" xr:uid="{EB723F9A-0657-4864-B1ED-40389845B085}"/>
    <hyperlink ref="H3" r:id="rId3" xr:uid="{C9FDAAFC-1739-4197-BBAE-A811110BBE9F}"/>
    <hyperlink ref="H4" r:id="rId4" xr:uid="{3C9F32EE-D700-490C-A08C-D9FD183E9B20}"/>
    <hyperlink ref="H5" r:id="rId5" xr:uid="{602E3851-0F85-45A1-8B51-8D30BDF3A6C0}"/>
    <hyperlink ref="H6" r:id="rId6" xr:uid="{55272A19-7F29-4D8E-AD45-35F7873D45C3}"/>
    <hyperlink ref="K6" r:id="rId7" xr:uid="{2ED1DD6E-D14F-4CC2-8FFA-A09A873C59EE}"/>
    <hyperlink ref="H7" r:id="rId8" xr:uid="{4DB611AC-0080-4327-ABF8-68C1CDBA7A31}"/>
    <hyperlink ref="K7" r:id="rId9" xr:uid="{826709F3-F723-40C5-9341-A17AA25E36E9}"/>
    <hyperlink ref="H8" r:id="rId10" xr:uid="{0D96DBFA-12EC-4F6A-99B9-866BC3D7B1EB}"/>
    <hyperlink ref="H9" r:id="rId11" xr:uid="{7ABD84C0-FC07-4AA8-BB50-815FEA28A96A}"/>
    <hyperlink ref="H10" r:id="rId12" xr:uid="{C7E1C7BD-BA50-4FDF-B471-04B9D78DFDE2}"/>
    <hyperlink ref="H11" r:id="rId13" xr:uid="{422DFA8D-10B7-4A4B-8A98-D00DE3F1352B}"/>
    <hyperlink ref="H12" r:id="rId14" xr:uid="{01B49039-3042-4270-B5CC-4191B00ABAC7}"/>
    <hyperlink ref="H13" r:id="rId15" xr:uid="{E032B623-2BA5-4CAF-87A8-A559EF737BB2}"/>
    <hyperlink ref="H14" r:id="rId16" xr:uid="{B0F068FE-E6C4-497F-A10D-D7CC5125E288}"/>
    <hyperlink ref="H15" r:id="rId17" xr:uid="{E1BD6207-4CE7-49F8-8613-E2CD4AF3F58B}"/>
    <hyperlink ref="H16" r:id="rId18" xr:uid="{7D951ED0-AE47-4AEF-8069-70BB28D9D5DD}"/>
    <hyperlink ref="K16" r:id="rId19" xr:uid="{35518C0F-2846-4AC7-BC0F-C51A46A3FB5D}"/>
    <hyperlink ref="H17" r:id="rId20" xr:uid="{0F695D04-1840-49F7-8E2F-457A36CE8465}"/>
    <hyperlink ref="H18" r:id="rId21" xr:uid="{5EF335EA-FF1E-492F-8B79-BF3A5CA665C4}"/>
    <hyperlink ref="H19" r:id="rId22" xr:uid="{60053830-46BC-4877-A44A-9552E6A9001E}"/>
    <hyperlink ref="H20" r:id="rId23" xr:uid="{0CA63A08-5380-4C23-A333-66A73C5B349E}"/>
    <hyperlink ref="H21" r:id="rId24" xr:uid="{E7563B81-D86D-4597-AC19-EB51B5D263DB}"/>
    <hyperlink ref="H22" r:id="rId25" xr:uid="{141C5DC7-7761-4529-90C5-2D5A68435B54}"/>
    <hyperlink ref="H23" r:id="rId26" xr:uid="{EC64DF50-A1E5-4F8C-A542-B63C3D82B524}"/>
    <hyperlink ref="H24" r:id="rId27" xr:uid="{B58521B6-F983-404D-B1D4-5AF57F8996B5}"/>
    <hyperlink ref="H25" r:id="rId28" xr:uid="{F6177E65-F025-48BB-92FE-D5FEC3D6B9FB}"/>
    <hyperlink ref="H26" r:id="rId29" xr:uid="{218DE59C-FEF3-4EB1-BC73-B89129ECED00}"/>
    <hyperlink ref="K26" r:id="rId30" xr:uid="{3AA840B7-C55A-459E-8C7C-EDC332C98E85}"/>
    <hyperlink ref="H27" r:id="rId31" xr:uid="{C8573AB0-4EDD-4EE1-AC4C-6BD9332BF808}"/>
    <hyperlink ref="H28" r:id="rId32" xr:uid="{94B8710E-F4FC-48F0-A943-23B7AA590C48}"/>
    <hyperlink ref="H29" r:id="rId33" xr:uid="{157BA810-B5C6-4454-B4B3-CA4A4FE98591}"/>
    <hyperlink ref="H30" r:id="rId34" xr:uid="{6EA3CE92-D989-4909-87F0-4D77AEC5DE8B}"/>
    <hyperlink ref="H31" r:id="rId35" xr:uid="{38EC1E1E-7F82-4FD3-B3C2-3E50BA7504D8}"/>
    <hyperlink ref="H32" r:id="rId36" xr:uid="{52C2DC77-8DCD-4049-AF6C-1FB93BB2947F}"/>
    <hyperlink ref="H33" r:id="rId37" xr:uid="{4E5DADE4-5118-4C16-A45A-895269A803FE}"/>
    <hyperlink ref="H34" r:id="rId38" xr:uid="{2B1005E8-2043-44EC-8D72-D1AF4196DB0A}"/>
    <hyperlink ref="H35" r:id="rId39" xr:uid="{F71FCEE3-3C39-4009-9618-70AD03379248}"/>
    <hyperlink ref="H36" r:id="rId40" xr:uid="{E3435C55-AFAD-4E4C-A82F-F5C3BEA3FB23}"/>
    <hyperlink ref="K36" r:id="rId41" xr:uid="{E36BEBDA-54E2-411D-AF6E-F94C8A9A4F49}"/>
    <hyperlink ref="H37" r:id="rId42" xr:uid="{FE920079-3964-43F3-899E-4E00D4EBF0AD}"/>
    <hyperlink ref="H38" r:id="rId43" xr:uid="{6BA6CBB2-DB00-418B-ABBF-DB4CF9BF6D03}"/>
    <hyperlink ref="H39" r:id="rId44" xr:uid="{A25D4F85-B64B-4406-A2F9-E17CC931AF8F}"/>
    <hyperlink ref="H40" r:id="rId45" xr:uid="{C13A675A-C2A4-409F-9000-B4FC65994376}"/>
    <hyperlink ref="H41" r:id="rId46" xr:uid="{C3D77206-6FCB-49CC-81A1-08EF2C0431F3}"/>
    <hyperlink ref="H42" r:id="rId47" xr:uid="{D583FD04-E288-4566-BBAE-ED5C09A8A572}"/>
    <hyperlink ref="H43" r:id="rId48" xr:uid="{3CD423B8-F170-4F87-BEFF-BAC28A828F2C}"/>
    <hyperlink ref="H44" r:id="rId49" xr:uid="{46C3F160-EB44-4E6E-A334-0B940D645AA2}"/>
    <hyperlink ref="H45" r:id="rId50" xr:uid="{C5C7F650-9BE5-4B03-81C5-9678EE0361D6}"/>
    <hyperlink ref="H46" r:id="rId51" xr:uid="{EFD9C531-D276-44A7-9BAD-9D8EDCAEFC0C}"/>
    <hyperlink ref="K46" r:id="rId52" xr:uid="{F246456A-34D3-4981-A68B-953B94967833}"/>
    <hyperlink ref="H47" r:id="rId53" xr:uid="{6094589C-9FE8-401A-BBCC-55F3A7A131B7}"/>
    <hyperlink ref="H48" r:id="rId54" xr:uid="{38A1B5C6-C651-40CF-8724-29B9C5565CD7}"/>
    <hyperlink ref="H49" r:id="rId55" xr:uid="{220B3BC2-106A-4307-A0B9-F542EA57436F}"/>
    <hyperlink ref="H50" r:id="rId56" xr:uid="{224861D4-DD53-45B7-BCBE-06F04D60895A}"/>
    <hyperlink ref="H51" r:id="rId57" xr:uid="{FDF09DB6-9B91-4BDB-9BDD-E7E837FCAC4F}"/>
    <hyperlink ref="H52" r:id="rId58" xr:uid="{225AB43C-D4CC-4282-903C-EB6F99DF7E19}"/>
    <hyperlink ref="H53" r:id="rId59" xr:uid="{0E4CCCE8-0B57-4128-942C-0EA0498A3737}"/>
    <hyperlink ref="H54" r:id="rId60" xr:uid="{8FEBDA81-C5C2-4DEC-BFB9-3D8020F17B29}"/>
    <hyperlink ref="H55" r:id="rId61" xr:uid="{BCE2421D-76DE-44E0-8371-EDC109839208}"/>
    <hyperlink ref="H56" r:id="rId62" xr:uid="{F997CBB6-96FF-4C7A-BAB0-096D94DE02C7}"/>
    <hyperlink ref="K56" r:id="rId63" xr:uid="{B8B46C85-7EF7-478F-9205-7D988ECCC9D7}"/>
    <hyperlink ref="H57" r:id="rId64" xr:uid="{42ECB15F-C85B-475D-94CC-1D114EBA474B}"/>
    <hyperlink ref="H58" r:id="rId65" xr:uid="{A9325C9A-BF2B-49C8-B3F6-705E5EE4759C}"/>
    <hyperlink ref="H59" r:id="rId66" xr:uid="{DFB45460-5483-4E4C-8398-54B63E7D0AD1}"/>
    <hyperlink ref="H60" r:id="rId67" xr:uid="{433648A1-9F67-44CC-B74F-78CB51F7F011}"/>
    <hyperlink ref="H61" r:id="rId68" xr:uid="{C636D9E5-33A6-4D5C-94D5-F6B30D53DA14}"/>
    <hyperlink ref="H62" r:id="rId69" xr:uid="{4AD39BA0-5E0F-4A1D-8EA1-AE3E671D5E59}"/>
    <hyperlink ref="H63" r:id="rId70" xr:uid="{771A12A7-5102-420A-B1F6-584090A7B613}"/>
    <hyperlink ref="H64" r:id="rId71" xr:uid="{D5AC25A5-7FB5-44A6-A086-207E5775F561}"/>
    <hyperlink ref="H65" r:id="rId72" xr:uid="{46E7A567-96E2-4AD6-8B9E-799A6FA2D42D}"/>
    <hyperlink ref="H66" r:id="rId73" xr:uid="{3ED0EBD1-3924-4CFD-92BA-D9A0F4645C94}"/>
    <hyperlink ref="K66" r:id="rId74" xr:uid="{F78F68BE-CC9E-49EF-8DC1-D606E9C1E10C}"/>
    <hyperlink ref="H67" r:id="rId75" xr:uid="{625DEB4F-583F-4F03-B00F-C91D80F72B3C}"/>
    <hyperlink ref="H68" r:id="rId76" xr:uid="{281DD979-B5DA-4472-919A-CD25E66E257D}"/>
    <hyperlink ref="H69" r:id="rId77" xr:uid="{37C17496-53AC-42E2-970A-6F4B7A24AD1C}"/>
    <hyperlink ref="H70" r:id="rId78" xr:uid="{40AAD435-BF19-4ED1-9968-E55EDF591169}"/>
    <hyperlink ref="H71" r:id="rId79" xr:uid="{EF56152D-D049-4004-B735-922D6E05073E}"/>
    <hyperlink ref="H72" r:id="rId80" xr:uid="{608C52C9-C95E-4C50-AADE-3E26ACAEA561}"/>
    <hyperlink ref="H73" r:id="rId81" xr:uid="{A766C6EC-92C7-48CF-B492-B7B4AB4F0E87}"/>
    <hyperlink ref="H74" r:id="rId82" xr:uid="{E57656D2-8A0C-4B58-B19B-8CF5775964DC}"/>
    <hyperlink ref="H75" r:id="rId83" xr:uid="{3C3383DE-708C-49B0-A775-8F390FF6F83F}"/>
    <hyperlink ref="H76" r:id="rId84" xr:uid="{1B79091C-2520-4166-B80B-85F40FF8094A}"/>
    <hyperlink ref="K76" r:id="rId85" xr:uid="{111B6F1F-792C-416E-A701-30B4A48BD63B}"/>
    <hyperlink ref="H77" r:id="rId86" xr:uid="{F9B1A18F-F181-45A1-B2E8-274DF2E07F95}"/>
    <hyperlink ref="H78" r:id="rId87" xr:uid="{03807DFA-3ADE-4D0F-90F8-B7DE486D7B8D}"/>
    <hyperlink ref="H79" r:id="rId88" xr:uid="{EC289DA0-425B-44D3-BC52-84DB178A1746}"/>
    <hyperlink ref="H80" r:id="rId89" xr:uid="{FFEF5FA6-6875-4836-B7AA-31F4B5E6204B}"/>
    <hyperlink ref="H81" r:id="rId90" xr:uid="{DE7A192A-7554-489C-BF70-830298ADBBAD}"/>
    <hyperlink ref="H82" r:id="rId91" xr:uid="{D70CCA45-BC60-4FF4-9712-84822E6FC13A}"/>
    <hyperlink ref="H83" r:id="rId92" xr:uid="{4411F270-E19F-46D6-A0EC-EF80EF2F0B31}"/>
    <hyperlink ref="H84" r:id="rId93" xr:uid="{F489E75D-F53D-44D4-A2D7-0E404457DDB9}"/>
    <hyperlink ref="H85" r:id="rId94" xr:uid="{1DD49128-DE5F-476A-ADEE-D739F91133BB}"/>
    <hyperlink ref="H86" r:id="rId95" xr:uid="{44811E09-AE82-479E-8926-A896E74F62F5}"/>
    <hyperlink ref="K86" r:id="rId96" xr:uid="{35EEEA03-BCFD-47DB-ADF7-8F1DC5BAF775}"/>
    <hyperlink ref="H87" r:id="rId97" xr:uid="{31D6B294-1A7B-462D-943B-318C2A00971A}"/>
    <hyperlink ref="H88" r:id="rId98" xr:uid="{D1B2668B-BFDD-4A05-941F-222E6421D0AB}"/>
    <hyperlink ref="H89" r:id="rId99" xr:uid="{A2B00894-8383-43FC-BF41-E7BB2BAE9584}"/>
    <hyperlink ref="H90" r:id="rId100" xr:uid="{1C9FD13D-E5E5-4E45-9BE4-21104FAFA832}"/>
    <hyperlink ref="H91" r:id="rId101" xr:uid="{33F6F777-F3A3-4B78-B6AD-BF974362B59D}"/>
    <hyperlink ref="H92" r:id="rId102" xr:uid="{BA64622A-0037-4B09-860B-1A43EA8D0FC5}"/>
    <hyperlink ref="H93" r:id="rId103" xr:uid="{5EDD5122-1FF0-4B4F-AFD6-964DB5B08ADD}"/>
    <hyperlink ref="H94" r:id="rId104" xr:uid="{4B51C564-8D1A-46EC-90FA-34B042907366}"/>
    <hyperlink ref="H95" r:id="rId105" xr:uid="{222ECA41-D371-49A1-A3E9-22F3BE8B5DEC}"/>
    <hyperlink ref="H96" r:id="rId106" xr:uid="{BDE2E63E-4178-4223-B78B-BDD4602906AD}"/>
    <hyperlink ref="K96" r:id="rId107" xr:uid="{E7818032-A001-4EC9-A6BE-D8644731B6A6}"/>
    <hyperlink ref="H97" r:id="rId108" xr:uid="{85A06FEF-38C5-44F8-8955-7785E4A74BF1}"/>
    <hyperlink ref="H98" r:id="rId109" xr:uid="{D9B18235-04FF-4B31-969F-1FD29F78951D}"/>
    <hyperlink ref="H99" r:id="rId110" xr:uid="{B02B08DE-BB43-4DBE-8835-3829E7C79445}"/>
    <hyperlink ref="H100" r:id="rId111" xr:uid="{5E887E59-DC90-4A28-BABA-5C44B420A4D8}"/>
    <hyperlink ref="H101" r:id="rId112" xr:uid="{728B1736-C621-4FBF-910B-9CBD9EB88528}"/>
    <hyperlink ref="H102" r:id="rId113" xr:uid="{0090D258-19A8-4A59-ACC8-03FB8F602CF6}"/>
    <hyperlink ref="H103" r:id="rId114" xr:uid="{BDE7C684-18CA-479C-AC17-ACF53FEE6C3D}"/>
    <hyperlink ref="H104" r:id="rId115" xr:uid="{BD107B11-5360-4031-8E64-05550077082D}"/>
    <hyperlink ref="H105" r:id="rId116" xr:uid="{C72C8AF0-50B6-49FC-8485-5E65DB06D04B}"/>
    <hyperlink ref="H106" r:id="rId117" xr:uid="{44E48FA5-76CD-4852-95A4-2297C91A6EE3}"/>
    <hyperlink ref="K106" r:id="rId118" xr:uid="{D5E0A6C7-586F-4E36-99D2-6BF5134B98A9}"/>
    <hyperlink ref="H107" r:id="rId119" xr:uid="{AEA5383E-5BD0-480D-AFB1-9F6AFC00DEB6}"/>
    <hyperlink ref="H108" r:id="rId120" xr:uid="{34C66F1B-0989-4CD4-8E53-44DACB676486}"/>
    <hyperlink ref="H109" r:id="rId121" xr:uid="{E978E306-56B9-48FE-8036-6C38B5C99135}"/>
    <hyperlink ref="H110" r:id="rId122" xr:uid="{BE5318E5-61C6-400D-A0AC-2D806EA677C8}"/>
    <hyperlink ref="H111" r:id="rId123" xr:uid="{35979C95-ACB4-47B2-86F8-96AEC14FAF60}"/>
    <hyperlink ref="H112" r:id="rId124" xr:uid="{6CDFFA58-56D2-42F8-B1AA-5C6D3A69230E}"/>
    <hyperlink ref="H113" r:id="rId125" xr:uid="{90B715E8-D1AC-4E8B-A32E-B6492C1BDF47}"/>
    <hyperlink ref="H114" r:id="rId126" xr:uid="{8A1DBD50-D8C0-4DCE-BFC4-F70B0161E608}"/>
    <hyperlink ref="H115" r:id="rId127" xr:uid="{9BC7EDEA-DF1C-46A2-8F15-8B49371D5203}"/>
    <hyperlink ref="H116" r:id="rId128" xr:uid="{C0613133-FB87-44BC-885F-07C61B3767CE}"/>
    <hyperlink ref="K116" r:id="rId129" xr:uid="{33E5A208-7313-4425-B58D-F8492F00241C}"/>
    <hyperlink ref="H117" r:id="rId130" xr:uid="{21B90CF1-DC16-432C-B563-FD9BEF655465}"/>
    <hyperlink ref="H118" r:id="rId131" xr:uid="{5294BD7A-01A1-4BC8-91A8-358F5364D3E1}"/>
    <hyperlink ref="H119" r:id="rId132" xr:uid="{D18D7886-B9CA-4D4A-8F42-5C2FD13E111C}"/>
    <hyperlink ref="H120" r:id="rId133" xr:uid="{328AF974-2DF4-428A-B642-B53FA13F6B65}"/>
    <hyperlink ref="K120" r:id="rId134" xr:uid="{58B85526-EF08-4633-AC25-B0E7666104C4}"/>
    <hyperlink ref="H121" r:id="rId135" xr:uid="{06C27B46-971C-4271-AE6F-481542C80D2F}"/>
    <hyperlink ref="H122" r:id="rId136" xr:uid="{D3E04648-5D20-448E-B386-66139D135E73}"/>
    <hyperlink ref="H123" r:id="rId137" xr:uid="{1D73760C-E236-462E-B600-E39756309C6D}"/>
    <hyperlink ref="H124" r:id="rId138" xr:uid="{599F12E1-627F-4206-9D89-83E9D4599F5E}"/>
    <hyperlink ref="K124" r:id="rId139" xr:uid="{D01BBB2E-4CD1-4335-B29A-AE14E5AD1916}"/>
    <hyperlink ref="H125" r:id="rId140" xr:uid="{91B44018-99F4-42EA-B227-F9D7846C5BE4}"/>
    <hyperlink ref="H126" r:id="rId141" xr:uid="{4336C98F-30DB-4DD4-A7CD-4113BA71B946}"/>
    <hyperlink ref="H127" r:id="rId142" xr:uid="{114A0B94-A51F-422F-A0DD-379E7D642D8B}"/>
    <hyperlink ref="H128" r:id="rId143" xr:uid="{EF7F84A3-4D2E-4BA6-B269-D6E955CCC004}"/>
    <hyperlink ref="H129" r:id="rId144" xr:uid="{7E367918-24D9-4578-8745-2E7BD1796F03}"/>
    <hyperlink ref="H130" r:id="rId145" xr:uid="{F839EA66-22AA-44B8-AC3D-35D22B13FF24}"/>
    <hyperlink ref="H131" r:id="rId146" xr:uid="{18FA9A4F-4A5B-49EE-8953-EDE814A673A7}"/>
    <hyperlink ref="H132" r:id="rId147" xr:uid="{7F976FF6-D99C-4123-9B5B-CEEA70CEAE2F}"/>
    <hyperlink ref="H133" r:id="rId148" xr:uid="{A18A544A-1FC7-44EB-A91D-33A104DCECBA}"/>
    <hyperlink ref="H134" r:id="rId149" xr:uid="{6A9C550F-072D-40CF-9CFE-449732256083}"/>
    <hyperlink ref="H135" r:id="rId150" xr:uid="{E1632522-E2DE-4CA3-B449-6D9FD4985712}"/>
    <hyperlink ref="H136" r:id="rId151" xr:uid="{1FC82750-6717-42B5-805F-B140B801EF1B}"/>
    <hyperlink ref="H137" r:id="rId152" xr:uid="{EA48E542-5C1B-416F-BD34-9D3E593C2C81}"/>
    <hyperlink ref="H138" r:id="rId153" xr:uid="{F9375F00-406B-4936-9032-E0FF91CCEBE7}"/>
    <hyperlink ref="H139" r:id="rId154" xr:uid="{CF5EEB7C-5F54-45D8-9682-52D5762DD3F6}"/>
    <hyperlink ref="H140" r:id="rId155" xr:uid="{6CB805A8-A99F-4E5C-82DF-AC7D77EE6951}"/>
    <hyperlink ref="H141" r:id="rId156" xr:uid="{D326404F-FCCE-42B9-A5E1-CF6864697E0A}"/>
    <hyperlink ref="H142" r:id="rId157" xr:uid="{54A2AD6E-8EF2-4D12-9E8A-1BC58E5752A9}"/>
    <hyperlink ref="H143" r:id="rId158" xr:uid="{0737019C-EF56-4A40-AE7B-343DBA8DBBBA}"/>
    <hyperlink ref="H144" r:id="rId159" xr:uid="{A65FE2B2-DC3E-4C2C-B9A3-7AF7AF0C79D4}"/>
    <hyperlink ref="H145" r:id="rId160" xr:uid="{B3D133D4-CF75-4972-B257-3E992B5AA5C9}"/>
    <hyperlink ref="H146" r:id="rId161" xr:uid="{9768621E-8F1B-45BB-9E68-76F2BFC94AEC}"/>
    <hyperlink ref="H147" r:id="rId162" xr:uid="{A6BA1C5F-E72B-48ED-8304-14501DDE07ED}"/>
    <hyperlink ref="H148" r:id="rId163" xr:uid="{9F84AF18-F5DF-45B7-B5AF-DADC8E2304AA}"/>
    <hyperlink ref="H149" r:id="rId164" xr:uid="{2C22C72B-7029-4CFA-98A7-074209CE7ACE}"/>
    <hyperlink ref="H150" r:id="rId165" xr:uid="{D636C784-C10A-4F6B-80B2-8B1F6731E4DB}"/>
    <hyperlink ref="H151" r:id="rId166" xr:uid="{62477629-5B8F-478B-A227-9A73E2880EFC}"/>
    <hyperlink ref="H152" r:id="rId167" xr:uid="{F94E1BCA-1E6B-4B2A-945B-EF91BCFDA7AB}"/>
    <hyperlink ref="H153" r:id="rId168" xr:uid="{4C3E896C-263E-49E5-AFCB-4BACFCE62D4F}"/>
    <hyperlink ref="H154" r:id="rId169" xr:uid="{CFE515D6-55C8-4D06-9710-4D3D8216C523}"/>
    <hyperlink ref="H155" r:id="rId170" xr:uid="{27999DA4-E62A-46B3-A6DE-3B23E603791C}"/>
    <hyperlink ref="H156" r:id="rId171" xr:uid="{CB55DE0A-C743-4276-9343-FDAA479528D4}"/>
    <hyperlink ref="H157" r:id="rId172" xr:uid="{FB58503E-222F-420D-9000-2364FB7D3E06}"/>
    <hyperlink ref="H158" r:id="rId173" xr:uid="{C6A1BABC-0369-40CF-ADC6-71A6E1727646}"/>
    <hyperlink ref="H159" r:id="rId174" xr:uid="{6F605040-9AD7-4D74-90ED-263CE7525CD3}"/>
    <hyperlink ref="H160" r:id="rId175" xr:uid="{AA3EFD2C-328D-4F6E-AB3B-1BEE216CA61A}"/>
    <hyperlink ref="H161" r:id="rId176" xr:uid="{5BD83782-50DD-49D5-8CEC-FCADF311E6F3}"/>
    <hyperlink ref="H162" r:id="rId177" xr:uid="{AD4E0F52-091C-4F39-8540-C9A03AEBA8D2}"/>
    <hyperlink ref="H163" r:id="rId178" xr:uid="{4D906B13-5A79-4AC7-B97D-292AE15C3211}"/>
    <hyperlink ref="H164" r:id="rId179" xr:uid="{0CEE4F8D-8781-49B8-B583-17DE283BFE3B}"/>
    <hyperlink ref="H165" r:id="rId180" xr:uid="{B86D700B-C713-45F8-90C1-1BF6BD32EC77}"/>
    <hyperlink ref="H166" r:id="rId181" xr:uid="{77F209A1-5AAD-4A66-8F7A-29D6CE4654C1}"/>
    <hyperlink ref="H167" r:id="rId182" xr:uid="{C9BBB6D5-D833-4E24-809D-6ADE0A3FDC38}"/>
    <hyperlink ref="H168" r:id="rId183" xr:uid="{9368FA56-8EE2-4C95-8E62-9E5FD9E489BE}"/>
    <hyperlink ref="H169" r:id="rId184" xr:uid="{77BD3AC0-7996-4B8F-B8C7-ED4BEC4984E8}"/>
    <hyperlink ref="H170" r:id="rId185" xr:uid="{16E9C9E3-7F08-446E-A7BA-601B093EA907}"/>
    <hyperlink ref="H171" r:id="rId186" xr:uid="{E760D923-5D97-4304-9B68-87ED96DEF1EE}"/>
    <hyperlink ref="H172" r:id="rId187" xr:uid="{14DE2153-4C4E-4776-94A8-E82F6374B2C1}"/>
    <hyperlink ref="H173" r:id="rId188" xr:uid="{F36648BC-F8A6-4AD7-AB54-9D6444F8E83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73129-36D7-4BAA-8194-9971D33D036D}">
  <dimension ref="A1:K173"/>
  <sheetViews>
    <sheetView topLeftCell="A4" workbookViewId="0">
      <selection activeCell="N2" sqref="N2"/>
    </sheetView>
  </sheetViews>
  <sheetFormatPr defaultRowHeight="13.2"/>
  <cols>
    <col min="9" max="9" width="12.88671875" customWidth="1"/>
    <col min="10" max="10" width="19.33203125" customWidth="1"/>
    <col min="11" max="11" width="8.88671875" customWidth="1"/>
  </cols>
  <sheetData>
    <row r="1" spans="1:11" ht="39.6">
      <c r="A1" s="71" t="s">
        <v>1070</v>
      </c>
      <c r="B1" s="71" t="s">
        <v>1</v>
      </c>
      <c r="C1" s="71" t="s">
        <v>3782</v>
      </c>
      <c r="D1" s="71" t="s">
        <v>3783</v>
      </c>
      <c r="E1" s="71" t="s">
        <v>3784</v>
      </c>
      <c r="F1" s="71" t="s">
        <v>3785</v>
      </c>
      <c r="G1" s="71" t="s">
        <v>3786</v>
      </c>
      <c r="H1" s="71" t="s">
        <v>3787</v>
      </c>
      <c r="I1" s="3" t="s">
        <v>10</v>
      </c>
      <c r="J1" s="3" t="s">
        <v>11</v>
      </c>
      <c r="K1" s="71" t="s">
        <v>1076</v>
      </c>
    </row>
    <row r="2" spans="1:11" ht="409.6">
      <c r="A2" s="73">
        <v>1</v>
      </c>
      <c r="B2" s="85" t="str">
        <f>VLOOKUP(A2,[1]vaccines!A:B,2)</f>
        <v>BCG_Microgen</v>
      </c>
      <c r="C2" s="72" t="s">
        <v>3788</v>
      </c>
      <c r="D2" s="72" t="s">
        <v>3789</v>
      </c>
      <c r="E2" s="59">
        <v>45461</v>
      </c>
      <c r="F2" s="85">
        <v>1</v>
      </c>
      <c r="G2" s="85">
        <v>0</v>
      </c>
      <c r="H2" s="86" t="s">
        <v>3790</v>
      </c>
      <c r="I2" s="59">
        <v>45156</v>
      </c>
      <c r="J2" s="66">
        <v>45517</v>
      </c>
      <c r="K2" s="87" t="s">
        <v>2554</v>
      </c>
    </row>
    <row r="3" spans="1:11" ht="409.6">
      <c r="A3" s="73">
        <v>2</v>
      </c>
      <c r="B3" s="85" t="str">
        <f>VLOOKUP(A3,[1]vaccines!A:B,2)</f>
        <v>BCG_M_Microgen</v>
      </c>
      <c r="C3" s="72" t="s">
        <v>3788</v>
      </c>
      <c r="D3" s="72" t="s">
        <v>3791</v>
      </c>
      <c r="E3" s="59">
        <v>45461</v>
      </c>
      <c r="F3" s="85">
        <v>1</v>
      </c>
      <c r="G3" s="85">
        <v>0</v>
      </c>
      <c r="H3" s="86" t="s">
        <v>3792</v>
      </c>
      <c r="I3" s="59">
        <v>45108</v>
      </c>
      <c r="J3" s="66">
        <v>45517</v>
      </c>
      <c r="K3" s="88"/>
    </row>
    <row r="4" spans="1:11" ht="409.6">
      <c r="A4" s="73">
        <v>3</v>
      </c>
      <c r="B4" s="85" t="str">
        <f>VLOOKUP(A4,[1]vaccines!A:B,2)</f>
        <v>BCG_Gamaleya</v>
      </c>
      <c r="C4" s="72" t="s">
        <v>3793</v>
      </c>
      <c r="D4" s="72" t="s">
        <v>3794</v>
      </c>
      <c r="E4" s="59">
        <v>45769</v>
      </c>
      <c r="F4" s="73">
        <v>1</v>
      </c>
      <c r="G4" s="73">
        <v>0</v>
      </c>
      <c r="H4" s="86" t="s">
        <v>1085</v>
      </c>
      <c r="I4" s="59">
        <v>45108</v>
      </c>
      <c r="J4" s="66">
        <v>45801</v>
      </c>
      <c r="K4" s="88"/>
    </row>
    <row r="5" spans="1:11" ht="409.6">
      <c r="A5" s="73">
        <v>4</v>
      </c>
      <c r="B5" s="85" t="str">
        <f>VLOOKUP(A5,[1]vaccines!A:B,2)</f>
        <v>BCG_M_Gamaleya</v>
      </c>
      <c r="C5" s="72" t="s">
        <v>3793</v>
      </c>
      <c r="D5" s="72" t="s">
        <v>3794</v>
      </c>
      <c r="E5" s="59">
        <v>45771</v>
      </c>
      <c r="F5" s="73">
        <v>1</v>
      </c>
      <c r="G5" s="73">
        <v>0</v>
      </c>
      <c r="H5" s="86" t="s">
        <v>1088</v>
      </c>
      <c r="I5" s="59">
        <f>I4</f>
        <v>45108</v>
      </c>
      <c r="J5" s="66">
        <v>45818</v>
      </c>
      <c r="K5" s="88"/>
    </row>
    <row r="6" spans="1:11" ht="409.6">
      <c r="A6" s="73">
        <v>5</v>
      </c>
      <c r="B6" s="85" t="str">
        <f>VLOOKUP(A6,[1]vaccines!A:B,2)</f>
        <v>Infanrix</v>
      </c>
      <c r="C6" s="72" t="s">
        <v>3795</v>
      </c>
      <c r="D6" s="72" t="s">
        <v>3796</v>
      </c>
      <c r="E6" s="59">
        <v>44211</v>
      </c>
      <c r="F6" s="85">
        <v>1</v>
      </c>
      <c r="G6" s="85">
        <v>0</v>
      </c>
      <c r="H6" s="86" t="s">
        <v>3797</v>
      </c>
      <c r="I6" s="59">
        <v>45105</v>
      </c>
      <c r="J6" s="66">
        <v>45481</v>
      </c>
      <c r="K6" s="87" t="s">
        <v>2554</v>
      </c>
    </row>
    <row r="7" spans="1:11" ht="409.6">
      <c r="A7" s="73">
        <v>6</v>
      </c>
      <c r="B7" s="85" t="str">
        <f>VLOOKUP(A7,[1]vaccines!A:B,2)</f>
        <v>AKDS_Microgen</v>
      </c>
      <c r="C7" s="72" t="s">
        <v>3798</v>
      </c>
      <c r="D7" s="72" t="s">
        <v>3799</v>
      </c>
      <c r="E7" s="66">
        <v>45415</v>
      </c>
      <c r="F7" s="85">
        <v>1</v>
      </c>
      <c r="G7" s="85">
        <v>0</v>
      </c>
      <c r="H7" s="86" t="s">
        <v>3800</v>
      </c>
      <c r="I7" s="43">
        <v>45115</v>
      </c>
      <c r="J7" s="43">
        <v>45461</v>
      </c>
      <c r="K7" s="87" t="s">
        <v>2557</v>
      </c>
    </row>
    <row r="8" spans="1:11" ht="409.6">
      <c r="A8" s="73">
        <v>7</v>
      </c>
      <c r="B8" s="85" t="str">
        <f>VLOOKUP(A8,[1]vaccines!A:B,2)</f>
        <v>AKDS_Biomed</v>
      </c>
      <c r="C8" s="72" t="s">
        <v>3801</v>
      </c>
      <c r="D8" s="72" t="s">
        <v>3802</v>
      </c>
      <c r="E8" s="43">
        <v>41388</v>
      </c>
      <c r="F8" s="74">
        <v>1</v>
      </c>
      <c r="G8" s="74">
        <v>0</v>
      </c>
      <c r="H8" s="89" t="s">
        <v>1097</v>
      </c>
      <c r="I8" s="43">
        <v>45115</v>
      </c>
      <c r="J8" s="43"/>
      <c r="K8" s="88"/>
    </row>
    <row r="9" spans="1:11" ht="382.8">
      <c r="A9" s="73">
        <v>8</v>
      </c>
      <c r="B9" s="85" t="str">
        <f>VLOOKUP(A9,[1]vaccines!A:B,2)</f>
        <v>Bubo_kok</v>
      </c>
      <c r="C9" s="72" t="s">
        <v>3803</v>
      </c>
      <c r="D9" s="72" t="s">
        <v>3804</v>
      </c>
      <c r="E9" s="43">
        <v>40395</v>
      </c>
      <c r="F9" s="74">
        <v>1</v>
      </c>
      <c r="G9" s="74">
        <v>0</v>
      </c>
      <c r="H9" s="89" t="s">
        <v>1100</v>
      </c>
      <c r="I9" s="43">
        <v>45115</v>
      </c>
      <c r="J9" s="43"/>
      <c r="K9" s="88"/>
    </row>
    <row r="10" spans="1:11" ht="303.60000000000002">
      <c r="A10" s="73">
        <v>9</v>
      </c>
      <c r="B10" s="85" t="str">
        <f>VLOOKUP(A10,[1]vaccines!A:B,2)</f>
        <v>Pentaxim</v>
      </c>
      <c r="C10" s="72" t="s">
        <v>3805</v>
      </c>
      <c r="D10" s="72" t="s">
        <v>3806</v>
      </c>
      <c r="E10" s="59">
        <v>45980</v>
      </c>
      <c r="F10" s="73">
        <v>1</v>
      </c>
      <c r="G10" s="73">
        <v>0</v>
      </c>
      <c r="H10" s="86" t="s">
        <v>1104</v>
      </c>
      <c r="I10" s="59">
        <f t="shared" ref="I10:I11" si="0">I9</f>
        <v>45115</v>
      </c>
      <c r="J10" s="66">
        <v>46204</v>
      </c>
      <c r="K10" s="88"/>
    </row>
    <row r="11" spans="1:11" ht="409.6">
      <c r="A11" s="73">
        <v>10</v>
      </c>
      <c r="B11" s="85" t="str">
        <f>VLOOKUP(A11,[1]vaccines!A:B,2)</f>
        <v>Infanrix_Hexa</v>
      </c>
      <c r="C11" s="72" t="s">
        <v>3807</v>
      </c>
      <c r="D11" s="72" t="s">
        <v>3808</v>
      </c>
      <c r="E11" s="59">
        <v>45953</v>
      </c>
      <c r="F11" s="73">
        <v>1</v>
      </c>
      <c r="G11" s="73">
        <v>0</v>
      </c>
      <c r="H11" s="86" t="s">
        <v>1108</v>
      </c>
      <c r="I11" s="59">
        <f t="shared" si="0"/>
        <v>45115</v>
      </c>
      <c r="J11" s="66">
        <v>46000</v>
      </c>
      <c r="K11" s="88"/>
    </row>
    <row r="12" spans="1:11" ht="277.2">
      <c r="A12" s="73">
        <v>11</v>
      </c>
      <c r="B12" s="85" t="str">
        <f>VLOOKUP(A12,[1]vaccines!A:B,2)</f>
        <v>Bubo_M</v>
      </c>
      <c r="C12" s="72" t="s">
        <v>3809</v>
      </c>
      <c r="D12" s="72" t="s">
        <v>3810</v>
      </c>
      <c r="E12" s="59">
        <v>46136</v>
      </c>
      <c r="F12" s="73">
        <v>1</v>
      </c>
      <c r="G12" s="73">
        <v>0</v>
      </c>
      <c r="H12" s="86" t="s">
        <v>1111</v>
      </c>
      <c r="I12" s="59">
        <v>45116</v>
      </c>
      <c r="J12" s="66">
        <v>46188</v>
      </c>
      <c r="K12" s="88"/>
    </row>
    <row r="13" spans="1:11" ht="224.4">
      <c r="A13" s="73">
        <v>12</v>
      </c>
      <c r="B13" s="85" t="str">
        <f>VLOOKUP(A13,[1]vaccines!A:B,2)</f>
        <v>AD_M_Microgen</v>
      </c>
      <c r="C13" s="72" t="s">
        <v>3811</v>
      </c>
      <c r="D13" s="72" t="s">
        <v>3812</v>
      </c>
      <c r="E13" s="59">
        <v>45482</v>
      </c>
      <c r="F13" s="85">
        <v>1</v>
      </c>
      <c r="G13" s="85">
        <v>0</v>
      </c>
      <c r="H13" s="86" t="s">
        <v>3813</v>
      </c>
      <c r="I13" s="59">
        <f t="shared" ref="I13:I15" si="1">I12</f>
        <v>45116</v>
      </c>
      <c r="J13" s="66">
        <v>45518</v>
      </c>
      <c r="K13" s="88"/>
    </row>
    <row r="14" spans="1:11" ht="224.4">
      <c r="A14" s="73">
        <v>13</v>
      </c>
      <c r="B14" s="85" t="str">
        <f>VLOOKUP(A14,[1]vaccines!A:B,2)</f>
        <v>ADS_Microgen</v>
      </c>
      <c r="C14" s="72" t="s">
        <v>3811</v>
      </c>
      <c r="D14" s="72" t="s">
        <v>3812</v>
      </c>
      <c r="E14" s="59">
        <v>45488</v>
      </c>
      <c r="F14" s="85">
        <v>1</v>
      </c>
      <c r="G14" s="85">
        <v>0</v>
      </c>
      <c r="H14" s="86" t="s">
        <v>3814</v>
      </c>
      <c r="I14" s="59">
        <f t="shared" si="1"/>
        <v>45116</v>
      </c>
      <c r="J14" s="66">
        <v>45518</v>
      </c>
      <c r="K14" s="88"/>
    </row>
    <row r="15" spans="1:11" ht="224.4">
      <c r="A15" s="73">
        <v>14</v>
      </c>
      <c r="B15" s="85" t="str">
        <f>VLOOKUP(A15,[1]vaccines!A:B,2)</f>
        <v>ADS_M_Microgen</v>
      </c>
      <c r="C15" s="72" t="s">
        <v>3811</v>
      </c>
      <c r="D15" s="72" t="s">
        <v>3812</v>
      </c>
      <c r="E15" s="59">
        <v>45623</v>
      </c>
      <c r="F15" s="73">
        <v>1</v>
      </c>
      <c r="G15" s="73">
        <v>0</v>
      </c>
      <c r="H15" s="86" t="s">
        <v>1121</v>
      </c>
      <c r="I15" s="59">
        <f t="shared" si="1"/>
        <v>45116</v>
      </c>
      <c r="J15" s="66">
        <v>45861</v>
      </c>
      <c r="K15" s="88"/>
    </row>
    <row r="16" spans="1:11" ht="409.6">
      <c r="A16" s="73">
        <v>15</v>
      </c>
      <c r="B16" s="85" t="str">
        <f>VLOOKUP(A16,[1]vaccines!A:B,2)</f>
        <v>ADS_M_Biomed</v>
      </c>
      <c r="C16" s="72" t="s">
        <v>3815</v>
      </c>
      <c r="D16" s="72" t="s">
        <v>3816</v>
      </c>
      <c r="E16" s="43">
        <v>41046</v>
      </c>
      <c r="F16" s="74">
        <v>1</v>
      </c>
      <c r="G16" s="74">
        <v>0</v>
      </c>
      <c r="H16" s="89" t="s">
        <v>1124</v>
      </c>
      <c r="I16" s="43">
        <v>45116</v>
      </c>
      <c r="J16" s="43"/>
      <c r="K16" s="88"/>
    </row>
    <row r="17" spans="1:11" ht="330">
      <c r="A17" s="73">
        <v>16</v>
      </c>
      <c r="B17" s="85" t="str">
        <f>VLOOKUP(A17,[1]vaccines!A:B,2)</f>
        <v>Adacel</v>
      </c>
      <c r="C17" s="72" t="s">
        <v>3817</v>
      </c>
      <c r="D17" s="72" t="s">
        <v>3818</v>
      </c>
      <c r="E17" s="59">
        <v>45456</v>
      </c>
      <c r="F17" s="85">
        <v>1</v>
      </c>
      <c r="G17" s="85">
        <v>0</v>
      </c>
      <c r="H17" s="86" t="s">
        <v>3819</v>
      </c>
      <c r="I17" s="59">
        <v>45117</v>
      </c>
      <c r="J17" s="66">
        <v>45589</v>
      </c>
      <c r="K17" s="87" t="s">
        <v>2557</v>
      </c>
    </row>
    <row r="18" spans="1:11" ht="409.6">
      <c r="A18" s="73">
        <v>17</v>
      </c>
      <c r="B18" s="85" t="str">
        <f>VLOOKUP(A18,[1]vaccines!A:B,2)</f>
        <v>Algavac_M</v>
      </c>
      <c r="C18" s="72" t="s">
        <v>3820</v>
      </c>
      <c r="D18" s="72" t="s">
        <v>3821</v>
      </c>
      <c r="E18" s="66">
        <v>45225</v>
      </c>
      <c r="F18" s="73">
        <v>3</v>
      </c>
      <c r="G18" s="73">
        <v>4</v>
      </c>
      <c r="H18" s="86" t="s">
        <v>1943</v>
      </c>
      <c r="I18" s="66">
        <f t="shared" ref="I18:I19" si="2">I17</f>
        <v>45117</v>
      </c>
      <c r="J18" s="66">
        <v>45715</v>
      </c>
      <c r="K18" s="88"/>
    </row>
    <row r="19" spans="1:11" ht="316.8">
      <c r="A19" s="73">
        <v>18</v>
      </c>
      <c r="B19" s="85" t="str">
        <f>VLOOKUP(A19,[1]vaccines!A:B,2)</f>
        <v>Algavac</v>
      </c>
      <c r="C19" s="72" t="s">
        <v>3822</v>
      </c>
      <c r="D19" s="72" t="s">
        <v>3823</v>
      </c>
      <c r="E19" s="59">
        <v>46111</v>
      </c>
      <c r="F19" s="73">
        <v>1</v>
      </c>
      <c r="G19" s="73">
        <v>0</v>
      </c>
      <c r="H19" s="86" t="s">
        <v>1133</v>
      </c>
      <c r="I19" s="59">
        <f t="shared" si="2"/>
        <v>45117</v>
      </c>
      <c r="J19" s="66">
        <v>46188</v>
      </c>
      <c r="K19" s="88"/>
    </row>
    <row r="20" spans="1:11" ht="264">
      <c r="A20" s="73">
        <v>19</v>
      </c>
      <c r="B20" s="85" t="str">
        <f>VLOOKUP(A20,[1]vaccines!A:B,2)</f>
        <v>Havrix_720</v>
      </c>
      <c r="C20" s="72" t="s">
        <v>3824</v>
      </c>
      <c r="D20" s="72" t="s">
        <v>3825</v>
      </c>
      <c r="E20" s="59">
        <v>45490</v>
      </c>
      <c r="F20" s="85">
        <v>1</v>
      </c>
      <c r="G20" s="85">
        <v>0</v>
      </c>
      <c r="H20" s="86" t="s">
        <v>3826</v>
      </c>
      <c r="I20" s="43">
        <v>45119</v>
      </c>
      <c r="J20" s="66">
        <v>45558</v>
      </c>
      <c r="K20" s="88"/>
    </row>
    <row r="21" spans="1:11" ht="264">
      <c r="A21" s="73">
        <v>20</v>
      </c>
      <c r="B21" s="85" t="str">
        <f>VLOOKUP(A21,[1]vaccines!A:B,2)</f>
        <v>Havrix_1440</v>
      </c>
      <c r="C21" s="72" t="s">
        <v>3824</v>
      </c>
      <c r="D21" s="72" t="s">
        <v>3825</v>
      </c>
      <c r="E21" s="59">
        <v>45490</v>
      </c>
      <c r="F21" s="73">
        <v>1</v>
      </c>
      <c r="G21" s="73">
        <v>0</v>
      </c>
      <c r="H21" s="86" t="s">
        <v>3826</v>
      </c>
      <c r="I21" s="43">
        <v>45119</v>
      </c>
      <c r="J21" s="66">
        <v>45558</v>
      </c>
      <c r="K21" s="88"/>
    </row>
    <row r="22" spans="1:11" ht="409.6">
      <c r="A22" s="73">
        <v>21</v>
      </c>
      <c r="B22" s="85" t="str">
        <f>VLOOKUP(A22,[1]vaccines!A:B,2)</f>
        <v>Avaxim_80</v>
      </c>
      <c r="C22" s="72" t="s">
        <v>3827</v>
      </c>
      <c r="D22" s="72" t="s">
        <v>3828</v>
      </c>
      <c r="E22" s="43">
        <v>41816</v>
      </c>
      <c r="F22" s="74">
        <v>1</v>
      </c>
      <c r="G22" s="74">
        <v>0</v>
      </c>
      <c r="H22" s="89" t="s">
        <v>1617</v>
      </c>
      <c r="I22" s="43">
        <v>45119</v>
      </c>
      <c r="J22" s="43"/>
      <c r="K22" s="88"/>
    </row>
    <row r="23" spans="1:11" ht="409.6">
      <c r="A23" s="73">
        <v>22</v>
      </c>
      <c r="B23" s="85" t="str">
        <f>VLOOKUP(A23,[1]vaccines!A:B,2)</f>
        <v>Avaxim_160</v>
      </c>
      <c r="C23" s="72" t="s">
        <v>3827</v>
      </c>
      <c r="D23" s="72" t="s">
        <v>3828</v>
      </c>
      <c r="E23" s="43">
        <v>42131</v>
      </c>
      <c r="F23" s="74">
        <v>1</v>
      </c>
      <c r="G23" s="74">
        <v>0</v>
      </c>
      <c r="H23" s="89" t="s">
        <v>1144</v>
      </c>
      <c r="I23" s="43">
        <v>45119</v>
      </c>
      <c r="J23" s="43"/>
      <c r="K23" s="88"/>
    </row>
    <row r="24" spans="1:11" ht="409.6">
      <c r="A24" s="73">
        <v>23</v>
      </c>
      <c r="B24" s="85" t="str">
        <f>VLOOKUP(A24,[1]vaccines!A:B,2)</f>
        <v>Regevac_0_5</v>
      </c>
      <c r="C24" s="72" t="s">
        <v>3829</v>
      </c>
      <c r="D24" s="72" t="s">
        <v>3830</v>
      </c>
      <c r="E24" s="59">
        <v>45216</v>
      </c>
      <c r="F24" s="73">
        <v>1</v>
      </c>
      <c r="G24" s="73">
        <v>0</v>
      </c>
      <c r="H24" s="86" t="s">
        <v>1147</v>
      </c>
      <c r="I24" s="59">
        <f t="shared" ref="I24:I25" si="3">I23</f>
        <v>45119</v>
      </c>
      <c r="J24" s="66">
        <v>45988</v>
      </c>
      <c r="K24" s="88"/>
    </row>
    <row r="25" spans="1:11" ht="409.6">
      <c r="A25" s="73">
        <v>24</v>
      </c>
      <c r="B25" s="85" t="str">
        <f>VLOOKUP(A25,[1]vaccines!A:B,2)</f>
        <v>HepB_Combiotech_0_5</v>
      </c>
      <c r="C25" s="72" t="s">
        <v>3831</v>
      </c>
      <c r="D25" s="72" t="s">
        <v>3832</v>
      </c>
      <c r="E25" s="59">
        <v>46056</v>
      </c>
      <c r="F25" s="73">
        <v>1</v>
      </c>
      <c r="G25" s="73">
        <v>0</v>
      </c>
      <c r="H25" s="86" t="s">
        <v>1150</v>
      </c>
      <c r="I25" s="59">
        <f t="shared" si="3"/>
        <v>45119</v>
      </c>
      <c r="J25" s="66">
        <v>46130</v>
      </c>
      <c r="K25" s="88"/>
    </row>
    <row r="26" spans="1:11" ht="224.4">
      <c r="A26" s="73">
        <v>25</v>
      </c>
      <c r="B26" s="85" t="str">
        <f>VLOOKUP(A26,[1]vaccines!A:B,2)</f>
        <v>Euvax_B_0_5</v>
      </c>
      <c r="C26" s="72" t="s">
        <v>3833</v>
      </c>
      <c r="D26" s="72" t="s">
        <v>3834</v>
      </c>
      <c r="E26" s="43">
        <v>41841</v>
      </c>
      <c r="F26" s="74">
        <v>1</v>
      </c>
      <c r="G26" s="74">
        <v>0</v>
      </c>
      <c r="H26" s="89" t="s">
        <v>1626</v>
      </c>
      <c r="I26" s="43">
        <v>45120</v>
      </c>
      <c r="J26" s="43"/>
      <c r="K26" s="88"/>
    </row>
    <row r="27" spans="1:11" ht="224.4">
      <c r="A27" s="73">
        <v>26</v>
      </c>
      <c r="B27" s="85" t="str">
        <f>VLOOKUP(A27,[1]vaccines!A:B,2)</f>
        <v>Euvax_B_1_0</v>
      </c>
      <c r="C27" s="72" t="s">
        <v>3833</v>
      </c>
      <c r="D27" s="72" t="s">
        <v>3834</v>
      </c>
      <c r="E27" s="43">
        <v>41841</v>
      </c>
      <c r="F27" s="74">
        <v>1</v>
      </c>
      <c r="G27" s="74">
        <v>0</v>
      </c>
      <c r="H27" s="89" t="s">
        <v>1626</v>
      </c>
      <c r="I27" s="43">
        <v>45120</v>
      </c>
      <c r="J27" s="43"/>
      <c r="K27" s="87" t="s">
        <v>2557</v>
      </c>
    </row>
    <row r="28" spans="1:11" ht="396">
      <c r="A28" s="73">
        <v>27</v>
      </c>
      <c r="B28" s="85" t="str">
        <f>VLOOKUP(A28,[1]vaccines!A:B,2)</f>
        <v>Cervarix</v>
      </c>
      <c r="C28" s="72" t="s">
        <v>3835</v>
      </c>
      <c r="D28" s="72" t="s">
        <v>3836</v>
      </c>
      <c r="E28" s="59">
        <v>45513</v>
      </c>
      <c r="F28" s="85">
        <v>1</v>
      </c>
      <c r="G28" s="85">
        <v>0</v>
      </c>
      <c r="H28" s="86" t="s">
        <v>3837</v>
      </c>
      <c r="I28" s="59">
        <f>I27</f>
        <v>45120</v>
      </c>
      <c r="J28" s="66">
        <v>45589</v>
      </c>
      <c r="K28" s="88"/>
    </row>
    <row r="29" spans="1:11" ht="409.6">
      <c r="A29" s="73">
        <v>28</v>
      </c>
      <c r="B29" s="85" t="str">
        <f>VLOOKUP(A29,[1]vaccines!A:B,2)</f>
        <v>Gardasil_4</v>
      </c>
      <c r="C29" s="72" t="s">
        <v>3838</v>
      </c>
      <c r="D29" s="72" t="s">
        <v>3839</v>
      </c>
      <c r="E29" s="59">
        <v>45386</v>
      </c>
      <c r="F29" s="85">
        <v>1</v>
      </c>
      <c r="G29" s="85">
        <v>0</v>
      </c>
      <c r="H29" s="86" t="s">
        <v>3840</v>
      </c>
      <c r="I29" s="43">
        <v>45120</v>
      </c>
      <c r="J29" s="43">
        <v>45483</v>
      </c>
      <c r="K29" s="88"/>
    </row>
    <row r="30" spans="1:11" ht="409.6">
      <c r="A30" s="73">
        <v>29</v>
      </c>
      <c r="B30" s="85" t="str">
        <f>VLOOKUP(A30,[1]vaccines!A:B,2)</f>
        <v>Sputnik</v>
      </c>
      <c r="C30" s="72" t="s">
        <v>3841</v>
      </c>
      <c r="D30" s="72" t="s">
        <v>3842</v>
      </c>
      <c r="E30" s="59">
        <v>45839</v>
      </c>
      <c r="F30" s="73">
        <v>1</v>
      </c>
      <c r="G30" s="73">
        <v>0</v>
      </c>
      <c r="H30" s="86" t="s">
        <v>1164</v>
      </c>
      <c r="I30" s="59">
        <v>45121</v>
      </c>
      <c r="J30" s="66">
        <v>45923</v>
      </c>
      <c r="K30" s="88"/>
    </row>
    <row r="31" spans="1:11" ht="409.6">
      <c r="A31" s="73">
        <v>30</v>
      </c>
      <c r="B31" s="85" t="str">
        <f>VLOOKUP(A31,[1]vaccines!A:B,2)</f>
        <v>Sputnik_Lyo</v>
      </c>
      <c r="C31" s="72" t="s">
        <v>3843</v>
      </c>
      <c r="D31" s="72" t="s">
        <v>3844</v>
      </c>
      <c r="E31" s="43">
        <v>44631</v>
      </c>
      <c r="F31" s="74">
        <v>2</v>
      </c>
      <c r="G31" s="74">
        <v>1</v>
      </c>
      <c r="H31" s="89" t="s">
        <v>2616</v>
      </c>
      <c r="I31" s="43">
        <v>45121</v>
      </c>
      <c r="J31" s="43"/>
      <c r="K31" s="88"/>
    </row>
    <row r="32" spans="1:11" ht="409.6">
      <c r="A32" s="73">
        <v>31</v>
      </c>
      <c r="B32" s="85" t="str">
        <f>VLOOKUP(A32,[1]vaccines!A:B,2)</f>
        <v>EpiVacCorona</v>
      </c>
      <c r="C32" s="72" t="s">
        <v>3845</v>
      </c>
      <c r="D32" s="72" t="s">
        <v>3846</v>
      </c>
      <c r="E32" s="43">
        <v>44911</v>
      </c>
      <c r="F32" s="74">
        <v>1</v>
      </c>
      <c r="G32" s="74">
        <v>0</v>
      </c>
      <c r="H32" s="89" t="s">
        <v>1170</v>
      </c>
      <c r="I32" s="43">
        <v>45122</v>
      </c>
      <c r="J32" s="43"/>
      <c r="K32" s="88"/>
    </row>
    <row r="33" spans="1:11" ht="409.6">
      <c r="A33" s="73">
        <v>32</v>
      </c>
      <c r="B33" s="85" t="str">
        <f>VLOOKUP(A33,[1]vaccines!A:B,2)</f>
        <v>Grippol_Microgen</v>
      </c>
      <c r="C33" s="72" t="s">
        <v>3847</v>
      </c>
      <c r="D33" s="72" t="s">
        <v>3848</v>
      </c>
      <c r="E33" s="43">
        <v>41411</v>
      </c>
      <c r="F33" s="74">
        <v>1</v>
      </c>
      <c r="G33" s="74">
        <v>0</v>
      </c>
      <c r="H33" s="89" t="s">
        <v>1173</v>
      </c>
      <c r="I33" s="43">
        <v>45122</v>
      </c>
      <c r="J33" s="43"/>
      <c r="K33" s="88"/>
    </row>
    <row r="34" spans="1:11" ht="409.6">
      <c r="A34" s="73">
        <v>33</v>
      </c>
      <c r="B34" s="85" t="str">
        <f>VLOOKUP(A34,[1]vaccines!A:B,2)</f>
        <v>Grippol_Petrovax</v>
      </c>
      <c r="C34" s="72" t="s">
        <v>3849</v>
      </c>
      <c r="D34" s="72" t="s">
        <v>3850</v>
      </c>
      <c r="E34" s="43">
        <v>42667</v>
      </c>
      <c r="F34" s="74">
        <v>3</v>
      </c>
      <c r="G34" s="74">
        <v>3</v>
      </c>
      <c r="H34" s="89" t="s">
        <v>3851</v>
      </c>
      <c r="I34" s="43">
        <v>45122</v>
      </c>
      <c r="J34" s="43"/>
      <c r="K34" s="88"/>
    </row>
    <row r="35" spans="1:11" ht="409.6">
      <c r="A35" s="73">
        <v>34</v>
      </c>
      <c r="B35" s="85" t="str">
        <f>VLOOKUP(A35,[1]vaccines!A:B,2)</f>
        <v>Grippol_plus_0_5</v>
      </c>
      <c r="C35" s="72" t="s">
        <v>3852</v>
      </c>
      <c r="D35" s="72" t="s">
        <v>3853</v>
      </c>
      <c r="E35" s="59">
        <v>45589</v>
      </c>
      <c r="F35" s="85">
        <v>1</v>
      </c>
      <c r="G35" s="85">
        <v>0</v>
      </c>
      <c r="H35" s="86" t="s">
        <v>3854</v>
      </c>
      <c r="I35" s="43">
        <v>45122</v>
      </c>
      <c r="J35" s="43">
        <v>45992</v>
      </c>
      <c r="K35" s="88"/>
    </row>
    <row r="36" spans="1:11" ht="409.6">
      <c r="A36" s="73">
        <v>35</v>
      </c>
      <c r="B36" s="85" t="str">
        <f>VLOOKUP(A36,[1]vaccines!A:B,2)</f>
        <v>Sovigripp</v>
      </c>
      <c r="C36" s="72" t="s">
        <v>3855</v>
      </c>
      <c r="D36" s="72" t="s">
        <v>3856</v>
      </c>
      <c r="E36" s="59">
        <v>45580</v>
      </c>
      <c r="F36" s="85">
        <v>1</v>
      </c>
      <c r="G36" s="85">
        <v>0</v>
      </c>
      <c r="H36" s="86" t="s">
        <v>3857</v>
      </c>
      <c r="I36" s="59">
        <f>I35</f>
        <v>45122</v>
      </c>
      <c r="J36" s="66">
        <v>45622</v>
      </c>
      <c r="K36" s="88"/>
    </row>
    <row r="37" spans="1:11" ht="409.6">
      <c r="A37" s="73">
        <v>36</v>
      </c>
      <c r="B37" s="85" t="str">
        <f>VLOOKUP(A37,[1]vaccines!A:B,2)</f>
        <v>Ultrix</v>
      </c>
      <c r="C37" s="72" t="s">
        <v>3858</v>
      </c>
      <c r="D37" s="72" t="s">
        <v>3859</v>
      </c>
      <c r="E37" s="59">
        <v>45211</v>
      </c>
      <c r="F37" s="85">
        <v>1</v>
      </c>
      <c r="G37" s="85">
        <v>0</v>
      </c>
      <c r="H37" s="86" t="s">
        <v>3860</v>
      </c>
      <c r="I37" s="43">
        <v>45123</v>
      </c>
      <c r="J37" s="43">
        <v>45483</v>
      </c>
      <c r="K37" s="87" t="s">
        <v>2557</v>
      </c>
    </row>
    <row r="38" spans="1:11" ht="409.6">
      <c r="A38" s="73">
        <v>37</v>
      </c>
      <c r="B38" s="85" t="str">
        <f>VLOOKUP(A38,[1]vaccines!A:B,2)</f>
        <v>Flu_M</v>
      </c>
      <c r="C38" s="72" t="s">
        <v>3861</v>
      </c>
      <c r="D38" s="72" t="s">
        <v>3862</v>
      </c>
      <c r="E38" s="59">
        <v>46035</v>
      </c>
      <c r="F38" s="73">
        <v>1</v>
      </c>
      <c r="G38" s="73">
        <v>0</v>
      </c>
      <c r="H38" s="86" t="s">
        <v>1188</v>
      </c>
      <c r="I38" s="59">
        <f>I37</f>
        <v>45123</v>
      </c>
      <c r="J38" s="66">
        <v>46130</v>
      </c>
      <c r="K38" s="88"/>
    </row>
    <row r="39" spans="1:11" ht="409.6">
      <c r="A39" s="73">
        <v>38</v>
      </c>
      <c r="B39" s="85" t="str">
        <f>VLOOKUP(A39,[1]vaccines!A:B,2)</f>
        <v>Vaxigrip</v>
      </c>
      <c r="C39" s="72" t="s">
        <v>3863</v>
      </c>
      <c r="D39" s="72" t="s">
        <v>3864</v>
      </c>
      <c r="E39" s="43">
        <v>43598</v>
      </c>
      <c r="F39" s="74">
        <v>1</v>
      </c>
      <c r="G39" s="74">
        <v>0</v>
      </c>
      <c r="H39" s="89" t="s">
        <v>1651</v>
      </c>
      <c r="I39" s="43">
        <v>45123</v>
      </c>
      <c r="J39" s="43"/>
      <c r="K39" s="88"/>
    </row>
    <row r="40" spans="1:11" ht="198">
      <c r="A40" s="73">
        <v>39</v>
      </c>
      <c r="B40" s="85" t="str">
        <f>VLOOKUP(A40,[1]vaccines!A:B,2)</f>
        <v>Influvac</v>
      </c>
      <c r="C40" s="72" t="s">
        <v>3865</v>
      </c>
      <c r="D40" s="72" t="s">
        <v>3866</v>
      </c>
      <c r="E40" s="59">
        <v>46066</v>
      </c>
      <c r="F40" s="73">
        <v>1</v>
      </c>
      <c r="G40" s="73">
        <v>0</v>
      </c>
      <c r="H40" s="86" t="s">
        <v>1194</v>
      </c>
      <c r="I40" s="59">
        <f>I39</f>
        <v>45123</v>
      </c>
      <c r="J40" s="66">
        <v>46130</v>
      </c>
      <c r="K40" s="88"/>
    </row>
    <row r="41" spans="1:11" ht="409.2">
      <c r="A41" s="73">
        <v>40</v>
      </c>
      <c r="B41" s="85" t="str">
        <f>VLOOKUP(A41,[1]vaccines!A:B,2)</f>
        <v>Ultrix_quadri</v>
      </c>
      <c r="C41" s="72" t="s">
        <v>3867</v>
      </c>
      <c r="D41" s="72" t="s">
        <v>3868</v>
      </c>
      <c r="E41" s="59">
        <v>45524</v>
      </c>
      <c r="F41" s="85">
        <v>1</v>
      </c>
      <c r="G41" s="85">
        <v>0</v>
      </c>
      <c r="H41" s="86" t="s">
        <v>3869</v>
      </c>
      <c r="I41" s="43">
        <v>45124</v>
      </c>
      <c r="J41" s="66">
        <v>45589</v>
      </c>
      <c r="K41" s="88"/>
    </row>
    <row r="42" spans="1:11" ht="409.6">
      <c r="A42" s="73">
        <v>41</v>
      </c>
      <c r="B42" s="85" t="str">
        <f>VLOOKUP(A42,[1]vaccines!A:B,2)</f>
        <v>Grippol_quadrivalent</v>
      </c>
      <c r="C42" s="72" t="s">
        <v>3870</v>
      </c>
      <c r="D42" s="72" t="s">
        <v>3871</v>
      </c>
      <c r="E42" s="59">
        <v>45727</v>
      </c>
      <c r="F42" s="73">
        <v>1</v>
      </c>
      <c r="G42" s="73">
        <v>0</v>
      </c>
      <c r="H42" s="86" t="s">
        <v>1200</v>
      </c>
      <c r="I42" s="59">
        <f t="shared" ref="I42:I44" si="4">I41</f>
        <v>45124</v>
      </c>
      <c r="J42" s="66">
        <v>45818</v>
      </c>
      <c r="K42" s="88"/>
    </row>
    <row r="43" spans="1:11" ht="409.6">
      <c r="A43" s="73">
        <v>42</v>
      </c>
      <c r="B43" s="85" t="str">
        <f>VLOOKUP(A43,[1]vaccines!A:B,2)</f>
        <v>measles_Microgen</v>
      </c>
      <c r="C43" s="72" t="s">
        <v>3872</v>
      </c>
      <c r="D43" s="72" t="s">
        <v>3873</v>
      </c>
      <c r="E43" s="59">
        <v>45404</v>
      </c>
      <c r="F43" s="85">
        <v>1</v>
      </c>
      <c r="G43" s="85">
        <v>0</v>
      </c>
      <c r="H43" s="86" t="s">
        <v>3874</v>
      </c>
      <c r="I43" s="59">
        <f t="shared" si="4"/>
        <v>45124</v>
      </c>
      <c r="J43" s="59">
        <v>45483</v>
      </c>
      <c r="K43" s="88"/>
    </row>
    <row r="44" spans="1:11" ht="409.6">
      <c r="A44" s="73">
        <v>43</v>
      </c>
      <c r="B44" s="85" t="str">
        <f>VLOOKUP(A44,[1]vaccines!A:B,2)</f>
        <v>measles_Serum_India</v>
      </c>
      <c r="C44" s="72" t="s">
        <v>3875</v>
      </c>
      <c r="D44" s="72" t="s">
        <v>3876</v>
      </c>
      <c r="E44" s="59">
        <v>45981</v>
      </c>
      <c r="F44" s="73">
        <v>1</v>
      </c>
      <c r="G44" s="73">
        <v>0</v>
      </c>
      <c r="H44" s="86" t="s">
        <v>1206</v>
      </c>
      <c r="I44" s="59">
        <f t="shared" si="4"/>
        <v>45124</v>
      </c>
      <c r="J44" s="66">
        <v>46053</v>
      </c>
      <c r="K44" s="88"/>
    </row>
    <row r="45" spans="1:11" ht="316.8">
      <c r="A45" s="73">
        <v>44</v>
      </c>
      <c r="B45" s="85" t="str">
        <f>VLOOKUP(A45,[1]vaccines!A:B,2)</f>
        <v>measles_Vector</v>
      </c>
      <c r="C45" s="72" t="s">
        <v>3877</v>
      </c>
      <c r="D45" s="72" t="s">
        <v>3878</v>
      </c>
      <c r="E45" s="43">
        <v>39421</v>
      </c>
      <c r="F45" s="74">
        <v>1</v>
      </c>
      <c r="G45" s="74">
        <v>0</v>
      </c>
      <c r="H45" s="89" t="s">
        <v>1209</v>
      </c>
      <c r="I45" s="43">
        <v>45124</v>
      </c>
      <c r="J45" s="43"/>
      <c r="K45" s="88"/>
    </row>
    <row r="46" spans="1:11" ht="409.6">
      <c r="A46" s="73">
        <v>45</v>
      </c>
      <c r="B46" s="85" t="str">
        <f>VLOOKUP(A46,[1]vaccines!A:B,2)</f>
        <v>measles_mumps_Microgen</v>
      </c>
      <c r="C46" s="72" t="s">
        <v>3879</v>
      </c>
      <c r="D46" s="72" t="s">
        <v>3880</v>
      </c>
      <c r="E46" s="59">
        <v>45460</v>
      </c>
      <c r="F46" s="85">
        <v>1</v>
      </c>
      <c r="G46" s="85">
        <v>0</v>
      </c>
      <c r="H46" s="86" t="s">
        <v>3881</v>
      </c>
      <c r="I46" s="59">
        <f t="shared" ref="I46:I47" si="5">I45</f>
        <v>45124</v>
      </c>
      <c r="J46" s="66">
        <v>45589</v>
      </c>
      <c r="K46" s="88"/>
    </row>
    <row r="47" spans="1:11" ht="409.6">
      <c r="A47" s="73">
        <v>46</v>
      </c>
      <c r="B47" s="85" t="str">
        <f>VLOOKUP(A47,[1]vaccines!A:B,2)</f>
        <v>Vactrivir</v>
      </c>
      <c r="C47" s="72" t="s">
        <v>3882</v>
      </c>
      <c r="D47" s="72" t="s">
        <v>3883</v>
      </c>
      <c r="E47" s="59">
        <v>45817</v>
      </c>
      <c r="F47" s="73">
        <v>1</v>
      </c>
      <c r="G47" s="73">
        <v>0</v>
      </c>
      <c r="H47" s="86" t="s">
        <v>1215</v>
      </c>
      <c r="I47" s="59">
        <f t="shared" si="5"/>
        <v>45124</v>
      </c>
      <c r="J47" s="66">
        <v>45830</v>
      </c>
      <c r="K47" s="87" t="s">
        <v>2557</v>
      </c>
    </row>
    <row r="48" spans="1:11" ht="409.6">
      <c r="A48" s="73">
        <v>47</v>
      </c>
      <c r="B48" s="85" t="str">
        <f>VLOOKUP(A48,[1]vaccines!A:B,2)</f>
        <v>MMR_II</v>
      </c>
      <c r="C48" s="72" t="s">
        <v>3884</v>
      </c>
      <c r="D48" s="72" t="s">
        <v>3885</v>
      </c>
      <c r="E48" s="43">
        <v>42108</v>
      </c>
      <c r="F48" s="74">
        <v>1</v>
      </c>
      <c r="G48" s="74">
        <v>0</v>
      </c>
      <c r="H48" s="89" t="s">
        <v>3302</v>
      </c>
      <c r="I48" s="43">
        <v>45124</v>
      </c>
      <c r="J48" s="43"/>
      <c r="K48" s="88"/>
    </row>
    <row r="49" spans="1:11" ht="409.6">
      <c r="A49" s="73">
        <v>48</v>
      </c>
      <c r="B49" s="85" t="str">
        <f>VLOOKUP(A49,[1]vaccines!A:B,2)</f>
        <v>MenA_Microgen</v>
      </c>
      <c r="C49" s="72" t="s">
        <v>3886</v>
      </c>
      <c r="D49" s="72" t="s">
        <v>3887</v>
      </c>
      <c r="E49" s="43">
        <v>45414</v>
      </c>
      <c r="F49" s="74">
        <v>1</v>
      </c>
      <c r="G49" s="74">
        <v>0</v>
      </c>
      <c r="H49" s="86" t="s">
        <v>3888</v>
      </c>
      <c r="I49" s="43">
        <v>45124</v>
      </c>
      <c r="J49" s="43">
        <v>45460</v>
      </c>
      <c r="K49" s="88"/>
    </row>
    <row r="50" spans="1:11" ht="224.4">
      <c r="A50" s="73">
        <v>49</v>
      </c>
      <c r="B50" s="85" t="str">
        <f>VLOOKUP(A50,[1]vaccines!A:B,2)</f>
        <v>MeningoVac_A_C</v>
      </c>
      <c r="C50" s="72" t="s">
        <v>3889</v>
      </c>
      <c r="D50" s="72" t="s">
        <v>3890</v>
      </c>
      <c r="E50" s="66">
        <v>45414</v>
      </c>
      <c r="F50" s="85">
        <v>1</v>
      </c>
      <c r="G50" s="85">
        <v>0</v>
      </c>
      <c r="H50" s="86" t="s">
        <v>3891</v>
      </c>
      <c r="I50" s="43">
        <v>45124</v>
      </c>
      <c r="J50" s="43">
        <v>45460</v>
      </c>
      <c r="K50" s="88"/>
    </row>
    <row r="51" spans="1:11" ht="409.6">
      <c r="A51" s="73">
        <v>50</v>
      </c>
      <c r="B51" s="85" t="str">
        <f>VLOOKUP(A51,[1]vaccines!A:B,2)</f>
        <v>Menactra</v>
      </c>
      <c r="C51" s="72" t="s">
        <v>3892</v>
      </c>
      <c r="D51" s="72" t="s">
        <v>3893</v>
      </c>
      <c r="E51" s="59">
        <v>45188</v>
      </c>
      <c r="F51" s="85">
        <v>1</v>
      </c>
      <c r="G51" s="85">
        <v>0</v>
      </c>
      <c r="H51" s="86" t="s">
        <v>3894</v>
      </c>
      <c r="I51" s="66">
        <f t="shared" ref="I51:I52" si="6">I50</f>
        <v>45124</v>
      </c>
      <c r="J51" s="66">
        <v>45483</v>
      </c>
      <c r="K51" s="88"/>
    </row>
    <row r="52" spans="1:11" ht="409.6">
      <c r="A52" s="73">
        <v>51</v>
      </c>
      <c r="B52" s="85" t="str">
        <f>VLOOKUP(A52,[1]vaccines!A:B,2)</f>
        <v>mumps_Microgen</v>
      </c>
      <c r="C52" s="72" t="s">
        <v>3872</v>
      </c>
      <c r="D52" s="72" t="s">
        <v>3895</v>
      </c>
      <c r="E52" s="59">
        <v>45454</v>
      </c>
      <c r="F52" s="85">
        <v>1</v>
      </c>
      <c r="G52" s="85">
        <v>0</v>
      </c>
      <c r="H52" s="86" t="s">
        <v>3896</v>
      </c>
      <c r="I52" s="59">
        <f t="shared" si="6"/>
        <v>45124</v>
      </c>
      <c r="J52" s="66">
        <v>45589</v>
      </c>
      <c r="K52" s="88"/>
    </row>
    <row r="53" spans="1:11" ht="409.6">
      <c r="A53" s="73">
        <v>52</v>
      </c>
      <c r="B53" s="85" t="str">
        <f>VLOOKUP(A53,[1]vaccines!A:B,2)</f>
        <v>Prevenar_13</v>
      </c>
      <c r="C53" s="72" t="s">
        <v>3897</v>
      </c>
      <c r="D53" s="72" t="s">
        <v>3898</v>
      </c>
      <c r="E53" s="59">
        <v>45267</v>
      </c>
      <c r="F53" s="85">
        <v>1</v>
      </c>
      <c r="G53" s="85">
        <v>0</v>
      </c>
      <c r="H53" s="86" t="s">
        <v>3899</v>
      </c>
      <c r="I53" s="43">
        <v>45125</v>
      </c>
      <c r="J53" s="66">
        <v>45481</v>
      </c>
      <c r="K53" s="88"/>
    </row>
    <row r="54" spans="1:11" ht="409.6">
      <c r="A54" s="73">
        <v>53</v>
      </c>
      <c r="B54" s="85" t="str">
        <f>VLOOKUP(A54,[1]vaccines!A:B,2)</f>
        <v>Synflorix</v>
      </c>
      <c r="C54" s="72" t="s">
        <v>3900</v>
      </c>
      <c r="D54" s="72" t="s">
        <v>3901</v>
      </c>
      <c r="E54" s="43">
        <v>43605</v>
      </c>
      <c r="F54" s="74">
        <v>1</v>
      </c>
      <c r="G54" s="74">
        <v>0</v>
      </c>
      <c r="H54" s="89" t="s">
        <v>1235</v>
      </c>
      <c r="I54" s="43">
        <v>45125</v>
      </c>
      <c r="J54" s="43"/>
      <c r="K54" s="88"/>
    </row>
    <row r="55" spans="1:11" ht="264">
      <c r="A55" s="73">
        <v>54</v>
      </c>
      <c r="B55" s="85" t="str">
        <f>VLOOKUP(A55,[1]vaccines!A:B,2)</f>
        <v>Pneumovax_23</v>
      </c>
      <c r="C55" s="72" t="s">
        <v>3902</v>
      </c>
      <c r="D55" s="72" t="s">
        <v>3903</v>
      </c>
      <c r="E55" s="59">
        <v>45051</v>
      </c>
      <c r="F55" s="85">
        <v>1</v>
      </c>
      <c r="G55" s="85">
        <v>0</v>
      </c>
      <c r="H55" s="86" t="s">
        <v>3904</v>
      </c>
      <c r="I55" s="59">
        <f>I54</f>
        <v>45125</v>
      </c>
      <c r="J55" s="66">
        <v>45489</v>
      </c>
      <c r="K55" s="88"/>
    </row>
    <row r="56" spans="1:11" ht="409.6">
      <c r="A56" s="73">
        <v>55</v>
      </c>
      <c r="B56" s="85" t="str">
        <f>VLOOKUP(A56,[1]vaccines!A:B,2)</f>
        <v>MonoVac_Polio</v>
      </c>
      <c r="C56" s="72" t="s">
        <v>3905</v>
      </c>
      <c r="D56" s="72" t="s">
        <v>3906</v>
      </c>
      <c r="E56" s="43">
        <v>44694</v>
      </c>
      <c r="F56" s="74">
        <v>2</v>
      </c>
      <c r="G56" s="74">
        <v>3</v>
      </c>
      <c r="H56" s="89" t="s">
        <v>3907</v>
      </c>
      <c r="I56" s="43">
        <v>45125</v>
      </c>
      <c r="J56" s="43"/>
      <c r="K56" s="88"/>
    </row>
    <row r="57" spans="1:11" ht="409.6">
      <c r="A57" s="73">
        <v>56</v>
      </c>
      <c r="B57" s="85" t="str">
        <f>VLOOKUP(A57,[1]vaccines!A:B,2)</f>
        <v>BiVac_Polio</v>
      </c>
      <c r="C57" s="72" t="s">
        <v>3908</v>
      </c>
      <c r="D57" s="72" t="s">
        <v>3909</v>
      </c>
      <c r="E57" s="59">
        <v>45736</v>
      </c>
      <c r="F57" s="73">
        <v>1</v>
      </c>
      <c r="G57" s="73">
        <v>0</v>
      </c>
      <c r="H57" s="86" t="s">
        <v>1244</v>
      </c>
      <c r="I57" s="59">
        <f t="shared" ref="I57:I59" si="7">I56</f>
        <v>45125</v>
      </c>
      <c r="J57" s="66">
        <v>45988</v>
      </c>
      <c r="K57" s="87" t="s">
        <v>2557</v>
      </c>
    </row>
    <row r="58" spans="1:11" ht="409.6">
      <c r="A58" s="73">
        <v>57</v>
      </c>
      <c r="B58" s="85" t="str">
        <f>VLOOKUP(A58,[1]vaccines!A:B,2)</f>
        <v>Polymilex</v>
      </c>
      <c r="C58" s="72" t="s">
        <v>3910</v>
      </c>
      <c r="D58" s="72" t="s">
        <v>3911</v>
      </c>
      <c r="E58" s="59">
        <v>45623</v>
      </c>
      <c r="F58" s="73">
        <v>1</v>
      </c>
      <c r="G58" s="73">
        <v>0</v>
      </c>
      <c r="H58" s="86" t="s">
        <v>1247</v>
      </c>
      <c r="I58" s="59">
        <f t="shared" si="7"/>
        <v>45125</v>
      </c>
      <c r="J58" s="66">
        <v>45715</v>
      </c>
      <c r="K58" s="88"/>
    </row>
    <row r="59" spans="1:11" ht="409.6">
      <c r="A59" s="73">
        <v>58</v>
      </c>
      <c r="B59" s="85" t="str">
        <f>VLOOKUP(A59,[1]vaccines!A:B,2)</f>
        <v>COCAV</v>
      </c>
      <c r="C59" s="72" t="s">
        <v>3912</v>
      </c>
      <c r="D59" s="72" t="s">
        <v>3913</v>
      </c>
      <c r="E59" s="59">
        <v>45631</v>
      </c>
      <c r="F59" s="85">
        <v>1</v>
      </c>
      <c r="G59" s="85">
        <v>0</v>
      </c>
      <c r="H59" s="86" t="s">
        <v>3914</v>
      </c>
      <c r="I59" s="59">
        <f t="shared" si="7"/>
        <v>45125</v>
      </c>
      <c r="J59" s="66">
        <v>45678</v>
      </c>
      <c r="K59" s="88"/>
    </row>
    <row r="60" spans="1:11" ht="409.6">
      <c r="A60" s="73">
        <v>59</v>
      </c>
      <c r="B60" s="85" t="str">
        <f>VLOOKUP(A60,[1]vaccines!A:B,2)</f>
        <v>rabies_Chumakov</v>
      </c>
      <c r="C60" s="72" t="s">
        <v>3915</v>
      </c>
      <c r="D60" s="72" t="s">
        <v>3916</v>
      </c>
      <c r="E60" s="43">
        <v>44862</v>
      </c>
      <c r="F60" s="74">
        <v>1</v>
      </c>
      <c r="G60" s="74">
        <v>0</v>
      </c>
      <c r="H60" s="89" t="s">
        <v>1250</v>
      </c>
      <c r="I60" s="43">
        <v>45125</v>
      </c>
      <c r="J60" s="43"/>
      <c r="K60" s="88"/>
    </row>
    <row r="61" spans="1:11" ht="409.6">
      <c r="A61" s="73">
        <v>60</v>
      </c>
      <c r="B61" s="85" t="str">
        <f>VLOOKUP(A61,[1]vaccines!A:B,2)</f>
        <v>Rabivac_Vnukovo_32</v>
      </c>
      <c r="C61" s="72" t="s">
        <v>3917</v>
      </c>
      <c r="D61" s="72" t="s">
        <v>3918</v>
      </c>
      <c r="E61" s="43">
        <v>40925</v>
      </c>
      <c r="F61" s="74">
        <v>1</v>
      </c>
      <c r="G61" s="74">
        <v>0</v>
      </c>
      <c r="H61" s="89" t="s">
        <v>1251</v>
      </c>
      <c r="I61" s="43">
        <v>45125</v>
      </c>
      <c r="J61" s="43"/>
      <c r="K61" s="88"/>
    </row>
    <row r="62" spans="1:11" ht="264">
      <c r="A62" s="73">
        <v>61</v>
      </c>
      <c r="B62" s="85" t="str">
        <f>VLOOKUP(A62,[1]vaccines!A:B,2)</f>
        <v>RotaTeq</v>
      </c>
      <c r="C62" s="72" t="s">
        <v>3902</v>
      </c>
      <c r="D62" s="72" t="s">
        <v>3903</v>
      </c>
      <c r="E62" s="43">
        <v>43010</v>
      </c>
      <c r="F62" s="74">
        <v>1</v>
      </c>
      <c r="G62" s="74">
        <v>0</v>
      </c>
      <c r="H62" s="89" t="s">
        <v>3039</v>
      </c>
      <c r="I62" s="43">
        <v>45127</v>
      </c>
      <c r="J62" s="43"/>
      <c r="K62" s="88"/>
    </row>
    <row r="63" spans="1:11" ht="409.6">
      <c r="A63" s="73">
        <v>62</v>
      </c>
      <c r="B63" s="85" t="str">
        <f>VLOOKUP(A63,[1]vaccines!A:B,2)</f>
        <v>rubella_Microgen</v>
      </c>
      <c r="C63" s="72" t="s">
        <v>3872</v>
      </c>
      <c r="D63" s="72" t="s">
        <v>3895</v>
      </c>
      <c r="E63" s="59">
        <v>45531</v>
      </c>
      <c r="F63" s="85">
        <v>1</v>
      </c>
      <c r="G63" s="85">
        <v>0</v>
      </c>
      <c r="H63" s="86" t="s">
        <v>3919</v>
      </c>
      <c r="I63" s="59">
        <f>I62</f>
        <v>45127</v>
      </c>
      <c r="J63" s="66">
        <v>45589</v>
      </c>
      <c r="K63" s="88"/>
    </row>
    <row r="64" spans="1:11" ht="356.4">
      <c r="A64" s="73">
        <v>63</v>
      </c>
      <c r="B64" s="85" t="str">
        <f>VLOOKUP(A64,[1]vaccines!A:B,2)</f>
        <v>rubella_Serum</v>
      </c>
      <c r="C64" s="72" t="s">
        <v>3920</v>
      </c>
      <c r="D64" s="72" t="s">
        <v>3921</v>
      </c>
      <c r="E64" s="43">
        <v>40142</v>
      </c>
      <c r="F64" s="74">
        <v>1</v>
      </c>
      <c r="G64" s="74">
        <v>0</v>
      </c>
      <c r="H64" s="89" t="s">
        <v>1259</v>
      </c>
      <c r="I64" s="43">
        <v>45127</v>
      </c>
      <c r="J64" s="43"/>
      <c r="K64" s="88"/>
    </row>
    <row r="65" spans="1:11" ht="224.4">
      <c r="A65" s="73">
        <v>64</v>
      </c>
      <c r="B65" s="85" t="str">
        <f>VLOOKUP(A65,[1]vaccines!A:B,2)</f>
        <v>AS_Microgen</v>
      </c>
      <c r="C65" s="72" t="s">
        <v>3811</v>
      </c>
      <c r="D65" s="72" t="s">
        <v>3812</v>
      </c>
      <c r="E65" s="59">
        <v>45607</v>
      </c>
      <c r="F65" s="73">
        <v>1</v>
      </c>
      <c r="G65" s="73">
        <v>0</v>
      </c>
      <c r="H65" s="86" t="s">
        <v>1262</v>
      </c>
      <c r="I65" s="59">
        <f>I64</f>
        <v>45127</v>
      </c>
      <c r="J65" s="66">
        <v>46053</v>
      </c>
      <c r="K65" s="88"/>
    </row>
    <row r="66" spans="1:11" ht="409.6">
      <c r="A66" s="73">
        <v>65</v>
      </c>
      <c r="B66" s="85" t="str">
        <f>VLOOKUP(A66,[1]vaccines!A:B,2)</f>
        <v>AS_Biomed</v>
      </c>
      <c r="C66" s="72" t="s">
        <v>3922</v>
      </c>
      <c r="D66" s="72" t="s">
        <v>3923</v>
      </c>
      <c r="E66" s="43">
        <v>41047</v>
      </c>
      <c r="F66" s="74">
        <v>1</v>
      </c>
      <c r="G66" s="74">
        <v>0</v>
      </c>
      <c r="H66" s="89" t="s">
        <v>1265</v>
      </c>
      <c r="I66" s="43">
        <v>45128</v>
      </c>
      <c r="J66" s="43"/>
      <c r="K66" s="88"/>
    </row>
    <row r="67" spans="1:11" ht="356.4">
      <c r="A67" s="73">
        <v>66</v>
      </c>
      <c r="B67" s="85" t="str">
        <f>VLOOKUP(A67,[1]vaccines!A:B,2)</f>
        <v>Vaqta_25</v>
      </c>
      <c r="C67" s="72" t="s">
        <v>3924</v>
      </c>
      <c r="D67" s="72" t="s">
        <v>3925</v>
      </c>
      <c r="E67" s="43">
        <v>41780</v>
      </c>
      <c r="F67" s="74">
        <v>1</v>
      </c>
      <c r="G67" s="74">
        <v>0</v>
      </c>
      <c r="H67" s="89" t="s">
        <v>1268</v>
      </c>
      <c r="I67" s="43">
        <v>45128</v>
      </c>
      <c r="J67" s="43"/>
      <c r="K67" s="87" t="s">
        <v>2557</v>
      </c>
    </row>
    <row r="68" spans="1:11" ht="356.4">
      <c r="A68" s="73">
        <v>67</v>
      </c>
      <c r="B68" s="85" t="str">
        <f>VLOOKUP(A68,[1]vaccines!A:B,2)</f>
        <v>Vaqta_50</v>
      </c>
      <c r="C68" s="72" t="s">
        <v>3924</v>
      </c>
      <c r="D68" s="72" t="s">
        <v>3925</v>
      </c>
      <c r="E68" s="43">
        <v>41780</v>
      </c>
      <c r="F68" s="74">
        <v>1</v>
      </c>
      <c r="G68" s="74">
        <v>0</v>
      </c>
      <c r="H68" s="89" t="s">
        <v>1268</v>
      </c>
      <c r="I68" s="43">
        <v>45128</v>
      </c>
      <c r="J68" s="43"/>
      <c r="K68" s="88"/>
    </row>
    <row r="69" spans="1:11" ht="409.6">
      <c r="A69" s="73">
        <v>68</v>
      </c>
      <c r="B69" s="85" t="str">
        <f>VLOOKUP(A69,[1]vaccines!A:B,2)</f>
        <v>Klesh_E_Vac_0_5</v>
      </c>
      <c r="C69" s="72" t="s">
        <v>3926</v>
      </c>
      <c r="D69" s="72" t="s">
        <v>3927</v>
      </c>
      <c r="E69" s="59">
        <v>45904</v>
      </c>
      <c r="F69" s="73">
        <v>1</v>
      </c>
      <c r="G69" s="73">
        <v>0</v>
      </c>
      <c r="H69" s="86" t="s">
        <v>1273</v>
      </c>
      <c r="I69" s="59">
        <f t="shared" ref="I69:I74" si="8">I68</f>
        <v>45128</v>
      </c>
      <c r="J69" s="66">
        <v>45988</v>
      </c>
      <c r="K69" s="88"/>
    </row>
    <row r="70" spans="1:11" ht="409.6">
      <c r="A70" s="73">
        <v>69</v>
      </c>
      <c r="B70" s="85" t="str">
        <f>VLOOKUP(A70,[1]vaccines!A:B,2)</f>
        <v>Klesh_E_Vac_0_25</v>
      </c>
      <c r="C70" s="72" t="s">
        <v>3926</v>
      </c>
      <c r="D70" s="72" t="s">
        <v>3927</v>
      </c>
      <c r="E70" s="59">
        <v>45904</v>
      </c>
      <c r="F70" s="73">
        <v>1</v>
      </c>
      <c r="G70" s="73">
        <v>0</v>
      </c>
      <c r="H70" s="86" t="s">
        <v>1273</v>
      </c>
      <c r="I70" s="59">
        <f t="shared" si="8"/>
        <v>45128</v>
      </c>
      <c r="J70" s="66">
        <v>45988</v>
      </c>
      <c r="K70" s="88"/>
    </row>
    <row r="71" spans="1:11" ht="224.4">
      <c r="A71" s="73">
        <v>70</v>
      </c>
      <c r="B71" s="85" t="str">
        <f>VLOOKUP(A71,[1]vaccines!A:B,2)</f>
        <v>EnceVir_0_5</v>
      </c>
      <c r="C71" s="72" t="s">
        <v>3928</v>
      </c>
      <c r="D71" s="72" t="s">
        <v>3929</v>
      </c>
      <c r="E71" s="59">
        <v>45510</v>
      </c>
      <c r="F71" s="85">
        <v>1</v>
      </c>
      <c r="G71" s="85">
        <v>0</v>
      </c>
      <c r="H71" s="86" t="s">
        <v>3930</v>
      </c>
      <c r="I71" s="59">
        <f t="shared" si="8"/>
        <v>45128</v>
      </c>
      <c r="J71" s="66">
        <v>45589</v>
      </c>
      <c r="K71" s="88"/>
    </row>
    <row r="72" spans="1:11" ht="224.4">
      <c r="A72" s="73">
        <v>71</v>
      </c>
      <c r="B72" s="85" t="str">
        <f>VLOOKUP(A72,[1]vaccines!A:B,2)</f>
        <v>EnceVir_Neo_kids</v>
      </c>
      <c r="C72" s="72" t="s">
        <v>3931</v>
      </c>
      <c r="D72" s="72" t="s">
        <v>3932</v>
      </c>
      <c r="E72" s="59">
        <v>45520</v>
      </c>
      <c r="F72" s="85">
        <v>1</v>
      </c>
      <c r="G72" s="85">
        <v>0</v>
      </c>
      <c r="H72" s="86" t="s">
        <v>3933</v>
      </c>
      <c r="I72" s="59">
        <f t="shared" si="8"/>
        <v>45128</v>
      </c>
      <c r="J72" s="66">
        <v>45589</v>
      </c>
      <c r="K72" s="88"/>
    </row>
    <row r="73" spans="1:11" ht="409.6">
      <c r="A73" s="73">
        <v>72</v>
      </c>
      <c r="B73" s="85" t="str">
        <f>VLOOKUP(A73,[1]vaccines!A:B,2)</f>
        <v>TBE_Chumakov_lyo</v>
      </c>
      <c r="C73" s="72" t="s">
        <v>3934</v>
      </c>
      <c r="D73" s="72" t="s">
        <v>3935</v>
      </c>
      <c r="E73" s="59">
        <v>45727</v>
      </c>
      <c r="F73" s="73">
        <v>1</v>
      </c>
      <c r="G73" s="73">
        <v>0</v>
      </c>
      <c r="H73" s="86" t="s">
        <v>1284</v>
      </c>
      <c r="I73" s="59">
        <f t="shared" si="8"/>
        <v>45128</v>
      </c>
      <c r="J73" s="66">
        <v>45750</v>
      </c>
      <c r="K73" s="88"/>
    </row>
    <row r="74" spans="1:11" ht="396">
      <c r="A74" s="73">
        <v>73</v>
      </c>
      <c r="B74" s="85" t="str">
        <f>VLOOKUP(A74,[1]vaccines!A:B,2)</f>
        <v>Varilrix</v>
      </c>
      <c r="C74" s="72" t="s">
        <v>3936</v>
      </c>
      <c r="D74" s="72" t="s">
        <v>3937</v>
      </c>
      <c r="E74" s="59">
        <v>45439</v>
      </c>
      <c r="F74" s="73">
        <v>1</v>
      </c>
      <c r="G74" s="73">
        <v>0</v>
      </c>
      <c r="H74" s="86" t="s">
        <v>1287</v>
      </c>
      <c r="I74" s="59">
        <f t="shared" si="8"/>
        <v>45128</v>
      </c>
      <c r="J74" s="59">
        <v>45830</v>
      </c>
      <c r="K74" s="88"/>
    </row>
    <row r="75" spans="1:11" ht="409.6">
      <c r="A75" s="73">
        <v>74</v>
      </c>
      <c r="B75" s="85" t="str">
        <f>VLOOKUP(A75,[1]vaccines!A:B,2)</f>
        <v>YF_Chumakov_lyo</v>
      </c>
      <c r="C75" s="72" t="s">
        <v>3938</v>
      </c>
      <c r="D75" s="72" t="s">
        <v>3939</v>
      </c>
      <c r="E75" s="43">
        <v>44540</v>
      </c>
      <c r="F75" s="74">
        <v>1</v>
      </c>
      <c r="G75" s="74">
        <v>0</v>
      </c>
      <c r="H75" s="89" t="s">
        <v>2708</v>
      </c>
      <c r="I75" s="43">
        <v>45129</v>
      </c>
      <c r="J75" s="43"/>
      <c r="K75" s="88"/>
    </row>
    <row r="76" spans="1:11" ht="396">
      <c r="A76" s="73">
        <v>75</v>
      </c>
      <c r="B76" s="85" t="str">
        <f>VLOOKUP(A76,[1]vaccines!A:B,2)</f>
        <v>tularemia_Microgen</v>
      </c>
      <c r="C76" s="72" t="s">
        <v>3940</v>
      </c>
      <c r="D76" s="72" t="s">
        <v>3941</v>
      </c>
      <c r="E76" s="59">
        <v>45562</v>
      </c>
      <c r="F76" s="85">
        <v>1</v>
      </c>
      <c r="G76" s="85">
        <v>0</v>
      </c>
      <c r="H76" s="86" t="s">
        <v>3942</v>
      </c>
      <c r="I76" s="59">
        <f>I75</f>
        <v>45129</v>
      </c>
      <c r="J76" s="66">
        <v>45589</v>
      </c>
      <c r="K76" s="88"/>
    </row>
    <row r="77" spans="1:11" ht="264">
      <c r="A77" s="73">
        <v>76</v>
      </c>
      <c r="B77" s="85" t="str">
        <f>VLOOKUP(A77,[1]vaccines!A:B,2)</f>
        <v>plague_molecular_lyo_RPN</v>
      </c>
      <c r="C77" s="72" t="s">
        <v>3943</v>
      </c>
      <c r="D77" s="72" t="s">
        <v>3944</v>
      </c>
      <c r="E77" s="43">
        <v>43209</v>
      </c>
      <c r="F77" s="74">
        <v>1</v>
      </c>
      <c r="G77" s="74">
        <v>0</v>
      </c>
      <c r="H77" s="89" t="s">
        <v>2713</v>
      </c>
      <c r="I77" s="43">
        <v>45129</v>
      </c>
      <c r="J77" s="43"/>
      <c r="K77" s="87" t="s">
        <v>2557</v>
      </c>
    </row>
    <row r="78" spans="1:11" ht="409.6">
      <c r="A78" s="73">
        <v>77</v>
      </c>
      <c r="B78" s="85" t="str">
        <f>VLOOKUP(A78,[1]vaccines!A:B,2)</f>
        <v>plague_live_lyo_48_NII_Minoborony</v>
      </c>
      <c r="C78" s="72" t="s">
        <v>3945</v>
      </c>
      <c r="D78" s="72" t="s">
        <v>3946</v>
      </c>
      <c r="E78" s="43">
        <v>40675</v>
      </c>
      <c r="F78" s="74">
        <v>1</v>
      </c>
      <c r="G78" s="74">
        <v>0</v>
      </c>
      <c r="H78" s="89" t="s">
        <v>1301</v>
      </c>
      <c r="I78" s="43">
        <v>45129</v>
      </c>
      <c r="J78" s="43"/>
      <c r="K78" s="88"/>
    </row>
    <row r="79" spans="1:11" ht="409.6">
      <c r="A79" s="73">
        <v>78</v>
      </c>
      <c r="B79" s="85" t="str">
        <f>VLOOKUP(A79,[1]vaccines!A:B,2)</f>
        <v>plague_live_tablets_48_NII_Minoborony</v>
      </c>
      <c r="C79" s="72" t="s">
        <v>3947</v>
      </c>
      <c r="D79" s="72" t="s">
        <v>3948</v>
      </c>
      <c r="E79" s="43">
        <v>40126</v>
      </c>
      <c r="F79" s="74">
        <v>1</v>
      </c>
      <c r="G79" s="74">
        <v>0</v>
      </c>
      <c r="H79" s="89" t="s">
        <v>1304</v>
      </c>
      <c r="I79" s="43">
        <v>45129</v>
      </c>
      <c r="J79" s="43"/>
      <c r="K79" s="88"/>
    </row>
    <row r="80" spans="1:11" ht="409.6">
      <c r="A80" s="73">
        <v>79</v>
      </c>
      <c r="B80" s="85" t="str">
        <f>VLOOKUP(A80,[1]vaccines!A:B,2)</f>
        <v>plague_live_lyo_RPN</v>
      </c>
      <c r="C80" s="72" t="s">
        <v>3949</v>
      </c>
      <c r="D80" s="72" t="s">
        <v>3950</v>
      </c>
      <c r="E80" s="43">
        <v>44158</v>
      </c>
      <c r="F80" s="74">
        <v>1</v>
      </c>
      <c r="G80" s="74">
        <v>0</v>
      </c>
      <c r="H80" s="89" t="s">
        <v>1307</v>
      </c>
      <c r="I80" s="43">
        <v>45129</v>
      </c>
      <c r="J80" s="43"/>
      <c r="K80" s="88"/>
    </row>
    <row r="81" spans="1:11" ht="250.8">
      <c r="A81" s="73">
        <v>80</v>
      </c>
      <c r="B81" s="85" t="str">
        <f>VLOOKUP(A81,[1]vaccines!A:B,2)</f>
        <v>brucellosis_therapeutic_48_NII_Minoborony</v>
      </c>
      <c r="C81" s="72" t="s">
        <v>3951</v>
      </c>
      <c r="D81" s="72" t="s">
        <v>3952</v>
      </c>
      <c r="E81" s="43">
        <v>40263</v>
      </c>
      <c r="F81" s="74">
        <v>1</v>
      </c>
      <c r="G81" s="74">
        <v>0</v>
      </c>
      <c r="H81" s="89" t="s">
        <v>1310</v>
      </c>
      <c r="I81" s="43">
        <v>45130</v>
      </c>
      <c r="J81" s="43"/>
      <c r="K81" s="88"/>
    </row>
    <row r="82" spans="1:11" ht="409.6">
      <c r="A82" s="73">
        <v>81</v>
      </c>
      <c r="B82" s="85" t="str">
        <f>VLOOKUP(A82,[1]vaccines!A:B,2)</f>
        <v>brucellosis_prophylactic_Microgen</v>
      </c>
      <c r="C82" s="72" t="s">
        <v>3953</v>
      </c>
      <c r="D82" s="72" t="s">
        <v>3954</v>
      </c>
      <c r="E82" s="59">
        <v>45743</v>
      </c>
      <c r="F82" s="73">
        <v>1</v>
      </c>
      <c r="G82" s="73">
        <v>0</v>
      </c>
      <c r="H82" s="86" t="s">
        <v>1313</v>
      </c>
      <c r="I82" s="59">
        <f>I81</f>
        <v>45130</v>
      </c>
      <c r="J82" s="66">
        <v>45798</v>
      </c>
      <c r="K82" s="88"/>
    </row>
    <row r="83" spans="1:11" ht="409.6">
      <c r="A83" s="73">
        <v>82</v>
      </c>
      <c r="B83" s="85" t="str">
        <f>VLOOKUP(A83,[1]vaccines!A:B,2)</f>
        <v>anthrax_live_48_NII_Minoborony</v>
      </c>
      <c r="C83" s="72" t="s">
        <v>3955</v>
      </c>
      <c r="D83" s="72" t="s">
        <v>3956</v>
      </c>
      <c r="E83" s="43">
        <v>43754</v>
      </c>
      <c r="F83" s="74">
        <v>1</v>
      </c>
      <c r="G83" s="74">
        <v>0</v>
      </c>
      <c r="H83" s="89" t="s">
        <v>1316</v>
      </c>
      <c r="I83" s="43">
        <v>45130</v>
      </c>
      <c r="J83" s="43"/>
      <c r="K83" s="88"/>
    </row>
    <row r="84" spans="1:11" ht="250.8">
      <c r="A84" s="73">
        <v>83</v>
      </c>
      <c r="B84" s="85" t="str">
        <f>VLOOKUP(A84,[1]vaccines!A:B,2)</f>
        <v>anthrax_combined_48_NII_Minoborony</v>
      </c>
      <c r="C84" s="72" t="s">
        <v>3957</v>
      </c>
      <c r="D84" s="72" t="s">
        <v>3958</v>
      </c>
      <c r="E84" s="43">
        <v>39773</v>
      </c>
      <c r="F84" s="74">
        <v>1</v>
      </c>
      <c r="G84" s="74">
        <v>0</v>
      </c>
      <c r="H84" s="89" t="s">
        <v>1319</v>
      </c>
      <c r="I84" s="43">
        <v>45130</v>
      </c>
      <c r="J84" s="43"/>
      <c r="K84" s="88"/>
    </row>
    <row r="85" spans="1:11" ht="409.6">
      <c r="A85" s="73">
        <v>84</v>
      </c>
      <c r="B85" s="85" t="str">
        <f>VLOOKUP(A85,[1]vaccines!A:B,2)</f>
        <v>Rabipur</v>
      </c>
      <c r="C85" s="72" t="s">
        <v>3959</v>
      </c>
      <c r="D85" s="72" t="s">
        <v>3960</v>
      </c>
      <c r="E85" s="43">
        <v>42996</v>
      </c>
      <c r="F85" s="74">
        <v>1</v>
      </c>
      <c r="G85" s="74">
        <v>0</v>
      </c>
      <c r="H85" s="89" t="s">
        <v>1321</v>
      </c>
      <c r="I85" s="43">
        <v>45130</v>
      </c>
      <c r="J85" s="43"/>
      <c r="K85" s="88"/>
    </row>
    <row r="86" spans="1:11" ht="409.6">
      <c r="A86" s="73">
        <v>85</v>
      </c>
      <c r="B86" s="85" t="str">
        <f>VLOOKUP(A86,[1]vaccines!A:B,2)</f>
        <v>leptospirosis_Rostov_NII</v>
      </c>
      <c r="C86" s="72" t="s">
        <v>3961</v>
      </c>
      <c r="D86" s="72" t="s">
        <v>3962</v>
      </c>
      <c r="E86" s="43">
        <v>43881</v>
      </c>
      <c r="F86" s="74">
        <v>1</v>
      </c>
      <c r="G86" s="74">
        <v>0</v>
      </c>
      <c r="H86" s="89" t="s">
        <v>1323</v>
      </c>
      <c r="I86" s="43">
        <v>45130</v>
      </c>
      <c r="J86" s="43"/>
      <c r="K86" s="88"/>
    </row>
    <row r="87" spans="1:11" ht="409.6">
      <c r="A87" s="73">
        <v>86</v>
      </c>
      <c r="B87" s="85" t="str">
        <f>VLOOKUP(A87,[1]vaccines!A:B,2)</f>
        <v>Q_fever_M_44_Microgen</v>
      </c>
      <c r="C87" s="72" t="s">
        <v>3963</v>
      </c>
      <c r="D87" s="72" t="s">
        <v>3964</v>
      </c>
      <c r="E87" s="59">
        <v>45691</v>
      </c>
      <c r="F87" s="73">
        <v>1</v>
      </c>
      <c r="G87" s="73">
        <v>0</v>
      </c>
      <c r="H87" s="86" t="s">
        <v>1327</v>
      </c>
      <c r="I87" s="59">
        <f>I86</f>
        <v>45130</v>
      </c>
      <c r="J87" s="66">
        <v>45716</v>
      </c>
      <c r="K87" s="87" t="s">
        <v>2557</v>
      </c>
    </row>
    <row r="88" spans="1:11" ht="409.6">
      <c r="A88" s="73">
        <v>87</v>
      </c>
      <c r="B88" s="85" t="str">
        <f>VLOOKUP(A88,[1]vaccines!A:B,2)</f>
        <v>cholera_NII_Microb</v>
      </c>
      <c r="C88" s="72" t="s">
        <v>3965</v>
      </c>
      <c r="D88" s="72" t="s">
        <v>3966</v>
      </c>
      <c r="E88" s="43">
        <v>44705</v>
      </c>
      <c r="F88" s="74">
        <v>1</v>
      </c>
      <c r="G88" s="74">
        <v>0</v>
      </c>
      <c r="H88" s="89" t="s">
        <v>2740</v>
      </c>
      <c r="I88" s="43">
        <v>45130</v>
      </c>
      <c r="J88" s="43"/>
      <c r="K88" s="88"/>
    </row>
    <row r="89" spans="1:11" ht="290.39999999999998">
      <c r="A89" s="73">
        <v>88</v>
      </c>
      <c r="B89" s="85" t="str">
        <f>VLOOKUP(A89,[1]vaccines!A:B,2)</f>
        <v>Vianvac</v>
      </c>
      <c r="C89" s="72" t="s">
        <v>3967</v>
      </c>
      <c r="D89" s="72" t="s">
        <v>3968</v>
      </c>
      <c r="E89" s="59">
        <v>46036</v>
      </c>
      <c r="F89" s="73">
        <v>1</v>
      </c>
      <c r="G89" s="73">
        <v>0</v>
      </c>
      <c r="H89" s="86" t="s">
        <v>1333</v>
      </c>
      <c r="I89" s="59">
        <f>I88</f>
        <v>45130</v>
      </c>
      <c r="J89" s="66">
        <v>46130</v>
      </c>
      <c r="K89" s="88"/>
    </row>
    <row r="90" spans="1:11" ht="409.6">
      <c r="A90" s="73">
        <v>89</v>
      </c>
      <c r="B90" s="85" t="str">
        <f>VLOOKUP(A90,[1]vaccines!A:B,2)</f>
        <v>Typhivac</v>
      </c>
      <c r="C90" s="72" t="s">
        <v>3969</v>
      </c>
      <c r="D90" s="72" t="s">
        <v>3970</v>
      </c>
      <c r="E90" s="43">
        <v>42762</v>
      </c>
      <c r="F90" s="74">
        <v>1</v>
      </c>
      <c r="G90" s="74">
        <v>0</v>
      </c>
      <c r="H90" s="89" t="s">
        <v>1336</v>
      </c>
      <c r="I90" s="43">
        <v>45130</v>
      </c>
      <c r="J90" s="43"/>
      <c r="K90" s="88"/>
    </row>
    <row r="91" spans="1:11" ht="290.39999999999998">
      <c r="A91" s="73">
        <v>90</v>
      </c>
      <c r="B91" s="85" t="str">
        <f>VLOOKUP(A91,[1]vaccines!A:B,2)</f>
        <v>Shigellvac</v>
      </c>
      <c r="C91" s="72" t="s">
        <v>3971</v>
      </c>
      <c r="D91" s="72" t="s">
        <v>3972</v>
      </c>
      <c r="E91" s="59">
        <v>46015</v>
      </c>
      <c r="F91" s="73">
        <v>1</v>
      </c>
      <c r="G91" s="73">
        <v>0</v>
      </c>
      <c r="H91" s="86" t="s">
        <v>1339</v>
      </c>
      <c r="I91" s="59">
        <f>I90</f>
        <v>45130</v>
      </c>
      <c r="J91" s="66">
        <v>46130</v>
      </c>
      <c r="K91" s="88"/>
    </row>
    <row r="92" spans="1:11" ht="409.6">
      <c r="A92" s="73">
        <v>91</v>
      </c>
      <c r="B92" s="85" t="str">
        <f>VLOOKUP(A92,[1]vaccines!A:B,2)</f>
        <v>CoviVac</v>
      </c>
      <c r="C92" s="72" t="s">
        <v>3973</v>
      </c>
      <c r="D92" s="72" t="s">
        <v>3974</v>
      </c>
      <c r="E92" s="43">
        <v>44246</v>
      </c>
      <c r="F92" s="74">
        <v>1</v>
      </c>
      <c r="G92" s="74">
        <v>0</v>
      </c>
      <c r="H92" s="89" t="s">
        <v>3082</v>
      </c>
      <c r="I92" s="43">
        <v>45130</v>
      </c>
      <c r="J92" s="43"/>
      <c r="K92" s="88"/>
    </row>
    <row r="93" spans="1:11" ht="409.6">
      <c r="A93" s="73">
        <v>92</v>
      </c>
      <c r="B93" s="85" t="str">
        <f>VLOOKUP(A93,[1]vaccines!A:B,2)</f>
        <v>Sputnik_light</v>
      </c>
      <c r="C93" s="72" t="s">
        <v>3975</v>
      </c>
      <c r="D93" s="72" t="s">
        <v>3976</v>
      </c>
      <c r="E93" s="59">
        <v>45810</v>
      </c>
      <c r="F93" s="73">
        <v>1</v>
      </c>
      <c r="G93" s="73">
        <v>0</v>
      </c>
      <c r="H93" s="86" t="s">
        <v>1343</v>
      </c>
      <c r="I93" s="59">
        <f>I92</f>
        <v>45130</v>
      </c>
      <c r="J93" s="66">
        <v>45830</v>
      </c>
      <c r="K93" s="88"/>
    </row>
    <row r="94" spans="1:11" ht="409.6">
      <c r="A94" s="73">
        <v>93</v>
      </c>
      <c r="B94" s="85" t="str">
        <f>VLOOKUP(A94,[1]vaccines!A:B,2)</f>
        <v>Sputnik_M</v>
      </c>
      <c r="C94" s="72" t="s">
        <v>3977</v>
      </c>
      <c r="D94" s="72" t="s">
        <v>3978</v>
      </c>
      <c r="E94" s="43">
        <v>44655</v>
      </c>
      <c r="F94" s="74">
        <v>2</v>
      </c>
      <c r="G94" s="74">
        <v>2</v>
      </c>
      <c r="H94" s="89" t="s">
        <v>2093</v>
      </c>
      <c r="I94" s="43">
        <v>45130</v>
      </c>
      <c r="J94" s="43"/>
      <c r="K94" s="88"/>
    </row>
    <row r="95" spans="1:11" ht="409.6">
      <c r="A95" s="73">
        <v>94</v>
      </c>
      <c r="B95" s="85" t="str">
        <f>VLOOKUP(A95,[1]vaccines!A:B,2)</f>
        <v>Convacel</v>
      </c>
      <c r="C95" s="72" t="s">
        <v>3979</v>
      </c>
      <c r="D95" s="72" t="s">
        <v>3980</v>
      </c>
      <c r="E95" s="59">
        <v>46009</v>
      </c>
      <c r="F95" s="73">
        <v>1</v>
      </c>
      <c r="G95" s="73">
        <v>0</v>
      </c>
      <c r="H95" s="86" t="s">
        <v>1350</v>
      </c>
      <c r="I95" s="59">
        <f>I94</f>
        <v>45130</v>
      </c>
      <c r="J95" s="66">
        <v>46053</v>
      </c>
      <c r="K95" s="88"/>
    </row>
    <row r="96" spans="1:11" ht="277.2">
      <c r="A96" s="73">
        <v>95</v>
      </c>
      <c r="B96" s="85" t="str">
        <f>VLOOKUP(A96,[1]vaccines!A:B,2)</f>
        <v>Aurora</v>
      </c>
      <c r="C96" s="72" t="s">
        <v>3981</v>
      </c>
      <c r="D96" s="72" t="s">
        <v>3982</v>
      </c>
      <c r="E96" s="43">
        <v>44434</v>
      </c>
      <c r="F96" s="74">
        <v>1</v>
      </c>
      <c r="G96" s="74">
        <v>0</v>
      </c>
      <c r="H96" s="89" t="s">
        <v>2758</v>
      </c>
      <c r="I96" s="43">
        <v>45130</v>
      </c>
      <c r="J96" s="43"/>
      <c r="K96" s="88"/>
    </row>
    <row r="97" spans="1:11" ht="409.6">
      <c r="A97" s="73">
        <v>96</v>
      </c>
      <c r="B97" s="85" t="str">
        <f>VLOOKUP(A97,[1]vaccines!A:B,2)</f>
        <v>Rota_V_Aid</v>
      </c>
      <c r="C97" s="72" t="s">
        <v>3983</v>
      </c>
      <c r="D97" s="72" t="s">
        <v>3984</v>
      </c>
      <c r="E97" s="59">
        <v>45594</v>
      </c>
      <c r="F97" s="85">
        <v>1</v>
      </c>
      <c r="G97" s="85">
        <v>0</v>
      </c>
      <c r="H97" s="86" t="s">
        <v>3985</v>
      </c>
      <c r="I97" s="59">
        <f>I96</f>
        <v>45130</v>
      </c>
      <c r="J97" s="59">
        <v>45629</v>
      </c>
      <c r="K97" s="87" t="s">
        <v>2557</v>
      </c>
    </row>
    <row r="98" spans="1:11" ht="409.6">
      <c r="A98" s="73">
        <v>97</v>
      </c>
      <c r="B98" s="85" t="str">
        <f>VLOOKUP(A98,[1]vaccines!A:B,2)</f>
        <v>Hib_Rostov</v>
      </c>
      <c r="C98" s="72" t="s">
        <v>3961</v>
      </c>
      <c r="D98" s="72" t="s">
        <v>3962</v>
      </c>
      <c r="E98" s="43">
        <v>42577</v>
      </c>
      <c r="F98" s="74">
        <v>1</v>
      </c>
      <c r="G98" s="74">
        <v>0</v>
      </c>
      <c r="H98" s="89" t="s">
        <v>1359</v>
      </c>
      <c r="I98" s="43">
        <v>45130</v>
      </c>
      <c r="J98" s="43"/>
      <c r="K98" s="88"/>
    </row>
    <row r="99" spans="1:11" ht="409.6">
      <c r="A99" s="73">
        <v>98</v>
      </c>
      <c r="B99" s="85" t="str">
        <f>VLOOKUP(A99,[1]vaccines!A:B,2)</f>
        <v>HepB_Combiotech_1_0</v>
      </c>
      <c r="C99" s="72" t="s">
        <v>3831</v>
      </c>
      <c r="D99" s="72" t="s">
        <v>3832</v>
      </c>
      <c r="E99" s="59">
        <v>46056</v>
      </c>
      <c r="F99" s="73">
        <v>1</v>
      </c>
      <c r="G99" s="73">
        <v>0</v>
      </c>
      <c r="H99" s="86" t="s">
        <v>1150</v>
      </c>
      <c r="I99" s="59">
        <f t="shared" ref="I99:I101" si="9">I98</f>
        <v>45130</v>
      </c>
      <c r="J99" s="66">
        <v>46130</v>
      </c>
      <c r="K99" s="88"/>
    </row>
    <row r="100" spans="1:11" ht="409.6">
      <c r="A100" s="73">
        <v>99</v>
      </c>
      <c r="B100" s="85" t="str">
        <f>VLOOKUP(A100,[1]vaccines!A:B,2)</f>
        <v>Regevac_1_0</v>
      </c>
      <c r="C100" s="72" t="s">
        <v>3986</v>
      </c>
      <c r="D100" s="72" t="s">
        <v>3987</v>
      </c>
      <c r="E100" s="59">
        <v>45216</v>
      </c>
      <c r="F100" s="73">
        <v>1</v>
      </c>
      <c r="G100" s="73">
        <v>0</v>
      </c>
      <c r="H100" s="86" t="s">
        <v>1147</v>
      </c>
      <c r="I100" s="59">
        <f t="shared" si="9"/>
        <v>45130</v>
      </c>
      <c r="J100" s="66">
        <v>45988</v>
      </c>
      <c r="K100" s="88"/>
    </row>
    <row r="101" spans="1:11" ht="409.6">
      <c r="A101" s="73">
        <v>100</v>
      </c>
      <c r="B101" s="85" t="str">
        <f>VLOOKUP(A101,[1]vaccines!A:B,2)</f>
        <v>Priorix_Tetra</v>
      </c>
      <c r="C101" s="72" t="s">
        <v>3988</v>
      </c>
      <c r="D101" s="72" t="s">
        <v>3989</v>
      </c>
      <c r="E101" s="59">
        <v>45453</v>
      </c>
      <c r="F101" s="85">
        <v>1</v>
      </c>
      <c r="G101" s="85">
        <v>0</v>
      </c>
      <c r="H101" s="86" t="s">
        <v>3990</v>
      </c>
      <c r="I101" s="59">
        <f t="shared" si="9"/>
        <v>45130</v>
      </c>
      <c r="J101" s="66">
        <v>45510</v>
      </c>
      <c r="K101" s="88"/>
    </row>
    <row r="102" spans="1:11" ht="409.6">
      <c r="A102" s="73">
        <v>101</v>
      </c>
      <c r="B102" s="85" t="str">
        <f>VLOOKUP(A102,[1]vaccines!A:B,2)</f>
        <v>Menveo</v>
      </c>
      <c r="C102" s="72" t="s">
        <v>3991</v>
      </c>
      <c r="D102" s="72" t="s">
        <v>3992</v>
      </c>
      <c r="E102" s="43">
        <v>42958</v>
      </c>
      <c r="F102" s="74">
        <v>1</v>
      </c>
      <c r="G102" s="74">
        <v>0</v>
      </c>
      <c r="H102" s="89" t="s">
        <v>1369</v>
      </c>
      <c r="I102" s="43">
        <v>45130</v>
      </c>
      <c r="J102" s="43"/>
      <c r="K102" s="88"/>
    </row>
    <row r="103" spans="1:11" ht="409.6">
      <c r="A103" s="73">
        <v>102</v>
      </c>
      <c r="B103" s="85" t="str">
        <f>VLOOKUP(A103,[1]vaccines!A:B,2)</f>
        <v>Sputnik_intranasal</v>
      </c>
      <c r="C103" s="72" t="s">
        <v>3993</v>
      </c>
      <c r="D103" s="72" t="s">
        <v>3994</v>
      </c>
      <c r="E103" s="43">
        <v>44651</v>
      </c>
      <c r="F103" s="74">
        <v>1</v>
      </c>
      <c r="G103" s="74">
        <v>0</v>
      </c>
      <c r="H103" s="89" t="s">
        <v>1372</v>
      </c>
      <c r="I103" s="43">
        <v>45130</v>
      </c>
      <c r="J103" s="43"/>
      <c r="K103" s="88"/>
    </row>
    <row r="104" spans="1:11" ht="409.6">
      <c r="A104" s="73">
        <v>103</v>
      </c>
      <c r="B104" s="85" t="str">
        <f>VLOOKUP(A104,[1]vaccines!A:B,2)</f>
        <v>Grippol_plus_0_25</v>
      </c>
      <c r="C104" s="72" t="s">
        <v>3852</v>
      </c>
      <c r="D104" s="72" t="s">
        <v>3853</v>
      </c>
      <c r="E104" s="59">
        <v>45589</v>
      </c>
      <c r="F104" s="85">
        <v>1</v>
      </c>
      <c r="G104" s="85">
        <v>0</v>
      </c>
      <c r="H104" s="86" t="s">
        <v>3854</v>
      </c>
      <c r="I104" s="43">
        <v>45122</v>
      </c>
      <c r="J104" s="43">
        <v>45992</v>
      </c>
      <c r="K104" s="88"/>
    </row>
    <row r="105" spans="1:11" ht="409.6">
      <c r="A105" s="73">
        <v>104</v>
      </c>
      <c r="B105" s="85" t="str">
        <f>VLOOKUP(A105,[1]vaccines!A:B,2)</f>
        <v>Flu_M_Tetra</v>
      </c>
      <c r="C105" s="72" t="s">
        <v>3995</v>
      </c>
      <c r="D105" s="72" t="s">
        <v>3996</v>
      </c>
      <c r="E105" s="59">
        <v>45741</v>
      </c>
      <c r="F105" s="73">
        <v>1</v>
      </c>
      <c r="G105" s="73">
        <v>0</v>
      </c>
      <c r="H105" s="86" t="s">
        <v>1377</v>
      </c>
      <c r="I105" s="59">
        <f t="shared" ref="I105:I106" si="10">I104</f>
        <v>45122</v>
      </c>
      <c r="J105" s="66">
        <v>45798</v>
      </c>
      <c r="K105" s="88"/>
    </row>
    <row r="106" spans="1:11" ht="290.39999999999998">
      <c r="A106" s="73">
        <v>105</v>
      </c>
      <c r="B106" s="85" t="str">
        <f>VLOOKUP(A106,[1]vaccines!A:B,2)</f>
        <v>Vaxigrip_Tetra</v>
      </c>
      <c r="C106" s="72" t="s">
        <v>3997</v>
      </c>
      <c r="D106" s="72" t="s">
        <v>3998</v>
      </c>
      <c r="E106" s="59">
        <v>45300</v>
      </c>
      <c r="F106" s="85">
        <v>1</v>
      </c>
      <c r="G106" s="85">
        <v>0</v>
      </c>
      <c r="H106" s="86" t="s">
        <v>3999</v>
      </c>
      <c r="I106" s="59">
        <f t="shared" si="10"/>
        <v>45122</v>
      </c>
      <c r="J106" s="66">
        <v>45489</v>
      </c>
      <c r="K106" s="88"/>
    </row>
    <row r="107" spans="1:11" ht="303.60000000000002">
      <c r="A107" s="73">
        <v>106</v>
      </c>
      <c r="B107" s="85" t="str">
        <f>VLOOKUP(A107,[1]vaccines!A:B,2)</f>
        <v>Ocavax</v>
      </c>
      <c r="C107" s="72" t="s">
        <v>4000</v>
      </c>
      <c r="D107" s="72" t="s">
        <v>4001</v>
      </c>
      <c r="E107" s="43">
        <v>40233</v>
      </c>
      <c r="F107" s="74">
        <v>1</v>
      </c>
      <c r="G107" s="74">
        <v>0</v>
      </c>
      <c r="H107" s="89" t="s">
        <v>1383</v>
      </c>
      <c r="I107" s="43">
        <v>45130</v>
      </c>
      <c r="J107" s="43"/>
      <c r="K107" s="87" t="s">
        <v>2557</v>
      </c>
    </row>
    <row r="108" spans="1:11" ht="316.8">
      <c r="A108" s="73">
        <v>107</v>
      </c>
      <c r="B108" s="85" t="str">
        <f>VLOOKUP(A108,[1]vaccines!A:B,2)</f>
        <v>Pneumo_23</v>
      </c>
      <c r="C108" s="72" t="s">
        <v>4002</v>
      </c>
      <c r="D108" s="72" t="s">
        <v>4003</v>
      </c>
      <c r="E108" s="43">
        <v>41688</v>
      </c>
      <c r="F108" s="74">
        <v>1</v>
      </c>
      <c r="G108" s="74">
        <v>0</v>
      </c>
      <c r="H108" s="89" t="s">
        <v>1386</v>
      </c>
      <c r="I108" s="43">
        <v>45130</v>
      </c>
      <c r="J108" s="43"/>
      <c r="K108" s="88"/>
    </row>
    <row r="109" spans="1:11" ht="409.6">
      <c r="A109" s="73">
        <v>108</v>
      </c>
      <c r="B109" s="85" t="str">
        <f>VLOOKUP(A109,[1]vaccines!A:B,2)</f>
        <v>Varivax</v>
      </c>
      <c r="C109" s="72" t="s">
        <v>4004</v>
      </c>
      <c r="D109" s="72" t="s">
        <v>4005</v>
      </c>
      <c r="E109" s="59">
        <v>45126</v>
      </c>
      <c r="F109" s="85">
        <v>1</v>
      </c>
      <c r="G109" s="85">
        <v>0</v>
      </c>
      <c r="H109" s="86" t="s">
        <v>4006</v>
      </c>
      <c r="I109" s="43">
        <v>45131</v>
      </c>
      <c r="J109" s="66">
        <v>45489</v>
      </c>
      <c r="K109" s="88"/>
    </row>
    <row r="110" spans="1:11" ht="118.8">
      <c r="A110" s="73">
        <v>109</v>
      </c>
      <c r="B110" s="85" t="str">
        <f>VLOOKUP(A110,[1]vaccines!A:B,2)</f>
        <v>Pneumotex</v>
      </c>
      <c r="C110" s="72" t="s">
        <v>4007</v>
      </c>
      <c r="D110" s="72" t="s">
        <v>4008</v>
      </c>
      <c r="E110" s="59">
        <v>45777</v>
      </c>
      <c r="F110" s="73">
        <v>1</v>
      </c>
      <c r="G110" s="73">
        <v>0</v>
      </c>
      <c r="H110" s="86" t="s">
        <v>1392</v>
      </c>
      <c r="I110" s="43">
        <v>45131</v>
      </c>
      <c r="J110" s="66">
        <v>45818</v>
      </c>
      <c r="K110" s="88"/>
    </row>
    <row r="111" spans="1:11" ht="409.6">
      <c r="A111" s="73">
        <v>110</v>
      </c>
      <c r="B111" s="85" t="str">
        <f>VLOOKUP(A111,[1]vaccines!A:B,2)</f>
        <v>Priorix</v>
      </c>
      <c r="C111" s="72" t="s">
        <v>4009</v>
      </c>
      <c r="D111" s="72" t="s">
        <v>4010</v>
      </c>
      <c r="E111" s="43">
        <v>42206</v>
      </c>
      <c r="F111" s="74">
        <v>4</v>
      </c>
      <c r="G111" s="74">
        <v>5</v>
      </c>
      <c r="H111" s="89" t="s">
        <v>4011</v>
      </c>
      <c r="I111" s="74" t="s">
        <v>4012</v>
      </c>
      <c r="J111" s="43"/>
      <c r="K111" s="88"/>
    </row>
    <row r="112" spans="1:11" ht="409.6">
      <c r="A112" s="73">
        <v>111</v>
      </c>
      <c r="B112" s="85" t="str">
        <f>VLOOKUP(A112,[1]vaccines!A:B,2)</f>
        <v>MenQuadfi</v>
      </c>
      <c r="C112" s="72" t="s">
        <v>4013</v>
      </c>
      <c r="D112" s="72" t="s">
        <v>4014</v>
      </c>
      <c r="E112" s="59">
        <v>45932</v>
      </c>
      <c r="F112" s="73">
        <v>1</v>
      </c>
      <c r="G112" s="73">
        <v>0</v>
      </c>
      <c r="H112" s="86" t="s">
        <v>1398</v>
      </c>
      <c r="I112" s="43">
        <v>45131</v>
      </c>
      <c r="J112" s="66">
        <v>46072</v>
      </c>
      <c r="K112" s="88"/>
    </row>
    <row r="113" spans="1:11" ht="316.8">
      <c r="A113" s="73">
        <v>112</v>
      </c>
      <c r="B113" s="85" t="str">
        <f>VLOOKUP(A113,[1]vaccines!A:B,2)</f>
        <v>Bexsero</v>
      </c>
      <c r="C113" s="72" t="s">
        <v>4015</v>
      </c>
      <c r="D113" s="72" t="s">
        <v>4016</v>
      </c>
      <c r="E113" s="59">
        <v>45391</v>
      </c>
      <c r="F113" s="85">
        <v>1</v>
      </c>
      <c r="G113" s="85">
        <v>0</v>
      </c>
      <c r="H113" s="86" t="s">
        <v>4017</v>
      </c>
      <c r="I113" s="43">
        <v>45131</v>
      </c>
      <c r="J113" s="66">
        <v>45489</v>
      </c>
      <c r="K113" s="88"/>
    </row>
    <row r="114" spans="1:11" ht="409.6">
      <c r="A114" s="73">
        <v>113</v>
      </c>
      <c r="B114" s="85" t="str">
        <f>VLOOKUP(A114,[1]vaccines!A:B,2)</f>
        <v>Sputnik_D</v>
      </c>
      <c r="C114" s="72" t="s">
        <v>4018</v>
      </c>
      <c r="D114" s="72" t="s">
        <v>4019</v>
      </c>
      <c r="E114" s="43">
        <v>45030</v>
      </c>
      <c r="F114" s="74">
        <v>1</v>
      </c>
      <c r="G114" s="74">
        <v>0</v>
      </c>
      <c r="H114" s="89" t="s">
        <v>2797</v>
      </c>
      <c r="I114" s="43">
        <v>45131</v>
      </c>
      <c r="J114" s="43"/>
      <c r="K114" s="88"/>
    </row>
    <row r="115" spans="1:11" ht="409.6">
      <c r="A115" s="73">
        <v>114</v>
      </c>
      <c r="B115" s="85" t="str">
        <f>VLOOKUP(A115,[1]vaccines!A:B,2)</f>
        <v>Encepur_0_25</v>
      </c>
      <c r="C115" s="72" t="s">
        <v>4020</v>
      </c>
      <c r="D115" s="72" t="s">
        <v>4021</v>
      </c>
      <c r="E115" s="43">
        <v>40252</v>
      </c>
      <c r="F115" s="74">
        <v>1</v>
      </c>
      <c r="G115" s="74">
        <v>0</v>
      </c>
      <c r="H115" s="89" t="s">
        <v>1407</v>
      </c>
      <c r="I115" s="43">
        <v>45131</v>
      </c>
      <c r="J115" s="43"/>
      <c r="K115" s="88"/>
    </row>
    <row r="116" spans="1:11" ht="409.6">
      <c r="A116" s="73">
        <v>115</v>
      </c>
      <c r="B116" s="85" t="str">
        <f>VLOOKUP(A116,[1]vaccines!A:B,2)</f>
        <v>Encepur_0_5</v>
      </c>
      <c r="C116" s="72" t="s">
        <v>4022</v>
      </c>
      <c r="D116" s="72" t="s">
        <v>4023</v>
      </c>
      <c r="E116" s="43">
        <v>39878</v>
      </c>
      <c r="F116" s="74">
        <v>1</v>
      </c>
      <c r="G116" s="74">
        <v>0</v>
      </c>
      <c r="H116" s="89" t="s">
        <v>1410</v>
      </c>
      <c r="I116" s="43">
        <v>45131</v>
      </c>
      <c r="J116" s="43"/>
      <c r="K116" s="88"/>
    </row>
    <row r="117" spans="1:11" ht="409.6">
      <c r="A117" s="73">
        <v>116</v>
      </c>
      <c r="B117" s="85" t="str">
        <f>VLOOKUP(A117,[1]vaccines!A:B,2)</f>
        <v>Poliovaccine</v>
      </c>
      <c r="C117" s="72" t="s">
        <v>4024</v>
      </c>
      <c r="D117" s="72" t="s">
        <v>4025</v>
      </c>
      <c r="E117" s="43">
        <v>44839</v>
      </c>
      <c r="F117" s="74">
        <v>2</v>
      </c>
      <c r="G117" s="74">
        <v>1</v>
      </c>
      <c r="H117" s="89" t="s">
        <v>4026</v>
      </c>
      <c r="I117" s="43">
        <v>45131</v>
      </c>
      <c r="J117" s="43"/>
      <c r="K117" s="87" t="s">
        <v>2557</v>
      </c>
    </row>
    <row r="118" spans="1:11" ht="277.2">
      <c r="A118" s="73">
        <v>117</v>
      </c>
      <c r="B118" s="85" t="str">
        <f>VLOOKUP(A118,[1]vaccines!A:B,2)</f>
        <v>Act_Hib</v>
      </c>
      <c r="C118" s="72" t="s">
        <v>4027</v>
      </c>
      <c r="D118" s="72" t="s">
        <v>4028</v>
      </c>
      <c r="E118" s="43">
        <v>41936</v>
      </c>
      <c r="F118" s="74">
        <v>1</v>
      </c>
      <c r="G118" s="74">
        <v>0</v>
      </c>
      <c r="H118" s="89" t="s">
        <v>1414</v>
      </c>
      <c r="I118" s="43">
        <v>45131</v>
      </c>
      <c r="J118" s="43"/>
      <c r="K118" s="88"/>
    </row>
    <row r="119" spans="1:11" ht="409.6">
      <c r="A119" s="73">
        <v>118</v>
      </c>
      <c r="B119" s="85" t="str">
        <f>VLOOKUP(A119,[1]vaccines!A:B,2)</f>
        <v>Hiberix</v>
      </c>
      <c r="C119" s="72" t="s">
        <v>4029</v>
      </c>
      <c r="D119" s="72" t="s">
        <v>4030</v>
      </c>
      <c r="E119" s="43">
        <v>42949</v>
      </c>
      <c r="F119" s="74">
        <v>4</v>
      </c>
      <c r="G119" s="74">
        <v>6</v>
      </c>
      <c r="H119" s="89" t="s">
        <v>4031</v>
      </c>
      <c r="I119" s="43">
        <v>45131</v>
      </c>
      <c r="J119" s="43"/>
      <c r="K119" s="87" t="s">
        <v>2557</v>
      </c>
    </row>
    <row r="120" spans="1:11" ht="409.6">
      <c r="A120" s="73">
        <v>119</v>
      </c>
      <c r="B120" s="85" t="str">
        <f>VLOOKUP(A120,[1]vaccines!A:B,2)</f>
        <v>FSME_Immun_Junior</v>
      </c>
      <c r="C120" s="72" t="s">
        <v>4032</v>
      </c>
      <c r="D120" s="72" t="s">
        <v>4033</v>
      </c>
      <c r="E120" s="43">
        <v>43115</v>
      </c>
      <c r="F120" s="74">
        <v>1</v>
      </c>
      <c r="G120" s="74">
        <v>0</v>
      </c>
      <c r="H120" s="89" t="s">
        <v>1420</v>
      </c>
      <c r="I120" s="43">
        <v>45131</v>
      </c>
      <c r="J120" s="43"/>
      <c r="K120" s="88"/>
    </row>
    <row r="121" spans="1:11" ht="237.6">
      <c r="A121" s="73">
        <v>120</v>
      </c>
      <c r="B121" s="85" t="str">
        <f>VLOOKUP(A121,[1]vaccines!A:B,2)</f>
        <v>FSME_Immun</v>
      </c>
      <c r="C121" s="72" t="s">
        <v>4034</v>
      </c>
      <c r="D121" s="72" t="s">
        <v>4035</v>
      </c>
      <c r="E121" s="43">
        <v>44169</v>
      </c>
      <c r="F121" s="74">
        <v>1</v>
      </c>
      <c r="G121" s="74">
        <v>0</v>
      </c>
      <c r="H121" s="89" t="s">
        <v>1423</v>
      </c>
      <c r="I121" s="43">
        <v>45131</v>
      </c>
      <c r="J121" s="43"/>
      <c r="K121" s="88"/>
    </row>
    <row r="122" spans="1:11" ht="409.6">
      <c r="A122" s="73">
        <v>121</v>
      </c>
      <c r="B122" s="85" t="str">
        <f>VLOOKUP(A122,[1]vaccines!A:B,2)</f>
        <v>SciBiVac</v>
      </c>
      <c r="C122" s="72" t="s">
        <v>4036</v>
      </c>
      <c r="D122" s="72" t="s">
        <v>4037</v>
      </c>
      <c r="E122" s="43">
        <v>44762</v>
      </c>
      <c r="F122" s="74">
        <v>1</v>
      </c>
      <c r="G122" s="74">
        <v>0</v>
      </c>
      <c r="H122" s="89" t="s">
        <v>1426</v>
      </c>
      <c r="I122" s="43">
        <v>45131</v>
      </c>
      <c r="J122" s="43"/>
      <c r="K122" s="88"/>
    </row>
    <row r="123" spans="1:11" ht="409.6">
      <c r="A123" s="73">
        <v>122</v>
      </c>
      <c r="B123" s="85" t="str">
        <f>VLOOKUP(A123,[1]vaccines!A:B,2)</f>
        <v>Pentavaccina</v>
      </c>
      <c r="C123" s="72" t="s">
        <v>4038</v>
      </c>
      <c r="D123" s="72" t="s">
        <v>4039</v>
      </c>
      <c r="E123" s="66">
        <v>45320</v>
      </c>
      <c r="F123" s="85">
        <v>1</v>
      </c>
      <c r="G123" s="85">
        <v>0</v>
      </c>
      <c r="H123" s="86" t="s">
        <v>4040</v>
      </c>
      <c r="I123" s="43">
        <v>45131</v>
      </c>
      <c r="J123" s="66">
        <v>45460</v>
      </c>
      <c r="K123" s="88"/>
    </row>
    <row r="124" spans="1:11" ht="409.6">
      <c r="A124" s="73">
        <v>123</v>
      </c>
      <c r="B124" s="85" t="str">
        <f>VLOOKUP(A124,[1]vaccines!A:B,2)</f>
        <v>Vitagerpavac</v>
      </c>
      <c r="C124" s="72" t="s">
        <v>4041</v>
      </c>
      <c r="D124" s="72" t="s">
        <v>4042</v>
      </c>
      <c r="E124" s="43">
        <v>44746</v>
      </c>
      <c r="F124" s="74">
        <v>7</v>
      </c>
      <c r="G124" s="74">
        <v>6</v>
      </c>
      <c r="H124" s="89" t="s">
        <v>4043</v>
      </c>
      <c r="I124" s="43">
        <v>45169</v>
      </c>
      <c r="J124" s="43"/>
      <c r="K124" s="87" t="s">
        <v>2554</v>
      </c>
    </row>
    <row r="125" spans="1:11" ht="409.6">
      <c r="A125" s="85">
        <v>124</v>
      </c>
      <c r="B125" s="85" t="str">
        <f>VLOOKUP(A125,[1]vaccines!A:B,2)</f>
        <v>Shingrix</v>
      </c>
      <c r="C125" s="72" t="s">
        <v>4044</v>
      </c>
      <c r="D125" s="72" t="s">
        <v>4045</v>
      </c>
      <c r="E125" s="59">
        <v>45440</v>
      </c>
      <c r="F125" s="85">
        <v>1</v>
      </c>
      <c r="G125" s="85">
        <v>0</v>
      </c>
      <c r="H125" s="86" t="s">
        <v>4046</v>
      </c>
      <c r="I125" s="59">
        <v>45447</v>
      </c>
      <c r="J125" s="59">
        <v>45589</v>
      </c>
      <c r="K125" s="88"/>
    </row>
    <row r="126" spans="1:11" ht="409.6">
      <c r="A126" s="85">
        <v>125</v>
      </c>
      <c r="B126" s="85" t="str">
        <f>VLOOKUP(A126,[1]vaccines!A:B,2)</f>
        <v>Trivaid</v>
      </c>
      <c r="C126" s="72" t="s">
        <v>4047</v>
      </c>
      <c r="D126" s="72" t="s">
        <v>4048</v>
      </c>
      <c r="E126" s="59">
        <v>45996</v>
      </c>
      <c r="F126" s="73">
        <v>1</v>
      </c>
      <c r="G126" s="73">
        <v>0</v>
      </c>
      <c r="H126" s="86" t="s">
        <v>1438</v>
      </c>
      <c r="I126" s="59">
        <v>45436</v>
      </c>
      <c r="J126" s="59">
        <v>46053</v>
      </c>
      <c r="K126" s="88"/>
    </row>
    <row r="127" spans="1:11" ht="409.6">
      <c r="A127" s="85">
        <v>126</v>
      </c>
      <c r="B127" s="85" t="str">
        <f>VLOOKUP(A127,[1]vaccines!A:B,2)</f>
        <v>BabyHib</v>
      </c>
      <c r="C127" s="72" t="s">
        <v>4049</v>
      </c>
      <c r="D127" s="72" t="s">
        <v>4050</v>
      </c>
      <c r="E127" s="59">
        <v>45938</v>
      </c>
      <c r="F127" s="73">
        <v>1</v>
      </c>
      <c r="G127" s="73">
        <v>0</v>
      </c>
      <c r="H127" s="86" t="s">
        <v>1441</v>
      </c>
      <c r="I127" s="59">
        <v>45436</v>
      </c>
      <c r="J127" s="59">
        <v>45988</v>
      </c>
      <c r="K127" s="88"/>
    </row>
    <row r="128" spans="1:11" ht="409.6">
      <c r="A128" s="85">
        <v>127</v>
      </c>
      <c r="B128" s="85" t="str">
        <f>VLOOKUP(A128,[1]vaccines!A:B,2)</f>
        <v>AD_M_Biomed</v>
      </c>
      <c r="C128" s="72" t="s">
        <v>4051</v>
      </c>
      <c r="D128" s="72" t="s">
        <v>4052</v>
      </c>
      <c r="E128" s="59">
        <v>41046</v>
      </c>
      <c r="F128" s="73">
        <v>1</v>
      </c>
      <c r="G128" s="73">
        <v>0</v>
      </c>
      <c r="H128" s="86" t="s">
        <v>1444</v>
      </c>
      <c r="I128" s="59">
        <v>45461</v>
      </c>
      <c r="J128" s="43"/>
      <c r="K128" s="88"/>
    </row>
    <row r="129" spans="1:11" ht="330">
      <c r="A129" s="85">
        <v>128</v>
      </c>
      <c r="B129" s="85" t="str">
        <f>VLOOKUP(A129,[1]vaccines!A:B,2)</f>
        <v>AS_D_Microgen</v>
      </c>
      <c r="C129" s="72" t="s">
        <v>4053</v>
      </c>
      <c r="D129" s="72" t="s">
        <v>4054</v>
      </c>
      <c r="E129" s="59">
        <v>45266</v>
      </c>
      <c r="F129" s="85">
        <v>1</v>
      </c>
      <c r="G129" s="85">
        <v>0</v>
      </c>
      <c r="H129" s="86" t="s">
        <v>4055</v>
      </c>
      <c r="I129" s="59">
        <v>45461</v>
      </c>
      <c r="J129" s="43"/>
      <c r="K129" s="88"/>
    </row>
    <row r="130" spans="1:11" ht="409.6">
      <c r="A130" s="85">
        <v>129</v>
      </c>
      <c r="B130" s="85" t="str">
        <f>VLOOKUP(A130,[1]vaccines!A:B,2)</f>
        <v>Variola</v>
      </c>
      <c r="C130" s="72" t="s">
        <v>4056</v>
      </c>
      <c r="D130" s="72" t="s">
        <v>4057</v>
      </c>
      <c r="E130" s="59">
        <v>45252</v>
      </c>
      <c r="F130" s="85">
        <v>1</v>
      </c>
      <c r="G130" s="85">
        <v>0</v>
      </c>
      <c r="H130" s="86" t="s">
        <v>4058</v>
      </c>
      <c r="I130" s="59">
        <v>45461</v>
      </c>
      <c r="J130" s="43"/>
      <c r="K130" s="88"/>
    </row>
    <row r="131" spans="1:11" ht="409.6">
      <c r="A131" s="85">
        <v>130</v>
      </c>
      <c r="B131" s="85" t="str">
        <f>VLOOKUP(A131,[1]vaccines!A:B,2)</f>
        <v>AKDS_HepB_Microgen</v>
      </c>
      <c r="C131" s="72" t="s">
        <v>4059</v>
      </c>
      <c r="D131" s="72" t="s">
        <v>4060</v>
      </c>
      <c r="E131" s="59">
        <v>45135</v>
      </c>
      <c r="F131" s="85">
        <v>1</v>
      </c>
      <c r="G131" s="85">
        <v>0</v>
      </c>
      <c r="H131" s="86" t="s">
        <v>4061</v>
      </c>
      <c r="I131" s="59">
        <v>45464</v>
      </c>
      <c r="J131" s="43"/>
      <c r="K131" s="88"/>
    </row>
    <row r="132" spans="1:11" ht="409.6">
      <c r="A132" s="85">
        <v>131</v>
      </c>
      <c r="B132" s="85" t="str">
        <f>VLOOKUP(A132,[1]vaccines!A:B,2)</f>
        <v>Rickettsia</v>
      </c>
      <c r="C132" s="72" t="s">
        <v>4062</v>
      </c>
      <c r="D132" s="72" t="s">
        <v>4063</v>
      </c>
      <c r="E132" s="59">
        <v>45107</v>
      </c>
      <c r="F132" s="85">
        <v>1</v>
      </c>
      <c r="G132" s="85">
        <v>0</v>
      </c>
      <c r="H132" s="86" t="s">
        <v>4064</v>
      </c>
      <c r="I132" s="59">
        <v>45464</v>
      </c>
      <c r="J132" s="43"/>
      <c r="K132" s="88"/>
    </row>
    <row r="133" spans="1:11" ht="330">
      <c r="A133" s="85">
        <v>132</v>
      </c>
      <c r="B133" s="85" t="str">
        <f>VLOOKUP(A133,[1]vaccines!A:B,2)</f>
        <v>OspaVir</v>
      </c>
      <c r="C133" s="72" t="s">
        <v>4053</v>
      </c>
      <c r="D133" s="72" t="s">
        <v>4054</v>
      </c>
      <c r="E133" s="59">
        <v>45077</v>
      </c>
      <c r="F133" s="85">
        <v>1</v>
      </c>
      <c r="G133" s="85">
        <v>0</v>
      </c>
      <c r="H133" s="86" t="s">
        <v>4065</v>
      </c>
      <c r="I133" s="59">
        <v>45464</v>
      </c>
      <c r="J133" s="43"/>
      <c r="K133" s="88"/>
    </row>
    <row r="134" spans="1:11" ht="409.6">
      <c r="A134" s="85">
        <v>133</v>
      </c>
      <c r="B134" s="85" t="str">
        <f>VLOOKUP(A134,[1]vaccines!A:B,2)</f>
        <v>Gonovaccina_therapeutic</v>
      </c>
      <c r="C134" s="72" t="s">
        <v>4066</v>
      </c>
      <c r="D134" s="72" t="s">
        <v>4067</v>
      </c>
      <c r="E134" s="59">
        <v>44942</v>
      </c>
      <c r="F134" s="85">
        <v>1</v>
      </c>
      <c r="G134" s="85">
        <v>0</v>
      </c>
      <c r="H134" s="86" t="s">
        <v>4068</v>
      </c>
      <c r="I134" s="59">
        <v>45464</v>
      </c>
      <c r="J134" s="43"/>
      <c r="K134" s="88"/>
    </row>
    <row r="135" spans="1:11" ht="356.4">
      <c r="A135" s="85">
        <v>134</v>
      </c>
      <c r="B135" s="85" t="str">
        <f>VLOOKUP(A135,[1]vaccines!A:B,2)</f>
        <v>OrtopoxVac</v>
      </c>
      <c r="C135" s="72" t="s">
        <v>4069</v>
      </c>
      <c r="D135" s="72" t="s">
        <v>4070</v>
      </c>
      <c r="E135" s="43">
        <v>45147</v>
      </c>
      <c r="F135" s="74">
        <v>1</v>
      </c>
      <c r="G135" s="74">
        <v>0</v>
      </c>
      <c r="H135" s="89" t="s">
        <v>4071</v>
      </c>
      <c r="I135" s="43">
        <v>45465</v>
      </c>
      <c r="J135" s="43"/>
      <c r="K135" s="88"/>
    </row>
    <row r="136" spans="1:11" ht="290.39999999999998">
      <c r="A136" s="85">
        <v>135</v>
      </c>
      <c r="B136" s="85" t="str">
        <f>VLOOKUP(A136,[1]vaccines!A:B,2)</f>
        <v>FlexVac</v>
      </c>
      <c r="C136" s="72" t="s">
        <v>4072</v>
      </c>
      <c r="D136" s="72" t="s">
        <v>4073</v>
      </c>
      <c r="E136" s="59">
        <v>46126</v>
      </c>
      <c r="F136" s="73">
        <v>1</v>
      </c>
      <c r="G136" s="73">
        <v>0</v>
      </c>
      <c r="H136" s="86" t="s">
        <v>1468</v>
      </c>
      <c r="I136" s="59">
        <v>45465</v>
      </c>
      <c r="J136" s="59">
        <v>46188</v>
      </c>
      <c r="K136" s="88"/>
    </row>
    <row r="137" spans="1:11" ht="409.6">
      <c r="A137" s="85">
        <v>136</v>
      </c>
      <c r="B137" s="85" t="str">
        <f>VLOOKUP(A137,[1]vaccines!A:B,2)</f>
        <v>SinSaVac</v>
      </c>
      <c r="C137" s="72" t="s">
        <v>4074</v>
      </c>
      <c r="D137" s="72" t="s">
        <v>4075</v>
      </c>
      <c r="E137" s="59">
        <v>44537</v>
      </c>
      <c r="F137" s="73">
        <v>1</v>
      </c>
      <c r="G137" s="73">
        <v>0</v>
      </c>
      <c r="H137" s="86" t="s">
        <v>1471</v>
      </c>
      <c r="I137" s="59">
        <v>45465</v>
      </c>
      <c r="J137" s="43"/>
      <c r="K137" s="88"/>
    </row>
    <row r="138" spans="1:11" ht="409.6">
      <c r="A138" s="85">
        <v>138</v>
      </c>
      <c r="B138" s="85" t="str">
        <f>VLOOKUP(A138,[1]vaccines!A:B,2)</f>
        <v>EpiVacEbola</v>
      </c>
      <c r="C138" s="72" t="s">
        <v>4076</v>
      </c>
      <c r="D138" s="72" t="s">
        <v>4077</v>
      </c>
      <c r="E138" s="59">
        <v>43185</v>
      </c>
      <c r="F138" s="73">
        <v>1</v>
      </c>
      <c r="G138" s="73">
        <v>0</v>
      </c>
      <c r="H138" s="86" t="s">
        <v>1474</v>
      </c>
      <c r="I138" s="59">
        <v>45465</v>
      </c>
      <c r="J138" s="43"/>
      <c r="K138" s="88"/>
    </row>
    <row r="139" spans="1:11" ht="409.6">
      <c r="A139" s="85">
        <v>139</v>
      </c>
      <c r="B139" s="85" t="str">
        <f>VLOOKUP(A139,[1]vaccines!A:B,2)</f>
        <v>GamEvac_Combi</v>
      </c>
      <c r="C139" s="72" t="s">
        <v>4078</v>
      </c>
      <c r="D139" s="72" t="s">
        <v>4079</v>
      </c>
      <c r="E139" s="59">
        <v>46099</v>
      </c>
      <c r="F139" s="73">
        <v>1</v>
      </c>
      <c r="G139" s="73">
        <v>0</v>
      </c>
      <c r="H139" s="86" t="s">
        <v>1477</v>
      </c>
      <c r="I139" s="59">
        <v>46131</v>
      </c>
      <c r="J139" s="43"/>
      <c r="K139" s="88"/>
    </row>
    <row r="140" spans="1:11" ht="409.6">
      <c r="A140" s="85">
        <v>141</v>
      </c>
      <c r="B140" s="85" t="str">
        <f>VLOOKUP(A140,[1]vaccines!A:B,2)</f>
        <v>Staphylococcus_therapeutic_Biomed</v>
      </c>
      <c r="C140" s="72" t="s">
        <v>4080</v>
      </c>
      <c r="D140" s="72" t="s">
        <v>4081</v>
      </c>
      <c r="E140" s="59">
        <v>43388</v>
      </c>
      <c r="F140" s="73">
        <v>1</v>
      </c>
      <c r="G140" s="73">
        <v>0</v>
      </c>
      <c r="H140" s="86" t="s">
        <v>1480</v>
      </c>
      <c r="I140" s="59">
        <v>45465</v>
      </c>
      <c r="J140" s="43"/>
      <c r="K140" s="88"/>
    </row>
    <row r="141" spans="1:11" ht="409.6">
      <c r="A141" s="85">
        <v>142</v>
      </c>
      <c r="B141" s="85" t="str">
        <f>VLOOKUP(A141,[1]vaccines!A:B,2)</f>
        <v>Pseudovac</v>
      </c>
      <c r="C141" s="72" t="s">
        <v>4082</v>
      </c>
      <c r="D141" s="72" t="s">
        <v>4083</v>
      </c>
      <c r="E141" s="59">
        <v>42809</v>
      </c>
      <c r="F141" s="73">
        <v>1</v>
      </c>
      <c r="G141" s="73">
        <v>0</v>
      </c>
      <c r="H141" s="86" t="s">
        <v>1483</v>
      </c>
      <c r="I141" s="59">
        <v>45466</v>
      </c>
      <c r="J141" s="43"/>
      <c r="K141" s="88"/>
    </row>
    <row r="142" spans="1:11" ht="409.6">
      <c r="A142" s="85">
        <v>143</v>
      </c>
      <c r="B142" s="85" t="str">
        <f>VLOOKUP(A142,[1]vaccines!A:B,2)</f>
        <v>SPSA_therapeutic</v>
      </c>
      <c r="C142" s="72" t="s">
        <v>4084</v>
      </c>
      <c r="D142" s="72" t="s">
        <v>4085</v>
      </c>
      <c r="E142" s="59">
        <v>40819</v>
      </c>
      <c r="F142" s="73">
        <v>1</v>
      </c>
      <c r="G142" s="73">
        <v>0</v>
      </c>
      <c r="H142" s="86" t="s">
        <v>1486</v>
      </c>
      <c r="I142" s="59">
        <v>45466</v>
      </c>
      <c r="J142" s="43"/>
      <c r="K142" s="88"/>
    </row>
    <row r="143" spans="1:11" ht="409.6">
      <c r="A143" s="85">
        <v>144</v>
      </c>
      <c r="B143" s="85" t="str">
        <f>VLOOKUP(A143,[1]vaccines!A:B,2)</f>
        <v>HepB_Serum_India_0_5</v>
      </c>
      <c r="C143" s="72" t="s">
        <v>4086</v>
      </c>
      <c r="D143" s="72" t="s">
        <v>4087</v>
      </c>
      <c r="E143" s="59">
        <v>45981</v>
      </c>
      <c r="F143" s="73">
        <v>1</v>
      </c>
      <c r="G143" s="73">
        <v>0</v>
      </c>
      <c r="H143" s="86" t="s">
        <v>1489</v>
      </c>
      <c r="I143" s="59">
        <v>45466</v>
      </c>
      <c r="J143" s="59">
        <v>46053</v>
      </c>
      <c r="K143" s="88"/>
    </row>
    <row r="144" spans="1:11" ht="409.6">
      <c r="A144" s="85">
        <v>145</v>
      </c>
      <c r="B144" s="85" t="str">
        <f>VLOOKUP(A144,[1]vaccines!A:B,2)</f>
        <v>Polio_1_2_3</v>
      </c>
      <c r="C144" s="72" t="s">
        <v>4088</v>
      </c>
      <c r="D144" s="72" t="s">
        <v>4089</v>
      </c>
      <c r="E144" s="59">
        <v>45275</v>
      </c>
      <c r="F144" s="73">
        <v>1</v>
      </c>
      <c r="G144" s="73">
        <v>0</v>
      </c>
      <c r="H144" s="86" t="s">
        <v>1492</v>
      </c>
      <c r="I144" s="59">
        <v>45466</v>
      </c>
      <c r="J144" s="43"/>
      <c r="K144" s="88"/>
    </row>
    <row r="145" spans="1:11" ht="277.2">
      <c r="A145" s="85">
        <v>146</v>
      </c>
      <c r="B145" s="85" t="str">
        <f>VLOOKUP(A145,[1]vaccines!A:B,2)</f>
        <v>TEOVac_chew_tablets</v>
      </c>
      <c r="C145" s="72" t="s">
        <v>4090</v>
      </c>
      <c r="D145" s="72" t="s">
        <v>4091</v>
      </c>
      <c r="E145" s="59">
        <v>40396</v>
      </c>
      <c r="F145" s="73">
        <v>1</v>
      </c>
      <c r="G145" s="73">
        <v>0</v>
      </c>
      <c r="H145" s="86" t="s">
        <v>1495</v>
      </c>
      <c r="I145" s="59">
        <v>45467</v>
      </c>
      <c r="J145" s="43"/>
      <c r="K145" s="88"/>
    </row>
    <row r="146" spans="1:11" ht="277.2">
      <c r="A146" s="85">
        <v>147</v>
      </c>
      <c r="B146" s="85" t="str">
        <f>VLOOKUP(A146,[1]vaccines!A:B,2)</f>
        <v>TEOVac_tablets</v>
      </c>
      <c r="C146" s="72" t="s">
        <v>4090</v>
      </c>
      <c r="D146" s="72" t="s">
        <v>4091</v>
      </c>
      <c r="E146" s="59">
        <v>40392</v>
      </c>
      <c r="F146" s="73">
        <v>1</v>
      </c>
      <c r="G146" s="73">
        <v>0</v>
      </c>
      <c r="H146" s="86" t="s">
        <v>1497</v>
      </c>
      <c r="I146" s="59">
        <v>45467</v>
      </c>
      <c r="J146" s="43"/>
      <c r="K146" s="88"/>
    </row>
    <row r="147" spans="1:11" ht="409.6">
      <c r="A147" s="74">
        <v>148</v>
      </c>
      <c r="B147" s="85" t="str">
        <f>VLOOKUP(A147,[1]vaccines!A:B,2)</f>
        <v>Uro_BCG_therapeutic</v>
      </c>
      <c r="C147" s="72" t="s">
        <v>4092</v>
      </c>
      <c r="D147" s="72" t="s">
        <v>4093</v>
      </c>
      <c r="E147" s="59">
        <v>42947</v>
      </c>
      <c r="F147" s="73">
        <v>1</v>
      </c>
      <c r="G147" s="73">
        <v>0</v>
      </c>
      <c r="H147" s="86" t="s">
        <v>1499</v>
      </c>
      <c r="I147" s="59">
        <v>45494</v>
      </c>
      <c r="J147" s="43"/>
      <c r="K147" s="88"/>
    </row>
    <row r="148" spans="1:11" ht="409.6">
      <c r="A148" s="85">
        <v>149</v>
      </c>
      <c r="B148" s="85" t="str">
        <f>VLOOKUP(A148,[1]vaccines!A:B,2)</f>
        <v>Flu_Microgen</v>
      </c>
      <c r="C148" s="72" t="s">
        <v>4094</v>
      </c>
      <c r="D148" s="72" t="s">
        <v>4095</v>
      </c>
      <c r="E148" s="59">
        <v>40940</v>
      </c>
      <c r="F148" s="73">
        <v>1</v>
      </c>
      <c r="G148" s="73">
        <v>0</v>
      </c>
      <c r="H148" s="86" t="s">
        <v>1502</v>
      </c>
      <c r="I148" s="59">
        <v>45494</v>
      </c>
      <c r="J148" s="43"/>
      <c r="K148" s="88"/>
    </row>
    <row r="149" spans="1:11" ht="409.6">
      <c r="A149" s="74">
        <v>150</v>
      </c>
      <c r="B149" s="85" t="str">
        <f>VLOOKUP(A149,[1]vaccines!A:B,2)</f>
        <v>MonoGrippol_plus</v>
      </c>
      <c r="C149" s="72" t="s">
        <v>4096</v>
      </c>
      <c r="D149" s="72" t="s">
        <v>4097</v>
      </c>
      <c r="E149" s="59">
        <v>42719</v>
      </c>
      <c r="F149" s="73">
        <v>1</v>
      </c>
      <c r="G149" s="73">
        <v>0</v>
      </c>
      <c r="H149" s="86" t="s">
        <v>1505</v>
      </c>
      <c r="I149" s="59">
        <v>45494</v>
      </c>
      <c r="J149" s="43"/>
      <c r="K149" s="88"/>
    </row>
    <row r="150" spans="1:11" ht="409.6">
      <c r="A150" s="85">
        <v>151</v>
      </c>
      <c r="B150" s="85" t="str">
        <f>VLOOKUP(A150,[1]vaccines!A:B,2)</f>
        <v>MonoGrippol_Neo</v>
      </c>
      <c r="C150" s="72" t="s">
        <v>4098</v>
      </c>
      <c r="D150" s="72" t="s">
        <v>4099</v>
      </c>
      <c r="E150" s="59">
        <v>40102</v>
      </c>
      <c r="F150" s="73">
        <v>1</v>
      </c>
      <c r="G150" s="73">
        <v>0</v>
      </c>
      <c r="H150" s="86" t="s">
        <v>1508</v>
      </c>
      <c r="I150" s="59">
        <v>45494</v>
      </c>
      <c r="J150" s="43"/>
      <c r="K150" s="88"/>
    </row>
    <row r="151" spans="1:11" ht="409.6">
      <c r="A151" s="74">
        <v>152</v>
      </c>
      <c r="B151" s="85" t="str">
        <f>VLOOKUP(A151,[1]vaccines!A:B,2)</f>
        <v>MonoGrippol</v>
      </c>
      <c r="C151" s="72" t="s">
        <v>4100</v>
      </c>
      <c r="D151" s="72" t="s">
        <v>4101</v>
      </c>
      <c r="E151" s="59">
        <v>42667</v>
      </c>
      <c r="F151" s="73">
        <v>3</v>
      </c>
      <c r="G151" s="73">
        <v>2</v>
      </c>
      <c r="H151" s="86" t="s">
        <v>4102</v>
      </c>
      <c r="I151" s="59">
        <v>45494</v>
      </c>
      <c r="J151" s="43"/>
      <c r="K151" s="88"/>
    </row>
    <row r="152" spans="1:11" ht="409.6">
      <c r="A152" s="85">
        <v>153</v>
      </c>
      <c r="B152" s="85" t="str">
        <f>VLOOKUP(A152,[1]vaccines!A:B,2)</f>
        <v>Influvir</v>
      </c>
      <c r="C152" s="72" t="s">
        <v>4103</v>
      </c>
      <c r="D152" s="72" t="s">
        <v>4104</v>
      </c>
      <c r="E152" s="59">
        <v>45681</v>
      </c>
      <c r="F152" s="73">
        <v>1</v>
      </c>
      <c r="G152" s="73">
        <v>0</v>
      </c>
      <c r="H152" s="86" t="s">
        <v>1512</v>
      </c>
      <c r="I152" s="59">
        <v>45494</v>
      </c>
      <c r="J152" s="59">
        <v>45717</v>
      </c>
      <c r="K152" s="88"/>
    </row>
    <row r="153" spans="1:11" ht="409.6">
      <c r="A153" s="74">
        <v>154</v>
      </c>
      <c r="B153" s="85" t="str">
        <f>VLOOKUP(A153,[1]vaccines!A:B,2)</f>
        <v>Pandeflu</v>
      </c>
      <c r="C153" s="72" t="s">
        <v>4105</v>
      </c>
      <c r="D153" s="72" t="s">
        <v>4106</v>
      </c>
      <c r="E153" s="59">
        <v>45719</v>
      </c>
      <c r="F153" s="73">
        <v>1</v>
      </c>
      <c r="G153" s="73">
        <v>0</v>
      </c>
      <c r="H153" s="86" t="s">
        <v>1515</v>
      </c>
      <c r="I153" s="59">
        <v>45494</v>
      </c>
      <c r="J153" s="59">
        <v>45750</v>
      </c>
      <c r="K153" s="88"/>
    </row>
    <row r="154" spans="1:11" ht="409.6">
      <c r="A154" s="85">
        <v>155</v>
      </c>
      <c r="B154" s="85" t="str">
        <f>VLOOKUP(A154,[1]vaccines!A:B,2)</f>
        <v>Grippol_Neo</v>
      </c>
      <c r="C154" s="72" t="s">
        <v>4107</v>
      </c>
      <c r="D154" s="72" t="s">
        <v>4108</v>
      </c>
      <c r="E154" s="59">
        <v>40274</v>
      </c>
      <c r="F154" s="73">
        <v>1</v>
      </c>
      <c r="G154" s="73">
        <v>0</v>
      </c>
      <c r="H154" s="86" t="s">
        <v>1518</v>
      </c>
      <c r="I154" s="59">
        <v>45494</v>
      </c>
      <c r="J154" s="43"/>
      <c r="K154" s="88"/>
    </row>
    <row r="155" spans="1:11" ht="409.6">
      <c r="A155" s="74">
        <v>156</v>
      </c>
      <c r="B155" s="85" t="str">
        <f>VLOOKUP(A155,[1]vaccines!A:B,2)</f>
        <v>Ultravac</v>
      </c>
      <c r="C155" s="72" t="s">
        <v>4109</v>
      </c>
      <c r="D155" s="72" t="s">
        <v>4110</v>
      </c>
      <c r="E155" s="59">
        <v>45569</v>
      </c>
      <c r="F155" s="85">
        <v>1</v>
      </c>
      <c r="G155" s="85">
        <v>0</v>
      </c>
      <c r="H155" s="86" t="s">
        <v>4111</v>
      </c>
      <c r="I155" s="59">
        <v>45494</v>
      </c>
      <c r="J155" s="59">
        <v>45622</v>
      </c>
      <c r="K155" s="88"/>
    </row>
    <row r="156" spans="1:11" ht="330">
      <c r="A156" s="74">
        <v>158</v>
      </c>
      <c r="B156" s="85" t="str">
        <f>VLOOKUP(A156,[1]vaccines!A:B,2)</f>
        <v>Gerpovax_therapeutic</v>
      </c>
      <c r="C156" s="72" t="s">
        <v>4112</v>
      </c>
      <c r="D156" s="72" t="s">
        <v>4113</v>
      </c>
      <c r="E156" s="59">
        <v>43808</v>
      </c>
      <c r="F156" s="73">
        <v>1</v>
      </c>
      <c r="G156" s="73">
        <v>0</v>
      </c>
      <c r="H156" s="86" t="s">
        <v>1524</v>
      </c>
      <c r="I156" s="59">
        <v>45496</v>
      </c>
      <c r="J156" s="43"/>
      <c r="K156" s="88"/>
    </row>
    <row r="157" spans="1:11" ht="409.6">
      <c r="A157" s="74">
        <v>159</v>
      </c>
      <c r="B157" s="85" t="str">
        <f>VLOOKUP(A157,[1]vaccines!A:B,2)</f>
        <v>Ultragrivac</v>
      </c>
      <c r="C157" s="72" t="s">
        <v>4114</v>
      </c>
      <c r="D157" s="72" t="s">
        <v>4115</v>
      </c>
      <c r="E157" s="59">
        <v>45775</v>
      </c>
      <c r="F157" s="73">
        <v>1</v>
      </c>
      <c r="G157" s="73">
        <v>0</v>
      </c>
      <c r="H157" s="86" t="s">
        <v>1527</v>
      </c>
      <c r="I157" s="59">
        <v>45496</v>
      </c>
      <c r="J157" s="59">
        <v>45818</v>
      </c>
      <c r="K157" s="88"/>
    </row>
    <row r="158" spans="1:11" ht="277.2">
      <c r="A158" s="74">
        <v>160</v>
      </c>
      <c r="B158" s="85" t="str">
        <f>VLOOKUP(A158,[1]vaccines!A:B,2)</f>
        <v>OrniFlu</v>
      </c>
      <c r="C158" s="72" t="s">
        <v>4116</v>
      </c>
      <c r="D158" s="72" t="s">
        <v>4117</v>
      </c>
      <c r="E158" s="59">
        <v>45720</v>
      </c>
      <c r="F158" s="73">
        <v>1</v>
      </c>
      <c r="G158" s="73">
        <v>0</v>
      </c>
      <c r="H158" s="86" t="s">
        <v>1530</v>
      </c>
      <c r="I158" s="59">
        <v>45496</v>
      </c>
      <c r="J158" s="59">
        <v>45750</v>
      </c>
      <c r="K158" s="88"/>
    </row>
    <row r="159" spans="1:11" ht="198">
      <c r="A159" s="74">
        <v>161</v>
      </c>
      <c r="B159" s="85" t="str">
        <f>VLOOKUP(A159,[1]vaccines!A:B,2)</f>
        <v>rubella_Croatia</v>
      </c>
      <c r="C159" s="72" t="s">
        <v>4118</v>
      </c>
      <c r="D159" s="72" t="s">
        <v>4119</v>
      </c>
      <c r="E159" s="59">
        <v>37712</v>
      </c>
      <c r="F159" s="73">
        <v>1</v>
      </c>
      <c r="G159" s="73">
        <v>0</v>
      </c>
      <c r="H159" s="86" t="s">
        <v>1533</v>
      </c>
      <c r="I159" s="59">
        <v>45496</v>
      </c>
      <c r="J159" s="43"/>
      <c r="K159" s="88"/>
    </row>
    <row r="160" spans="1:11" ht="277.2">
      <c r="A160" s="74">
        <v>162</v>
      </c>
      <c r="B160" s="85" t="str">
        <f>VLOOKUP(A160,[1]vaccines!A:B,2)</f>
        <v>Tetraanatoxin</v>
      </c>
      <c r="C160" s="72" t="s">
        <v>4116</v>
      </c>
      <c r="D160" s="72" t="s">
        <v>4117</v>
      </c>
      <c r="E160" s="59">
        <v>45546</v>
      </c>
      <c r="F160" s="85">
        <v>1</v>
      </c>
      <c r="G160" s="85">
        <v>0</v>
      </c>
      <c r="H160" s="86" t="s">
        <v>4120</v>
      </c>
      <c r="I160" s="59">
        <v>45497</v>
      </c>
      <c r="J160" s="59">
        <v>45581</v>
      </c>
      <c r="K160" s="88"/>
    </row>
    <row r="161" spans="1:11" ht="409.6">
      <c r="A161" s="74">
        <v>163</v>
      </c>
      <c r="B161" s="85" t="str">
        <f>VLOOKUP(A161,[1]vaccines!A:B,2)</f>
        <v>Staphylococcus_Gamaleya</v>
      </c>
      <c r="C161" s="72" t="s">
        <v>4121</v>
      </c>
      <c r="D161" s="72" t="s">
        <v>4122</v>
      </c>
      <c r="E161" s="59">
        <v>45799</v>
      </c>
      <c r="F161" s="73">
        <v>1</v>
      </c>
      <c r="G161" s="73">
        <v>0</v>
      </c>
      <c r="H161" s="86" t="s">
        <v>1539</v>
      </c>
      <c r="I161" s="59">
        <v>45497</v>
      </c>
      <c r="J161" s="59">
        <v>45830</v>
      </c>
      <c r="K161" s="88"/>
    </row>
    <row r="162" spans="1:11" ht="409.6">
      <c r="A162" s="74">
        <v>164</v>
      </c>
      <c r="B162" s="85" t="str">
        <f>VLOOKUP(A162,[1]vaccines!A:B,2)</f>
        <v>Staphylococcus_therapeutic_Gamaleya</v>
      </c>
      <c r="C162" s="72" t="s">
        <v>4121</v>
      </c>
      <c r="D162" s="72" t="s">
        <v>4122</v>
      </c>
      <c r="E162" s="59">
        <v>45799</v>
      </c>
      <c r="F162" s="73">
        <v>1</v>
      </c>
      <c r="G162" s="73">
        <v>0</v>
      </c>
      <c r="H162" s="86" t="s">
        <v>1542</v>
      </c>
      <c r="I162" s="59">
        <v>45497</v>
      </c>
      <c r="J162" s="59">
        <v>45830</v>
      </c>
      <c r="K162" s="88"/>
    </row>
    <row r="163" spans="1:11" ht="409.6">
      <c r="A163" s="74">
        <v>165</v>
      </c>
      <c r="B163" s="85" t="str">
        <f>VLOOKUP(A163,[1]vaccines!A:B,2)</f>
        <v>Imuron_vac_therapeutic</v>
      </c>
      <c r="C163" s="72" t="s">
        <v>4123</v>
      </c>
      <c r="D163" s="72" t="s">
        <v>4124</v>
      </c>
      <c r="E163" s="59">
        <v>45811</v>
      </c>
      <c r="F163" s="73">
        <v>1</v>
      </c>
      <c r="G163" s="73">
        <v>0</v>
      </c>
      <c r="H163" s="86" t="s">
        <v>1545</v>
      </c>
      <c r="I163" s="59">
        <v>45497</v>
      </c>
      <c r="J163" s="59">
        <v>45861</v>
      </c>
      <c r="K163" s="88"/>
    </row>
    <row r="164" spans="1:11" ht="409.6">
      <c r="A164" s="74">
        <v>166</v>
      </c>
      <c r="B164" s="85" t="str">
        <f>VLOOKUP(A164,[1]vaccines!A:B,2)</f>
        <v>HepB_Serum_India_1_0</v>
      </c>
      <c r="C164" s="72" t="s">
        <v>4086</v>
      </c>
      <c r="D164" s="72" t="s">
        <v>4087</v>
      </c>
      <c r="E164" s="59">
        <v>45981</v>
      </c>
      <c r="F164" s="73">
        <v>1</v>
      </c>
      <c r="G164" s="73">
        <v>0</v>
      </c>
      <c r="H164" s="86" t="s">
        <v>1489</v>
      </c>
      <c r="I164" s="59">
        <v>45466</v>
      </c>
      <c r="J164" s="59">
        <v>46053</v>
      </c>
      <c r="K164" s="88"/>
    </row>
    <row r="165" spans="1:11" ht="409.6">
      <c r="A165" s="74">
        <v>167</v>
      </c>
      <c r="B165" s="85" t="str">
        <f>VLOOKUP(A165,[1]vaccines!A:B,2)</f>
        <v>Hexaxim</v>
      </c>
      <c r="C165" s="72" t="s">
        <v>4125</v>
      </c>
      <c r="D165" s="72" t="s">
        <v>4126</v>
      </c>
      <c r="E165" s="59">
        <v>45504</v>
      </c>
      <c r="F165" s="85">
        <v>1</v>
      </c>
      <c r="G165" s="85">
        <v>0</v>
      </c>
      <c r="H165" s="86" t="s">
        <v>4127</v>
      </c>
      <c r="I165" s="59">
        <v>45558</v>
      </c>
      <c r="J165" s="43"/>
      <c r="K165" s="88"/>
    </row>
    <row r="166" spans="1:11" ht="409.6">
      <c r="A166" s="74">
        <v>168</v>
      </c>
      <c r="B166" s="85" t="str">
        <f>VLOOKUP(A166,[1]vaccines!A:B,2)</f>
        <v>Gam_VLP_multivac</v>
      </c>
      <c r="C166" s="72" t="s">
        <v>4128</v>
      </c>
      <c r="D166" s="72" t="s">
        <v>4129</v>
      </c>
      <c r="E166" s="59">
        <v>45632</v>
      </c>
      <c r="F166" s="73">
        <v>1</v>
      </c>
      <c r="G166" s="73">
        <v>0</v>
      </c>
      <c r="H166" s="86" t="s">
        <v>1553</v>
      </c>
      <c r="I166" s="59">
        <v>45678</v>
      </c>
      <c r="J166" s="43"/>
      <c r="K166" s="88"/>
    </row>
    <row r="167" spans="1:11" ht="409.6">
      <c r="A167" s="74">
        <v>169</v>
      </c>
      <c r="B167" s="85" t="str">
        <f>VLOOKUP(A167,[1]vaccines!A:B,2)</f>
        <v>Gam_VLP_multivac_nasal</v>
      </c>
      <c r="C167" s="72" t="s">
        <v>4130</v>
      </c>
      <c r="D167" s="72" t="s">
        <v>4131</v>
      </c>
      <c r="E167" s="59">
        <v>45737</v>
      </c>
      <c r="F167" s="73">
        <v>1</v>
      </c>
      <c r="G167" s="73">
        <v>0</v>
      </c>
      <c r="H167" s="86" t="s">
        <v>1555</v>
      </c>
      <c r="I167" s="59">
        <v>45742</v>
      </c>
      <c r="J167" s="43"/>
      <c r="K167" s="88"/>
    </row>
    <row r="168" spans="1:11" ht="343.2">
      <c r="A168" s="74">
        <v>170</v>
      </c>
      <c r="B168" s="85" t="str">
        <f>VLOOKUP(A168,[1]vaccines!A:B,2)</f>
        <v>Cegardex</v>
      </c>
      <c r="C168" s="72" t="s">
        <v>4132</v>
      </c>
      <c r="D168" s="72" t="s">
        <v>4133</v>
      </c>
      <c r="E168" s="59">
        <v>45721</v>
      </c>
      <c r="F168" s="73">
        <v>1</v>
      </c>
      <c r="G168" s="73">
        <v>0</v>
      </c>
      <c r="H168" s="86" t="s">
        <v>1557</v>
      </c>
      <c r="I168" s="59">
        <v>45742</v>
      </c>
      <c r="J168" s="43"/>
      <c r="K168" s="88"/>
    </row>
    <row r="169" spans="1:11" ht="343.2">
      <c r="A169" s="74">
        <v>171</v>
      </c>
      <c r="B169" s="85" t="str">
        <f>VLOOKUP(A169,[1]vaccines!A:B,2)</f>
        <v>Menvaid</v>
      </c>
      <c r="C169" s="72" t="s">
        <v>4134</v>
      </c>
      <c r="D169" s="72" t="s">
        <v>4135</v>
      </c>
      <c r="E169" s="59">
        <v>45740</v>
      </c>
      <c r="F169" s="73">
        <v>1</v>
      </c>
      <c r="G169" s="73">
        <v>0</v>
      </c>
      <c r="H169" s="86" t="s">
        <v>1560</v>
      </c>
      <c r="I169" s="59">
        <v>45755</v>
      </c>
      <c r="J169" s="43"/>
      <c r="K169" s="88"/>
    </row>
    <row r="170" spans="1:11" ht="409.6">
      <c r="A170" s="74">
        <v>172</v>
      </c>
      <c r="B170" s="85" t="str">
        <f>VLOOKUP(A170,[1]vaccines!A:B,2)</f>
        <v>ChiroRab</v>
      </c>
      <c r="C170" s="72" t="s">
        <v>3959</v>
      </c>
      <c r="D170" s="72" t="s">
        <v>3960</v>
      </c>
      <c r="E170" s="43">
        <v>42996</v>
      </c>
      <c r="F170" s="74">
        <v>1</v>
      </c>
      <c r="G170" s="74">
        <v>0</v>
      </c>
      <c r="H170" s="89" t="s">
        <v>1321</v>
      </c>
      <c r="I170" s="43">
        <v>45818</v>
      </c>
      <c r="J170" s="43"/>
      <c r="K170" s="91" t="s">
        <v>1562</v>
      </c>
    </row>
    <row r="171" spans="1:11" ht="409.6">
      <c r="A171" s="74">
        <v>173</v>
      </c>
      <c r="B171" s="85" t="str">
        <f>VLOOKUP(A171,[1]vaccines!A:B,2)</f>
        <v>Prevenar_20</v>
      </c>
      <c r="C171" s="72" t="s">
        <v>4136</v>
      </c>
      <c r="D171" s="72" t="s">
        <v>4137</v>
      </c>
      <c r="E171" s="59">
        <v>45835</v>
      </c>
      <c r="F171" s="73">
        <v>1</v>
      </c>
      <c r="G171" s="73">
        <v>0</v>
      </c>
      <c r="H171" s="86" t="s">
        <v>1564</v>
      </c>
      <c r="I171" s="59">
        <v>45861</v>
      </c>
      <c r="J171" s="43"/>
      <c r="K171" s="88"/>
    </row>
    <row r="172" spans="1:11" ht="277.2">
      <c r="A172" s="74">
        <v>174</v>
      </c>
      <c r="B172" s="85" t="str">
        <f>VLOOKUP(A172,[1]vaccines!A:B,2)</f>
        <v>aAKDS_M</v>
      </c>
      <c r="C172" s="72" t="s">
        <v>4138</v>
      </c>
      <c r="D172" s="72" t="s">
        <v>4139</v>
      </c>
      <c r="E172" s="59">
        <v>46104</v>
      </c>
      <c r="F172" s="73">
        <v>1</v>
      </c>
      <c r="G172" s="73">
        <v>0</v>
      </c>
      <c r="H172" s="86" t="s">
        <v>1567</v>
      </c>
      <c r="I172" s="59">
        <v>46131</v>
      </c>
      <c r="J172" s="43"/>
      <c r="K172" s="88"/>
    </row>
    <row r="173" spans="1:11" ht="409.6">
      <c r="A173" s="74">
        <v>175</v>
      </c>
      <c r="B173" s="85" t="str">
        <f>VLOOKUP(A173,[1]vaccines!A:B,2)</f>
        <v>Nimenrix</v>
      </c>
      <c r="C173" s="72" t="s">
        <v>4140</v>
      </c>
      <c r="D173" s="72" t="s">
        <v>4141</v>
      </c>
      <c r="E173" s="59">
        <v>46111</v>
      </c>
      <c r="F173" s="73">
        <v>1</v>
      </c>
      <c r="G173" s="73">
        <v>0</v>
      </c>
      <c r="H173" s="86" t="s">
        <v>1570</v>
      </c>
      <c r="I173" s="59">
        <v>46131</v>
      </c>
      <c r="J173" s="43"/>
      <c r="K173" s="88"/>
    </row>
  </sheetData>
  <dataValidations count="2">
    <dataValidation type="decimal" allowBlank="1" showDropDown="1" showErrorMessage="1" sqref="F2:F6 F10:F15 F17:F21 F24:F25 F29:F30 F35:F38 F40:F44 F46:F47 F50:F53 F57:F59 F63 F65 F69:F74 F76 F82 F87 F89 F91 F93 F95 F99:F101 F104:F106 F109:F110 F112:F113 F123" xr:uid="{A6AA191B-4D1A-4B55-BC86-AC94C23F3B10}">
      <formula1>1</formula1>
      <formula2>15</formula2>
    </dataValidation>
    <dataValidation type="custom" allowBlank="1" showDropDown="1" showErrorMessage="1" sqref="E2:E7 E10:E15 E17:E21 E24:E25 E29:E30 E35:E38 E40:E44 E46:E47 E50:E53 E55 E57:E59 E63 E65 E69:E74 E76 E82 E87 E89 E91 E93 E95 E99:E101 E104:E106 E109:E110 E112:E113 E123" xr:uid="{DF9E28AE-8050-450C-83EC-80907F8FB574}">
      <formula1>OR(NOT(ISERROR(DATEVALUE(E2))), AND(ISNUMBER(E2), LEFT(CELL("format", E2))="D"))</formula1>
    </dataValidation>
  </dataValidations>
  <hyperlinks>
    <hyperlink ref="H2" r:id="rId1" xr:uid="{70B21A6F-9814-4BB8-BB6D-1F960CE53DF9}"/>
    <hyperlink ref="K2" r:id="rId2" xr:uid="{1C559631-AF5A-4F51-B5E0-BF24064781B4}"/>
    <hyperlink ref="H3" r:id="rId3" xr:uid="{26A8335E-56FF-44E1-8649-365B8073285A}"/>
    <hyperlink ref="H4" r:id="rId4" xr:uid="{1874726C-8921-413C-A299-09BFF2804C3F}"/>
    <hyperlink ref="H5" r:id="rId5" xr:uid="{98D468A4-BCA5-4FD8-B5B1-968DF3C923BA}"/>
    <hyperlink ref="H6" r:id="rId6" xr:uid="{82B9241B-AC62-472B-B600-5626C1371208}"/>
    <hyperlink ref="K6" r:id="rId7" xr:uid="{D3779623-1457-4D6C-BE05-13F88F523765}"/>
    <hyperlink ref="H7" r:id="rId8" xr:uid="{1ECB5A63-AEF8-4E47-B153-39D44A064417}"/>
    <hyperlink ref="K7" r:id="rId9" xr:uid="{2076FFEF-45D9-4909-940A-81C03254C0AE}"/>
    <hyperlink ref="H8" r:id="rId10" xr:uid="{02451524-F89E-4381-AF08-566427CB6B94}"/>
    <hyperlink ref="H9" r:id="rId11" xr:uid="{2EA06326-8AD9-47E6-B8F8-08852D1D157F}"/>
    <hyperlink ref="H10" r:id="rId12" xr:uid="{ACED8763-4459-4BF7-9967-389FE15B09B3}"/>
    <hyperlink ref="H11" r:id="rId13" xr:uid="{5BE9DD14-80DC-49BC-8C36-AABA9352C080}"/>
    <hyperlink ref="H12" r:id="rId14" xr:uid="{5E6FF2CE-D46D-46E1-8EBE-24659C1054BC}"/>
    <hyperlink ref="H13" r:id="rId15" xr:uid="{4F84DD29-B65C-4E07-B9B8-88E502E91845}"/>
    <hyperlink ref="H14" r:id="rId16" xr:uid="{E8A18446-B825-4824-88B0-907E3A4AF8F1}"/>
    <hyperlink ref="H15" r:id="rId17" xr:uid="{D9567A5A-AD35-4E66-A23D-C11E38848E0E}"/>
    <hyperlink ref="H16" r:id="rId18" xr:uid="{0663D988-3C68-4D32-9441-ECEBD9E67AB9}"/>
    <hyperlink ref="H17" r:id="rId19" xr:uid="{20F423F4-FB3E-4013-AF0C-C62CA04DECEF}"/>
    <hyperlink ref="K17" r:id="rId20" xr:uid="{6A1E29A1-5F20-4CD1-85B9-B094361C34D2}"/>
    <hyperlink ref="H18" r:id="rId21" xr:uid="{5C9127EF-0A4F-4D9F-94C1-3B47A8D0A852}"/>
    <hyperlink ref="H19" r:id="rId22" xr:uid="{E03F8A9E-40E8-4907-860A-3B7DF7CCD12D}"/>
    <hyperlink ref="H20" r:id="rId23" xr:uid="{23076641-0FF9-4AEC-B3E6-287D77570C84}"/>
    <hyperlink ref="H21" r:id="rId24" xr:uid="{E0DD03F7-6075-430D-BE6F-14CF6DE757CF}"/>
    <hyperlink ref="H22" r:id="rId25" xr:uid="{9001464D-9253-4EBB-BEF7-368E8C2D6B71}"/>
    <hyperlink ref="H23" r:id="rId26" xr:uid="{E95EDFA5-7B91-41D4-BC03-8FF1E16604B9}"/>
    <hyperlink ref="H24" r:id="rId27" xr:uid="{0580B84A-1399-415F-87AA-5819B7575104}"/>
    <hyperlink ref="H25" r:id="rId28" xr:uid="{645FEB20-A141-465D-900A-CB63E015B446}"/>
    <hyperlink ref="H26" r:id="rId29" xr:uid="{91636B38-80AE-4588-BEFB-8CD11018707C}"/>
    <hyperlink ref="H27" r:id="rId30" xr:uid="{0390FD26-AC58-47C0-AD72-F9BFBEB2FE72}"/>
    <hyperlink ref="K27" r:id="rId31" xr:uid="{4D3B7CDD-A774-4D6B-9AA3-EA9A44A06AFF}"/>
    <hyperlink ref="H28" r:id="rId32" xr:uid="{23C77344-AEB1-4963-B929-B2EAEDDD3B3B}"/>
    <hyperlink ref="H29" r:id="rId33" xr:uid="{B010DF39-E8D7-4C15-9864-778C0F161DB0}"/>
    <hyperlink ref="H30" r:id="rId34" xr:uid="{A7CC0B7C-FFDC-4447-A715-6BF797D3B395}"/>
    <hyperlink ref="H31" r:id="rId35" xr:uid="{27761306-C704-426E-90F0-84E82703EE70}"/>
    <hyperlink ref="H32" r:id="rId36" xr:uid="{4F8FBA74-0902-427A-9C24-4EEB7DD86CF1}"/>
    <hyperlink ref="H33" r:id="rId37" xr:uid="{C1FE119F-0AE1-49EC-8B29-D6015963FA8C}"/>
    <hyperlink ref="H34" r:id="rId38" xr:uid="{15149EDC-D9FF-44E3-BD56-742AD160AA78}"/>
    <hyperlink ref="H35" r:id="rId39" xr:uid="{BCA55E29-5E10-4BF3-9DAE-C5223CD0F7AA}"/>
    <hyperlink ref="H36" r:id="rId40" xr:uid="{17C763FA-CA95-4957-9AE7-82E5EE875CB0}"/>
    <hyperlink ref="H37" r:id="rId41" xr:uid="{DA136BE4-EECF-4875-8BA0-F33F8B4F2F97}"/>
    <hyperlink ref="K37" r:id="rId42" xr:uid="{A377D73F-8C7B-4701-890F-45F22EA3DD3F}"/>
    <hyperlink ref="H38" r:id="rId43" xr:uid="{59939337-27E6-4CCE-BA44-46E03D620276}"/>
    <hyperlink ref="H39" r:id="rId44" xr:uid="{72B25A3D-63C2-4984-92AF-44BE520658DD}"/>
    <hyperlink ref="H40" r:id="rId45" xr:uid="{2253A405-7355-4781-A202-B8F04C33F058}"/>
    <hyperlink ref="H41" r:id="rId46" xr:uid="{A15201C0-0F0A-4AEE-86D9-153B0CA0471E}"/>
    <hyperlink ref="H42" r:id="rId47" xr:uid="{4516FFC6-15CA-4C6D-867C-4360CE2D8A04}"/>
    <hyperlink ref="H43" r:id="rId48" xr:uid="{F7F6AB54-80FF-41DD-950B-AE57BA96B784}"/>
    <hyperlink ref="H44" r:id="rId49" xr:uid="{95538770-9597-4635-8ED3-A410CF46EC5A}"/>
    <hyperlink ref="H45" r:id="rId50" xr:uid="{03956B31-E7D3-47E3-A5A6-FF09215DCACB}"/>
    <hyperlink ref="H46" r:id="rId51" xr:uid="{5B9C2A66-9B10-466E-A7A9-0B507BFBFF33}"/>
    <hyperlink ref="H47" r:id="rId52" xr:uid="{AE0FD913-8D41-4530-B375-86ECE7BAA9FB}"/>
    <hyperlink ref="K47" r:id="rId53" xr:uid="{DEC4CE80-4A4F-48F3-8F5B-F11613D1A715}"/>
    <hyperlink ref="H48" r:id="rId54" xr:uid="{778AC2BC-570E-4051-A3BA-7D985299D327}"/>
    <hyperlink ref="H49" r:id="rId55" xr:uid="{914C5F96-F3FE-40E0-B894-6A700F74E465}"/>
    <hyperlink ref="H50" r:id="rId56" xr:uid="{64D4B233-2EBF-44E9-B319-58F216B8B7D7}"/>
    <hyperlink ref="H51" r:id="rId57" xr:uid="{3CECE839-13E9-4919-86A0-AC96EC1D6604}"/>
    <hyperlink ref="H52" r:id="rId58" xr:uid="{8FD25EF6-1895-42AB-969C-8641BC97356D}"/>
    <hyperlink ref="H53" r:id="rId59" xr:uid="{176E061C-F475-4643-ABA8-A93EC224653D}"/>
    <hyperlink ref="H54" r:id="rId60" xr:uid="{1DC1FB20-2C4D-4B62-887C-02BF3FFA242A}"/>
    <hyperlink ref="H55" r:id="rId61" xr:uid="{BDB7D6E3-F70B-468D-8BD2-D678293C70F0}"/>
    <hyperlink ref="H56" r:id="rId62" xr:uid="{D1736B0F-F01B-41FE-8A2F-4382BA605A05}"/>
    <hyperlink ref="H57" r:id="rId63" xr:uid="{3CAB0277-787F-4785-B66E-246F751FF5F0}"/>
    <hyperlink ref="K57" r:id="rId64" xr:uid="{FAFD5707-FDA4-4267-946D-D48F230C03C4}"/>
    <hyperlink ref="H58" r:id="rId65" xr:uid="{7070EB9A-5CE6-457A-A6E1-878285285AC3}"/>
    <hyperlink ref="H59" r:id="rId66" xr:uid="{9820CDF0-5E80-44D8-85A1-A1E7492747F4}"/>
    <hyperlink ref="H60" r:id="rId67" xr:uid="{AF5724CD-F27F-4B66-94D8-1866EA3CB354}"/>
    <hyperlink ref="H61" r:id="rId68" xr:uid="{25AC8618-B1B5-401E-834E-F50B827FB6EE}"/>
    <hyperlink ref="H62" r:id="rId69" xr:uid="{EEE979A0-5A41-4ED4-B094-9EB2296F2F6E}"/>
    <hyperlink ref="H63" r:id="rId70" xr:uid="{F1032A27-2A78-4D9E-8296-C566C2C8317C}"/>
    <hyperlink ref="H64" r:id="rId71" xr:uid="{50F062A4-0ABD-45A7-9EDA-34D744CF97C8}"/>
    <hyperlink ref="H65" r:id="rId72" xr:uid="{E6D64BB8-4309-4027-B1A9-0E850EA0A616}"/>
    <hyperlink ref="H66" r:id="rId73" xr:uid="{5DF1CCE4-0118-4180-8D70-F7C8600E01D7}"/>
    <hyperlink ref="H67" r:id="rId74" xr:uid="{C0166B0D-6C5E-43D3-81B3-0A9B5F36508D}"/>
    <hyperlink ref="K67" r:id="rId75" xr:uid="{46F5635D-F5DF-413F-8502-1E49EAF5B800}"/>
    <hyperlink ref="H68" r:id="rId76" xr:uid="{A3F01AF7-E669-4901-8AA8-417D85ACF33F}"/>
    <hyperlink ref="H69" r:id="rId77" xr:uid="{1F76C8A9-0F7B-430E-BF31-E6A1C53127B2}"/>
    <hyperlink ref="H70" r:id="rId78" xr:uid="{F8161FDA-AFF3-484C-BB7A-25A27A40ADFD}"/>
    <hyperlink ref="H71" r:id="rId79" xr:uid="{A1BD4180-01E6-4F18-932C-05B5B80449D3}"/>
    <hyperlink ref="H72" r:id="rId80" xr:uid="{96C11EC2-EA68-498A-AF6C-7BA9B99018B5}"/>
    <hyperlink ref="H73" r:id="rId81" xr:uid="{EE9DB240-C6AC-485F-A755-9624E2E326FA}"/>
    <hyperlink ref="H74" r:id="rId82" xr:uid="{19FC7E53-816E-4482-827C-C79CE923C488}"/>
    <hyperlink ref="H75" r:id="rId83" xr:uid="{00AAB26B-D43A-4AB8-A5CC-AF486CF18F85}"/>
    <hyperlink ref="H76" r:id="rId84" xr:uid="{5C989029-B4BD-49B3-8423-F4C379ADFF52}"/>
    <hyperlink ref="H77" r:id="rId85" xr:uid="{8EE2BEF8-89D9-4E15-9D91-EB6474E64DFB}"/>
    <hyperlink ref="K77" r:id="rId86" xr:uid="{60DE3C42-F24D-4B43-925A-5FB2755B1B6F}"/>
    <hyperlink ref="H78" r:id="rId87" xr:uid="{5D842FFC-CE4C-42D9-B197-21EFF7CA1F55}"/>
    <hyperlink ref="H79" r:id="rId88" xr:uid="{4E8E93F0-50D0-44B0-B87D-5967EB50D411}"/>
    <hyperlink ref="H80" r:id="rId89" xr:uid="{A83FD6FD-1DE2-4337-8771-2C01EBE2A2FD}"/>
    <hyperlink ref="H81" r:id="rId90" xr:uid="{30B9574E-F3BC-4D88-BAAD-58246CF05082}"/>
    <hyperlink ref="H82" r:id="rId91" xr:uid="{29BDE20B-4D51-4B38-B028-BFF50E57FD55}"/>
    <hyperlink ref="H83" r:id="rId92" xr:uid="{1FF4C155-0CE7-4AD2-B249-BE676D5447A4}"/>
    <hyperlink ref="H84" r:id="rId93" xr:uid="{66EF753A-B952-46A2-BBA1-072D48264356}"/>
    <hyperlink ref="H85" r:id="rId94" xr:uid="{6047643A-8DB4-40D9-A1C0-D67D8952F128}"/>
    <hyperlink ref="H86" r:id="rId95" xr:uid="{DD9A9507-21EE-456D-876B-542C44B7875A}"/>
    <hyperlink ref="H87" r:id="rId96" xr:uid="{A2A9E587-C0D8-4C89-9503-BEF37A3E916C}"/>
    <hyperlink ref="K87" r:id="rId97" xr:uid="{6FEFC454-97B3-44C3-ADAE-A345CEFD47FE}"/>
    <hyperlink ref="H88" r:id="rId98" xr:uid="{C1DE083E-C7A0-4716-86F7-8A5AFACD188A}"/>
    <hyperlink ref="H89" r:id="rId99" xr:uid="{8ACADCBD-E800-45D5-9811-159A9C7E8FBE}"/>
    <hyperlink ref="H90" r:id="rId100" xr:uid="{B1031993-0897-495C-B7B0-6E6C3D2C8CB9}"/>
    <hyperlink ref="H91" r:id="rId101" xr:uid="{CC84A127-B888-4091-B6B8-7AC8D8EBB600}"/>
    <hyperlink ref="H92" r:id="rId102" xr:uid="{31330BAA-255F-453F-885D-75E2764F812E}"/>
    <hyperlink ref="H93" r:id="rId103" xr:uid="{26326CAD-A218-4530-91DA-CE7D04E1C9A0}"/>
    <hyperlink ref="H94" r:id="rId104" xr:uid="{A7F5B72D-16BE-43DA-A6C1-983518A0FFB3}"/>
    <hyperlink ref="H95" r:id="rId105" xr:uid="{5C10213C-13FE-4CD3-9E32-AF505A2502B6}"/>
    <hyperlink ref="H96" r:id="rId106" xr:uid="{79122088-871E-4025-A748-27354DCC7C98}"/>
    <hyperlink ref="H97" r:id="rId107" xr:uid="{56DC7DB1-7F49-49A0-BA48-A7022C5799D2}"/>
    <hyperlink ref="K97" r:id="rId108" xr:uid="{0137B8C3-D9A9-4E73-8519-E575CC3AFEDA}"/>
    <hyperlink ref="H98" r:id="rId109" xr:uid="{7F9601E0-7F97-4358-9FFB-01B82089203C}"/>
    <hyperlink ref="H99" r:id="rId110" xr:uid="{783481F8-FD25-441C-90BA-EBFCC865C702}"/>
    <hyperlink ref="H100" r:id="rId111" xr:uid="{847F7AA0-6875-461E-BCF9-25E0C9C8F9C9}"/>
    <hyperlink ref="H101" r:id="rId112" xr:uid="{E8F9F26D-39F3-4537-A7C3-8BC77AAA9F1E}"/>
    <hyperlink ref="H102" r:id="rId113" xr:uid="{2A4727E4-F600-4072-8021-78E00C4968CC}"/>
    <hyperlink ref="H103" r:id="rId114" xr:uid="{7989B653-4AD3-4097-97B3-E9EDC3229BF1}"/>
    <hyperlink ref="H104" r:id="rId115" xr:uid="{58B1773D-E121-4C4B-864E-CDAD55A30249}"/>
    <hyperlink ref="H105" r:id="rId116" xr:uid="{1BD58B6C-FBF8-4F2D-B58D-80BB5DF5864E}"/>
    <hyperlink ref="H106" r:id="rId117" xr:uid="{0014D341-0D99-45E1-982F-3118AC12617D}"/>
    <hyperlink ref="H107" r:id="rId118" xr:uid="{A5EAFF35-1606-49C0-864F-6858511D6F95}"/>
    <hyperlink ref="K107" r:id="rId119" xr:uid="{2885B9EA-DA06-42F8-B929-623239E26929}"/>
    <hyperlink ref="H108" r:id="rId120" xr:uid="{B1B11FB1-0D09-45F7-A413-CAF92FD65DD4}"/>
    <hyperlink ref="H109" r:id="rId121" xr:uid="{3A5D39FF-CAB4-4C93-A955-B3FB7EA8D123}"/>
    <hyperlink ref="H110" r:id="rId122" xr:uid="{9705050D-3FB7-471F-9F39-B3A3F9A4990B}"/>
    <hyperlink ref="H111" r:id="rId123" xr:uid="{2E2B6C90-AD02-4DB0-B3C9-0627DAC11B31}"/>
    <hyperlink ref="H112" r:id="rId124" xr:uid="{33DFAF6E-E567-44CC-9738-57CAD1B4D599}"/>
    <hyperlink ref="H113" r:id="rId125" xr:uid="{F59804F2-43EF-4313-A0DF-45403554B2D4}"/>
    <hyperlink ref="H114" r:id="rId126" xr:uid="{2E9BBD32-1F05-437A-8042-6446EDFF2B8E}"/>
    <hyperlink ref="H115" r:id="rId127" xr:uid="{E6F5D1E7-49D3-4B43-A78A-AB891B5D708B}"/>
    <hyperlink ref="H116" r:id="rId128" xr:uid="{4A130A69-7D2F-4AFE-9E98-E2196D68B035}"/>
    <hyperlink ref="H117" r:id="rId129" xr:uid="{30168E5A-3C8C-46FF-A75B-E4B331DF110F}"/>
    <hyperlink ref="K117" r:id="rId130" xr:uid="{A9D6D267-F9C5-4478-880E-21B0214783DB}"/>
    <hyperlink ref="H118" r:id="rId131" xr:uid="{A123AA72-D3B6-480F-87B6-6678EA2EA24E}"/>
    <hyperlink ref="H119" r:id="rId132" xr:uid="{EC3601C4-2D93-49BF-9E07-1683B814B7E8}"/>
    <hyperlink ref="K119" r:id="rId133" xr:uid="{AF12AAD6-659C-446E-A02F-5BE9D1F0B134}"/>
    <hyperlink ref="H120" r:id="rId134" xr:uid="{926CC6C1-1982-41BE-9675-E1F31291BCA8}"/>
    <hyperlink ref="H121" r:id="rId135" xr:uid="{AE47BFE7-07DD-440B-9AFD-9E72740EC5EF}"/>
    <hyperlink ref="H122" r:id="rId136" xr:uid="{4A8AC5B2-C4AB-4329-B707-314010E96708}"/>
    <hyperlink ref="H123" r:id="rId137" xr:uid="{56AF182B-55ED-401E-BF67-6BB58EEFF227}"/>
    <hyperlink ref="H124" r:id="rId138" xr:uid="{C70D51C0-3AE2-4580-914A-1D2C5529A16F}"/>
    <hyperlink ref="K124" r:id="rId139" xr:uid="{8095E458-32A6-406D-AEC7-AA7336210833}"/>
    <hyperlink ref="H125" r:id="rId140" xr:uid="{DBFD04C7-9507-47B3-90C1-8ECED72EF524}"/>
    <hyperlink ref="H126" r:id="rId141" xr:uid="{7807A923-B116-4C52-92EF-B9053736B99B}"/>
    <hyperlink ref="H127" r:id="rId142" xr:uid="{89F2B9DA-D19F-4F6B-AEFB-4147C05555B4}"/>
    <hyperlink ref="H128" r:id="rId143" xr:uid="{BF7F6DA7-2343-4E46-A238-7B9376D70AC6}"/>
    <hyperlink ref="H129" r:id="rId144" xr:uid="{73584D29-AEB3-4FC0-83FD-9C27CCC1CBA0}"/>
    <hyperlink ref="H130" r:id="rId145" xr:uid="{B6661476-8348-4245-B362-F9E0D4C059CD}"/>
    <hyperlink ref="H131" r:id="rId146" xr:uid="{1B60E416-1EE5-46A7-95CA-23766C05512D}"/>
    <hyperlink ref="H132" r:id="rId147" xr:uid="{057CC1B6-7380-494F-82FD-D342ECFE03BB}"/>
    <hyperlink ref="H133" r:id="rId148" xr:uid="{4B3445F7-CC4D-4AAA-B79E-AC8A27B8AA89}"/>
    <hyperlink ref="H134" r:id="rId149" xr:uid="{42E5FFA8-8C92-4ADF-848B-C8299D94F950}"/>
    <hyperlink ref="H135" r:id="rId150" xr:uid="{306C5535-D7D6-417B-A094-2DD543E99517}"/>
    <hyperlink ref="H136" r:id="rId151" xr:uid="{7BC50D7C-F867-41D3-B3D5-DB657810A106}"/>
    <hyperlink ref="H137" r:id="rId152" xr:uid="{F877E784-EADE-4716-8D6D-CDDF4A7590F1}"/>
    <hyperlink ref="H138" r:id="rId153" xr:uid="{83E5F909-3BEC-4623-BDDB-2FBA837FE27B}"/>
    <hyperlink ref="H139" r:id="rId154" xr:uid="{AF5F2025-FE26-4233-BF08-DDF66AA3EB4D}"/>
    <hyperlink ref="H140" r:id="rId155" xr:uid="{E11D9E28-AA7A-4423-AE64-D283BF66D29D}"/>
    <hyperlink ref="H141" r:id="rId156" xr:uid="{A37EDE44-DEB3-4BA6-A9A7-50CB00F46713}"/>
    <hyperlink ref="H142" r:id="rId157" xr:uid="{8F935D44-B177-4F1D-BD4D-FB512DCA8E30}"/>
    <hyperlink ref="H143" r:id="rId158" xr:uid="{BD1A24E2-A569-48EC-942D-2AB97692DE1E}"/>
    <hyperlink ref="H144" r:id="rId159" xr:uid="{F9B0EE36-C109-4699-AE0D-6740EFAF4FF6}"/>
    <hyperlink ref="H145" r:id="rId160" xr:uid="{4A789575-A28D-4E0D-B738-A0C0B51B10F5}"/>
    <hyperlink ref="H146" r:id="rId161" xr:uid="{943C4CB7-6697-4F99-8858-B86C98DE9265}"/>
    <hyperlink ref="H147" r:id="rId162" xr:uid="{BBA55407-7F0C-4B21-A6EA-13981FCE78FB}"/>
    <hyperlink ref="H148" r:id="rId163" xr:uid="{9EA57F80-3BB2-46D2-8ED1-2ED26442A555}"/>
    <hyperlink ref="H149" r:id="rId164" xr:uid="{A50E0ABC-A3CF-48A8-A358-DCB7BC8B7B8C}"/>
    <hyperlink ref="H150" r:id="rId165" xr:uid="{6F90FAE9-7918-4B68-9073-944AE6C608A8}"/>
    <hyperlink ref="H151" r:id="rId166" xr:uid="{4946F8DC-3F61-4678-9E07-73B17D8550A6}"/>
    <hyperlink ref="H152" r:id="rId167" xr:uid="{3F8CB3EE-A2AD-4FC4-A9FC-A2617E425ABD}"/>
    <hyperlink ref="H153" r:id="rId168" xr:uid="{7566D300-1623-4AFC-9EAC-1BBA1231C039}"/>
    <hyperlink ref="H154" r:id="rId169" xr:uid="{D37381B7-4C62-467A-9253-81EA2F59666E}"/>
    <hyperlink ref="H155" r:id="rId170" xr:uid="{F240D4E2-145F-4DAC-BCF1-3FC00D2DAC2D}"/>
    <hyperlink ref="H156" r:id="rId171" xr:uid="{A1945C54-0A9A-4D8C-B26F-7F6A6C761953}"/>
    <hyperlink ref="H157" r:id="rId172" xr:uid="{41DF3E36-36A8-451D-808A-87A19CAE4FCF}"/>
    <hyperlink ref="H158" r:id="rId173" xr:uid="{0343308E-238C-47CD-A592-7A7AC0F8E017}"/>
    <hyperlink ref="H159" r:id="rId174" xr:uid="{8A912033-8A10-45C7-BA5E-5989FD357597}"/>
    <hyperlink ref="H160" r:id="rId175" xr:uid="{0E6E8C5F-3A6C-4184-AA0F-EC7810ECCDAB}"/>
    <hyperlink ref="H161" r:id="rId176" xr:uid="{D8299F39-1AAF-4B1D-90A4-FCA0EAD37F5C}"/>
    <hyperlink ref="H162" r:id="rId177" xr:uid="{02F4F471-336D-454A-957D-0F189AC3BA52}"/>
    <hyperlink ref="H163" r:id="rId178" xr:uid="{D8FDD46B-6703-4DCC-8D9C-3517881B949D}"/>
    <hyperlink ref="H164" r:id="rId179" xr:uid="{9B0C0BB4-0721-4324-AC8E-8C9A90B0B863}"/>
    <hyperlink ref="H165" r:id="rId180" xr:uid="{FBD6A441-82B4-4B76-A8D9-F5C9165EF631}"/>
    <hyperlink ref="H166" r:id="rId181" xr:uid="{9E366E68-008A-469E-905F-2D8C3A29A15A}"/>
    <hyperlink ref="H167" r:id="rId182" xr:uid="{EE6AF31C-DA21-473A-9E65-428A1B21C531}"/>
    <hyperlink ref="H168" r:id="rId183" xr:uid="{B282CA59-6BA9-44E8-AEB9-61489240E456}"/>
    <hyperlink ref="H169" r:id="rId184" xr:uid="{1AC9B7C2-74CB-4978-B549-6FB6925F3401}"/>
    <hyperlink ref="H170" r:id="rId185" xr:uid="{A49F1012-9FAA-4FE9-A13C-C74402B123E4}"/>
    <hyperlink ref="H171" r:id="rId186" xr:uid="{34462734-EEC0-4C27-BA29-E83125102F88}"/>
    <hyperlink ref="H172" r:id="rId187" xr:uid="{9A985BD6-440A-473E-9082-6C89D08816E8}"/>
    <hyperlink ref="H173" r:id="rId188" xr:uid="{7711CB8E-1CF0-4D80-A9DF-B739DE2C6E4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997"/>
  <sheetViews>
    <sheetView workbookViewId="0">
      <pane xSplit="2" ySplit="1" topLeftCell="C11" activePane="bottomRight" state="frozen"/>
      <selection pane="topRight" activeCell="C1" sqref="C1"/>
      <selection pane="bottomLeft" activeCell="A2" sqref="A2"/>
      <selection pane="bottomRight" activeCell="G1" sqref="G1"/>
    </sheetView>
  </sheetViews>
  <sheetFormatPr defaultColWidth="12.6640625" defaultRowHeight="15.75" customHeight="1"/>
  <cols>
    <col min="1" max="1" width="9.88671875" customWidth="1"/>
    <col min="2" max="2" width="22.33203125" customWidth="1"/>
    <col min="3" max="3" width="51.109375" customWidth="1"/>
    <col min="11" max="11" width="46.77734375" customWidth="1"/>
  </cols>
  <sheetData>
    <row r="1" spans="1:11">
      <c r="A1" s="2" t="s">
        <v>1070</v>
      </c>
      <c r="B1" s="2" t="s">
        <v>1</v>
      </c>
      <c r="C1" s="2" t="s">
        <v>1071</v>
      </c>
      <c r="D1" s="3" t="s">
        <v>1072</v>
      </c>
      <c r="E1" s="2" t="s">
        <v>1073</v>
      </c>
      <c r="F1" s="2" t="s">
        <v>1074</v>
      </c>
      <c r="G1" s="2" t="s">
        <v>1075</v>
      </c>
      <c r="H1" s="3" t="s">
        <v>10</v>
      </c>
      <c r="I1" s="50" t="s">
        <v>11</v>
      </c>
      <c r="J1" s="2" t="s">
        <v>1076</v>
      </c>
      <c r="K1" s="1" t="s">
        <v>1077</v>
      </c>
    </row>
    <row r="2" spans="1:11">
      <c r="A2" s="7">
        <v>1</v>
      </c>
      <c r="B2" s="8" t="str">
        <f>VLOOKUP(A2,vaccines!A:B,2)</f>
        <v>BCG_Microgen</v>
      </c>
      <c r="C2" s="51" t="s">
        <v>1078</v>
      </c>
      <c r="D2" s="12">
        <v>45461</v>
      </c>
      <c r="E2" s="7"/>
      <c r="F2" s="7"/>
      <c r="G2" s="15" t="s">
        <v>1079</v>
      </c>
      <c r="H2" s="11">
        <v>44712</v>
      </c>
      <c r="I2" s="52">
        <v>45517</v>
      </c>
      <c r="J2" s="8"/>
      <c r="K2" s="51" t="s">
        <v>1080</v>
      </c>
    </row>
    <row r="3" spans="1:11">
      <c r="A3" s="7">
        <v>2</v>
      </c>
      <c r="B3" s="8" t="str">
        <f>VLOOKUP(A3,vaccines!A:B,2)</f>
        <v>BCG_M_Microgen</v>
      </c>
      <c r="C3" s="28" t="s">
        <v>1081</v>
      </c>
      <c r="D3" s="12">
        <v>45461</v>
      </c>
      <c r="E3" s="7"/>
      <c r="F3" s="7"/>
      <c r="G3" s="15" t="s">
        <v>1082</v>
      </c>
      <c r="H3" s="11">
        <f t="shared" ref="H3:H50" si="0">H2</f>
        <v>44712</v>
      </c>
      <c r="I3" s="52">
        <v>45517</v>
      </c>
      <c r="J3" s="8"/>
      <c r="K3" s="28" t="s">
        <v>1083</v>
      </c>
    </row>
    <row r="4" spans="1:11">
      <c r="A4" s="7">
        <v>3</v>
      </c>
      <c r="B4" s="8" t="str">
        <f>VLOOKUP(A4,vaccines!A:B,2)</f>
        <v>BCG_Gamaleya</v>
      </c>
      <c r="C4" s="51" t="s">
        <v>1084</v>
      </c>
      <c r="D4" s="12">
        <v>45769</v>
      </c>
      <c r="E4" s="7">
        <v>1</v>
      </c>
      <c r="F4" s="7">
        <v>0</v>
      </c>
      <c r="G4" s="15" t="s">
        <v>1085</v>
      </c>
      <c r="H4" s="11">
        <f t="shared" si="0"/>
        <v>44712</v>
      </c>
      <c r="I4" s="52">
        <v>45801</v>
      </c>
      <c r="J4" s="8"/>
      <c r="K4" s="51" t="s">
        <v>1086</v>
      </c>
    </row>
    <row r="5" spans="1:11">
      <c r="A5" s="7">
        <v>4</v>
      </c>
      <c r="B5" s="8" t="str">
        <f>VLOOKUP(A5,vaccines!A:B,2)</f>
        <v>BCG_M_Gamaleya</v>
      </c>
      <c r="C5" s="51" t="s">
        <v>1087</v>
      </c>
      <c r="D5" s="12">
        <v>45771</v>
      </c>
      <c r="E5" s="7">
        <v>1</v>
      </c>
      <c r="F5" s="7">
        <v>0</v>
      </c>
      <c r="G5" s="15" t="s">
        <v>1088</v>
      </c>
      <c r="H5" s="11">
        <f t="shared" si="0"/>
        <v>44712</v>
      </c>
      <c r="I5" s="52">
        <v>45818</v>
      </c>
      <c r="J5" s="8"/>
      <c r="K5" s="51" t="s">
        <v>1089</v>
      </c>
    </row>
    <row r="6" spans="1:11">
      <c r="A6" s="7">
        <v>5</v>
      </c>
      <c r="B6" s="8" t="str">
        <f>VLOOKUP(A6,vaccines!A:B,2)</f>
        <v>Infanrix</v>
      </c>
      <c r="C6" s="10" t="s">
        <v>1090</v>
      </c>
      <c r="D6" s="12">
        <v>44211</v>
      </c>
      <c r="E6" s="7"/>
      <c r="F6" s="7"/>
      <c r="G6" s="15" t="s">
        <v>1091</v>
      </c>
      <c r="H6" s="11">
        <f t="shared" si="0"/>
        <v>44712</v>
      </c>
      <c r="I6" s="52">
        <v>45481</v>
      </c>
      <c r="J6" s="8"/>
      <c r="K6" s="10" t="s">
        <v>1092</v>
      </c>
    </row>
    <row r="7" spans="1:11">
      <c r="A7" s="7">
        <v>6</v>
      </c>
      <c r="B7" s="8" t="str">
        <f>VLOOKUP(A7,vaccines!A:B,2)</f>
        <v>AKDS_Microgen</v>
      </c>
      <c r="C7" s="28" t="s">
        <v>1093</v>
      </c>
      <c r="D7" s="12">
        <v>45415</v>
      </c>
      <c r="E7" s="7"/>
      <c r="F7" s="7"/>
      <c r="G7" s="15" t="s">
        <v>1094</v>
      </c>
      <c r="H7" s="11">
        <f t="shared" si="0"/>
        <v>44712</v>
      </c>
      <c r="I7" s="52">
        <v>45461</v>
      </c>
      <c r="J7" s="8"/>
      <c r="K7" s="28" t="s">
        <v>1095</v>
      </c>
    </row>
    <row r="8" spans="1:11">
      <c r="A8" s="7">
        <v>7</v>
      </c>
      <c r="B8" s="8" t="str">
        <f>VLOOKUP(A8,vaccines!A:B,2)</f>
        <v>AKDS_Biomed</v>
      </c>
      <c r="C8" s="10" t="s">
        <v>1096</v>
      </c>
      <c r="D8" s="11">
        <v>41388</v>
      </c>
      <c r="E8" s="7">
        <v>1</v>
      </c>
      <c r="F8" s="7">
        <v>0</v>
      </c>
      <c r="G8" s="19" t="s">
        <v>1097</v>
      </c>
      <c r="H8" s="11">
        <f t="shared" si="0"/>
        <v>44712</v>
      </c>
      <c r="I8" s="53">
        <v>44904</v>
      </c>
      <c r="J8" s="8"/>
      <c r="K8" s="10" t="s">
        <v>1098</v>
      </c>
    </row>
    <row r="9" spans="1:11">
      <c r="A9" s="7">
        <v>8</v>
      </c>
      <c r="B9" s="8" t="str">
        <f>VLOOKUP(A9,vaccines!A:B,2)</f>
        <v>Bubo_kok</v>
      </c>
      <c r="C9" s="10" t="s">
        <v>1099</v>
      </c>
      <c r="D9" s="11">
        <v>40395</v>
      </c>
      <c r="E9" s="7">
        <v>1</v>
      </c>
      <c r="F9" s="7">
        <v>0</v>
      </c>
      <c r="G9" s="19" t="s">
        <v>1100</v>
      </c>
      <c r="H9" s="11">
        <f t="shared" si="0"/>
        <v>44712</v>
      </c>
      <c r="I9" s="53">
        <v>44910</v>
      </c>
      <c r="J9" s="8" t="s">
        <v>1101</v>
      </c>
      <c r="K9" s="10" t="s">
        <v>1102</v>
      </c>
    </row>
    <row r="10" spans="1:11">
      <c r="A10" s="7">
        <v>9</v>
      </c>
      <c r="B10" s="8" t="str">
        <f>VLOOKUP(A10,vaccines!A:B,2)</f>
        <v>Pentaxim</v>
      </c>
      <c r="C10" s="28" t="s">
        <v>1103</v>
      </c>
      <c r="D10" s="12">
        <v>45980</v>
      </c>
      <c r="E10" s="54">
        <v>1</v>
      </c>
      <c r="F10" s="54">
        <v>0</v>
      </c>
      <c r="G10" s="15" t="s">
        <v>1104</v>
      </c>
      <c r="H10" s="11">
        <f t="shared" si="0"/>
        <v>44712</v>
      </c>
      <c r="I10" s="52">
        <v>46204</v>
      </c>
      <c r="J10" s="55" t="s">
        <v>1105</v>
      </c>
      <c r="K10" s="28" t="s">
        <v>1106</v>
      </c>
    </row>
    <row r="11" spans="1:11">
      <c r="A11" s="7">
        <v>10</v>
      </c>
      <c r="B11" s="8" t="str">
        <f>VLOOKUP(A11,vaccines!A:B,2)</f>
        <v>Infanrix_Hexa</v>
      </c>
      <c r="C11" s="28" t="s">
        <v>1107</v>
      </c>
      <c r="D11" s="12">
        <v>45953</v>
      </c>
      <c r="E11" s="54">
        <v>1</v>
      </c>
      <c r="F11" s="54">
        <v>0</v>
      </c>
      <c r="G11" s="27" t="s">
        <v>1108</v>
      </c>
      <c r="H11" s="11">
        <f t="shared" si="0"/>
        <v>44712</v>
      </c>
      <c r="I11" s="52">
        <v>46000</v>
      </c>
      <c r="J11" s="8"/>
      <c r="K11" s="28" t="s">
        <v>1109</v>
      </c>
    </row>
    <row r="12" spans="1:11">
      <c r="A12" s="7">
        <v>11</v>
      </c>
      <c r="B12" s="8" t="str">
        <f>VLOOKUP(A12,vaccines!A:B,2)</f>
        <v>Bubo_M</v>
      </c>
      <c r="C12" s="28" t="s">
        <v>1110</v>
      </c>
      <c r="D12" s="12">
        <v>46136</v>
      </c>
      <c r="E12" s="7">
        <v>1</v>
      </c>
      <c r="F12" s="7">
        <v>0</v>
      </c>
      <c r="G12" s="15" t="s">
        <v>1111</v>
      </c>
      <c r="H12" s="11">
        <f t="shared" si="0"/>
        <v>44712</v>
      </c>
      <c r="I12" s="52">
        <v>46188</v>
      </c>
      <c r="J12" s="8"/>
      <c r="K12" s="28" t="s">
        <v>1112</v>
      </c>
    </row>
    <row r="13" spans="1:11">
      <c r="A13" s="7">
        <v>12</v>
      </c>
      <c r="B13" s="8" t="str">
        <f>VLOOKUP(A13,vaccines!A:B,2)</f>
        <v>AD_M_Microgen</v>
      </c>
      <c r="C13" s="28" t="s">
        <v>1113</v>
      </c>
      <c r="D13" s="12">
        <v>45482</v>
      </c>
      <c r="E13" s="7"/>
      <c r="F13" s="7"/>
      <c r="G13" s="15" t="s">
        <v>1114</v>
      </c>
      <c r="H13" s="11">
        <f t="shared" si="0"/>
        <v>44712</v>
      </c>
      <c r="I13" s="52">
        <v>45518</v>
      </c>
      <c r="J13" s="8"/>
      <c r="K13" s="28" t="s">
        <v>1115</v>
      </c>
    </row>
    <row r="14" spans="1:11">
      <c r="A14" s="7">
        <v>13</v>
      </c>
      <c r="B14" s="8" t="str">
        <f>VLOOKUP(A14,vaccines!A:B,2)</f>
        <v>ADS_Microgen</v>
      </c>
      <c r="C14" s="28" t="s">
        <v>1116</v>
      </c>
      <c r="D14" s="12">
        <v>45488</v>
      </c>
      <c r="E14" s="7"/>
      <c r="F14" s="7"/>
      <c r="G14" s="15" t="s">
        <v>1117</v>
      </c>
      <c r="H14" s="11">
        <f t="shared" si="0"/>
        <v>44712</v>
      </c>
      <c r="I14" s="52">
        <v>45518</v>
      </c>
      <c r="J14" s="8" t="s">
        <v>1118</v>
      </c>
      <c r="K14" s="28" t="s">
        <v>1119</v>
      </c>
    </row>
    <row r="15" spans="1:11">
      <c r="A15" s="7">
        <v>14</v>
      </c>
      <c r="B15" s="8" t="str">
        <f>VLOOKUP(A15,vaccines!A:B,2)</f>
        <v>ADS_M_Microgen</v>
      </c>
      <c r="C15" s="28" t="s">
        <v>1120</v>
      </c>
      <c r="D15" s="12">
        <v>45623</v>
      </c>
      <c r="E15" s="54">
        <v>1</v>
      </c>
      <c r="F15" s="54">
        <v>0</v>
      </c>
      <c r="G15" s="15" t="s">
        <v>1121</v>
      </c>
      <c r="H15" s="11">
        <f t="shared" si="0"/>
        <v>44712</v>
      </c>
      <c r="I15" s="52">
        <v>45861</v>
      </c>
      <c r="J15" s="8" t="s">
        <v>1118</v>
      </c>
      <c r="K15" s="28" t="s">
        <v>1122</v>
      </c>
    </row>
    <row r="16" spans="1:11">
      <c r="A16" s="7">
        <v>15</v>
      </c>
      <c r="B16" s="8" t="str">
        <f>VLOOKUP(A16,vaccines!A:B,2)</f>
        <v>ADS_M_Biomed</v>
      </c>
      <c r="C16" s="10" t="s">
        <v>1123</v>
      </c>
      <c r="D16" s="11">
        <v>41046</v>
      </c>
      <c r="E16" s="7">
        <v>1</v>
      </c>
      <c r="F16" s="7">
        <v>0</v>
      </c>
      <c r="G16" s="19" t="s">
        <v>1124</v>
      </c>
      <c r="H16" s="11">
        <f t="shared" si="0"/>
        <v>44712</v>
      </c>
      <c r="I16" s="53">
        <v>44914</v>
      </c>
      <c r="J16" s="8"/>
      <c r="K16" s="10" t="s">
        <v>1125</v>
      </c>
    </row>
    <row r="17" spans="1:11">
      <c r="A17" s="7">
        <v>16</v>
      </c>
      <c r="B17" s="8" t="str">
        <f>VLOOKUP(A17,vaccines!A:B,2)</f>
        <v>Adacel</v>
      </c>
      <c r="C17" s="28" t="s">
        <v>1126</v>
      </c>
      <c r="D17" s="12">
        <v>45456</v>
      </c>
      <c r="E17" s="7"/>
      <c r="F17" s="7"/>
      <c r="G17" s="9" t="s">
        <v>1127</v>
      </c>
      <c r="H17" s="11">
        <f t="shared" si="0"/>
        <v>44712</v>
      </c>
      <c r="I17" s="52">
        <v>45589</v>
      </c>
      <c r="J17" s="8"/>
      <c r="K17" s="28" t="s">
        <v>1128</v>
      </c>
    </row>
    <row r="18" spans="1:11">
      <c r="A18" s="7">
        <v>17</v>
      </c>
      <c r="B18" s="8" t="str">
        <f>VLOOKUP(A18,vaccines!A:B,2)</f>
        <v>Algavac_M</v>
      </c>
      <c r="C18" s="10" t="s">
        <v>1129</v>
      </c>
      <c r="D18" s="11">
        <v>43369</v>
      </c>
      <c r="E18" s="7">
        <v>1</v>
      </c>
      <c r="F18" s="7">
        <v>0</v>
      </c>
      <c r="G18" s="19" t="s">
        <v>1130</v>
      </c>
      <c r="H18" s="11">
        <f t="shared" si="0"/>
        <v>44712</v>
      </c>
      <c r="I18" s="53">
        <v>44915</v>
      </c>
      <c r="J18" s="8"/>
      <c r="K18" s="10" t="s">
        <v>1131</v>
      </c>
    </row>
    <row r="19" spans="1:11">
      <c r="A19" s="7">
        <v>18</v>
      </c>
      <c r="B19" s="8" t="str">
        <f>VLOOKUP(A19,vaccines!A:B,2)</f>
        <v>Algavac</v>
      </c>
      <c r="C19" s="28" t="s">
        <v>1132</v>
      </c>
      <c r="D19" s="12">
        <v>46111</v>
      </c>
      <c r="E19" s="7">
        <v>1</v>
      </c>
      <c r="F19" s="7">
        <v>0</v>
      </c>
      <c r="G19" s="15" t="s">
        <v>1133</v>
      </c>
      <c r="H19" s="11">
        <f t="shared" si="0"/>
        <v>44712</v>
      </c>
      <c r="I19" s="52">
        <v>46188</v>
      </c>
      <c r="J19" s="8"/>
      <c r="K19" s="28" t="s">
        <v>1134</v>
      </c>
    </row>
    <row r="20" spans="1:11">
      <c r="A20" s="7">
        <v>19</v>
      </c>
      <c r="B20" s="8" t="str">
        <f>VLOOKUP(A20,vaccines!A:B,2)</f>
        <v>Havrix_720</v>
      </c>
      <c r="C20" s="28" t="s">
        <v>1135</v>
      </c>
      <c r="D20" s="12">
        <v>45490</v>
      </c>
      <c r="E20" s="7"/>
      <c r="F20" s="7"/>
      <c r="G20" s="15" t="s">
        <v>1136</v>
      </c>
      <c r="H20" s="11">
        <f t="shared" si="0"/>
        <v>44712</v>
      </c>
      <c r="I20" s="52">
        <v>45558</v>
      </c>
      <c r="J20" s="8"/>
      <c r="K20" s="28" t="s">
        <v>1137</v>
      </c>
    </row>
    <row r="21" spans="1:11">
      <c r="A21" s="7">
        <v>20</v>
      </c>
      <c r="B21" s="8" t="str">
        <f>VLOOKUP(A21,vaccines!A:B,2)</f>
        <v>Havrix_1440</v>
      </c>
      <c r="C21" s="28" t="s">
        <v>1138</v>
      </c>
      <c r="D21" s="12">
        <v>45490</v>
      </c>
      <c r="E21" s="7"/>
      <c r="F21" s="7"/>
      <c r="G21" s="15" t="s">
        <v>1136</v>
      </c>
      <c r="H21" s="11">
        <f t="shared" si="0"/>
        <v>44712</v>
      </c>
      <c r="I21" s="52">
        <v>45558</v>
      </c>
      <c r="J21" s="8"/>
      <c r="K21" s="28" t="s">
        <v>1139</v>
      </c>
    </row>
    <row r="22" spans="1:11">
      <c r="A22" s="7">
        <v>21</v>
      </c>
      <c r="B22" s="8" t="str">
        <f>VLOOKUP(A22,vaccines!A:B,2)</f>
        <v>Avaxim_80</v>
      </c>
      <c r="C22" s="10" t="s">
        <v>1140</v>
      </c>
      <c r="D22" s="11">
        <v>43500</v>
      </c>
      <c r="E22" s="7">
        <v>3</v>
      </c>
      <c r="F22" s="7">
        <v>2</v>
      </c>
      <c r="G22" s="19" t="s">
        <v>1141</v>
      </c>
      <c r="H22" s="11">
        <f t="shared" si="0"/>
        <v>44712</v>
      </c>
      <c r="I22" s="53">
        <v>45079</v>
      </c>
      <c r="J22" s="8"/>
      <c r="K22" s="10" t="s">
        <v>1142</v>
      </c>
    </row>
    <row r="23" spans="1:11">
      <c r="A23" s="7">
        <v>22</v>
      </c>
      <c r="B23" s="8" t="str">
        <f>VLOOKUP(A23,vaccines!A:B,2)</f>
        <v>Avaxim_160</v>
      </c>
      <c r="C23" s="10" t="s">
        <v>1143</v>
      </c>
      <c r="D23" s="11">
        <v>42131</v>
      </c>
      <c r="E23" s="7">
        <v>1</v>
      </c>
      <c r="F23" s="7">
        <v>0</v>
      </c>
      <c r="G23" s="19" t="s">
        <v>1144</v>
      </c>
      <c r="H23" s="11">
        <f t="shared" si="0"/>
        <v>44712</v>
      </c>
      <c r="I23" s="53">
        <v>45079</v>
      </c>
      <c r="J23" s="8"/>
      <c r="K23" s="10" t="s">
        <v>1145</v>
      </c>
    </row>
    <row r="24" spans="1:11">
      <c r="A24" s="7">
        <v>23</v>
      </c>
      <c r="B24" s="8" t="str">
        <f>VLOOKUP(A24,vaccines!A:B,2)</f>
        <v>Regevac_0_5</v>
      </c>
      <c r="C24" s="10" t="s">
        <v>1146</v>
      </c>
      <c r="D24" s="12">
        <v>45216</v>
      </c>
      <c r="E24" s="54">
        <v>1</v>
      </c>
      <c r="F24" s="54">
        <v>0</v>
      </c>
      <c r="G24" s="15" t="s">
        <v>1147</v>
      </c>
      <c r="H24" s="11">
        <f t="shared" si="0"/>
        <v>44712</v>
      </c>
      <c r="I24" s="52">
        <v>45988</v>
      </c>
      <c r="J24" s="8"/>
      <c r="K24" s="10" t="s">
        <v>1148</v>
      </c>
    </row>
    <row r="25" spans="1:11">
      <c r="A25" s="7">
        <v>24</v>
      </c>
      <c r="B25" s="8" t="str">
        <f>VLOOKUP(A25,vaccines!A:B,2)</f>
        <v>HepB_Combiotech_0_5</v>
      </c>
      <c r="C25" s="28" t="s">
        <v>1149</v>
      </c>
      <c r="D25" s="12">
        <v>46056</v>
      </c>
      <c r="E25" s="7">
        <v>1</v>
      </c>
      <c r="F25" s="7">
        <v>0</v>
      </c>
      <c r="G25" s="15" t="s">
        <v>1150</v>
      </c>
      <c r="H25" s="11">
        <f t="shared" si="0"/>
        <v>44712</v>
      </c>
      <c r="I25" s="52">
        <v>46130</v>
      </c>
      <c r="J25" s="8"/>
      <c r="K25" s="28" t="s">
        <v>1151</v>
      </c>
    </row>
    <row r="26" spans="1:11">
      <c r="A26" s="7">
        <v>25</v>
      </c>
      <c r="B26" s="8" t="str">
        <f>VLOOKUP(A26,vaccines!A:B,2)</f>
        <v>Euvax_B_0_5</v>
      </c>
      <c r="C26" s="10" t="s">
        <v>1152</v>
      </c>
      <c r="D26" s="11">
        <v>42410</v>
      </c>
      <c r="E26" s="7">
        <v>2</v>
      </c>
      <c r="F26" s="7">
        <v>1</v>
      </c>
      <c r="G26" s="19" t="s">
        <v>1153</v>
      </c>
      <c r="H26" s="11">
        <f t="shared" si="0"/>
        <v>44712</v>
      </c>
      <c r="I26" s="53">
        <v>44916</v>
      </c>
      <c r="J26" s="8"/>
      <c r="K26" s="10" t="s">
        <v>1154</v>
      </c>
    </row>
    <row r="27" spans="1:11">
      <c r="A27" s="7">
        <v>26</v>
      </c>
      <c r="B27" s="8" t="str">
        <f>VLOOKUP(A27,vaccines!A:B,2)</f>
        <v>Euvax_B_1_0</v>
      </c>
      <c r="C27" s="10" t="s">
        <v>1155</v>
      </c>
      <c r="D27" s="11">
        <v>42410</v>
      </c>
      <c r="E27" s="7">
        <v>2</v>
      </c>
      <c r="F27" s="7">
        <v>1</v>
      </c>
      <c r="G27" s="19" t="s">
        <v>1153</v>
      </c>
      <c r="H27" s="11">
        <f t="shared" si="0"/>
        <v>44712</v>
      </c>
      <c r="I27" s="53">
        <v>44916</v>
      </c>
      <c r="J27" s="8"/>
      <c r="K27" s="10" t="s">
        <v>1156</v>
      </c>
    </row>
    <row r="28" spans="1:11">
      <c r="A28" s="7">
        <v>27</v>
      </c>
      <c r="B28" s="8" t="str">
        <f>VLOOKUP(A28,vaccines!A:B,2)</f>
        <v>Cervarix</v>
      </c>
      <c r="C28" s="28" t="s">
        <v>1157</v>
      </c>
      <c r="D28" s="12">
        <v>45513</v>
      </c>
      <c r="E28" s="7"/>
      <c r="F28" s="7"/>
      <c r="G28" s="15" t="s">
        <v>1158</v>
      </c>
      <c r="H28" s="11">
        <f t="shared" si="0"/>
        <v>44712</v>
      </c>
      <c r="I28" s="52">
        <v>45589</v>
      </c>
      <c r="J28" s="8"/>
      <c r="K28" s="28" t="s">
        <v>1159</v>
      </c>
    </row>
    <row r="29" spans="1:11">
      <c r="A29" s="7">
        <v>28</v>
      </c>
      <c r="B29" s="8" t="str">
        <f>VLOOKUP(A29,vaccines!A:B,2)</f>
        <v>Gardasil_4</v>
      </c>
      <c r="C29" s="28" t="s">
        <v>1160</v>
      </c>
      <c r="D29" s="12">
        <v>45386</v>
      </c>
      <c r="E29" s="7"/>
      <c r="F29" s="7"/>
      <c r="G29" s="15" t="s">
        <v>1161</v>
      </c>
      <c r="H29" s="11">
        <f t="shared" si="0"/>
        <v>44712</v>
      </c>
      <c r="I29" s="52">
        <v>45483</v>
      </c>
      <c r="J29" s="8"/>
      <c r="K29" s="28" t="s">
        <v>1162</v>
      </c>
    </row>
    <row r="30" spans="1:11">
      <c r="A30" s="7">
        <v>29</v>
      </c>
      <c r="B30" s="8" t="str">
        <f>VLOOKUP(A30,vaccines!A:B,2)</f>
        <v>Sputnik</v>
      </c>
      <c r="C30" s="28" t="s">
        <v>1163</v>
      </c>
      <c r="D30" s="12">
        <v>45839</v>
      </c>
      <c r="E30" s="7">
        <v>1</v>
      </c>
      <c r="F30" s="7">
        <v>0</v>
      </c>
      <c r="G30" s="15" t="s">
        <v>1164</v>
      </c>
      <c r="H30" s="11">
        <f t="shared" si="0"/>
        <v>44712</v>
      </c>
      <c r="I30" s="52">
        <v>45923</v>
      </c>
      <c r="J30" s="8"/>
      <c r="K30" s="28" t="s">
        <v>1165</v>
      </c>
    </row>
    <row r="31" spans="1:11">
      <c r="A31" s="7">
        <v>30</v>
      </c>
      <c r="B31" s="8" t="str">
        <f>VLOOKUP(A31,vaccines!A:B,2)</f>
        <v>Sputnik_Lyo</v>
      </c>
      <c r="C31" s="10" t="s">
        <v>1166</v>
      </c>
      <c r="D31" s="11">
        <v>44068</v>
      </c>
      <c r="E31" s="7">
        <v>1</v>
      </c>
      <c r="F31" s="7">
        <v>0</v>
      </c>
      <c r="G31" s="19" t="s">
        <v>1167</v>
      </c>
      <c r="H31" s="11">
        <f t="shared" si="0"/>
        <v>44712</v>
      </c>
      <c r="I31" s="53">
        <v>45078</v>
      </c>
      <c r="J31" s="8"/>
      <c r="K31" s="10" t="s">
        <v>1168</v>
      </c>
    </row>
    <row r="32" spans="1:11">
      <c r="A32" s="7">
        <v>31</v>
      </c>
      <c r="B32" s="8" t="str">
        <f>VLOOKUP(A32,vaccines!A:B,2)</f>
        <v>EpiVacCorona</v>
      </c>
      <c r="C32" s="10" t="s">
        <v>1169</v>
      </c>
      <c r="D32" s="11">
        <v>44909</v>
      </c>
      <c r="E32" s="7">
        <v>1</v>
      </c>
      <c r="F32" s="7">
        <v>0</v>
      </c>
      <c r="G32" s="19" t="s">
        <v>1170</v>
      </c>
      <c r="H32" s="11">
        <f t="shared" si="0"/>
        <v>44712</v>
      </c>
      <c r="I32" s="53">
        <v>45078</v>
      </c>
      <c r="J32" s="8"/>
      <c r="K32" s="10" t="s">
        <v>1171</v>
      </c>
    </row>
    <row r="33" spans="1:11">
      <c r="A33" s="7">
        <v>32</v>
      </c>
      <c r="B33" s="8" t="str">
        <f>VLOOKUP(A33,vaccines!A:B,2)</f>
        <v>Grippol_Microgen</v>
      </c>
      <c r="C33" s="10" t="s">
        <v>1172</v>
      </c>
      <c r="D33" s="11">
        <v>41411</v>
      </c>
      <c r="E33" s="7">
        <v>1</v>
      </c>
      <c r="F33" s="7">
        <v>0</v>
      </c>
      <c r="G33" s="19" t="s">
        <v>1173</v>
      </c>
      <c r="H33" s="11">
        <f t="shared" si="0"/>
        <v>44712</v>
      </c>
      <c r="I33" s="53">
        <v>45079</v>
      </c>
      <c r="J33" s="8"/>
      <c r="K33" s="10" t="s">
        <v>1174</v>
      </c>
    </row>
    <row r="34" spans="1:11">
      <c r="A34" s="7">
        <v>33</v>
      </c>
      <c r="B34" s="8" t="str">
        <f>VLOOKUP(A34,vaccines!A:B,2)</f>
        <v>Grippol_Petrovax</v>
      </c>
      <c r="C34" s="10" t="s">
        <v>1175</v>
      </c>
      <c r="D34" s="11">
        <v>40634</v>
      </c>
      <c r="E34" s="7">
        <v>1</v>
      </c>
      <c r="F34" s="7">
        <v>0</v>
      </c>
      <c r="G34" s="19" t="s">
        <v>1176</v>
      </c>
      <c r="H34" s="11">
        <f t="shared" si="0"/>
        <v>44712</v>
      </c>
      <c r="I34" s="53">
        <v>45079</v>
      </c>
      <c r="J34" s="8"/>
      <c r="K34" s="10" t="s">
        <v>1177</v>
      </c>
    </row>
    <row r="35" spans="1:11">
      <c r="A35" s="7">
        <v>34</v>
      </c>
      <c r="B35" s="8" t="str">
        <f>VLOOKUP(A35,vaccines!A:B,2)</f>
        <v>Grippol_plus_0_5</v>
      </c>
      <c r="C35" s="28" t="s">
        <v>1178</v>
      </c>
      <c r="D35" s="12">
        <v>45182</v>
      </c>
      <c r="E35" s="7"/>
      <c r="F35" s="7"/>
      <c r="G35" s="15" t="s">
        <v>1179</v>
      </c>
      <c r="H35" s="11">
        <f t="shared" si="0"/>
        <v>44712</v>
      </c>
      <c r="I35" s="52">
        <v>45483</v>
      </c>
      <c r="J35" s="8"/>
      <c r="K35" s="28" t="s">
        <v>1180</v>
      </c>
    </row>
    <row r="36" spans="1:11">
      <c r="A36" s="7">
        <v>35</v>
      </c>
      <c r="B36" s="8" t="str">
        <f>VLOOKUP(A36,vaccines!A:B,2)</f>
        <v>Sovigripp</v>
      </c>
      <c r="C36" s="28" t="s">
        <v>1181</v>
      </c>
      <c r="D36" s="12">
        <v>45580</v>
      </c>
      <c r="E36" s="7"/>
      <c r="F36" s="7"/>
      <c r="G36" s="9" t="s">
        <v>1182</v>
      </c>
      <c r="H36" s="11">
        <f t="shared" si="0"/>
        <v>44712</v>
      </c>
      <c r="I36" s="52">
        <v>45622</v>
      </c>
      <c r="J36" s="8"/>
      <c r="K36" s="28" t="s">
        <v>1183</v>
      </c>
    </row>
    <row r="37" spans="1:11">
      <c r="A37" s="7">
        <v>36</v>
      </c>
      <c r="B37" s="8" t="str">
        <f>VLOOKUP(A37,vaccines!A:B,2)</f>
        <v>Ultrix</v>
      </c>
      <c r="C37" s="10" t="s">
        <v>1184</v>
      </c>
      <c r="D37" s="12">
        <v>45211</v>
      </c>
      <c r="E37" s="7"/>
      <c r="F37" s="7"/>
      <c r="G37" s="15" t="s">
        <v>1185</v>
      </c>
      <c r="H37" s="11">
        <f t="shared" si="0"/>
        <v>44712</v>
      </c>
      <c r="I37" s="52">
        <v>45483</v>
      </c>
      <c r="J37" s="8"/>
      <c r="K37" s="10" t="s">
        <v>1186</v>
      </c>
    </row>
    <row r="38" spans="1:11">
      <c r="A38" s="7">
        <v>37</v>
      </c>
      <c r="B38" s="8" t="str">
        <f>VLOOKUP(A38,vaccines!A:B,2)</f>
        <v>Flu_M</v>
      </c>
      <c r="C38" s="28" t="s">
        <v>1187</v>
      </c>
      <c r="D38" s="12">
        <v>46035</v>
      </c>
      <c r="E38" s="54">
        <v>1</v>
      </c>
      <c r="F38" s="54">
        <v>0</v>
      </c>
      <c r="G38" s="15" t="s">
        <v>1188</v>
      </c>
      <c r="H38" s="11">
        <f t="shared" si="0"/>
        <v>44712</v>
      </c>
      <c r="I38" s="52">
        <v>46130</v>
      </c>
      <c r="J38" s="56"/>
      <c r="K38" s="28" t="s">
        <v>1189</v>
      </c>
    </row>
    <row r="39" spans="1:11">
      <c r="A39" s="7">
        <v>38</v>
      </c>
      <c r="B39" s="8" t="str">
        <f>VLOOKUP(A39,vaccines!A:B,2)</f>
        <v>Vaxigrip</v>
      </c>
      <c r="C39" s="10" t="s">
        <v>1190</v>
      </c>
      <c r="D39" s="11">
        <v>43886</v>
      </c>
      <c r="E39" s="7">
        <v>2</v>
      </c>
      <c r="F39" s="7">
        <v>1</v>
      </c>
      <c r="G39" s="19" t="s">
        <v>1191</v>
      </c>
      <c r="H39" s="11">
        <f t="shared" si="0"/>
        <v>44712</v>
      </c>
      <c r="I39" s="53">
        <v>45078</v>
      </c>
      <c r="J39" s="8"/>
      <c r="K39" s="10" t="s">
        <v>1192</v>
      </c>
    </row>
    <row r="40" spans="1:11">
      <c r="A40" s="7">
        <v>39</v>
      </c>
      <c r="B40" s="8" t="str">
        <f>VLOOKUP(A40,vaccines!A:B,2)</f>
        <v>Influvac</v>
      </c>
      <c r="C40" s="28" t="s">
        <v>1193</v>
      </c>
      <c r="D40" s="12">
        <v>46066</v>
      </c>
      <c r="E40" s="7">
        <v>1</v>
      </c>
      <c r="F40" s="7">
        <v>0</v>
      </c>
      <c r="G40" s="15" t="s">
        <v>1194</v>
      </c>
      <c r="H40" s="11">
        <f t="shared" si="0"/>
        <v>44712</v>
      </c>
      <c r="I40" s="52">
        <v>46130</v>
      </c>
      <c r="J40" s="8"/>
      <c r="K40" s="28" t="s">
        <v>1195</v>
      </c>
    </row>
    <row r="41" spans="1:11">
      <c r="A41" s="7">
        <v>40</v>
      </c>
      <c r="B41" s="8" t="str">
        <f>VLOOKUP(A41,vaccines!A:B,2)</f>
        <v>Ultrix_quadri</v>
      </c>
      <c r="C41" s="10" t="s">
        <v>1196</v>
      </c>
      <c r="D41" s="12">
        <v>45524</v>
      </c>
      <c r="E41" s="7"/>
      <c r="F41" s="7"/>
      <c r="G41" s="9" t="s">
        <v>1197</v>
      </c>
      <c r="H41" s="11">
        <f t="shared" si="0"/>
        <v>44712</v>
      </c>
      <c r="I41" s="52">
        <v>45589</v>
      </c>
      <c r="J41" s="8"/>
      <c r="K41" s="10" t="s">
        <v>1198</v>
      </c>
    </row>
    <row r="42" spans="1:11">
      <c r="A42" s="7">
        <v>41</v>
      </c>
      <c r="B42" s="8" t="str">
        <f>VLOOKUP(A42,vaccines!A:B,2)</f>
        <v>Grippol_quadrivalent</v>
      </c>
      <c r="C42" s="28" t="s">
        <v>1199</v>
      </c>
      <c r="D42" s="12">
        <v>45727</v>
      </c>
      <c r="E42" s="54">
        <v>1</v>
      </c>
      <c r="F42" s="54">
        <v>0</v>
      </c>
      <c r="G42" s="15" t="s">
        <v>1200</v>
      </c>
      <c r="H42" s="11">
        <f t="shared" si="0"/>
        <v>44712</v>
      </c>
      <c r="I42" s="52">
        <v>45818</v>
      </c>
      <c r="J42" s="8"/>
      <c r="K42" s="28" t="s">
        <v>1201</v>
      </c>
    </row>
    <row r="43" spans="1:11">
      <c r="A43" s="7">
        <v>42</v>
      </c>
      <c r="B43" s="8" t="str">
        <f>VLOOKUP(A43,vaccines!A:B,2)</f>
        <v>measles_Microgen</v>
      </c>
      <c r="C43" s="10" t="s">
        <v>1202</v>
      </c>
      <c r="D43" s="12">
        <v>45404</v>
      </c>
      <c r="E43" s="7"/>
      <c r="F43" s="7"/>
      <c r="G43" s="15" t="s">
        <v>1203</v>
      </c>
      <c r="H43" s="11">
        <f t="shared" si="0"/>
        <v>44712</v>
      </c>
      <c r="I43" s="12">
        <v>45483</v>
      </c>
      <c r="J43" s="8"/>
      <c r="K43" s="10" t="s">
        <v>1204</v>
      </c>
    </row>
    <row r="44" spans="1:11">
      <c r="A44" s="7">
        <v>43</v>
      </c>
      <c r="B44" s="8" t="str">
        <f>VLOOKUP(A44,vaccines!A:B,2)</f>
        <v>measles_Serum_India</v>
      </c>
      <c r="C44" s="28" t="s">
        <v>1205</v>
      </c>
      <c r="D44" s="12">
        <v>45981</v>
      </c>
      <c r="E44" s="7">
        <v>1</v>
      </c>
      <c r="F44" s="7">
        <v>0</v>
      </c>
      <c r="G44" s="15" t="s">
        <v>1206</v>
      </c>
      <c r="H44" s="11">
        <f t="shared" si="0"/>
        <v>44712</v>
      </c>
      <c r="I44" s="57">
        <v>46053</v>
      </c>
      <c r="J44" s="8"/>
      <c r="K44" s="28" t="s">
        <v>1207</v>
      </c>
    </row>
    <row r="45" spans="1:11">
      <c r="A45" s="7">
        <v>44</v>
      </c>
      <c r="B45" s="8" t="str">
        <f>VLOOKUP(A45,vaccines!A:B,2)</f>
        <v>measles_Vector</v>
      </c>
      <c r="C45" s="10" t="s">
        <v>1208</v>
      </c>
      <c r="D45" s="11">
        <v>39421</v>
      </c>
      <c r="E45" s="7">
        <v>1</v>
      </c>
      <c r="F45" s="7">
        <v>0</v>
      </c>
      <c r="G45" s="19" t="s">
        <v>1209</v>
      </c>
      <c r="H45" s="11">
        <f t="shared" si="0"/>
        <v>44712</v>
      </c>
      <c r="I45" s="58"/>
      <c r="J45" s="8"/>
      <c r="K45" s="10" t="s">
        <v>1210</v>
      </c>
    </row>
    <row r="46" spans="1:11">
      <c r="A46" s="7">
        <v>45</v>
      </c>
      <c r="B46" s="8" t="str">
        <f>VLOOKUP(A46,vaccines!A:B,2)</f>
        <v>measles_mumps_Microgen</v>
      </c>
      <c r="C46" s="10" t="s">
        <v>1211</v>
      </c>
      <c r="D46" s="12">
        <v>45460</v>
      </c>
      <c r="E46" s="7"/>
      <c r="F46" s="7"/>
      <c r="G46" s="9" t="s">
        <v>1212</v>
      </c>
      <c r="H46" s="11">
        <f t="shared" si="0"/>
        <v>44712</v>
      </c>
      <c r="I46" s="52">
        <v>45589</v>
      </c>
      <c r="J46" s="8"/>
      <c r="K46" s="10" t="s">
        <v>1213</v>
      </c>
    </row>
    <row r="47" spans="1:11">
      <c r="A47" s="7">
        <v>46</v>
      </c>
      <c r="B47" s="8" t="str">
        <f>VLOOKUP(A47,vaccines!A:B,2)</f>
        <v>Vactrivir</v>
      </c>
      <c r="C47" s="28" t="s">
        <v>1214</v>
      </c>
      <c r="D47" s="12">
        <v>45817</v>
      </c>
      <c r="E47" s="54">
        <v>1</v>
      </c>
      <c r="F47" s="54">
        <v>0</v>
      </c>
      <c r="G47" s="15" t="s">
        <v>1215</v>
      </c>
      <c r="H47" s="11">
        <f t="shared" si="0"/>
        <v>44712</v>
      </c>
      <c r="I47" s="52">
        <v>45830</v>
      </c>
      <c r="J47" s="8"/>
      <c r="K47" s="28" t="s">
        <v>1216</v>
      </c>
    </row>
    <row r="48" spans="1:11">
      <c r="A48" s="7">
        <v>47</v>
      </c>
      <c r="B48" s="8" t="str">
        <f>VLOOKUP(A48,vaccines!A:B,2)</f>
        <v>MMR_II</v>
      </c>
      <c r="C48" s="10" t="s">
        <v>1217</v>
      </c>
      <c r="D48" s="11">
        <v>42108</v>
      </c>
      <c r="E48" s="7">
        <v>1</v>
      </c>
      <c r="F48" s="7">
        <v>0</v>
      </c>
      <c r="G48" s="19" t="s">
        <v>1218</v>
      </c>
      <c r="H48" s="11">
        <f t="shared" si="0"/>
        <v>44712</v>
      </c>
      <c r="I48" s="53">
        <v>44715</v>
      </c>
      <c r="J48" s="8"/>
      <c r="K48" s="10" t="s">
        <v>1219</v>
      </c>
    </row>
    <row r="49" spans="1:11">
      <c r="A49" s="7">
        <v>48</v>
      </c>
      <c r="B49" s="8" t="str">
        <f>VLOOKUP(A49,vaccines!A:B,2)</f>
        <v>MenA_Microgen</v>
      </c>
      <c r="C49" s="28" t="s">
        <v>1220</v>
      </c>
      <c r="D49" s="11">
        <v>45414</v>
      </c>
      <c r="E49" s="8"/>
      <c r="F49" s="8"/>
      <c r="G49" s="19" t="s">
        <v>1221</v>
      </c>
      <c r="H49" s="11">
        <f t="shared" si="0"/>
        <v>44712</v>
      </c>
      <c r="I49" s="11">
        <v>45460</v>
      </c>
      <c r="J49" s="8"/>
      <c r="K49" s="28" t="s">
        <v>1222</v>
      </c>
    </row>
    <row r="50" spans="1:11">
      <c r="A50" s="7">
        <v>49</v>
      </c>
      <c r="B50" s="8" t="str">
        <f>VLOOKUP(A50,vaccines!A:B,2)</f>
        <v>MeningoVac_A_C</v>
      </c>
      <c r="C50" s="10" t="s">
        <v>1223</v>
      </c>
      <c r="D50" s="11">
        <v>45414</v>
      </c>
      <c r="E50" s="8"/>
      <c r="F50" s="8"/>
      <c r="G50" s="19" t="s">
        <v>1221</v>
      </c>
      <c r="H50" s="11">
        <f t="shared" si="0"/>
        <v>44712</v>
      </c>
      <c r="I50" s="11">
        <v>45460</v>
      </c>
      <c r="J50" s="8"/>
      <c r="K50" s="10" t="s">
        <v>1224</v>
      </c>
    </row>
    <row r="51" spans="1:11">
      <c r="A51" s="7">
        <v>50</v>
      </c>
      <c r="B51" s="8" t="str">
        <f>VLOOKUP(A51,vaccines!A:B,2)</f>
        <v>Menactra</v>
      </c>
      <c r="C51" s="28" t="s">
        <v>1225</v>
      </c>
      <c r="D51" s="12">
        <v>45188</v>
      </c>
      <c r="E51" s="7"/>
      <c r="F51" s="7"/>
      <c r="G51" s="27" t="s">
        <v>1226</v>
      </c>
      <c r="H51" s="11">
        <v>44712</v>
      </c>
      <c r="I51" s="52">
        <v>45483</v>
      </c>
      <c r="J51" s="8"/>
      <c r="K51" s="28" t="s">
        <v>1227</v>
      </c>
    </row>
    <row r="52" spans="1:11">
      <c r="A52" s="7">
        <v>51</v>
      </c>
      <c r="B52" s="8" t="str">
        <f>VLOOKUP(A52,vaccines!A:B,2)</f>
        <v>mumps_Microgen</v>
      </c>
      <c r="C52" s="10" t="s">
        <v>1228</v>
      </c>
      <c r="D52" s="12">
        <v>45454</v>
      </c>
      <c r="E52" s="7"/>
      <c r="F52" s="7"/>
      <c r="G52" s="9" t="s">
        <v>1229</v>
      </c>
      <c r="H52" s="11">
        <f t="shared" ref="H52:H106" si="1">H51</f>
        <v>44712</v>
      </c>
      <c r="I52" s="52">
        <v>45589</v>
      </c>
      <c r="J52" s="8"/>
      <c r="K52" s="10" t="s">
        <v>1230</v>
      </c>
    </row>
    <row r="53" spans="1:11">
      <c r="A53" s="7">
        <v>52</v>
      </c>
      <c r="B53" s="8" t="str">
        <f>VLOOKUP(A53,vaccines!A:B,2)</f>
        <v>Prevenar_13</v>
      </c>
      <c r="C53" s="28" t="s">
        <v>1231</v>
      </c>
      <c r="D53" s="12">
        <v>45267</v>
      </c>
      <c r="E53" s="7"/>
      <c r="F53" s="7"/>
      <c r="G53" s="27" t="s">
        <v>1232</v>
      </c>
      <c r="H53" s="11">
        <f t="shared" si="1"/>
        <v>44712</v>
      </c>
      <c r="I53" s="52">
        <v>45481</v>
      </c>
      <c r="J53" s="8"/>
      <c r="K53" s="28" t="s">
        <v>1233</v>
      </c>
    </row>
    <row r="54" spans="1:11">
      <c r="A54" s="7">
        <v>53</v>
      </c>
      <c r="B54" s="8" t="str">
        <f>VLOOKUP(A54,vaccines!A:B,2)</f>
        <v>Synflorix</v>
      </c>
      <c r="C54" s="10" t="s">
        <v>1234</v>
      </c>
      <c r="D54" s="11">
        <v>43605</v>
      </c>
      <c r="E54" s="7">
        <v>1</v>
      </c>
      <c r="F54" s="7">
        <v>0</v>
      </c>
      <c r="G54" s="19" t="s">
        <v>1235</v>
      </c>
      <c r="H54" s="11">
        <f t="shared" si="1"/>
        <v>44712</v>
      </c>
      <c r="I54" s="53">
        <v>44722</v>
      </c>
      <c r="J54" s="8"/>
      <c r="K54" s="10" t="s">
        <v>1236</v>
      </c>
    </row>
    <row r="55" spans="1:11">
      <c r="A55" s="7">
        <v>54</v>
      </c>
      <c r="B55" s="8" t="str">
        <f>VLOOKUP(A55,vaccines!A:B,2)</f>
        <v>Pneumovax_23</v>
      </c>
      <c r="C55" s="10" t="s">
        <v>1237</v>
      </c>
      <c r="D55" s="12">
        <v>45051</v>
      </c>
      <c r="E55" s="7"/>
      <c r="F55" s="7"/>
      <c r="G55" s="27" t="s">
        <v>1238</v>
      </c>
      <c r="H55" s="11">
        <f t="shared" si="1"/>
        <v>44712</v>
      </c>
      <c r="I55" s="52">
        <v>45489</v>
      </c>
      <c r="J55" s="8"/>
      <c r="K55" s="10" t="s">
        <v>1239</v>
      </c>
    </row>
    <row r="56" spans="1:11">
      <c r="A56" s="7">
        <v>55</v>
      </c>
      <c r="B56" s="8" t="str">
        <f>VLOOKUP(A56,vaccines!A:B,2)</f>
        <v>MonoVac_Polio</v>
      </c>
      <c r="C56" s="10" t="s">
        <v>1240</v>
      </c>
      <c r="D56" s="11">
        <v>44266</v>
      </c>
      <c r="E56" s="7">
        <v>1</v>
      </c>
      <c r="F56" s="7">
        <v>0</v>
      </c>
      <c r="G56" s="19" t="s">
        <v>1241</v>
      </c>
      <c r="H56" s="11">
        <f t="shared" si="1"/>
        <v>44712</v>
      </c>
      <c r="I56" s="53">
        <v>44742</v>
      </c>
      <c r="J56" s="8"/>
      <c r="K56" s="10" t="s">
        <v>1242</v>
      </c>
    </row>
    <row r="57" spans="1:11">
      <c r="A57" s="7">
        <v>56</v>
      </c>
      <c r="B57" s="8" t="str">
        <f>VLOOKUP(A57,vaccines!A:B,2)</f>
        <v>BiVac_Polio</v>
      </c>
      <c r="C57" s="28" t="s">
        <v>1243</v>
      </c>
      <c r="D57" s="12">
        <v>45736</v>
      </c>
      <c r="E57" s="7">
        <v>1</v>
      </c>
      <c r="F57" s="7">
        <v>0</v>
      </c>
      <c r="G57" s="15" t="s">
        <v>1244</v>
      </c>
      <c r="H57" s="11">
        <f t="shared" si="1"/>
        <v>44712</v>
      </c>
      <c r="I57" s="52">
        <v>45988</v>
      </c>
      <c r="J57" s="8"/>
      <c r="K57" s="28" t="s">
        <v>1245</v>
      </c>
    </row>
    <row r="58" spans="1:11">
      <c r="A58" s="7">
        <v>57</v>
      </c>
      <c r="B58" s="8" t="str">
        <f>VLOOKUP(A58,vaccines!A:B,2)</f>
        <v>Polymilex</v>
      </c>
      <c r="C58" s="28" t="s">
        <v>1246</v>
      </c>
      <c r="D58" s="12">
        <v>45623</v>
      </c>
      <c r="E58" s="7">
        <v>1</v>
      </c>
      <c r="F58" s="7">
        <v>0</v>
      </c>
      <c r="G58" s="15" t="s">
        <v>1247</v>
      </c>
      <c r="H58" s="11">
        <f t="shared" si="1"/>
        <v>44712</v>
      </c>
      <c r="I58" s="52">
        <v>45715</v>
      </c>
      <c r="J58" s="8"/>
      <c r="K58" s="28" t="s">
        <v>1248</v>
      </c>
    </row>
    <row r="59" spans="1:11">
      <c r="A59" s="7">
        <v>58</v>
      </c>
      <c r="B59" s="8" t="str">
        <f>VLOOKUP(A59,vaccines!A:B,2)</f>
        <v>COCAV</v>
      </c>
      <c r="C59" s="10" t="s">
        <v>1240</v>
      </c>
      <c r="D59" s="12">
        <v>45631</v>
      </c>
      <c r="E59" s="7"/>
      <c r="F59" s="7"/>
      <c r="G59" s="15" t="s">
        <v>1249</v>
      </c>
      <c r="H59" s="11">
        <f t="shared" si="1"/>
        <v>44712</v>
      </c>
      <c r="I59" s="52">
        <v>45678</v>
      </c>
      <c r="J59" s="8"/>
      <c r="K59" s="10" t="s">
        <v>1242</v>
      </c>
    </row>
    <row r="60" spans="1:11">
      <c r="A60" s="7">
        <v>59</v>
      </c>
      <c r="B60" s="8" t="str">
        <f>VLOOKUP(A60,vaccines!A:B,2)</f>
        <v>rabies_Chumakov</v>
      </c>
      <c r="C60" s="10" t="s">
        <v>1240</v>
      </c>
      <c r="D60" s="11">
        <v>44862</v>
      </c>
      <c r="E60" s="7">
        <v>1</v>
      </c>
      <c r="F60" s="7">
        <v>0</v>
      </c>
      <c r="G60" s="19" t="s">
        <v>1250</v>
      </c>
      <c r="H60" s="11">
        <f t="shared" si="1"/>
        <v>44712</v>
      </c>
      <c r="I60" s="53">
        <v>45034</v>
      </c>
      <c r="J60" s="8"/>
      <c r="K60" s="10" t="s">
        <v>1242</v>
      </c>
    </row>
    <row r="61" spans="1:11">
      <c r="A61" s="7">
        <v>60</v>
      </c>
      <c r="B61" s="8" t="str">
        <f>VLOOKUP(A61,vaccines!A:B,2)</f>
        <v>Rabivac_Vnukovo_32</v>
      </c>
      <c r="C61" s="10" t="s">
        <v>1240</v>
      </c>
      <c r="D61" s="11">
        <v>40925</v>
      </c>
      <c r="E61" s="7">
        <v>1</v>
      </c>
      <c r="F61" s="7">
        <v>0</v>
      </c>
      <c r="G61" s="19" t="s">
        <v>1251</v>
      </c>
      <c r="H61" s="11">
        <f t="shared" si="1"/>
        <v>44712</v>
      </c>
      <c r="I61" s="53">
        <v>44748</v>
      </c>
      <c r="J61" s="8"/>
      <c r="K61" s="10" t="s">
        <v>1242</v>
      </c>
    </row>
    <row r="62" spans="1:11">
      <c r="A62" s="7">
        <v>61</v>
      </c>
      <c r="B62" s="8" t="str">
        <f>VLOOKUP(A62,vaccines!A:B,2)</f>
        <v>RotaTeq</v>
      </c>
      <c r="C62" s="10" t="s">
        <v>1252</v>
      </c>
      <c r="D62" s="11">
        <v>43010</v>
      </c>
      <c r="E62" s="7">
        <v>1</v>
      </c>
      <c r="F62" s="7">
        <v>0</v>
      </c>
      <c r="G62" s="19" t="s">
        <v>1253</v>
      </c>
      <c r="H62" s="11">
        <f t="shared" si="1"/>
        <v>44712</v>
      </c>
      <c r="I62" s="53">
        <v>44787</v>
      </c>
      <c r="J62" s="8"/>
      <c r="K62" s="10" t="s">
        <v>1254</v>
      </c>
    </row>
    <row r="63" spans="1:11">
      <c r="A63" s="7">
        <v>62</v>
      </c>
      <c r="B63" s="8" t="str">
        <f>VLOOKUP(A63,vaccines!A:B,2)</f>
        <v>rubella_Microgen</v>
      </c>
      <c r="C63" s="28" t="s">
        <v>1255</v>
      </c>
      <c r="D63" s="12">
        <v>45531</v>
      </c>
      <c r="E63" s="7"/>
      <c r="F63" s="7"/>
      <c r="G63" s="9" t="s">
        <v>1256</v>
      </c>
      <c r="H63" s="11">
        <f t="shared" si="1"/>
        <v>44712</v>
      </c>
      <c r="I63" s="52">
        <v>45589</v>
      </c>
      <c r="J63" s="8"/>
      <c r="K63" s="28" t="s">
        <v>1257</v>
      </c>
    </row>
    <row r="64" spans="1:11">
      <c r="A64" s="7">
        <v>63</v>
      </c>
      <c r="B64" s="8" t="str">
        <f>VLOOKUP(A64,vaccines!A:B,2)</f>
        <v>rubella_Serum</v>
      </c>
      <c r="C64" s="10" t="s">
        <v>1258</v>
      </c>
      <c r="D64" s="11">
        <v>40142</v>
      </c>
      <c r="E64" s="7">
        <v>1</v>
      </c>
      <c r="F64" s="7">
        <v>0</v>
      </c>
      <c r="G64" s="19" t="s">
        <v>1259</v>
      </c>
      <c r="H64" s="11">
        <f t="shared" si="1"/>
        <v>44712</v>
      </c>
      <c r="I64" s="53">
        <v>45079</v>
      </c>
      <c r="J64" s="8"/>
      <c r="K64" s="10" t="s">
        <v>1260</v>
      </c>
    </row>
    <row r="65" spans="1:11">
      <c r="A65" s="7">
        <v>64</v>
      </c>
      <c r="B65" s="8" t="str">
        <f>VLOOKUP(A65,vaccines!A:B,2)</f>
        <v>AS_Microgen</v>
      </c>
      <c r="C65" s="28" t="s">
        <v>1261</v>
      </c>
      <c r="D65" s="12">
        <v>45607</v>
      </c>
      <c r="E65" s="54">
        <v>1</v>
      </c>
      <c r="F65" s="54">
        <v>0</v>
      </c>
      <c r="G65" s="15" t="s">
        <v>1262</v>
      </c>
      <c r="H65" s="11">
        <f t="shared" si="1"/>
        <v>44712</v>
      </c>
      <c r="I65" s="52">
        <v>46053</v>
      </c>
      <c r="J65" s="8"/>
      <c r="K65" s="28" t="s">
        <v>1263</v>
      </c>
    </row>
    <row r="66" spans="1:11">
      <c r="A66" s="7">
        <v>65</v>
      </c>
      <c r="B66" s="8" t="str">
        <f>VLOOKUP(A66,vaccines!A:B,2)</f>
        <v>AS_Biomed</v>
      </c>
      <c r="C66" s="10" t="s">
        <v>1264</v>
      </c>
      <c r="D66" s="11">
        <v>41047</v>
      </c>
      <c r="E66" s="7">
        <v>1</v>
      </c>
      <c r="F66" s="7">
        <v>0</v>
      </c>
      <c r="G66" s="19" t="s">
        <v>1265</v>
      </c>
      <c r="H66" s="11">
        <f t="shared" si="1"/>
        <v>44712</v>
      </c>
      <c r="I66" s="53">
        <v>44750</v>
      </c>
      <c r="J66" s="8"/>
      <c r="K66" s="10" t="s">
        <v>1266</v>
      </c>
    </row>
    <row r="67" spans="1:11">
      <c r="A67" s="7">
        <v>66</v>
      </c>
      <c r="B67" s="8" t="str">
        <f>VLOOKUP(A67,vaccines!A:B,2)</f>
        <v>Vaqta_25</v>
      </c>
      <c r="C67" s="10" t="s">
        <v>1267</v>
      </c>
      <c r="D67" s="11">
        <v>41780</v>
      </c>
      <c r="E67" s="7">
        <v>1</v>
      </c>
      <c r="F67" s="7">
        <v>0</v>
      </c>
      <c r="G67" s="19" t="s">
        <v>1268</v>
      </c>
      <c r="H67" s="11">
        <f t="shared" si="1"/>
        <v>44712</v>
      </c>
      <c r="I67" s="53">
        <v>45079</v>
      </c>
      <c r="J67" s="8"/>
      <c r="K67" s="10" t="s">
        <v>1269</v>
      </c>
    </row>
    <row r="68" spans="1:11">
      <c r="A68" s="7">
        <v>67</v>
      </c>
      <c r="B68" s="8" t="str">
        <f>VLOOKUP(A68,vaccines!A:B,2)</f>
        <v>Vaqta_50</v>
      </c>
      <c r="C68" s="10" t="s">
        <v>1270</v>
      </c>
      <c r="D68" s="11">
        <v>41780</v>
      </c>
      <c r="E68" s="7">
        <v>1</v>
      </c>
      <c r="F68" s="7">
        <v>0</v>
      </c>
      <c r="G68" s="19" t="s">
        <v>1268</v>
      </c>
      <c r="H68" s="11">
        <f t="shared" si="1"/>
        <v>44712</v>
      </c>
      <c r="I68" s="53">
        <v>45079</v>
      </c>
      <c r="J68" s="8"/>
      <c r="K68" s="10" t="s">
        <v>1271</v>
      </c>
    </row>
    <row r="69" spans="1:11">
      <c r="A69" s="7">
        <v>68</v>
      </c>
      <c r="B69" s="8" t="str">
        <f>VLOOKUP(A69,vaccines!A:B,2)</f>
        <v>Klesh_E_Vac_0_5</v>
      </c>
      <c r="C69" s="10" t="s">
        <v>1272</v>
      </c>
      <c r="D69" s="12">
        <v>45904</v>
      </c>
      <c r="E69" s="54">
        <v>1</v>
      </c>
      <c r="F69" s="54">
        <v>0</v>
      </c>
      <c r="G69" s="15" t="s">
        <v>1273</v>
      </c>
      <c r="H69" s="11">
        <f t="shared" si="1"/>
        <v>44712</v>
      </c>
      <c r="I69" s="52">
        <v>45988</v>
      </c>
      <c r="J69" s="8"/>
      <c r="K69" s="10" t="s">
        <v>1274</v>
      </c>
    </row>
    <row r="70" spans="1:11">
      <c r="A70" s="7">
        <v>69</v>
      </c>
      <c r="B70" s="8" t="str">
        <f>VLOOKUP(A70,vaccines!A:B,2)</f>
        <v>Klesh_E_Vac_0_25</v>
      </c>
      <c r="C70" s="10" t="s">
        <v>1275</v>
      </c>
      <c r="D70" s="12">
        <v>45904</v>
      </c>
      <c r="E70" s="54">
        <v>1</v>
      </c>
      <c r="F70" s="54">
        <v>0</v>
      </c>
      <c r="G70" s="15" t="s">
        <v>1273</v>
      </c>
      <c r="H70" s="11">
        <f t="shared" si="1"/>
        <v>44712</v>
      </c>
      <c r="I70" s="52">
        <v>45988</v>
      </c>
      <c r="J70" s="8"/>
      <c r="K70" s="10" t="s">
        <v>1276</v>
      </c>
    </row>
    <row r="71" spans="1:11">
      <c r="A71" s="7">
        <v>70</v>
      </c>
      <c r="B71" s="8" t="str">
        <f>VLOOKUP(A71,vaccines!A:B,2)</f>
        <v>EnceVir_0_5</v>
      </c>
      <c r="C71" s="28" t="s">
        <v>1277</v>
      </c>
      <c r="D71" s="12">
        <v>45510</v>
      </c>
      <c r="E71" s="7"/>
      <c r="F71" s="7"/>
      <c r="G71" s="9" t="s">
        <v>1278</v>
      </c>
      <c r="H71" s="11">
        <f t="shared" si="1"/>
        <v>44712</v>
      </c>
      <c r="I71" s="52">
        <v>45589</v>
      </c>
      <c r="J71" s="8"/>
      <c r="K71" s="28" t="s">
        <v>1279</v>
      </c>
    </row>
    <row r="72" spans="1:11">
      <c r="A72" s="7">
        <v>71</v>
      </c>
      <c r="B72" s="8" t="str">
        <f>VLOOKUP(A72,vaccines!A:B,2)</f>
        <v>EnceVir_Neo_kids</v>
      </c>
      <c r="C72" s="28" t="s">
        <v>1280</v>
      </c>
      <c r="D72" s="12">
        <v>45520</v>
      </c>
      <c r="E72" s="7"/>
      <c r="F72" s="7"/>
      <c r="G72" s="9" t="s">
        <v>1281</v>
      </c>
      <c r="H72" s="11">
        <f t="shared" si="1"/>
        <v>44712</v>
      </c>
      <c r="I72" s="52">
        <v>45589</v>
      </c>
      <c r="J72" s="8"/>
      <c r="K72" s="28" t="s">
        <v>1282</v>
      </c>
    </row>
    <row r="73" spans="1:11">
      <c r="A73" s="7">
        <v>72</v>
      </c>
      <c r="B73" s="8" t="str">
        <f>VLOOKUP(A73,vaccines!A:B,2)</f>
        <v>TBE_Chumakov_lyo</v>
      </c>
      <c r="C73" s="10" t="s">
        <v>1283</v>
      </c>
      <c r="D73" s="12">
        <v>45727</v>
      </c>
      <c r="E73" s="7">
        <v>1</v>
      </c>
      <c r="F73" s="7">
        <v>0</v>
      </c>
      <c r="G73" s="15" t="s">
        <v>1284</v>
      </c>
      <c r="H73" s="11">
        <f t="shared" si="1"/>
        <v>44712</v>
      </c>
      <c r="I73" s="52">
        <v>45750</v>
      </c>
      <c r="J73" s="8"/>
      <c r="K73" s="10" t="s">
        <v>1285</v>
      </c>
    </row>
    <row r="74" spans="1:11">
      <c r="A74" s="7">
        <v>73</v>
      </c>
      <c r="B74" s="8" t="str">
        <f>VLOOKUP(A74,vaccines!A:B,2)</f>
        <v>Varilrix</v>
      </c>
      <c r="C74" s="28" t="s">
        <v>1286</v>
      </c>
      <c r="D74" s="12">
        <v>45439</v>
      </c>
      <c r="E74" s="54">
        <v>1</v>
      </c>
      <c r="F74" s="54">
        <v>0</v>
      </c>
      <c r="G74" s="15" t="s">
        <v>1287</v>
      </c>
      <c r="H74" s="11">
        <f t="shared" si="1"/>
        <v>44712</v>
      </c>
      <c r="I74" s="59">
        <v>45830</v>
      </c>
      <c r="J74" s="8"/>
      <c r="K74" s="28" t="s">
        <v>1288</v>
      </c>
    </row>
    <row r="75" spans="1:11">
      <c r="A75" s="7">
        <v>74</v>
      </c>
      <c r="B75" s="8" t="str">
        <f>VLOOKUP(A75,vaccines!A:B,2)</f>
        <v>YF_Chumakov_lyo</v>
      </c>
      <c r="C75" s="10" t="s">
        <v>1289</v>
      </c>
      <c r="D75" s="11">
        <v>44540</v>
      </c>
      <c r="E75" s="7">
        <v>1</v>
      </c>
      <c r="F75" s="7">
        <v>0</v>
      </c>
      <c r="G75" s="19" t="s">
        <v>1290</v>
      </c>
      <c r="H75" s="11">
        <f t="shared" si="1"/>
        <v>44712</v>
      </c>
      <c r="I75" s="53" t="s">
        <v>1291</v>
      </c>
      <c r="J75" s="8"/>
      <c r="K75" s="10" t="s">
        <v>1292</v>
      </c>
    </row>
    <row r="76" spans="1:11">
      <c r="A76" s="7">
        <v>75</v>
      </c>
      <c r="B76" s="8" t="str">
        <f>VLOOKUP(A76,vaccines!A:B,2)</f>
        <v>tularemia_Microgen</v>
      </c>
      <c r="C76" s="10" t="s">
        <v>1293</v>
      </c>
      <c r="D76" s="12">
        <v>45562</v>
      </c>
      <c r="E76" s="7"/>
      <c r="F76" s="7"/>
      <c r="G76" s="15" t="s">
        <v>1294</v>
      </c>
      <c r="H76" s="11">
        <f t="shared" si="1"/>
        <v>44712</v>
      </c>
      <c r="I76" s="52">
        <v>45589</v>
      </c>
      <c r="J76" s="8"/>
      <c r="K76" s="10" t="s">
        <v>1295</v>
      </c>
    </row>
    <row r="77" spans="1:11">
      <c r="A77" s="7">
        <v>76</v>
      </c>
      <c r="B77" s="8" t="str">
        <f>VLOOKUP(A77,vaccines!A:B,2)</f>
        <v>plague_molecular_lyo_RPN</v>
      </c>
      <c r="C77" s="10" t="s">
        <v>1296</v>
      </c>
      <c r="D77" s="11">
        <v>43209</v>
      </c>
      <c r="E77" s="7">
        <v>1</v>
      </c>
      <c r="F77" s="7">
        <v>0</v>
      </c>
      <c r="G77" s="19" t="s">
        <v>1297</v>
      </c>
      <c r="H77" s="11">
        <f t="shared" si="1"/>
        <v>44712</v>
      </c>
      <c r="I77" s="53" t="s">
        <v>1298</v>
      </c>
      <c r="J77" s="8"/>
      <c r="K77" s="10" t="s">
        <v>1299</v>
      </c>
    </row>
    <row r="78" spans="1:11">
      <c r="A78" s="7">
        <v>77</v>
      </c>
      <c r="B78" s="8" t="str">
        <f>VLOOKUP(A78,vaccines!A:B,2)</f>
        <v>plague_live_lyo_48_NII_Minoborony</v>
      </c>
      <c r="C78" s="10" t="s">
        <v>1300</v>
      </c>
      <c r="D78" s="11">
        <v>40675</v>
      </c>
      <c r="E78" s="7">
        <v>1</v>
      </c>
      <c r="F78" s="7">
        <v>0</v>
      </c>
      <c r="G78" s="19" t="s">
        <v>1301</v>
      </c>
      <c r="H78" s="11">
        <f t="shared" si="1"/>
        <v>44712</v>
      </c>
      <c r="I78" s="53" t="s">
        <v>1298</v>
      </c>
      <c r="J78" s="8"/>
      <c r="K78" s="10" t="s">
        <v>1302</v>
      </c>
    </row>
    <row r="79" spans="1:11">
      <c r="A79" s="7">
        <v>78</v>
      </c>
      <c r="B79" s="8" t="str">
        <f>VLOOKUP(A79,vaccines!A:B,2)</f>
        <v>plague_live_tablets_48_NII_Minoborony</v>
      </c>
      <c r="C79" s="10" t="s">
        <v>1303</v>
      </c>
      <c r="D79" s="11">
        <v>40126</v>
      </c>
      <c r="E79" s="7">
        <v>1</v>
      </c>
      <c r="F79" s="7">
        <v>0</v>
      </c>
      <c r="G79" s="19" t="s">
        <v>1304</v>
      </c>
      <c r="H79" s="11">
        <f t="shared" si="1"/>
        <v>44712</v>
      </c>
      <c r="I79" s="53" t="s">
        <v>1298</v>
      </c>
      <c r="J79" s="8"/>
      <c r="K79" s="10" t="s">
        <v>1305</v>
      </c>
    </row>
    <row r="80" spans="1:11">
      <c r="A80" s="7">
        <v>79</v>
      </c>
      <c r="B80" s="8" t="str">
        <f>VLOOKUP(A80,vaccines!A:B,2)</f>
        <v>plague_live_lyo_RPN</v>
      </c>
      <c r="C80" s="10" t="s">
        <v>1306</v>
      </c>
      <c r="D80" s="11">
        <v>44158</v>
      </c>
      <c r="E80" s="7">
        <v>1</v>
      </c>
      <c r="F80" s="7">
        <v>0</v>
      </c>
      <c r="G80" s="19" t="s">
        <v>1307</v>
      </c>
      <c r="H80" s="11">
        <f t="shared" si="1"/>
        <v>44712</v>
      </c>
      <c r="I80" s="53" t="s">
        <v>1298</v>
      </c>
      <c r="J80" s="8"/>
      <c r="K80" s="10" t="s">
        <v>1308</v>
      </c>
    </row>
    <row r="81" spans="1:11">
      <c r="A81" s="7">
        <v>80</v>
      </c>
      <c r="B81" s="8" t="str">
        <f>VLOOKUP(A81,vaccines!A:B,2)</f>
        <v>brucellosis_therapeutic_48_NII_Minoborony</v>
      </c>
      <c r="C81" s="10" t="s">
        <v>1309</v>
      </c>
      <c r="D81" s="11">
        <v>40263</v>
      </c>
      <c r="E81" s="7">
        <v>1</v>
      </c>
      <c r="F81" s="7">
        <v>0</v>
      </c>
      <c r="G81" s="19" t="s">
        <v>1310</v>
      </c>
      <c r="H81" s="11">
        <f t="shared" si="1"/>
        <v>44712</v>
      </c>
      <c r="I81" s="53" t="s">
        <v>1298</v>
      </c>
      <c r="J81" s="8"/>
      <c r="K81" s="10" t="s">
        <v>1311</v>
      </c>
    </row>
    <row r="82" spans="1:11">
      <c r="A82" s="7">
        <v>81</v>
      </c>
      <c r="B82" s="8" t="str">
        <f>VLOOKUP(A82,vaccines!A:B,2)</f>
        <v>brucellosis_prophylactic_Microgen</v>
      </c>
      <c r="C82" s="28" t="s">
        <v>1312</v>
      </c>
      <c r="D82" s="12">
        <v>45743</v>
      </c>
      <c r="E82" s="7">
        <v>1</v>
      </c>
      <c r="F82" s="7">
        <v>0</v>
      </c>
      <c r="G82" s="15" t="s">
        <v>1313</v>
      </c>
      <c r="H82" s="11">
        <f t="shared" si="1"/>
        <v>44712</v>
      </c>
      <c r="I82" s="52">
        <v>45798</v>
      </c>
      <c r="J82" s="8"/>
      <c r="K82" s="28" t="s">
        <v>1314</v>
      </c>
    </row>
    <row r="83" spans="1:11">
      <c r="A83" s="7">
        <v>82</v>
      </c>
      <c r="B83" s="8" t="str">
        <f>VLOOKUP(A83,vaccines!A:B,2)</f>
        <v>anthrax_live_48_NII_Minoborony</v>
      </c>
      <c r="C83" s="10" t="s">
        <v>1315</v>
      </c>
      <c r="D83" s="11">
        <v>43754</v>
      </c>
      <c r="E83" s="7">
        <v>1</v>
      </c>
      <c r="F83" s="7">
        <v>0</v>
      </c>
      <c r="G83" s="19" t="s">
        <v>1316</v>
      </c>
      <c r="H83" s="11">
        <f t="shared" si="1"/>
        <v>44712</v>
      </c>
      <c r="I83" s="53" t="s">
        <v>1291</v>
      </c>
      <c r="J83" s="8"/>
      <c r="K83" s="10" t="s">
        <v>1317</v>
      </c>
    </row>
    <row r="84" spans="1:11">
      <c r="A84" s="7">
        <v>83</v>
      </c>
      <c r="B84" s="8" t="str">
        <f>VLOOKUP(A84,vaccines!A:B,2)</f>
        <v>anthrax_combined_48_NII_Minoborony</v>
      </c>
      <c r="C84" s="10" t="s">
        <v>1318</v>
      </c>
      <c r="D84" s="11">
        <v>39773</v>
      </c>
      <c r="E84" s="7">
        <v>1</v>
      </c>
      <c r="F84" s="7">
        <v>0</v>
      </c>
      <c r="G84" s="19" t="s">
        <v>1319</v>
      </c>
      <c r="H84" s="11">
        <f t="shared" si="1"/>
        <v>44712</v>
      </c>
      <c r="I84" s="53" t="s">
        <v>1291</v>
      </c>
      <c r="J84" s="8"/>
      <c r="K84" s="10" t="s">
        <v>1320</v>
      </c>
    </row>
    <row r="85" spans="1:11">
      <c r="A85" s="7">
        <v>84</v>
      </c>
      <c r="B85" s="8" t="str">
        <f>VLOOKUP(A85,vaccines!A:B,2)</f>
        <v>Rabipur</v>
      </c>
      <c r="C85" s="10" t="s">
        <v>1240</v>
      </c>
      <c r="D85" s="11">
        <v>42996</v>
      </c>
      <c r="E85" s="7">
        <v>1</v>
      </c>
      <c r="F85" s="7">
        <v>0</v>
      </c>
      <c r="G85" s="19" t="s">
        <v>1321</v>
      </c>
      <c r="H85" s="11">
        <f t="shared" si="1"/>
        <v>44712</v>
      </c>
      <c r="I85" s="53" t="s">
        <v>1291</v>
      </c>
      <c r="J85" s="8"/>
      <c r="K85" s="10" t="s">
        <v>1242</v>
      </c>
    </row>
    <row r="86" spans="1:11">
      <c r="A86" s="7">
        <v>85</v>
      </c>
      <c r="B86" s="8" t="str">
        <f>VLOOKUP(A86,vaccines!A:B,2)</f>
        <v>leptospirosis_Rostov_NII</v>
      </c>
      <c r="C86" s="10" t="s">
        <v>1322</v>
      </c>
      <c r="D86" s="11">
        <v>43881</v>
      </c>
      <c r="E86" s="7">
        <v>1</v>
      </c>
      <c r="F86" s="7">
        <v>0</v>
      </c>
      <c r="G86" s="19" t="s">
        <v>1323</v>
      </c>
      <c r="H86" s="11">
        <f t="shared" si="1"/>
        <v>44712</v>
      </c>
      <c r="I86" s="53" t="s">
        <v>1324</v>
      </c>
      <c r="J86" s="8"/>
      <c r="K86" s="10" t="s">
        <v>1325</v>
      </c>
    </row>
    <row r="87" spans="1:11">
      <c r="A87" s="7">
        <v>86</v>
      </c>
      <c r="B87" s="8" t="str">
        <f>VLOOKUP(A87,vaccines!A:B,2)</f>
        <v>Q_fever_M_44_Microgen</v>
      </c>
      <c r="C87" s="10" t="s">
        <v>1326</v>
      </c>
      <c r="D87" s="12">
        <v>45691</v>
      </c>
      <c r="E87" s="54">
        <v>1</v>
      </c>
      <c r="F87" s="54">
        <v>0</v>
      </c>
      <c r="G87" s="15" t="s">
        <v>1327</v>
      </c>
      <c r="H87" s="11">
        <f t="shared" si="1"/>
        <v>44712</v>
      </c>
      <c r="I87" s="52">
        <v>45716</v>
      </c>
      <c r="J87" s="8"/>
      <c r="K87" s="10" t="s">
        <v>1328</v>
      </c>
    </row>
    <row r="88" spans="1:11">
      <c r="A88" s="7">
        <v>87</v>
      </c>
      <c r="B88" s="8" t="str">
        <f>VLOOKUP(A88,vaccines!A:B,2)</f>
        <v>cholera_NII_Microb</v>
      </c>
      <c r="C88" s="10" t="s">
        <v>1329</v>
      </c>
      <c r="D88" s="11">
        <v>44705</v>
      </c>
      <c r="E88" s="7">
        <v>1</v>
      </c>
      <c r="F88" s="7">
        <v>0</v>
      </c>
      <c r="G88" s="19" t="s">
        <v>1330</v>
      </c>
      <c r="H88" s="11">
        <f t="shared" si="1"/>
        <v>44712</v>
      </c>
      <c r="I88" s="53" t="s">
        <v>1324</v>
      </c>
      <c r="J88" s="8"/>
      <c r="K88" s="10" t="s">
        <v>1331</v>
      </c>
    </row>
    <row r="89" spans="1:11">
      <c r="A89" s="7">
        <v>88</v>
      </c>
      <c r="B89" s="8" t="str">
        <f>VLOOKUP(A89,vaccines!A:B,2)</f>
        <v>Vianvac</v>
      </c>
      <c r="C89" s="28" t="s">
        <v>1332</v>
      </c>
      <c r="D89" s="12">
        <v>46036</v>
      </c>
      <c r="E89" s="7">
        <v>1</v>
      </c>
      <c r="F89" s="7">
        <v>0</v>
      </c>
      <c r="G89" s="15" t="s">
        <v>1333</v>
      </c>
      <c r="H89" s="11">
        <f t="shared" si="1"/>
        <v>44712</v>
      </c>
      <c r="I89" s="52">
        <v>46130</v>
      </c>
      <c r="J89" s="8"/>
      <c r="K89" s="28" t="s">
        <v>1334</v>
      </c>
    </row>
    <row r="90" spans="1:11">
      <c r="A90" s="7">
        <v>89</v>
      </c>
      <c r="B90" s="8" t="str">
        <f>VLOOKUP(A90,vaccines!A:B,2)</f>
        <v>Typhivac</v>
      </c>
      <c r="C90" s="10" t="s">
        <v>1335</v>
      </c>
      <c r="D90" s="11">
        <v>42762</v>
      </c>
      <c r="E90" s="7">
        <v>1</v>
      </c>
      <c r="F90" s="7">
        <v>0</v>
      </c>
      <c r="G90" s="19" t="s">
        <v>1336</v>
      </c>
      <c r="H90" s="11">
        <f t="shared" si="1"/>
        <v>44712</v>
      </c>
      <c r="I90" s="7" t="s">
        <v>1324</v>
      </c>
      <c r="J90" s="8"/>
      <c r="K90" s="10" t="s">
        <v>1337</v>
      </c>
    </row>
    <row r="91" spans="1:11">
      <c r="A91" s="7">
        <v>90</v>
      </c>
      <c r="B91" s="8" t="str">
        <f>VLOOKUP(A91,vaccines!A:B,2)</f>
        <v>Shigellvac</v>
      </c>
      <c r="C91" s="28" t="s">
        <v>1338</v>
      </c>
      <c r="D91" s="12">
        <v>46015</v>
      </c>
      <c r="E91" s="7">
        <v>1</v>
      </c>
      <c r="F91" s="7">
        <v>0</v>
      </c>
      <c r="G91" s="15" t="s">
        <v>1339</v>
      </c>
      <c r="H91" s="11">
        <f t="shared" si="1"/>
        <v>44712</v>
      </c>
      <c r="I91" s="52">
        <v>46130</v>
      </c>
      <c r="J91" s="8"/>
      <c r="K91" s="28" t="s">
        <v>1340</v>
      </c>
    </row>
    <row r="92" spans="1:11">
      <c r="A92" s="7">
        <v>91</v>
      </c>
      <c r="B92" s="8" t="str">
        <f>VLOOKUP(A92,vaccines!A:B,2)</f>
        <v>CoviVac</v>
      </c>
      <c r="C92" s="10" t="s">
        <v>1169</v>
      </c>
      <c r="D92" s="11">
        <v>44859</v>
      </c>
      <c r="E92" s="7">
        <v>1</v>
      </c>
      <c r="F92" s="7">
        <v>0</v>
      </c>
      <c r="G92" s="19" t="s">
        <v>1341</v>
      </c>
      <c r="H92" s="11">
        <f t="shared" si="1"/>
        <v>44712</v>
      </c>
      <c r="I92" s="53">
        <v>44903</v>
      </c>
      <c r="J92" s="8"/>
      <c r="K92" s="10" t="s">
        <v>1171</v>
      </c>
    </row>
    <row r="93" spans="1:11">
      <c r="A93" s="7">
        <v>92</v>
      </c>
      <c r="B93" s="8" t="str">
        <f>VLOOKUP(A93,vaccines!A:B,2)</f>
        <v>Sputnik_light</v>
      </c>
      <c r="C93" s="28" t="s">
        <v>1342</v>
      </c>
      <c r="D93" s="12">
        <v>45810</v>
      </c>
      <c r="E93" s="7">
        <v>1</v>
      </c>
      <c r="F93" s="54">
        <v>0</v>
      </c>
      <c r="G93" s="15" t="s">
        <v>1343</v>
      </c>
      <c r="H93" s="11">
        <f t="shared" si="1"/>
        <v>44712</v>
      </c>
      <c r="I93" s="52">
        <v>45830</v>
      </c>
      <c r="J93" s="8"/>
      <c r="K93" s="28" t="s">
        <v>1344</v>
      </c>
    </row>
    <row r="94" spans="1:11">
      <c r="A94" s="7">
        <v>93</v>
      </c>
      <c r="B94" s="8" t="str">
        <f>VLOOKUP(A94,vaccines!A:B,2)</f>
        <v>Sputnik_M</v>
      </c>
      <c r="C94" s="10" t="s">
        <v>1345</v>
      </c>
      <c r="D94" s="11">
        <v>44524</v>
      </c>
      <c r="E94" s="7">
        <v>1</v>
      </c>
      <c r="F94" s="7">
        <v>0</v>
      </c>
      <c r="G94" s="19" t="s">
        <v>1346</v>
      </c>
      <c r="H94" s="11">
        <f t="shared" si="1"/>
        <v>44712</v>
      </c>
      <c r="I94" s="53" t="s">
        <v>1347</v>
      </c>
      <c r="J94" s="8"/>
      <c r="K94" s="10" t="s">
        <v>1348</v>
      </c>
    </row>
    <row r="95" spans="1:11">
      <c r="A95" s="7">
        <v>94</v>
      </c>
      <c r="B95" s="8" t="str">
        <f>VLOOKUP(A95,vaccines!A:B,2)</f>
        <v>Convacel</v>
      </c>
      <c r="C95" s="28" t="s">
        <v>1349</v>
      </c>
      <c r="D95" s="12">
        <v>46009</v>
      </c>
      <c r="E95" s="54">
        <v>1</v>
      </c>
      <c r="F95" s="54">
        <v>0</v>
      </c>
      <c r="G95" s="15" t="s">
        <v>1350</v>
      </c>
      <c r="H95" s="11">
        <f t="shared" si="1"/>
        <v>44712</v>
      </c>
      <c r="I95" s="52">
        <v>46053</v>
      </c>
      <c r="J95" s="8"/>
      <c r="K95" s="28" t="s">
        <v>1351</v>
      </c>
    </row>
    <row r="96" spans="1:11">
      <c r="A96" s="7">
        <v>95</v>
      </c>
      <c r="B96" s="8" t="str">
        <f>VLOOKUP(A96,vaccines!A:B,2)</f>
        <v>Aurora</v>
      </c>
      <c r="C96" s="10" t="s">
        <v>1352</v>
      </c>
      <c r="D96" s="11">
        <v>44697</v>
      </c>
      <c r="E96" s="7">
        <v>2</v>
      </c>
      <c r="F96" s="7">
        <v>4</v>
      </c>
      <c r="G96" s="19" t="s">
        <v>1353</v>
      </c>
      <c r="H96" s="11">
        <f t="shared" si="1"/>
        <v>44712</v>
      </c>
      <c r="I96" s="53">
        <v>44904</v>
      </c>
      <c r="J96" s="8"/>
      <c r="K96" s="10" t="s">
        <v>1354</v>
      </c>
    </row>
    <row r="97" spans="1:11">
      <c r="A97" s="7">
        <v>96</v>
      </c>
      <c r="B97" s="8" t="str">
        <f>VLOOKUP(A97,vaccines!A:B,2)</f>
        <v>Rota_V_Aid</v>
      </c>
      <c r="C97" s="28" t="s">
        <v>1355</v>
      </c>
      <c r="D97" s="12">
        <v>45594</v>
      </c>
      <c r="E97" s="7"/>
      <c r="F97" s="7"/>
      <c r="G97" s="15" t="s">
        <v>1356</v>
      </c>
      <c r="H97" s="11">
        <f t="shared" si="1"/>
        <v>44712</v>
      </c>
      <c r="I97" s="12">
        <v>45629</v>
      </c>
      <c r="J97" s="8"/>
      <c r="K97" s="28" t="s">
        <v>1357</v>
      </c>
    </row>
    <row r="98" spans="1:11">
      <c r="A98" s="7">
        <v>97</v>
      </c>
      <c r="B98" s="8" t="str">
        <f>VLOOKUP(A98,vaccines!A:B,2)</f>
        <v>Hib_Rostov</v>
      </c>
      <c r="C98" s="10" t="s">
        <v>1358</v>
      </c>
      <c r="D98" s="11">
        <v>42577</v>
      </c>
      <c r="E98" s="7">
        <v>1</v>
      </c>
      <c r="F98" s="7">
        <v>0</v>
      </c>
      <c r="G98" s="19" t="s">
        <v>1359</v>
      </c>
      <c r="H98" s="11">
        <f t="shared" si="1"/>
        <v>44712</v>
      </c>
      <c r="I98" s="53">
        <v>44904</v>
      </c>
      <c r="J98" s="8"/>
      <c r="K98" s="10" t="s">
        <v>1360</v>
      </c>
    </row>
    <row r="99" spans="1:11">
      <c r="A99" s="7">
        <v>98</v>
      </c>
      <c r="B99" s="8" t="str">
        <f>VLOOKUP(A99,vaccines!A:B,2)</f>
        <v>HepB_Combiotech_1_0</v>
      </c>
      <c r="C99" s="28" t="s">
        <v>1361</v>
      </c>
      <c r="D99" s="12">
        <v>46056</v>
      </c>
      <c r="E99" s="7">
        <v>1</v>
      </c>
      <c r="F99" s="7">
        <v>0</v>
      </c>
      <c r="G99" s="15" t="s">
        <v>1150</v>
      </c>
      <c r="H99" s="11">
        <f t="shared" si="1"/>
        <v>44712</v>
      </c>
      <c r="I99" s="52">
        <v>46130</v>
      </c>
      <c r="J99" s="8"/>
      <c r="K99" s="28" t="s">
        <v>1362</v>
      </c>
    </row>
    <row r="100" spans="1:11">
      <c r="A100" s="7">
        <v>99</v>
      </c>
      <c r="B100" s="8" t="str">
        <f>VLOOKUP(A100,vaccines!A:B,2)</f>
        <v>Regevac_1_0</v>
      </c>
      <c r="C100" s="10" t="s">
        <v>1363</v>
      </c>
      <c r="D100" s="12">
        <v>45216</v>
      </c>
      <c r="E100" s="54">
        <v>1</v>
      </c>
      <c r="F100" s="54">
        <v>0</v>
      </c>
      <c r="G100" s="15" t="s">
        <v>1147</v>
      </c>
      <c r="H100" s="11">
        <f t="shared" si="1"/>
        <v>44712</v>
      </c>
      <c r="I100" s="52">
        <v>45988</v>
      </c>
      <c r="J100" s="8"/>
      <c r="K100" s="10" t="s">
        <v>1364</v>
      </c>
    </row>
    <row r="101" spans="1:11">
      <c r="A101" s="7">
        <v>100</v>
      </c>
      <c r="B101" s="8" t="str">
        <f>VLOOKUP(A101,vaccines!A:B,2)</f>
        <v>Priorix_Tetra</v>
      </c>
      <c r="C101" s="28" t="s">
        <v>1365</v>
      </c>
      <c r="D101" s="12">
        <v>45453</v>
      </c>
      <c r="E101" s="7"/>
      <c r="F101" s="7"/>
      <c r="G101" s="15" t="s">
        <v>1366</v>
      </c>
      <c r="H101" s="11">
        <f t="shared" si="1"/>
        <v>44712</v>
      </c>
      <c r="I101" s="52">
        <v>45510</v>
      </c>
      <c r="J101" s="8"/>
      <c r="K101" s="28" t="s">
        <v>1367</v>
      </c>
    </row>
    <row r="102" spans="1:11">
      <c r="A102" s="7">
        <v>101</v>
      </c>
      <c r="B102" s="8" t="str">
        <f>VLOOKUP(A102,vaccines!A:B,2)</f>
        <v>Menveo</v>
      </c>
      <c r="C102" s="10" t="s">
        <v>1368</v>
      </c>
      <c r="D102" s="11">
        <v>42958</v>
      </c>
      <c r="E102" s="7">
        <v>1</v>
      </c>
      <c r="F102" s="7">
        <v>0</v>
      </c>
      <c r="G102" s="19" t="s">
        <v>1369</v>
      </c>
      <c r="H102" s="11">
        <f t="shared" si="1"/>
        <v>44712</v>
      </c>
      <c r="I102" s="53">
        <v>45079</v>
      </c>
      <c r="J102" s="8"/>
      <c r="K102" s="10" t="s">
        <v>1370</v>
      </c>
    </row>
    <row r="103" spans="1:11">
      <c r="A103" s="7">
        <v>102</v>
      </c>
      <c r="B103" s="8" t="str">
        <f>VLOOKUP(A103,vaccines!A:B,2)</f>
        <v>Sputnik_intranasal</v>
      </c>
      <c r="C103" s="10" t="s">
        <v>1371</v>
      </c>
      <c r="D103" s="11">
        <v>44651</v>
      </c>
      <c r="E103" s="7">
        <v>1</v>
      </c>
      <c r="F103" s="7">
        <v>0</v>
      </c>
      <c r="G103" s="19" t="s">
        <v>1372</v>
      </c>
      <c r="H103" s="11">
        <f t="shared" si="1"/>
        <v>44712</v>
      </c>
      <c r="I103" s="53">
        <v>44904</v>
      </c>
      <c r="J103" s="8"/>
      <c r="K103" s="10" t="s">
        <v>1373</v>
      </c>
    </row>
    <row r="104" spans="1:11">
      <c r="A104" s="7">
        <v>103</v>
      </c>
      <c r="B104" s="8" t="str">
        <f>VLOOKUP(A104,vaccines!A:B,2)</f>
        <v>Grippol_plus_0_25</v>
      </c>
      <c r="C104" s="28" t="s">
        <v>1374</v>
      </c>
      <c r="D104" s="12">
        <v>45182</v>
      </c>
      <c r="E104" s="7"/>
      <c r="F104" s="7"/>
      <c r="G104" s="15" t="s">
        <v>1179</v>
      </c>
      <c r="H104" s="11">
        <f t="shared" si="1"/>
        <v>44712</v>
      </c>
      <c r="I104" s="52">
        <v>45483</v>
      </c>
      <c r="J104" s="8"/>
      <c r="K104" s="28" t="s">
        <v>1375</v>
      </c>
    </row>
    <row r="105" spans="1:11">
      <c r="A105" s="7">
        <v>104</v>
      </c>
      <c r="B105" s="8" t="str">
        <f>VLOOKUP(A105,vaccines!A:B,2)</f>
        <v>Flu_M_Tetra</v>
      </c>
      <c r="C105" s="28" t="s">
        <v>1376</v>
      </c>
      <c r="D105" s="12">
        <v>45741</v>
      </c>
      <c r="E105" s="54">
        <v>1</v>
      </c>
      <c r="F105" s="54">
        <v>0</v>
      </c>
      <c r="G105" s="15" t="s">
        <v>1377</v>
      </c>
      <c r="H105" s="11">
        <f t="shared" si="1"/>
        <v>44712</v>
      </c>
      <c r="I105" s="52">
        <v>45798</v>
      </c>
      <c r="J105" s="8"/>
      <c r="K105" s="28" t="s">
        <v>1378</v>
      </c>
    </row>
    <row r="106" spans="1:11">
      <c r="A106" s="7">
        <v>105</v>
      </c>
      <c r="B106" s="8" t="str">
        <f>VLOOKUP(A106,vaccines!A:B,2)</f>
        <v>Vaxigrip_Tetra</v>
      </c>
      <c r="C106" s="28" t="s">
        <v>1379</v>
      </c>
      <c r="D106" s="12">
        <v>45300</v>
      </c>
      <c r="E106" s="7"/>
      <c r="F106" s="7"/>
      <c r="G106" s="15" t="s">
        <v>1380</v>
      </c>
      <c r="H106" s="11">
        <f t="shared" si="1"/>
        <v>44712</v>
      </c>
      <c r="I106" s="52">
        <v>45489</v>
      </c>
      <c r="J106" s="8"/>
      <c r="K106" s="28" t="s">
        <v>1381</v>
      </c>
    </row>
    <row r="107" spans="1:11">
      <c r="A107" s="7">
        <v>106</v>
      </c>
      <c r="B107" s="8" t="str">
        <f>VLOOKUP(A107,vaccines!A:B,2)</f>
        <v>Ocavax</v>
      </c>
      <c r="C107" s="10" t="s">
        <v>1382</v>
      </c>
      <c r="D107" s="11">
        <v>40233</v>
      </c>
      <c r="E107" s="7">
        <v>1</v>
      </c>
      <c r="F107" s="7">
        <v>0</v>
      </c>
      <c r="G107" s="19" t="s">
        <v>1383</v>
      </c>
      <c r="H107" s="11">
        <v>44902</v>
      </c>
      <c r="I107" s="53">
        <v>45079</v>
      </c>
      <c r="J107" s="8"/>
      <c r="K107" s="10" t="s">
        <v>1384</v>
      </c>
    </row>
    <row r="108" spans="1:11">
      <c r="A108" s="7">
        <v>107</v>
      </c>
      <c r="B108" s="8" t="str">
        <f>VLOOKUP(A108,vaccines!A:B,2)</f>
        <v>Pneumo_23</v>
      </c>
      <c r="C108" s="10" t="s">
        <v>1385</v>
      </c>
      <c r="D108" s="11">
        <v>41688</v>
      </c>
      <c r="E108" s="7">
        <v>1</v>
      </c>
      <c r="F108" s="7">
        <v>0</v>
      </c>
      <c r="G108" s="19" t="s">
        <v>1386</v>
      </c>
      <c r="H108" s="11">
        <v>44902</v>
      </c>
      <c r="I108" s="53">
        <v>45079</v>
      </c>
      <c r="J108" s="8"/>
      <c r="K108" s="10" t="s">
        <v>1387</v>
      </c>
    </row>
    <row r="109" spans="1:11">
      <c r="A109" s="7">
        <v>108</v>
      </c>
      <c r="B109" s="8" t="str">
        <f>VLOOKUP(A109,vaccines!A:B,2)</f>
        <v>Varivax</v>
      </c>
      <c r="C109" s="28" t="s">
        <v>1388</v>
      </c>
      <c r="D109" s="12">
        <v>45126</v>
      </c>
      <c r="E109" s="7"/>
      <c r="F109" s="7"/>
      <c r="G109" s="15" t="s">
        <v>1389</v>
      </c>
      <c r="H109" s="11">
        <v>44902</v>
      </c>
      <c r="I109" s="57">
        <v>45489</v>
      </c>
      <c r="J109" s="8"/>
      <c r="K109" s="28" t="s">
        <v>1390</v>
      </c>
    </row>
    <row r="110" spans="1:11">
      <c r="A110" s="7">
        <v>109</v>
      </c>
      <c r="B110" s="8" t="str">
        <f>VLOOKUP(A110,vaccines!A:B,2)</f>
        <v>Pneumotex</v>
      </c>
      <c r="C110" s="28" t="s">
        <v>1391</v>
      </c>
      <c r="D110" s="12">
        <v>45777</v>
      </c>
      <c r="E110" s="7">
        <v>1</v>
      </c>
      <c r="F110" s="7">
        <v>0</v>
      </c>
      <c r="G110" s="15" t="s">
        <v>1392</v>
      </c>
      <c r="H110" s="11">
        <v>45063</v>
      </c>
      <c r="I110" s="57">
        <v>45818</v>
      </c>
      <c r="J110" s="8"/>
      <c r="K110" s="28" t="s">
        <v>1393</v>
      </c>
    </row>
    <row r="111" spans="1:11">
      <c r="A111" s="7">
        <v>110</v>
      </c>
      <c r="B111" s="8" t="str">
        <f>VLOOKUP(A111,vaccines!A:B,2)</f>
        <v>Priorix</v>
      </c>
      <c r="C111" s="10" t="s">
        <v>1394</v>
      </c>
      <c r="D111" s="11">
        <v>42206</v>
      </c>
      <c r="E111" s="7">
        <v>4</v>
      </c>
      <c r="F111" s="7">
        <v>5</v>
      </c>
      <c r="G111" s="19" t="s">
        <v>1395</v>
      </c>
      <c r="H111" s="11">
        <v>45079</v>
      </c>
      <c r="I111" s="58"/>
      <c r="J111" s="8"/>
      <c r="K111" s="10" t="s">
        <v>1396</v>
      </c>
    </row>
    <row r="112" spans="1:11">
      <c r="A112" s="7">
        <v>111</v>
      </c>
      <c r="B112" s="8" t="str">
        <f>VLOOKUP(A112,vaccines!A:B,2)</f>
        <v>MenQuadfi</v>
      </c>
      <c r="C112" s="28" t="s">
        <v>1397</v>
      </c>
      <c r="D112" s="12">
        <v>45932</v>
      </c>
      <c r="E112" s="54">
        <v>1</v>
      </c>
      <c r="F112" s="54">
        <v>0</v>
      </c>
      <c r="G112" s="15" t="s">
        <v>1398</v>
      </c>
      <c r="H112" s="11">
        <v>45083</v>
      </c>
      <c r="I112" s="57">
        <v>46072</v>
      </c>
      <c r="J112" s="8"/>
      <c r="K112" s="28" t="s">
        <v>1399</v>
      </c>
    </row>
    <row r="113" spans="1:11">
      <c r="A113" s="7">
        <v>112</v>
      </c>
      <c r="B113" s="8" t="str">
        <f>VLOOKUP(A113,vaccines!A:B,2)</f>
        <v>Bexsero</v>
      </c>
      <c r="C113" s="28" t="s">
        <v>1400</v>
      </c>
      <c r="D113" s="12">
        <v>45391</v>
      </c>
      <c r="E113" s="7"/>
      <c r="F113" s="7"/>
      <c r="G113" s="15" t="s">
        <v>1401</v>
      </c>
      <c r="H113" s="11">
        <v>45083</v>
      </c>
      <c r="I113" s="57">
        <v>45489</v>
      </c>
      <c r="J113" s="8"/>
      <c r="K113" s="28" t="s">
        <v>1402</v>
      </c>
    </row>
    <row r="114" spans="1:11">
      <c r="A114" s="7">
        <v>113</v>
      </c>
      <c r="B114" s="8" t="str">
        <f>VLOOKUP(A114,vaccines!A:B,2)</f>
        <v>Sputnik_D</v>
      </c>
      <c r="C114" s="10" t="s">
        <v>1403</v>
      </c>
      <c r="D114" s="11">
        <v>45030</v>
      </c>
      <c r="E114" s="7">
        <v>1</v>
      </c>
      <c r="F114" s="7">
        <v>0</v>
      </c>
      <c r="G114" s="19" t="s">
        <v>1404</v>
      </c>
      <c r="H114" s="11">
        <v>45083</v>
      </c>
      <c r="I114" s="58"/>
      <c r="J114" s="8"/>
      <c r="K114" s="10" t="s">
        <v>1405</v>
      </c>
    </row>
    <row r="115" spans="1:11">
      <c r="A115" s="7">
        <v>114</v>
      </c>
      <c r="B115" s="8" t="str">
        <f>VLOOKUP(A115,vaccines!A:B,2)</f>
        <v>Encepur_0_25</v>
      </c>
      <c r="C115" s="10" t="s">
        <v>1406</v>
      </c>
      <c r="D115" s="11">
        <v>40252</v>
      </c>
      <c r="E115" s="7">
        <v>1</v>
      </c>
      <c r="F115" s="7">
        <v>0</v>
      </c>
      <c r="G115" s="19" t="s">
        <v>1407</v>
      </c>
      <c r="H115" s="11">
        <v>45083</v>
      </c>
      <c r="I115" s="58"/>
      <c r="J115" s="8"/>
      <c r="K115" s="10" t="s">
        <v>1408</v>
      </c>
    </row>
    <row r="116" spans="1:11">
      <c r="A116" s="7">
        <v>115</v>
      </c>
      <c r="B116" s="8" t="str">
        <f>VLOOKUP(A116,vaccines!A:B,2)</f>
        <v>Encepur_0_5</v>
      </c>
      <c r="C116" s="10" t="s">
        <v>1409</v>
      </c>
      <c r="D116" s="11">
        <v>39878</v>
      </c>
      <c r="E116" s="7">
        <v>1</v>
      </c>
      <c r="F116" s="7">
        <v>0</v>
      </c>
      <c r="G116" s="19" t="s">
        <v>1410</v>
      </c>
      <c r="H116" s="11">
        <v>45083</v>
      </c>
      <c r="I116" s="58"/>
      <c r="J116" s="8"/>
      <c r="K116" s="10" t="s">
        <v>1411</v>
      </c>
    </row>
    <row r="117" spans="1:11">
      <c r="A117" s="7">
        <v>116</v>
      </c>
      <c r="B117" s="8" t="str">
        <f>VLOOKUP(A117,vaccines!A:B,2)</f>
        <v>Poliovaccine</v>
      </c>
      <c r="C117" s="10" t="s">
        <v>1240</v>
      </c>
      <c r="D117" s="11">
        <v>44476</v>
      </c>
      <c r="E117" s="7">
        <v>1</v>
      </c>
      <c r="F117" s="7">
        <v>0</v>
      </c>
      <c r="G117" s="19" t="s">
        <v>1412</v>
      </c>
      <c r="H117" s="11">
        <v>45083</v>
      </c>
      <c r="I117" s="58"/>
      <c r="J117" s="8"/>
      <c r="K117" s="10" t="s">
        <v>1242</v>
      </c>
    </row>
    <row r="118" spans="1:11">
      <c r="A118" s="7">
        <v>117</v>
      </c>
      <c r="B118" s="8" t="str">
        <f>VLOOKUP(A118,vaccines!A:B,2)</f>
        <v>Act_Hib</v>
      </c>
      <c r="C118" s="10" t="s">
        <v>1413</v>
      </c>
      <c r="D118" s="11">
        <v>41936</v>
      </c>
      <c r="E118" s="7">
        <v>1</v>
      </c>
      <c r="F118" s="7">
        <v>0</v>
      </c>
      <c r="G118" s="19" t="s">
        <v>1414</v>
      </c>
      <c r="H118" s="11">
        <v>45084</v>
      </c>
      <c r="I118" s="58"/>
      <c r="J118" s="8"/>
      <c r="K118" s="10" t="s">
        <v>1415</v>
      </c>
    </row>
    <row r="119" spans="1:11">
      <c r="A119" s="7">
        <v>118</v>
      </c>
      <c r="B119" s="8" t="str">
        <f>VLOOKUP(A119,vaccines!A:B,2)</f>
        <v>Hiberix</v>
      </c>
      <c r="C119" s="10" t="s">
        <v>1416</v>
      </c>
      <c r="D119" s="11">
        <v>41047</v>
      </c>
      <c r="E119" s="7">
        <v>1</v>
      </c>
      <c r="F119" s="7">
        <v>0</v>
      </c>
      <c r="G119" s="19" t="s">
        <v>1417</v>
      </c>
      <c r="H119" s="11">
        <v>45085</v>
      </c>
      <c r="I119" s="58"/>
      <c r="J119" s="8"/>
      <c r="K119" s="10" t="s">
        <v>1418</v>
      </c>
    </row>
    <row r="120" spans="1:11">
      <c r="A120" s="7">
        <v>119</v>
      </c>
      <c r="B120" s="8" t="str">
        <f>VLOOKUP(A120,vaccines!A:B,2)</f>
        <v>FSME_Immun_Junior</v>
      </c>
      <c r="C120" s="10" t="s">
        <v>1419</v>
      </c>
      <c r="D120" s="11">
        <v>43115</v>
      </c>
      <c r="E120" s="7">
        <v>1</v>
      </c>
      <c r="F120" s="7">
        <v>0</v>
      </c>
      <c r="G120" s="19" t="s">
        <v>1420</v>
      </c>
      <c r="H120" s="11">
        <v>45085</v>
      </c>
      <c r="I120" s="58"/>
      <c r="J120" s="8"/>
      <c r="K120" s="10" t="s">
        <v>1421</v>
      </c>
    </row>
    <row r="121" spans="1:11">
      <c r="A121" s="7">
        <v>120</v>
      </c>
      <c r="B121" s="8" t="str">
        <f>VLOOKUP(A121,vaccines!A:B,2)</f>
        <v>FSME_Immun</v>
      </c>
      <c r="C121" s="10" t="s">
        <v>1422</v>
      </c>
      <c r="D121" s="11">
        <v>44169</v>
      </c>
      <c r="E121" s="7">
        <v>1</v>
      </c>
      <c r="F121" s="7">
        <v>0</v>
      </c>
      <c r="G121" s="19" t="s">
        <v>1423</v>
      </c>
      <c r="H121" s="11">
        <v>45085</v>
      </c>
      <c r="I121" s="58"/>
      <c r="J121" s="8"/>
      <c r="K121" s="10" t="s">
        <v>1424</v>
      </c>
    </row>
    <row r="122" spans="1:11">
      <c r="A122" s="7">
        <v>121</v>
      </c>
      <c r="B122" s="8" t="str">
        <f>VLOOKUP(A122,vaccines!A:B,2)</f>
        <v>SciBiVac</v>
      </c>
      <c r="C122" s="10" t="s">
        <v>1425</v>
      </c>
      <c r="D122" s="11">
        <v>44762</v>
      </c>
      <c r="E122" s="7">
        <v>1</v>
      </c>
      <c r="F122" s="7">
        <v>0</v>
      </c>
      <c r="G122" s="19" t="s">
        <v>1426</v>
      </c>
      <c r="H122" s="11">
        <v>45085</v>
      </c>
      <c r="I122" s="58"/>
      <c r="J122" s="8"/>
      <c r="K122" s="10" t="s">
        <v>1427</v>
      </c>
    </row>
    <row r="123" spans="1:11">
      <c r="A123" s="7">
        <v>122</v>
      </c>
      <c r="B123" s="8" t="str">
        <f>VLOOKUP(A123,vaccines!A:B,2)</f>
        <v>Pentavaccina</v>
      </c>
      <c r="C123" s="10" t="s">
        <v>1428</v>
      </c>
      <c r="D123" s="52">
        <v>45320</v>
      </c>
      <c r="E123" s="7"/>
      <c r="F123" s="7"/>
      <c r="G123" s="15" t="s">
        <v>1429</v>
      </c>
      <c r="H123" s="53">
        <v>45105</v>
      </c>
      <c r="I123" s="57">
        <v>45460</v>
      </c>
      <c r="J123" s="8"/>
      <c r="K123" s="10" t="s">
        <v>1430</v>
      </c>
    </row>
    <row r="124" spans="1:11">
      <c r="A124" s="29">
        <v>123</v>
      </c>
      <c r="B124" s="8" t="str">
        <f>VLOOKUP(A124,vaccines!A:B,2)</f>
        <v>Vitagerpavac</v>
      </c>
      <c r="C124" s="47" t="s">
        <v>1431</v>
      </c>
      <c r="D124" s="40">
        <v>40255</v>
      </c>
      <c r="E124" s="29">
        <v>1</v>
      </c>
      <c r="F124" s="29">
        <v>0</v>
      </c>
      <c r="G124" s="33" t="s">
        <v>1432</v>
      </c>
      <c r="H124" s="40">
        <v>45169</v>
      </c>
      <c r="I124" s="60">
        <v>45392</v>
      </c>
      <c r="K124" s="47" t="s">
        <v>1433</v>
      </c>
    </row>
    <row r="125" spans="1:11">
      <c r="A125" s="29">
        <v>124</v>
      </c>
      <c r="B125" s="8" t="str">
        <f>VLOOKUP(A125,vaccines!A:B,2)</f>
        <v>Shingrix</v>
      </c>
      <c r="C125" s="47" t="s">
        <v>1434</v>
      </c>
      <c r="D125" s="40">
        <v>45440</v>
      </c>
      <c r="G125" s="33" t="s">
        <v>1435</v>
      </c>
      <c r="H125" s="40">
        <v>45377</v>
      </c>
      <c r="I125" s="40">
        <v>45589</v>
      </c>
      <c r="K125" s="47" t="s">
        <v>1436</v>
      </c>
    </row>
    <row r="126" spans="1:11">
      <c r="A126" s="29">
        <v>125</v>
      </c>
      <c r="B126" s="8" t="str">
        <f>VLOOKUP(A126,vaccines!A:B,2)</f>
        <v>Trivaid</v>
      </c>
      <c r="C126" s="47" t="s">
        <v>1437</v>
      </c>
      <c r="D126" s="12">
        <v>45996</v>
      </c>
      <c r="E126" s="54">
        <v>1</v>
      </c>
      <c r="F126" s="54">
        <v>0</v>
      </c>
      <c r="G126" s="15" t="s">
        <v>1438</v>
      </c>
      <c r="H126" s="11">
        <v>45436</v>
      </c>
      <c r="I126" s="40">
        <v>46053</v>
      </c>
      <c r="K126" s="47" t="s">
        <v>1439</v>
      </c>
    </row>
    <row r="127" spans="1:11">
      <c r="A127" s="29">
        <v>126</v>
      </c>
      <c r="B127" s="8" t="str">
        <f>VLOOKUP(A127,vaccines!A:B,2)</f>
        <v>BabyHib</v>
      </c>
      <c r="C127" s="47" t="s">
        <v>1440</v>
      </c>
      <c r="D127" s="12">
        <v>45938</v>
      </c>
      <c r="E127" s="7">
        <v>1</v>
      </c>
      <c r="F127" s="7">
        <v>0</v>
      </c>
      <c r="G127" s="15" t="s">
        <v>1441</v>
      </c>
      <c r="H127" s="11">
        <v>45436</v>
      </c>
      <c r="I127" s="40">
        <v>45988</v>
      </c>
      <c r="K127" s="47" t="s">
        <v>1442</v>
      </c>
    </row>
    <row r="128" spans="1:11">
      <c r="A128" s="29">
        <v>127</v>
      </c>
      <c r="B128" s="8" t="str">
        <f>VLOOKUP(A128,vaccines!A:B,2)</f>
        <v>AD_M_Biomed</v>
      </c>
      <c r="C128" s="47" t="s">
        <v>1443</v>
      </c>
      <c r="D128" s="40">
        <v>41046</v>
      </c>
      <c r="E128" s="29">
        <v>1</v>
      </c>
      <c r="F128" s="29">
        <v>0</v>
      </c>
      <c r="G128" s="33" t="s">
        <v>1444</v>
      </c>
      <c r="H128" s="12">
        <v>45461</v>
      </c>
      <c r="K128" s="47" t="s">
        <v>1445</v>
      </c>
    </row>
    <row r="129" spans="1:11">
      <c r="A129" s="29">
        <v>128</v>
      </c>
      <c r="B129" s="8" t="str">
        <f>VLOOKUP(A129,vaccines!A:B,2)</f>
        <v>AS_D_Microgen</v>
      </c>
      <c r="C129" s="47" t="s">
        <v>1446</v>
      </c>
      <c r="D129" s="40">
        <v>45266</v>
      </c>
      <c r="G129" s="34" t="s">
        <v>1447</v>
      </c>
      <c r="H129" s="12">
        <v>45461</v>
      </c>
      <c r="K129" s="47" t="s">
        <v>1448</v>
      </c>
    </row>
    <row r="130" spans="1:11">
      <c r="A130" s="29">
        <v>129</v>
      </c>
      <c r="B130" s="8" t="str">
        <f>VLOOKUP(A130,vaccines!A:B,2)</f>
        <v>Variola</v>
      </c>
      <c r="C130" s="47" t="s">
        <v>1449</v>
      </c>
      <c r="D130" s="40">
        <v>45252</v>
      </c>
      <c r="G130" s="33" t="s">
        <v>1450</v>
      </c>
      <c r="H130" s="12">
        <v>45461</v>
      </c>
      <c r="K130" s="47" t="s">
        <v>1451</v>
      </c>
    </row>
    <row r="131" spans="1:11">
      <c r="A131" s="29">
        <v>130</v>
      </c>
      <c r="B131" s="8" t="str">
        <f>VLOOKUP(A131,vaccines!A:B,2)</f>
        <v>AKDS_HepB_Microgen</v>
      </c>
      <c r="C131" s="47" t="s">
        <v>1452</v>
      </c>
      <c r="D131" s="40">
        <v>45135</v>
      </c>
      <c r="G131" s="33" t="s">
        <v>1453</v>
      </c>
      <c r="H131" s="40">
        <v>45464</v>
      </c>
      <c r="K131" s="47" t="s">
        <v>1454</v>
      </c>
    </row>
    <row r="132" spans="1:11">
      <c r="A132" s="29">
        <v>131</v>
      </c>
      <c r="B132" s="8" t="str">
        <f>VLOOKUP(A132,vaccines!A:B,2)</f>
        <v>Rickettsia</v>
      </c>
      <c r="C132" s="47" t="s">
        <v>1455</v>
      </c>
      <c r="D132" s="40">
        <v>45107</v>
      </c>
      <c r="G132" s="33" t="s">
        <v>1456</v>
      </c>
      <c r="H132" s="40">
        <v>45464</v>
      </c>
      <c r="K132" s="47" t="s">
        <v>1457</v>
      </c>
    </row>
    <row r="133" spans="1:11">
      <c r="A133" s="29">
        <v>132</v>
      </c>
      <c r="B133" s="8" t="str">
        <f>VLOOKUP(A133,vaccines!A:B,2)</f>
        <v>OspaVir</v>
      </c>
      <c r="C133" s="47" t="s">
        <v>1458</v>
      </c>
      <c r="D133" s="40">
        <v>45077</v>
      </c>
      <c r="G133" s="33" t="s">
        <v>1459</v>
      </c>
      <c r="H133" s="40">
        <v>45464</v>
      </c>
      <c r="K133" s="47" t="s">
        <v>1460</v>
      </c>
    </row>
    <row r="134" spans="1:11">
      <c r="A134" s="29">
        <v>133</v>
      </c>
      <c r="B134" s="8" t="str">
        <f>VLOOKUP(A134,vaccines!A:B,2)</f>
        <v>Gonovaccina_therapeutic</v>
      </c>
      <c r="C134" s="47" t="s">
        <v>1461</v>
      </c>
      <c r="D134" s="40">
        <v>44942</v>
      </c>
      <c r="G134" s="33" t="s">
        <v>1462</v>
      </c>
      <c r="H134" s="40">
        <v>45464</v>
      </c>
      <c r="K134" s="47" t="s">
        <v>1463</v>
      </c>
    </row>
    <row r="135" spans="1:11">
      <c r="A135" s="29">
        <v>134</v>
      </c>
      <c r="B135" s="8" t="str">
        <f>VLOOKUP(A135,vaccines!A:B,2)</f>
        <v>OrtopoxVac</v>
      </c>
      <c r="C135" s="47" t="s">
        <v>1464</v>
      </c>
      <c r="D135" s="11">
        <v>45147</v>
      </c>
      <c r="E135" s="8"/>
      <c r="F135" s="8"/>
      <c r="G135" s="19" t="s">
        <v>1465</v>
      </c>
      <c r="H135" s="11">
        <v>45465</v>
      </c>
      <c r="K135" s="47" t="s">
        <v>1466</v>
      </c>
    </row>
    <row r="136" spans="1:11">
      <c r="A136" s="29">
        <v>135</v>
      </c>
      <c r="B136" s="8" t="str">
        <f>VLOOKUP(A136,vaccines!A:B,2)</f>
        <v>FlexVac</v>
      </c>
      <c r="C136" s="47" t="s">
        <v>1467</v>
      </c>
      <c r="D136" s="40">
        <v>46126</v>
      </c>
      <c r="E136" s="29">
        <v>1</v>
      </c>
      <c r="F136" s="29">
        <v>0</v>
      </c>
      <c r="G136" s="33" t="s">
        <v>1468</v>
      </c>
      <c r="H136" s="11">
        <v>45465</v>
      </c>
      <c r="I136" s="40">
        <v>46188</v>
      </c>
      <c r="K136" s="47" t="s">
        <v>1469</v>
      </c>
    </row>
    <row r="137" spans="1:11">
      <c r="A137" s="29">
        <v>136</v>
      </c>
      <c r="B137" s="8" t="str">
        <f>VLOOKUP(A137,vaccines!A:B,2)</f>
        <v>SinSaVac</v>
      </c>
      <c r="C137" s="47" t="s">
        <v>1470</v>
      </c>
      <c r="D137" s="40">
        <v>44537</v>
      </c>
      <c r="E137" s="29">
        <v>1</v>
      </c>
      <c r="F137" s="29">
        <v>0</v>
      </c>
      <c r="G137" s="33" t="s">
        <v>1471</v>
      </c>
      <c r="H137" s="11">
        <v>45465</v>
      </c>
      <c r="K137" s="47" t="s">
        <v>1472</v>
      </c>
    </row>
    <row r="138" spans="1:11">
      <c r="A138" s="29">
        <v>138</v>
      </c>
      <c r="B138" s="8" t="str">
        <f>VLOOKUP(A138,vaccines!A:B,2)</f>
        <v>EpiVacEbola</v>
      </c>
      <c r="C138" s="47" t="s">
        <v>1473</v>
      </c>
      <c r="D138" s="40">
        <v>43185</v>
      </c>
      <c r="E138" s="29">
        <v>1</v>
      </c>
      <c r="F138" s="29">
        <v>0</v>
      </c>
      <c r="G138" s="33" t="s">
        <v>1474</v>
      </c>
      <c r="H138" s="40">
        <v>45465</v>
      </c>
      <c r="K138" s="47" t="s">
        <v>1475</v>
      </c>
    </row>
    <row r="139" spans="1:11">
      <c r="A139" s="29">
        <v>139</v>
      </c>
      <c r="B139" s="8" t="str">
        <f>VLOOKUP(A139,vaccines!A:B,2)</f>
        <v>GamEvac_Combi</v>
      </c>
      <c r="C139" s="47" t="s">
        <v>1476</v>
      </c>
      <c r="D139" s="40">
        <v>46099</v>
      </c>
      <c r="E139" s="29">
        <v>1</v>
      </c>
      <c r="F139" s="29">
        <v>0</v>
      </c>
      <c r="G139" s="33" t="s">
        <v>1477</v>
      </c>
      <c r="H139" s="40">
        <v>46131</v>
      </c>
      <c r="K139" s="47" t="s">
        <v>1478</v>
      </c>
    </row>
    <row r="140" spans="1:11">
      <c r="A140" s="29">
        <v>141</v>
      </c>
      <c r="B140" s="8" t="str">
        <f>VLOOKUP(A140,vaccines!A:B,2)</f>
        <v>Staphylococcus_therapeutic_Biomed</v>
      </c>
      <c r="C140" s="47" t="s">
        <v>1479</v>
      </c>
      <c r="D140" s="40">
        <v>43388</v>
      </c>
      <c r="E140" s="29">
        <v>1</v>
      </c>
      <c r="F140" s="29">
        <v>0</v>
      </c>
      <c r="G140" s="34" t="s">
        <v>1480</v>
      </c>
      <c r="H140" s="40">
        <v>45465</v>
      </c>
      <c r="K140" s="47" t="s">
        <v>1481</v>
      </c>
    </row>
    <row r="141" spans="1:11">
      <c r="A141" s="29">
        <v>142</v>
      </c>
      <c r="B141" s="8" t="str">
        <f>VLOOKUP(A141,vaccines!A:B,2)</f>
        <v>Pseudovac</v>
      </c>
      <c r="C141" s="47" t="s">
        <v>1482</v>
      </c>
      <c r="D141" s="40">
        <v>42809</v>
      </c>
      <c r="E141" s="29">
        <v>1</v>
      </c>
      <c r="F141" s="29">
        <v>0</v>
      </c>
      <c r="G141" s="34" t="s">
        <v>1483</v>
      </c>
      <c r="H141" s="40">
        <v>45466</v>
      </c>
      <c r="K141" s="47" t="s">
        <v>1484</v>
      </c>
    </row>
    <row r="142" spans="1:11">
      <c r="A142" s="29">
        <v>143</v>
      </c>
      <c r="B142" s="8" t="str">
        <f>VLOOKUP(A142,vaccines!A:B,2)</f>
        <v>SPSA_therapeutic</v>
      </c>
      <c r="C142" s="47" t="s">
        <v>1485</v>
      </c>
      <c r="D142" s="40">
        <v>40819</v>
      </c>
      <c r="E142" s="29">
        <v>1</v>
      </c>
      <c r="F142" s="29">
        <v>0</v>
      </c>
      <c r="G142" s="33" t="s">
        <v>1486</v>
      </c>
      <c r="H142" s="40">
        <v>45466</v>
      </c>
      <c r="K142" s="47" t="s">
        <v>1487</v>
      </c>
    </row>
    <row r="143" spans="1:11">
      <c r="A143" s="29">
        <v>144</v>
      </c>
      <c r="B143" s="8" t="str">
        <f>VLOOKUP(A143,vaccines!A:B,2)</f>
        <v>HepB_Serum_India_0_5</v>
      </c>
      <c r="C143" s="47" t="s">
        <v>1488</v>
      </c>
      <c r="D143" s="40">
        <v>45981</v>
      </c>
      <c r="E143" s="29">
        <v>1</v>
      </c>
      <c r="F143" s="29">
        <v>0</v>
      </c>
      <c r="G143" s="33" t="s">
        <v>1489</v>
      </c>
      <c r="H143" s="40">
        <v>45466</v>
      </c>
      <c r="I143" s="60">
        <v>46053</v>
      </c>
      <c r="K143" s="47" t="s">
        <v>1490</v>
      </c>
    </row>
    <row r="144" spans="1:11">
      <c r="A144" s="29">
        <v>145</v>
      </c>
      <c r="B144" s="8" t="str">
        <f>VLOOKUP(A144,vaccines!A:B,2)</f>
        <v>Polio_1_2_3</v>
      </c>
      <c r="C144" s="47" t="s">
        <v>1491</v>
      </c>
      <c r="D144" s="40">
        <v>45275</v>
      </c>
      <c r="E144" s="29">
        <v>1</v>
      </c>
      <c r="F144" s="29">
        <v>0</v>
      </c>
      <c r="G144" s="33" t="s">
        <v>1492</v>
      </c>
      <c r="H144" s="40">
        <v>45466</v>
      </c>
      <c r="K144" s="47" t="s">
        <v>1493</v>
      </c>
    </row>
    <row r="145" spans="1:11">
      <c r="A145" s="29">
        <v>146</v>
      </c>
      <c r="B145" s="8" t="str">
        <f>VLOOKUP(A145,vaccines!A:B,2)</f>
        <v>TEOVac_chew_tablets</v>
      </c>
      <c r="C145" s="47" t="s">
        <v>1494</v>
      </c>
      <c r="D145" s="40">
        <v>40396</v>
      </c>
      <c r="E145" s="29">
        <v>1</v>
      </c>
      <c r="F145" s="29">
        <v>0</v>
      </c>
      <c r="G145" s="33" t="s">
        <v>1495</v>
      </c>
      <c r="H145" s="40">
        <v>45467</v>
      </c>
      <c r="K145" s="47" t="s">
        <v>1496</v>
      </c>
    </row>
    <row r="146" spans="1:11">
      <c r="A146" s="29">
        <v>147</v>
      </c>
      <c r="B146" s="8" t="str">
        <f>VLOOKUP(A146,vaccines!A:B,2)</f>
        <v>TEOVac_tablets</v>
      </c>
      <c r="C146" s="47" t="s">
        <v>1494</v>
      </c>
      <c r="D146" s="40">
        <v>40392</v>
      </c>
      <c r="E146" s="29">
        <v>1</v>
      </c>
      <c r="F146" s="29">
        <v>0</v>
      </c>
      <c r="G146" s="33" t="s">
        <v>1497</v>
      </c>
      <c r="H146" s="40">
        <v>45467</v>
      </c>
      <c r="K146" s="47" t="s">
        <v>1496</v>
      </c>
    </row>
    <row r="147" spans="1:11">
      <c r="A147" s="29">
        <v>148</v>
      </c>
      <c r="B147" s="8" t="str">
        <f>VLOOKUP(A147,vaccines!A:B,2)</f>
        <v>Uro_BCG_therapeutic</v>
      </c>
      <c r="C147" s="47" t="s">
        <v>1498</v>
      </c>
      <c r="D147" s="40">
        <v>42947</v>
      </c>
      <c r="E147" s="29">
        <v>1</v>
      </c>
      <c r="F147" s="29">
        <v>0</v>
      </c>
      <c r="G147" s="33" t="s">
        <v>1499</v>
      </c>
      <c r="H147" s="40">
        <v>45494</v>
      </c>
      <c r="K147" s="47" t="s">
        <v>1500</v>
      </c>
    </row>
    <row r="148" spans="1:11">
      <c r="A148" s="29">
        <v>149</v>
      </c>
      <c r="B148" s="8" t="str">
        <f>VLOOKUP(A148,vaccines!A:B,2)</f>
        <v>Flu_Microgen</v>
      </c>
      <c r="C148" s="47" t="s">
        <v>1501</v>
      </c>
      <c r="D148" s="40">
        <v>40940</v>
      </c>
      <c r="E148" s="29">
        <v>1</v>
      </c>
      <c r="F148" s="29">
        <v>0</v>
      </c>
      <c r="G148" s="33" t="s">
        <v>1502</v>
      </c>
      <c r="H148" s="40">
        <v>45494</v>
      </c>
      <c r="K148" s="47" t="s">
        <v>1503</v>
      </c>
    </row>
    <row r="149" spans="1:11">
      <c r="A149" s="29">
        <v>150</v>
      </c>
      <c r="B149" s="8" t="str">
        <f>VLOOKUP(A149,vaccines!A:B,2)</f>
        <v>MonoGrippol_plus</v>
      </c>
      <c r="C149" s="47" t="s">
        <v>1504</v>
      </c>
      <c r="D149" s="40">
        <v>42719</v>
      </c>
      <c r="E149" s="29">
        <v>1</v>
      </c>
      <c r="F149" s="29">
        <v>0</v>
      </c>
      <c r="G149" s="33" t="s">
        <v>1505</v>
      </c>
      <c r="H149" s="40">
        <v>45494</v>
      </c>
      <c r="K149" s="47" t="s">
        <v>1506</v>
      </c>
    </row>
    <row r="150" spans="1:11">
      <c r="A150" s="29">
        <v>151</v>
      </c>
      <c r="B150" s="8" t="str">
        <f>VLOOKUP(A150,vaccines!A:B,2)</f>
        <v>MonoGrippol_Neo</v>
      </c>
      <c r="C150" s="47" t="s">
        <v>1507</v>
      </c>
      <c r="D150" s="40">
        <v>40102</v>
      </c>
      <c r="E150" s="29">
        <v>1</v>
      </c>
      <c r="F150" s="29">
        <v>0</v>
      </c>
      <c r="G150" s="33" t="s">
        <v>1508</v>
      </c>
      <c r="H150" s="40">
        <v>45494</v>
      </c>
      <c r="K150" s="47" t="s">
        <v>1509</v>
      </c>
    </row>
    <row r="151" spans="1:11">
      <c r="A151" s="29">
        <v>152</v>
      </c>
      <c r="B151" s="8" t="str">
        <f>VLOOKUP(A151,vaccines!A:B,2)</f>
        <v>MonoGrippol</v>
      </c>
      <c r="C151" s="47" t="s">
        <v>1507</v>
      </c>
      <c r="D151" s="40">
        <v>40102</v>
      </c>
      <c r="E151" s="29">
        <v>1</v>
      </c>
      <c r="F151" s="29">
        <v>0</v>
      </c>
      <c r="G151" s="33" t="s">
        <v>1510</v>
      </c>
      <c r="H151" s="40">
        <v>45494</v>
      </c>
      <c r="K151" s="47" t="s">
        <v>1509</v>
      </c>
    </row>
    <row r="152" spans="1:11">
      <c r="A152" s="29">
        <v>153</v>
      </c>
      <c r="B152" s="8" t="str">
        <f>VLOOKUP(A152,vaccines!A:B,2)</f>
        <v>Influvir</v>
      </c>
      <c r="C152" s="47" t="s">
        <v>1511</v>
      </c>
      <c r="D152" s="40">
        <v>45681</v>
      </c>
      <c r="E152" s="29">
        <v>1</v>
      </c>
      <c r="F152" s="29">
        <v>0</v>
      </c>
      <c r="G152" s="34" t="s">
        <v>1512</v>
      </c>
      <c r="H152" s="40">
        <v>45494</v>
      </c>
      <c r="I152" s="40">
        <v>45717</v>
      </c>
      <c r="K152" s="47" t="s">
        <v>1513</v>
      </c>
    </row>
    <row r="153" spans="1:11">
      <c r="A153" s="29">
        <v>154</v>
      </c>
      <c r="B153" s="8" t="str">
        <f>VLOOKUP(A153,vaccines!A:B,2)</f>
        <v>Pandeflu</v>
      </c>
      <c r="C153" s="47" t="s">
        <v>1514</v>
      </c>
      <c r="D153" s="40">
        <v>45719</v>
      </c>
      <c r="E153" s="29">
        <v>1</v>
      </c>
      <c r="F153" s="29">
        <v>0</v>
      </c>
      <c r="G153" s="34" t="s">
        <v>1515</v>
      </c>
      <c r="H153" s="40">
        <v>45494</v>
      </c>
      <c r="I153" s="40">
        <v>45750</v>
      </c>
      <c r="K153" s="47" t="s">
        <v>1516</v>
      </c>
    </row>
    <row r="154" spans="1:11">
      <c r="A154" s="29">
        <v>155</v>
      </c>
      <c r="B154" s="8" t="str">
        <f>VLOOKUP(A154,vaccines!A:B,2)</f>
        <v>Grippol_Neo</v>
      </c>
      <c r="C154" s="47" t="s">
        <v>1517</v>
      </c>
      <c r="D154" s="40">
        <v>40274</v>
      </c>
      <c r="E154" s="29">
        <v>1</v>
      </c>
      <c r="F154" s="29">
        <v>0</v>
      </c>
      <c r="G154" s="34" t="s">
        <v>1518</v>
      </c>
      <c r="H154" s="40">
        <v>45494</v>
      </c>
      <c r="K154" s="47" t="s">
        <v>1519</v>
      </c>
    </row>
    <row r="155" spans="1:11">
      <c r="A155" s="29">
        <v>156</v>
      </c>
      <c r="B155" s="8" t="str">
        <f>VLOOKUP(A155,vaccines!A:B,2)</f>
        <v>Ultravac</v>
      </c>
      <c r="C155" s="47" t="s">
        <v>1520</v>
      </c>
      <c r="D155" s="40">
        <v>45569</v>
      </c>
      <c r="G155" s="9" t="s">
        <v>1521</v>
      </c>
      <c r="H155" s="40">
        <v>45494</v>
      </c>
      <c r="I155" s="40">
        <v>45622</v>
      </c>
      <c r="K155" s="47" t="s">
        <v>1522</v>
      </c>
    </row>
    <row r="156" spans="1:11">
      <c r="A156" s="29">
        <v>158</v>
      </c>
      <c r="B156" s="8" t="str">
        <f>VLOOKUP(A156,vaccines!A:B,2)</f>
        <v>Gerpovax_therapeutic</v>
      </c>
      <c r="C156" s="47" t="s">
        <v>1523</v>
      </c>
      <c r="D156" s="40">
        <v>43808</v>
      </c>
      <c r="E156" s="29">
        <v>1</v>
      </c>
      <c r="F156" s="29">
        <v>0</v>
      </c>
      <c r="G156" s="33" t="s">
        <v>1524</v>
      </c>
      <c r="H156" s="40">
        <v>45496</v>
      </c>
      <c r="K156" s="47" t="s">
        <v>1525</v>
      </c>
    </row>
    <row r="157" spans="1:11">
      <c r="A157" s="29">
        <v>159</v>
      </c>
      <c r="B157" s="8" t="str">
        <f>VLOOKUP(A157,vaccines!A:B,2)</f>
        <v>Ultragrivac</v>
      </c>
      <c r="C157" s="47" t="s">
        <v>1526</v>
      </c>
      <c r="D157" s="40">
        <v>45775</v>
      </c>
      <c r="E157" s="29">
        <v>1</v>
      </c>
      <c r="F157" s="29">
        <v>0</v>
      </c>
      <c r="G157" s="34" t="s">
        <v>1527</v>
      </c>
      <c r="H157" s="40">
        <v>45496</v>
      </c>
      <c r="I157" s="40">
        <v>45818</v>
      </c>
      <c r="K157" s="47" t="s">
        <v>1528</v>
      </c>
    </row>
    <row r="158" spans="1:11">
      <c r="A158" s="29">
        <v>160</v>
      </c>
      <c r="B158" s="8" t="str">
        <f>VLOOKUP(A158,vaccines!A:B,2)</f>
        <v>OrniFlu</v>
      </c>
      <c r="C158" s="47" t="s">
        <v>1529</v>
      </c>
      <c r="D158" s="40">
        <v>45720</v>
      </c>
      <c r="E158" s="29">
        <v>1</v>
      </c>
      <c r="F158" s="29">
        <v>0</v>
      </c>
      <c r="G158" s="34" t="s">
        <v>1530</v>
      </c>
      <c r="H158" s="40">
        <v>45496</v>
      </c>
      <c r="I158" s="40">
        <v>45750</v>
      </c>
      <c r="K158" s="47" t="s">
        <v>1531</v>
      </c>
    </row>
    <row r="159" spans="1:11">
      <c r="A159" s="29">
        <v>161</v>
      </c>
      <c r="B159" s="8" t="str">
        <f>VLOOKUP(A159,vaccines!A:B,2)</f>
        <v>rubella_Croatia</v>
      </c>
      <c r="C159" s="47" t="s">
        <v>1532</v>
      </c>
      <c r="D159" s="40">
        <v>37712</v>
      </c>
      <c r="E159" s="29">
        <v>1</v>
      </c>
      <c r="F159" s="29">
        <v>0</v>
      </c>
      <c r="G159" s="34" t="s">
        <v>1533</v>
      </c>
      <c r="H159" s="40">
        <v>45496</v>
      </c>
      <c r="K159" s="47" t="s">
        <v>1534</v>
      </c>
    </row>
    <row r="160" spans="1:11">
      <c r="A160" s="29">
        <v>162</v>
      </c>
      <c r="B160" s="8" t="str">
        <f>VLOOKUP(A160,vaccines!A:B,2)</f>
        <v>Tetraanatoxin</v>
      </c>
      <c r="C160" s="47" t="s">
        <v>1535</v>
      </c>
      <c r="D160" s="40">
        <v>45546</v>
      </c>
      <c r="G160" s="9" t="s">
        <v>1536</v>
      </c>
      <c r="H160" s="40">
        <v>45497</v>
      </c>
      <c r="I160" s="40">
        <v>45581</v>
      </c>
      <c r="K160" s="47" t="s">
        <v>1537</v>
      </c>
    </row>
    <row r="161" spans="1:11">
      <c r="A161" s="29">
        <v>163</v>
      </c>
      <c r="B161" s="8" t="str">
        <f>VLOOKUP(A161,vaccines!A:B,2)</f>
        <v>Staphylococcus_Gamaleya</v>
      </c>
      <c r="C161" s="47" t="s">
        <v>1538</v>
      </c>
      <c r="D161" s="40">
        <v>45799</v>
      </c>
      <c r="E161" s="29">
        <v>1</v>
      </c>
      <c r="F161" s="29">
        <v>0</v>
      </c>
      <c r="G161" s="34" t="s">
        <v>1539</v>
      </c>
      <c r="H161" s="40">
        <v>45497</v>
      </c>
      <c r="I161" s="60">
        <v>45830</v>
      </c>
      <c r="K161" s="47" t="s">
        <v>1540</v>
      </c>
    </row>
    <row r="162" spans="1:11">
      <c r="A162" s="29">
        <v>164</v>
      </c>
      <c r="B162" s="8" t="str">
        <f>VLOOKUP(A162,vaccines!A:B,2)</f>
        <v>Staphylococcus_therapeutic_Gamaleya</v>
      </c>
      <c r="C162" s="47" t="s">
        <v>1541</v>
      </c>
      <c r="D162" s="40">
        <v>45799</v>
      </c>
      <c r="E162" s="29">
        <v>1</v>
      </c>
      <c r="F162" s="29">
        <v>0</v>
      </c>
      <c r="G162" s="34" t="s">
        <v>1542</v>
      </c>
      <c r="H162" s="40">
        <v>45497</v>
      </c>
      <c r="I162" s="40">
        <v>45830</v>
      </c>
      <c r="K162" s="47" t="s">
        <v>1543</v>
      </c>
    </row>
    <row r="163" spans="1:11">
      <c r="A163" s="29">
        <v>165</v>
      </c>
      <c r="B163" s="8" t="str">
        <f>VLOOKUP(A163,vaccines!A:B,2)</f>
        <v>Imuron_vac_therapeutic</v>
      </c>
      <c r="C163" s="61" t="s">
        <v>1544</v>
      </c>
      <c r="D163" s="40">
        <v>45811</v>
      </c>
      <c r="E163" s="29">
        <v>1</v>
      </c>
      <c r="F163" s="29">
        <v>0</v>
      </c>
      <c r="G163" s="34" t="s">
        <v>1545</v>
      </c>
      <c r="H163" s="40">
        <v>45497</v>
      </c>
      <c r="I163" s="40">
        <v>45861</v>
      </c>
      <c r="K163" s="47" t="s">
        <v>1546</v>
      </c>
    </row>
    <row r="164" spans="1:11">
      <c r="A164" s="29">
        <v>166</v>
      </c>
      <c r="B164" s="8" t="str">
        <f>VLOOKUP(A164,vaccines!A:B,2)</f>
        <v>HepB_Serum_India_1_0</v>
      </c>
      <c r="C164" s="47" t="s">
        <v>1547</v>
      </c>
      <c r="D164" s="40">
        <v>45981</v>
      </c>
      <c r="E164" s="29">
        <v>1</v>
      </c>
      <c r="F164" s="29">
        <v>0</v>
      </c>
      <c r="G164" s="33" t="s">
        <v>1489</v>
      </c>
      <c r="H164" s="40">
        <v>45466</v>
      </c>
      <c r="I164" s="60">
        <v>46053</v>
      </c>
      <c r="K164" s="47" t="s">
        <v>1548</v>
      </c>
    </row>
    <row r="165" spans="1:11">
      <c r="A165" s="29">
        <v>167</v>
      </c>
      <c r="B165" s="8" t="str">
        <f>VLOOKUP(A165,vaccines!A:B,2)</f>
        <v>Hexaxim</v>
      </c>
      <c r="C165" s="47" t="s">
        <v>1549</v>
      </c>
      <c r="D165" s="40">
        <v>45504</v>
      </c>
      <c r="G165" s="9" t="s">
        <v>1550</v>
      </c>
      <c r="H165" s="40">
        <v>45558</v>
      </c>
      <c r="K165" s="47" t="s">
        <v>1551</v>
      </c>
    </row>
    <row r="166" spans="1:11">
      <c r="A166" s="29">
        <v>168</v>
      </c>
      <c r="B166" s="8" t="str">
        <f>VLOOKUP(A166,vaccines!A:B,2)</f>
        <v>Gam_VLP_multivac</v>
      </c>
      <c r="C166" s="47" t="s">
        <v>1552</v>
      </c>
      <c r="D166" s="40">
        <v>45632</v>
      </c>
      <c r="E166" s="29">
        <v>1</v>
      </c>
      <c r="F166" s="29">
        <v>0</v>
      </c>
      <c r="G166" s="25" t="s">
        <v>1553</v>
      </c>
      <c r="H166" s="40">
        <v>45678</v>
      </c>
      <c r="K166" s="47" t="s">
        <v>1554</v>
      </c>
    </row>
    <row r="167" spans="1:11">
      <c r="A167" s="29">
        <v>169</v>
      </c>
      <c r="B167" s="8" t="str">
        <f>VLOOKUP(A167,vaccines!A:B,2)</f>
        <v>Gam_VLP_multivac_nasal</v>
      </c>
      <c r="C167" s="47" t="s">
        <v>1552</v>
      </c>
      <c r="D167" s="40">
        <v>45737</v>
      </c>
      <c r="E167" s="29">
        <v>1</v>
      </c>
      <c r="F167" s="29">
        <v>0</v>
      </c>
      <c r="G167" s="33" t="s">
        <v>1555</v>
      </c>
      <c r="H167" s="40">
        <v>45742</v>
      </c>
      <c r="K167" s="47" t="s">
        <v>1554</v>
      </c>
    </row>
    <row r="168" spans="1:11">
      <c r="A168" s="29">
        <v>170</v>
      </c>
      <c r="B168" s="8" t="str">
        <f>VLOOKUP(A168,vaccines!A:B,2)</f>
        <v>Cegardex</v>
      </c>
      <c r="C168" s="47" t="s">
        <v>1556</v>
      </c>
      <c r="D168" s="40">
        <v>45721</v>
      </c>
      <c r="E168" s="29">
        <v>1</v>
      </c>
      <c r="F168" s="29">
        <v>0</v>
      </c>
      <c r="G168" s="33" t="s">
        <v>1557</v>
      </c>
      <c r="H168" s="40">
        <v>45742</v>
      </c>
      <c r="K168" s="47" t="s">
        <v>1558</v>
      </c>
    </row>
    <row r="169" spans="1:11">
      <c r="A169" s="29">
        <v>171</v>
      </c>
      <c r="B169" s="8" t="str">
        <f>VLOOKUP(A169,vaccines!A:B,2)</f>
        <v>Menvaid</v>
      </c>
      <c r="C169" s="47" t="s">
        <v>1559</v>
      </c>
      <c r="D169" s="40">
        <v>45740</v>
      </c>
      <c r="E169" s="29">
        <v>1</v>
      </c>
      <c r="F169" s="29">
        <v>0</v>
      </c>
      <c r="G169" s="33" t="s">
        <v>1560</v>
      </c>
      <c r="H169" s="40">
        <v>45755</v>
      </c>
      <c r="K169" s="47" t="s">
        <v>1561</v>
      </c>
    </row>
    <row r="170" spans="1:11">
      <c r="A170" s="29">
        <v>172</v>
      </c>
      <c r="B170" s="8" t="str">
        <f>VLOOKUP(A170,vaccines!A:B,2)</f>
        <v>ChiroRab</v>
      </c>
      <c r="C170" s="10" t="s">
        <v>1240</v>
      </c>
      <c r="D170" s="11">
        <v>42996</v>
      </c>
      <c r="E170" s="7">
        <v>1</v>
      </c>
      <c r="F170" s="7">
        <v>0</v>
      </c>
      <c r="G170" s="19" t="s">
        <v>1321</v>
      </c>
      <c r="H170" s="12">
        <v>45818</v>
      </c>
      <c r="I170" s="53"/>
      <c r="J170" s="62" t="s">
        <v>1562</v>
      </c>
      <c r="K170" s="10" t="s">
        <v>1242</v>
      </c>
    </row>
    <row r="171" spans="1:11">
      <c r="A171" s="29">
        <v>173</v>
      </c>
      <c r="B171" s="8" t="str">
        <f>VLOOKUP(A171,vaccines!A:B,2)</f>
        <v>Prevenar_20</v>
      </c>
      <c r="C171" s="47" t="s">
        <v>1563</v>
      </c>
      <c r="D171" s="40">
        <v>45835</v>
      </c>
      <c r="E171" s="29">
        <v>1</v>
      </c>
      <c r="F171" s="29">
        <v>0</v>
      </c>
      <c r="G171" s="33" t="s">
        <v>1564</v>
      </c>
      <c r="H171" s="40">
        <v>45861</v>
      </c>
      <c r="K171" s="47" t="s">
        <v>1565</v>
      </c>
    </row>
    <row r="172" spans="1:11">
      <c r="A172" s="29">
        <v>174</v>
      </c>
      <c r="B172" s="8" t="str">
        <f>VLOOKUP(A172,vaccines!A:B,2)</f>
        <v>aAKDS_M</v>
      </c>
      <c r="C172" s="47" t="s">
        <v>1566</v>
      </c>
      <c r="D172" s="40">
        <v>46104</v>
      </c>
      <c r="E172" s="29">
        <v>1</v>
      </c>
      <c r="F172" s="29">
        <v>0</v>
      </c>
      <c r="G172" s="33" t="s">
        <v>1567</v>
      </c>
      <c r="H172" s="40">
        <v>46131</v>
      </c>
      <c r="K172" s="47" t="s">
        <v>1568</v>
      </c>
    </row>
    <row r="173" spans="1:11">
      <c r="A173" s="29">
        <v>175</v>
      </c>
      <c r="B173" s="8" t="str">
        <f>VLOOKUP(A173,vaccines!A:B,2)</f>
        <v>Nimenrix</v>
      </c>
      <c r="C173" s="47" t="s">
        <v>1569</v>
      </c>
      <c r="D173" s="40">
        <v>46111</v>
      </c>
      <c r="E173" s="29">
        <v>1</v>
      </c>
      <c r="F173" s="29">
        <v>0</v>
      </c>
      <c r="G173" s="33" t="s">
        <v>1570</v>
      </c>
      <c r="H173" s="40">
        <v>46131</v>
      </c>
      <c r="K173" s="47" t="s">
        <v>1571</v>
      </c>
    </row>
    <row r="174" spans="1:11">
      <c r="B174" s="8"/>
      <c r="C174" s="6"/>
      <c r="D174" s="43"/>
      <c r="H174" s="43"/>
      <c r="K174" s="6"/>
    </row>
    <row r="175" spans="1:11">
      <c r="B175" s="8"/>
      <c r="C175" s="6"/>
      <c r="D175" s="43"/>
      <c r="H175" s="43"/>
      <c r="K175" s="6"/>
    </row>
    <row r="176" spans="1:11">
      <c r="B176" s="8"/>
      <c r="C176" s="6"/>
      <c r="D176" s="43"/>
      <c r="H176" s="43"/>
      <c r="K176" s="6"/>
    </row>
    <row r="177" spans="2:11">
      <c r="B177" s="8"/>
      <c r="C177" s="6"/>
      <c r="D177" s="43"/>
      <c r="H177" s="43"/>
      <c r="K177" s="6"/>
    </row>
    <row r="178" spans="2:11">
      <c r="B178" s="8"/>
      <c r="C178" s="6"/>
      <c r="D178" s="43"/>
      <c r="H178" s="43"/>
      <c r="K178" s="6"/>
    </row>
    <row r="179" spans="2:11">
      <c r="B179" s="8"/>
      <c r="C179" s="6"/>
      <c r="D179" s="43"/>
      <c r="H179" s="43"/>
      <c r="K179" s="6"/>
    </row>
    <row r="180" spans="2:11">
      <c r="B180" s="8"/>
      <c r="C180" s="6"/>
      <c r="D180" s="43"/>
      <c r="H180" s="43"/>
      <c r="K180" s="6"/>
    </row>
    <row r="181" spans="2:11">
      <c r="B181" s="8"/>
      <c r="C181" s="6"/>
      <c r="D181" s="43"/>
      <c r="H181" s="43"/>
      <c r="K181" s="6"/>
    </row>
    <row r="182" spans="2:11">
      <c r="C182" s="6"/>
      <c r="D182" s="43"/>
      <c r="H182" s="43"/>
      <c r="K182" s="6"/>
    </row>
    <row r="183" spans="2:11">
      <c r="C183" s="6"/>
      <c r="D183" s="43"/>
      <c r="H183" s="43"/>
      <c r="K183" s="6"/>
    </row>
    <row r="184" spans="2:11">
      <c r="C184" s="6"/>
      <c r="D184" s="43"/>
      <c r="H184" s="43"/>
      <c r="K184" s="6"/>
    </row>
    <row r="185" spans="2:11">
      <c r="C185" s="6"/>
      <c r="D185" s="43"/>
      <c r="H185" s="43"/>
      <c r="K185" s="6"/>
    </row>
    <row r="186" spans="2:11">
      <c r="C186" s="6"/>
      <c r="D186" s="43"/>
      <c r="H186" s="43"/>
      <c r="K186" s="6"/>
    </row>
    <row r="187" spans="2:11">
      <c r="C187" s="6"/>
      <c r="D187" s="43"/>
      <c r="H187" s="43"/>
      <c r="K187" s="6"/>
    </row>
    <row r="188" spans="2:11">
      <c r="C188" s="6"/>
      <c r="D188" s="43"/>
      <c r="H188" s="43"/>
      <c r="K188" s="6"/>
    </row>
    <row r="189" spans="2:11">
      <c r="C189" s="6"/>
      <c r="D189" s="43"/>
      <c r="H189" s="43"/>
      <c r="K189" s="6"/>
    </row>
    <row r="190" spans="2:11">
      <c r="C190" s="6"/>
      <c r="D190" s="43"/>
      <c r="H190" s="43"/>
      <c r="K190" s="6"/>
    </row>
    <row r="191" spans="2:11">
      <c r="C191" s="6"/>
      <c r="D191" s="43"/>
      <c r="H191" s="43"/>
      <c r="K191" s="6"/>
    </row>
    <row r="192" spans="2:11">
      <c r="C192" s="6"/>
      <c r="D192" s="43"/>
      <c r="H192" s="43"/>
      <c r="K192" s="6"/>
    </row>
    <row r="193" spans="3:11">
      <c r="C193" s="6"/>
      <c r="D193" s="43"/>
      <c r="H193" s="43"/>
      <c r="K193" s="6"/>
    </row>
    <row r="194" spans="3:11">
      <c r="C194" s="6"/>
      <c r="D194" s="43"/>
      <c r="H194" s="43"/>
      <c r="K194" s="6"/>
    </row>
    <row r="195" spans="3:11">
      <c r="C195" s="6"/>
      <c r="D195" s="43"/>
      <c r="H195" s="43"/>
      <c r="K195" s="6"/>
    </row>
    <row r="196" spans="3:11">
      <c r="C196" s="6"/>
      <c r="D196" s="43"/>
      <c r="H196" s="43"/>
      <c r="K196" s="6"/>
    </row>
    <row r="197" spans="3:11">
      <c r="C197" s="6"/>
      <c r="D197" s="43"/>
      <c r="H197" s="43"/>
      <c r="K197" s="6"/>
    </row>
    <row r="198" spans="3:11">
      <c r="C198" s="6"/>
      <c r="D198" s="43"/>
      <c r="H198" s="43"/>
      <c r="K198" s="6"/>
    </row>
    <row r="199" spans="3:11">
      <c r="C199" s="6"/>
      <c r="D199" s="43"/>
      <c r="H199" s="43"/>
      <c r="K199" s="6"/>
    </row>
    <row r="200" spans="3:11">
      <c r="C200" s="6"/>
      <c r="D200" s="43"/>
      <c r="H200" s="43"/>
      <c r="K200" s="6"/>
    </row>
    <row r="201" spans="3:11">
      <c r="C201" s="6"/>
      <c r="D201" s="43"/>
      <c r="H201" s="43"/>
      <c r="K201" s="6"/>
    </row>
    <row r="202" spans="3:11">
      <c r="C202" s="6"/>
      <c r="D202" s="43"/>
      <c r="H202" s="43"/>
      <c r="K202" s="6"/>
    </row>
    <row r="203" spans="3:11">
      <c r="C203" s="6"/>
      <c r="D203" s="43"/>
      <c r="H203" s="43"/>
      <c r="K203" s="6"/>
    </row>
    <row r="204" spans="3:11">
      <c r="C204" s="6"/>
      <c r="D204" s="43"/>
      <c r="H204" s="43"/>
      <c r="K204" s="6"/>
    </row>
    <row r="205" spans="3:11">
      <c r="C205" s="6"/>
      <c r="D205" s="43"/>
      <c r="H205" s="43"/>
      <c r="K205" s="6"/>
    </row>
    <row r="206" spans="3:11">
      <c r="C206" s="6"/>
      <c r="D206" s="43"/>
      <c r="H206" s="43"/>
      <c r="K206" s="6"/>
    </row>
    <row r="207" spans="3:11">
      <c r="C207" s="6"/>
      <c r="D207" s="43"/>
      <c r="H207" s="43"/>
      <c r="K207" s="6"/>
    </row>
    <row r="208" spans="3:11">
      <c r="C208" s="6"/>
      <c r="D208" s="43"/>
      <c r="H208" s="43"/>
      <c r="K208" s="6"/>
    </row>
    <row r="209" spans="3:11">
      <c r="C209" s="6"/>
      <c r="D209" s="43"/>
      <c r="H209" s="43"/>
      <c r="K209" s="6"/>
    </row>
    <row r="210" spans="3:11">
      <c r="C210" s="6"/>
      <c r="D210" s="43"/>
      <c r="H210" s="43"/>
      <c r="K210" s="6"/>
    </row>
    <row r="211" spans="3:11">
      <c r="C211" s="6"/>
      <c r="D211" s="43"/>
      <c r="H211" s="43"/>
      <c r="K211" s="6"/>
    </row>
    <row r="212" spans="3:11">
      <c r="C212" s="6"/>
      <c r="D212" s="43"/>
      <c r="H212" s="43"/>
      <c r="K212" s="6"/>
    </row>
    <row r="213" spans="3:11">
      <c r="C213" s="6"/>
      <c r="D213" s="43"/>
      <c r="H213" s="43"/>
      <c r="K213" s="6"/>
    </row>
    <row r="214" spans="3:11">
      <c r="C214" s="6"/>
      <c r="D214" s="43"/>
      <c r="H214" s="43"/>
      <c r="K214" s="6"/>
    </row>
    <row r="215" spans="3:11">
      <c r="C215" s="6"/>
      <c r="D215" s="43"/>
      <c r="H215" s="43"/>
      <c r="K215" s="6"/>
    </row>
    <row r="216" spans="3:11">
      <c r="C216" s="6"/>
      <c r="D216" s="43"/>
      <c r="H216" s="43"/>
      <c r="K216" s="6"/>
    </row>
    <row r="217" spans="3:11">
      <c r="C217" s="6"/>
      <c r="D217" s="43"/>
      <c r="H217" s="43"/>
      <c r="K217" s="6"/>
    </row>
    <row r="218" spans="3:11">
      <c r="C218" s="6"/>
      <c r="D218" s="43"/>
      <c r="H218" s="43"/>
      <c r="K218" s="6"/>
    </row>
    <row r="219" spans="3:11">
      <c r="C219" s="6"/>
      <c r="D219" s="43"/>
      <c r="H219" s="43"/>
      <c r="K219" s="6"/>
    </row>
    <row r="220" spans="3:11">
      <c r="C220" s="6"/>
      <c r="D220" s="43"/>
      <c r="H220" s="43"/>
      <c r="K220" s="6"/>
    </row>
    <row r="221" spans="3:11">
      <c r="C221" s="6"/>
      <c r="D221" s="43"/>
      <c r="H221" s="43"/>
      <c r="K221" s="6"/>
    </row>
    <row r="222" spans="3:11">
      <c r="C222" s="6"/>
      <c r="D222" s="43"/>
      <c r="H222" s="43"/>
      <c r="K222" s="6"/>
    </row>
    <row r="223" spans="3:11">
      <c r="C223" s="6"/>
      <c r="D223" s="43"/>
      <c r="H223" s="43"/>
      <c r="K223" s="6"/>
    </row>
    <row r="224" spans="3:11">
      <c r="C224" s="6"/>
      <c r="D224" s="43"/>
      <c r="H224" s="43"/>
      <c r="K224" s="6"/>
    </row>
    <row r="225" spans="3:11">
      <c r="C225" s="6"/>
      <c r="D225" s="43"/>
      <c r="H225" s="43"/>
      <c r="K225" s="6"/>
    </row>
    <row r="226" spans="3:11">
      <c r="C226" s="6"/>
      <c r="D226" s="43"/>
      <c r="H226" s="43"/>
      <c r="K226" s="6"/>
    </row>
    <row r="227" spans="3:11">
      <c r="C227" s="6"/>
      <c r="D227" s="43"/>
      <c r="H227" s="43"/>
      <c r="K227" s="6"/>
    </row>
    <row r="228" spans="3:11">
      <c r="C228" s="6"/>
      <c r="D228" s="43"/>
      <c r="H228" s="43"/>
      <c r="K228" s="6"/>
    </row>
    <row r="229" spans="3:11">
      <c r="C229" s="6"/>
      <c r="D229" s="43"/>
      <c r="H229" s="43"/>
      <c r="K229" s="6"/>
    </row>
    <row r="230" spans="3:11">
      <c r="C230" s="6"/>
      <c r="D230" s="43"/>
      <c r="H230" s="43"/>
      <c r="K230" s="6"/>
    </row>
    <row r="231" spans="3:11">
      <c r="C231" s="6"/>
      <c r="D231" s="43"/>
      <c r="H231" s="43"/>
      <c r="K231" s="6"/>
    </row>
    <row r="232" spans="3:11">
      <c r="C232" s="6"/>
      <c r="D232" s="43"/>
      <c r="H232" s="43"/>
      <c r="K232" s="6"/>
    </row>
    <row r="233" spans="3:11">
      <c r="C233" s="6"/>
      <c r="D233" s="43"/>
      <c r="H233" s="43"/>
      <c r="K233" s="6"/>
    </row>
    <row r="234" spans="3:11">
      <c r="C234" s="6"/>
      <c r="D234" s="43"/>
      <c r="H234" s="43"/>
      <c r="K234" s="6"/>
    </row>
    <row r="235" spans="3:11">
      <c r="C235" s="6"/>
      <c r="D235" s="43"/>
      <c r="H235" s="43"/>
      <c r="K235" s="6"/>
    </row>
    <row r="236" spans="3:11">
      <c r="C236" s="6"/>
      <c r="D236" s="43"/>
      <c r="H236" s="43"/>
      <c r="K236" s="6"/>
    </row>
    <row r="237" spans="3:11">
      <c r="C237" s="6"/>
      <c r="D237" s="43"/>
      <c r="H237" s="43"/>
      <c r="K237" s="6"/>
    </row>
    <row r="238" spans="3:11">
      <c r="C238" s="6"/>
      <c r="D238" s="43"/>
      <c r="H238" s="43"/>
      <c r="K238" s="6"/>
    </row>
    <row r="239" spans="3:11">
      <c r="C239" s="6"/>
      <c r="D239" s="43"/>
      <c r="H239" s="43"/>
      <c r="K239" s="6"/>
    </row>
    <row r="240" spans="3:11">
      <c r="C240" s="6"/>
      <c r="D240" s="43"/>
      <c r="H240" s="43"/>
      <c r="K240" s="6"/>
    </row>
    <row r="241" spans="3:11">
      <c r="C241" s="6"/>
      <c r="D241" s="43"/>
      <c r="H241" s="43"/>
      <c r="K241" s="6"/>
    </row>
    <row r="242" spans="3:11">
      <c r="C242" s="6"/>
      <c r="D242" s="43"/>
      <c r="H242" s="43"/>
      <c r="K242" s="6"/>
    </row>
    <row r="243" spans="3:11">
      <c r="C243" s="6"/>
      <c r="D243" s="43"/>
      <c r="H243" s="43"/>
      <c r="K243" s="6"/>
    </row>
    <row r="244" spans="3:11">
      <c r="C244" s="6"/>
      <c r="D244" s="43"/>
      <c r="H244" s="43"/>
      <c r="K244" s="6"/>
    </row>
    <row r="245" spans="3:11">
      <c r="C245" s="6"/>
      <c r="D245" s="43"/>
      <c r="H245" s="43"/>
      <c r="K245" s="6"/>
    </row>
    <row r="246" spans="3:11">
      <c r="C246" s="6"/>
      <c r="D246" s="43"/>
      <c r="H246" s="43"/>
      <c r="K246" s="6"/>
    </row>
    <row r="247" spans="3:11">
      <c r="C247" s="6"/>
      <c r="D247" s="43"/>
      <c r="H247" s="43"/>
      <c r="K247" s="6"/>
    </row>
    <row r="248" spans="3:11">
      <c r="C248" s="6"/>
      <c r="D248" s="43"/>
      <c r="H248" s="43"/>
      <c r="K248" s="6"/>
    </row>
    <row r="249" spans="3:11">
      <c r="C249" s="6"/>
      <c r="D249" s="43"/>
      <c r="H249" s="43"/>
      <c r="K249" s="6"/>
    </row>
    <row r="250" spans="3:11">
      <c r="C250" s="6"/>
      <c r="D250" s="43"/>
      <c r="H250" s="43"/>
      <c r="K250" s="6"/>
    </row>
    <row r="251" spans="3:11">
      <c r="C251" s="6"/>
      <c r="D251" s="43"/>
      <c r="H251" s="43"/>
      <c r="K251" s="6"/>
    </row>
    <row r="252" spans="3:11">
      <c r="C252" s="6"/>
      <c r="D252" s="43"/>
      <c r="H252" s="43"/>
      <c r="K252" s="6"/>
    </row>
    <row r="253" spans="3:11">
      <c r="C253" s="6"/>
      <c r="D253" s="43"/>
      <c r="H253" s="43"/>
      <c r="K253" s="6"/>
    </row>
    <row r="254" spans="3:11">
      <c r="C254" s="6"/>
      <c r="D254" s="43"/>
      <c r="H254" s="43"/>
      <c r="K254" s="6"/>
    </row>
    <row r="255" spans="3:11">
      <c r="C255" s="6"/>
      <c r="D255" s="43"/>
      <c r="H255" s="43"/>
      <c r="K255" s="6"/>
    </row>
    <row r="256" spans="3:11">
      <c r="C256" s="6"/>
      <c r="D256" s="43"/>
      <c r="H256" s="43"/>
      <c r="K256" s="6"/>
    </row>
    <row r="257" spans="3:11">
      <c r="C257" s="6"/>
      <c r="D257" s="43"/>
      <c r="H257" s="43"/>
      <c r="K257" s="6"/>
    </row>
    <row r="258" spans="3:11">
      <c r="C258" s="6"/>
      <c r="D258" s="43"/>
      <c r="H258" s="43"/>
      <c r="K258" s="6"/>
    </row>
    <row r="259" spans="3:11">
      <c r="C259" s="6"/>
      <c r="D259" s="43"/>
      <c r="H259" s="43"/>
      <c r="K259" s="6"/>
    </row>
    <row r="260" spans="3:11">
      <c r="C260" s="6"/>
      <c r="D260" s="43"/>
      <c r="H260" s="43"/>
      <c r="K260" s="6"/>
    </row>
    <row r="261" spans="3:11">
      <c r="C261" s="6"/>
      <c r="D261" s="43"/>
      <c r="H261" s="43"/>
      <c r="K261" s="6"/>
    </row>
    <row r="262" spans="3:11">
      <c r="C262" s="6"/>
      <c r="D262" s="43"/>
      <c r="H262" s="43"/>
      <c r="K262" s="6"/>
    </row>
    <row r="263" spans="3:11">
      <c r="C263" s="6"/>
      <c r="D263" s="43"/>
      <c r="H263" s="43"/>
      <c r="K263" s="6"/>
    </row>
    <row r="264" spans="3:11">
      <c r="C264" s="6"/>
      <c r="D264" s="43"/>
      <c r="H264" s="43"/>
      <c r="K264" s="6"/>
    </row>
    <row r="265" spans="3:11">
      <c r="C265" s="6"/>
      <c r="D265" s="43"/>
      <c r="H265" s="43"/>
      <c r="K265" s="6"/>
    </row>
    <row r="266" spans="3:11">
      <c r="C266" s="6"/>
      <c r="D266" s="43"/>
      <c r="H266" s="43"/>
      <c r="K266" s="6"/>
    </row>
    <row r="267" spans="3:11">
      <c r="C267" s="6"/>
      <c r="D267" s="43"/>
      <c r="H267" s="43"/>
      <c r="K267" s="6"/>
    </row>
    <row r="268" spans="3:11">
      <c r="C268" s="6"/>
      <c r="D268" s="43"/>
      <c r="H268" s="43"/>
      <c r="K268" s="6"/>
    </row>
    <row r="269" spans="3:11">
      <c r="C269" s="6"/>
      <c r="D269" s="43"/>
      <c r="H269" s="43"/>
      <c r="K269" s="6"/>
    </row>
    <row r="270" spans="3:11">
      <c r="C270" s="6"/>
      <c r="D270" s="43"/>
      <c r="H270" s="43"/>
      <c r="K270" s="6"/>
    </row>
    <row r="271" spans="3:11">
      <c r="C271" s="6"/>
      <c r="D271" s="43"/>
      <c r="H271" s="43"/>
      <c r="K271" s="6"/>
    </row>
    <row r="272" spans="3:11">
      <c r="C272" s="6"/>
      <c r="D272" s="43"/>
      <c r="H272" s="43"/>
      <c r="K272" s="6"/>
    </row>
    <row r="273" spans="3:11">
      <c r="C273" s="6"/>
      <c r="D273" s="43"/>
      <c r="H273" s="43"/>
      <c r="K273" s="6"/>
    </row>
    <row r="274" spans="3:11">
      <c r="C274" s="6"/>
      <c r="D274" s="43"/>
      <c r="H274" s="43"/>
      <c r="K274" s="6"/>
    </row>
    <row r="275" spans="3:11">
      <c r="C275" s="6"/>
      <c r="D275" s="43"/>
      <c r="H275" s="43"/>
      <c r="K275" s="6"/>
    </row>
    <row r="276" spans="3:11">
      <c r="C276" s="6"/>
      <c r="D276" s="43"/>
      <c r="H276" s="43"/>
      <c r="K276" s="6"/>
    </row>
    <row r="277" spans="3:11">
      <c r="C277" s="6"/>
      <c r="D277" s="43"/>
      <c r="H277" s="43"/>
      <c r="K277" s="6"/>
    </row>
    <row r="278" spans="3:11">
      <c r="C278" s="6"/>
      <c r="D278" s="43"/>
      <c r="H278" s="43"/>
      <c r="K278" s="6"/>
    </row>
    <row r="279" spans="3:11">
      <c r="C279" s="6"/>
      <c r="D279" s="43"/>
      <c r="H279" s="43"/>
      <c r="K279" s="6"/>
    </row>
    <row r="280" spans="3:11">
      <c r="C280" s="6"/>
      <c r="D280" s="43"/>
      <c r="H280" s="43"/>
      <c r="K280" s="6"/>
    </row>
    <row r="281" spans="3:11">
      <c r="C281" s="6"/>
      <c r="D281" s="43"/>
      <c r="H281" s="43"/>
      <c r="K281" s="6"/>
    </row>
    <row r="282" spans="3:11">
      <c r="C282" s="6"/>
      <c r="D282" s="43"/>
      <c r="H282" s="43"/>
      <c r="K282" s="6"/>
    </row>
    <row r="283" spans="3:11">
      <c r="C283" s="6"/>
      <c r="D283" s="43"/>
      <c r="H283" s="43"/>
      <c r="K283" s="6"/>
    </row>
    <row r="284" spans="3:11">
      <c r="C284" s="6"/>
      <c r="D284" s="43"/>
      <c r="H284" s="43"/>
      <c r="K284" s="6"/>
    </row>
    <row r="285" spans="3:11">
      <c r="C285" s="6"/>
      <c r="D285" s="43"/>
      <c r="H285" s="43"/>
      <c r="K285" s="6"/>
    </row>
    <row r="286" spans="3:11">
      <c r="C286" s="6"/>
      <c r="D286" s="43"/>
      <c r="H286" s="43"/>
      <c r="K286" s="6"/>
    </row>
    <row r="287" spans="3:11">
      <c r="C287" s="6"/>
      <c r="D287" s="43"/>
      <c r="H287" s="43"/>
      <c r="K287" s="6"/>
    </row>
    <row r="288" spans="3:11">
      <c r="C288" s="6"/>
      <c r="D288" s="43"/>
      <c r="H288" s="43"/>
      <c r="K288" s="6"/>
    </row>
    <row r="289" spans="3:11">
      <c r="C289" s="6"/>
      <c r="D289" s="43"/>
      <c r="H289" s="43"/>
      <c r="K289" s="6"/>
    </row>
    <row r="290" spans="3:11">
      <c r="C290" s="6"/>
      <c r="D290" s="43"/>
      <c r="H290" s="43"/>
      <c r="K290" s="6"/>
    </row>
    <row r="291" spans="3:11">
      <c r="C291" s="6"/>
      <c r="D291" s="43"/>
      <c r="H291" s="43"/>
      <c r="K291" s="6"/>
    </row>
    <row r="292" spans="3:11">
      <c r="C292" s="6"/>
      <c r="D292" s="43"/>
      <c r="H292" s="43"/>
      <c r="K292" s="6"/>
    </row>
    <row r="293" spans="3:11">
      <c r="C293" s="6"/>
      <c r="D293" s="43"/>
      <c r="H293" s="43"/>
      <c r="K293" s="6"/>
    </row>
    <row r="294" spans="3:11">
      <c r="C294" s="6"/>
      <c r="D294" s="43"/>
      <c r="H294" s="43"/>
      <c r="K294" s="6"/>
    </row>
    <row r="295" spans="3:11">
      <c r="C295" s="6"/>
      <c r="D295" s="43"/>
      <c r="H295" s="43"/>
      <c r="K295" s="6"/>
    </row>
    <row r="296" spans="3:11">
      <c r="C296" s="6"/>
      <c r="D296" s="43"/>
      <c r="H296" s="43"/>
      <c r="K296" s="6"/>
    </row>
    <row r="297" spans="3:11">
      <c r="C297" s="6"/>
      <c r="D297" s="43"/>
      <c r="H297" s="43"/>
      <c r="K297" s="6"/>
    </row>
    <row r="298" spans="3:11">
      <c r="C298" s="6"/>
      <c r="D298" s="43"/>
      <c r="H298" s="43"/>
      <c r="K298" s="6"/>
    </row>
    <row r="299" spans="3:11">
      <c r="C299" s="6"/>
      <c r="D299" s="43"/>
      <c r="H299" s="43"/>
      <c r="K299" s="6"/>
    </row>
    <row r="300" spans="3:11">
      <c r="C300" s="6"/>
      <c r="D300" s="43"/>
      <c r="H300" s="43"/>
      <c r="K300" s="6"/>
    </row>
    <row r="301" spans="3:11">
      <c r="C301" s="6"/>
      <c r="D301" s="43"/>
      <c r="H301" s="43"/>
      <c r="K301" s="6"/>
    </row>
    <row r="302" spans="3:11">
      <c r="C302" s="6"/>
      <c r="D302" s="43"/>
      <c r="H302" s="43"/>
      <c r="K302" s="6"/>
    </row>
    <row r="303" spans="3:11">
      <c r="C303" s="6"/>
      <c r="D303" s="43"/>
      <c r="H303" s="43"/>
      <c r="K303" s="6"/>
    </row>
    <row r="304" spans="3:11">
      <c r="C304" s="6"/>
      <c r="D304" s="43"/>
      <c r="H304" s="43"/>
      <c r="K304" s="6"/>
    </row>
    <row r="305" spans="3:11">
      <c r="C305" s="6"/>
      <c r="D305" s="43"/>
      <c r="H305" s="43"/>
      <c r="K305" s="6"/>
    </row>
    <row r="306" spans="3:11">
      <c r="C306" s="6"/>
      <c r="D306" s="43"/>
      <c r="H306" s="43"/>
      <c r="K306" s="6"/>
    </row>
    <row r="307" spans="3:11">
      <c r="C307" s="6"/>
      <c r="D307" s="43"/>
      <c r="H307" s="43"/>
      <c r="K307" s="6"/>
    </row>
    <row r="308" spans="3:11">
      <c r="C308" s="6"/>
      <c r="D308" s="43"/>
      <c r="H308" s="43"/>
      <c r="K308" s="6"/>
    </row>
    <row r="309" spans="3:11">
      <c r="C309" s="6"/>
      <c r="D309" s="43"/>
      <c r="H309" s="43"/>
      <c r="K309" s="6"/>
    </row>
    <row r="310" spans="3:11">
      <c r="C310" s="6"/>
      <c r="D310" s="43"/>
      <c r="H310" s="43"/>
      <c r="K310" s="6"/>
    </row>
    <row r="311" spans="3:11">
      <c r="C311" s="6"/>
      <c r="D311" s="43"/>
      <c r="H311" s="43"/>
      <c r="K311" s="6"/>
    </row>
    <row r="312" spans="3:11">
      <c r="C312" s="6"/>
      <c r="D312" s="43"/>
      <c r="H312" s="43"/>
      <c r="K312" s="6"/>
    </row>
    <row r="313" spans="3:11">
      <c r="C313" s="6"/>
      <c r="D313" s="43"/>
      <c r="H313" s="43"/>
      <c r="K313" s="6"/>
    </row>
    <row r="314" spans="3:11">
      <c r="C314" s="6"/>
      <c r="D314" s="43"/>
      <c r="H314" s="43"/>
      <c r="K314" s="6"/>
    </row>
    <row r="315" spans="3:11">
      <c r="C315" s="6"/>
      <c r="D315" s="43"/>
      <c r="H315" s="43"/>
      <c r="K315" s="6"/>
    </row>
    <row r="316" spans="3:11">
      <c r="C316" s="6"/>
      <c r="D316" s="43"/>
      <c r="H316" s="43"/>
      <c r="K316" s="6"/>
    </row>
    <row r="317" spans="3:11">
      <c r="C317" s="6"/>
      <c r="D317" s="43"/>
      <c r="H317" s="43"/>
      <c r="K317" s="6"/>
    </row>
    <row r="318" spans="3:11">
      <c r="C318" s="6"/>
      <c r="D318" s="43"/>
      <c r="H318" s="43"/>
      <c r="K318" s="6"/>
    </row>
    <row r="319" spans="3:11">
      <c r="C319" s="6"/>
      <c r="D319" s="43"/>
      <c r="H319" s="43"/>
      <c r="K319" s="6"/>
    </row>
    <row r="320" spans="3:11">
      <c r="C320" s="6"/>
      <c r="D320" s="43"/>
      <c r="H320" s="43"/>
      <c r="K320" s="6"/>
    </row>
    <row r="321" spans="3:11">
      <c r="C321" s="6"/>
      <c r="D321" s="43"/>
      <c r="H321" s="43"/>
      <c r="K321" s="6"/>
    </row>
    <row r="322" spans="3:11">
      <c r="C322" s="6"/>
      <c r="D322" s="43"/>
      <c r="H322" s="43"/>
      <c r="K322" s="6"/>
    </row>
    <row r="323" spans="3:11">
      <c r="C323" s="6"/>
      <c r="D323" s="43"/>
      <c r="H323" s="43"/>
      <c r="K323" s="6"/>
    </row>
    <row r="324" spans="3:11">
      <c r="C324" s="6"/>
      <c r="D324" s="43"/>
      <c r="H324" s="43"/>
      <c r="K324" s="6"/>
    </row>
    <row r="325" spans="3:11">
      <c r="C325" s="6"/>
      <c r="D325" s="43"/>
      <c r="H325" s="43"/>
      <c r="K325" s="6"/>
    </row>
    <row r="326" spans="3:11">
      <c r="C326" s="6"/>
      <c r="D326" s="43"/>
      <c r="H326" s="43"/>
      <c r="K326" s="6"/>
    </row>
    <row r="327" spans="3:11">
      <c r="C327" s="6"/>
      <c r="D327" s="43"/>
      <c r="H327" s="43"/>
      <c r="K327" s="6"/>
    </row>
    <row r="328" spans="3:11">
      <c r="C328" s="6"/>
      <c r="D328" s="43"/>
      <c r="H328" s="43"/>
      <c r="K328" s="6"/>
    </row>
    <row r="329" spans="3:11">
      <c r="C329" s="6"/>
      <c r="D329" s="43"/>
      <c r="H329" s="43"/>
      <c r="K329" s="6"/>
    </row>
    <row r="330" spans="3:11">
      <c r="C330" s="6"/>
      <c r="D330" s="43"/>
      <c r="H330" s="43"/>
      <c r="K330" s="6"/>
    </row>
    <row r="331" spans="3:11">
      <c r="C331" s="6"/>
      <c r="D331" s="43"/>
      <c r="H331" s="43"/>
      <c r="K331" s="6"/>
    </row>
    <row r="332" spans="3:11">
      <c r="C332" s="6"/>
      <c r="D332" s="43"/>
      <c r="H332" s="43"/>
      <c r="K332" s="6"/>
    </row>
    <row r="333" spans="3:11">
      <c r="C333" s="6"/>
      <c r="D333" s="43"/>
      <c r="H333" s="43"/>
      <c r="K333" s="6"/>
    </row>
    <row r="334" spans="3:11">
      <c r="C334" s="6"/>
      <c r="D334" s="43"/>
      <c r="H334" s="43"/>
      <c r="K334" s="6"/>
    </row>
    <row r="335" spans="3:11">
      <c r="C335" s="6"/>
      <c r="D335" s="43"/>
      <c r="H335" s="43"/>
      <c r="K335" s="6"/>
    </row>
    <row r="336" spans="3:11">
      <c r="C336" s="6"/>
      <c r="D336" s="43"/>
      <c r="H336" s="43"/>
      <c r="K336" s="6"/>
    </row>
    <row r="337" spans="3:11">
      <c r="C337" s="6"/>
      <c r="D337" s="43"/>
      <c r="H337" s="43"/>
      <c r="K337" s="6"/>
    </row>
    <row r="338" spans="3:11">
      <c r="C338" s="6"/>
      <c r="D338" s="43"/>
      <c r="H338" s="43"/>
      <c r="K338" s="6"/>
    </row>
    <row r="339" spans="3:11">
      <c r="C339" s="6"/>
      <c r="D339" s="43"/>
      <c r="H339" s="43"/>
      <c r="K339" s="6"/>
    </row>
    <row r="340" spans="3:11">
      <c r="C340" s="6"/>
      <c r="D340" s="43"/>
      <c r="H340" s="43"/>
      <c r="K340" s="6"/>
    </row>
    <row r="341" spans="3:11">
      <c r="C341" s="6"/>
      <c r="D341" s="43"/>
      <c r="H341" s="43"/>
      <c r="K341" s="6"/>
    </row>
    <row r="342" spans="3:11">
      <c r="C342" s="6"/>
      <c r="D342" s="43"/>
      <c r="H342" s="43"/>
      <c r="K342" s="6"/>
    </row>
    <row r="343" spans="3:11">
      <c r="C343" s="6"/>
      <c r="D343" s="43"/>
      <c r="H343" s="43"/>
      <c r="K343" s="6"/>
    </row>
    <row r="344" spans="3:11">
      <c r="C344" s="6"/>
      <c r="D344" s="43"/>
      <c r="H344" s="43"/>
      <c r="K344" s="6"/>
    </row>
    <row r="345" spans="3:11">
      <c r="C345" s="6"/>
      <c r="D345" s="43"/>
      <c r="H345" s="43"/>
      <c r="K345" s="6"/>
    </row>
    <row r="346" spans="3:11">
      <c r="C346" s="6"/>
      <c r="D346" s="43"/>
      <c r="H346" s="43"/>
      <c r="K346" s="6"/>
    </row>
    <row r="347" spans="3:11">
      <c r="C347" s="6"/>
      <c r="D347" s="43"/>
      <c r="H347" s="43"/>
      <c r="K347" s="6"/>
    </row>
    <row r="348" spans="3:11">
      <c r="C348" s="6"/>
      <c r="D348" s="43"/>
      <c r="H348" s="43"/>
      <c r="K348" s="6"/>
    </row>
    <row r="349" spans="3:11">
      <c r="C349" s="6"/>
      <c r="D349" s="43"/>
      <c r="H349" s="43"/>
      <c r="K349" s="6"/>
    </row>
    <row r="350" spans="3:11">
      <c r="C350" s="6"/>
      <c r="D350" s="43"/>
      <c r="H350" s="43"/>
      <c r="K350" s="6"/>
    </row>
    <row r="351" spans="3:11">
      <c r="C351" s="6"/>
      <c r="D351" s="43"/>
      <c r="H351" s="43"/>
      <c r="K351" s="6"/>
    </row>
    <row r="352" spans="3:11">
      <c r="C352" s="6"/>
      <c r="D352" s="43"/>
      <c r="H352" s="43"/>
      <c r="K352" s="6"/>
    </row>
    <row r="353" spans="3:11">
      <c r="C353" s="6"/>
      <c r="D353" s="43"/>
      <c r="H353" s="43"/>
      <c r="K353" s="6"/>
    </row>
    <row r="354" spans="3:11">
      <c r="C354" s="6"/>
      <c r="D354" s="43"/>
      <c r="H354" s="43"/>
      <c r="K354" s="6"/>
    </row>
    <row r="355" spans="3:11">
      <c r="C355" s="6"/>
      <c r="D355" s="43"/>
      <c r="H355" s="43"/>
      <c r="K355" s="6"/>
    </row>
    <row r="356" spans="3:11">
      <c r="C356" s="6"/>
      <c r="D356" s="43"/>
      <c r="H356" s="43"/>
      <c r="K356" s="6"/>
    </row>
    <row r="357" spans="3:11">
      <c r="C357" s="6"/>
      <c r="D357" s="43"/>
      <c r="H357" s="43"/>
      <c r="K357" s="6"/>
    </row>
    <row r="358" spans="3:11">
      <c r="C358" s="6"/>
      <c r="D358" s="43"/>
      <c r="H358" s="43"/>
      <c r="K358" s="6"/>
    </row>
    <row r="359" spans="3:11">
      <c r="C359" s="6"/>
      <c r="D359" s="43"/>
      <c r="H359" s="43"/>
      <c r="K359" s="6"/>
    </row>
    <row r="360" spans="3:11">
      <c r="C360" s="6"/>
      <c r="D360" s="43"/>
      <c r="H360" s="43"/>
      <c r="K360" s="6"/>
    </row>
    <row r="361" spans="3:11">
      <c r="C361" s="6"/>
      <c r="D361" s="43"/>
      <c r="H361" s="43"/>
      <c r="K361" s="6"/>
    </row>
    <row r="362" spans="3:11">
      <c r="C362" s="6"/>
      <c r="D362" s="43"/>
      <c r="H362" s="43"/>
      <c r="K362" s="6"/>
    </row>
    <row r="363" spans="3:11">
      <c r="C363" s="6"/>
      <c r="D363" s="43"/>
      <c r="H363" s="43"/>
      <c r="K363" s="6"/>
    </row>
    <row r="364" spans="3:11">
      <c r="C364" s="6"/>
      <c r="D364" s="43"/>
      <c r="H364" s="43"/>
      <c r="K364" s="6"/>
    </row>
    <row r="365" spans="3:11">
      <c r="C365" s="6"/>
      <c r="D365" s="43"/>
      <c r="H365" s="43"/>
      <c r="K365" s="6"/>
    </row>
    <row r="366" spans="3:11">
      <c r="C366" s="6"/>
      <c r="D366" s="43"/>
      <c r="H366" s="43"/>
      <c r="K366" s="6"/>
    </row>
    <row r="367" spans="3:11">
      <c r="C367" s="6"/>
      <c r="D367" s="43"/>
      <c r="H367" s="43"/>
      <c r="K367" s="6"/>
    </row>
    <row r="368" spans="3:11">
      <c r="C368" s="6"/>
      <c r="D368" s="43"/>
      <c r="H368" s="43"/>
      <c r="K368" s="6"/>
    </row>
    <row r="369" spans="3:11">
      <c r="C369" s="6"/>
      <c r="D369" s="43"/>
      <c r="H369" s="43"/>
      <c r="K369" s="6"/>
    </row>
    <row r="370" spans="3:11">
      <c r="C370" s="6"/>
      <c r="D370" s="43"/>
      <c r="H370" s="43"/>
      <c r="K370" s="6"/>
    </row>
    <row r="371" spans="3:11">
      <c r="C371" s="6"/>
      <c r="D371" s="43"/>
      <c r="H371" s="43"/>
      <c r="K371" s="6"/>
    </row>
    <row r="372" spans="3:11">
      <c r="C372" s="6"/>
      <c r="D372" s="43"/>
      <c r="H372" s="43"/>
      <c r="K372" s="6"/>
    </row>
    <row r="373" spans="3:11">
      <c r="C373" s="6"/>
      <c r="D373" s="43"/>
      <c r="H373" s="43"/>
      <c r="K373" s="6"/>
    </row>
    <row r="374" spans="3:11">
      <c r="C374" s="6"/>
      <c r="D374" s="43"/>
      <c r="H374" s="43"/>
      <c r="K374" s="6"/>
    </row>
    <row r="375" spans="3:11">
      <c r="C375" s="6"/>
      <c r="D375" s="43"/>
      <c r="H375" s="43"/>
      <c r="K375" s="6"/>
    </row>
    <row r="376" spans="3:11">
      <c r="C376" s="6"/>
      <c r="D376" s="43"/>
      <c r="H376" s="43"/>
      <c r="K376" s="6"/>
    </row>
    <row r="377" spans="3:11">
      <c r="C377" s="6"/>
      <c r="D377" s="43"/>
      <c r="H377" s="43"/>
      <c r="K377" s="6"/>
    </row>
    <row r="378" spans="3:11">
      <c r="C378" s="6"/>
      <c r="D378" s="43"/>
      <c r="H378" s="43"/>
      <c r="K378" s="6"/>
    </row>
    <row r="379" spans="3:11">
      <c r="C379" s="6"/>
      <c r="D379" s="43"/>
      <c r="H379" s="43"/>
      <c r="K379" s="6"/>
    </row>
    <row r="380" spans="3:11">
      <c r="C380" s="6"/>
      <c r="D380" s="43"/>
      <c r="H380" s="43"/>
      <c r="K380" s="6"/>
    </row>
    <row r="381" spans="3:11">
      <c r="C381" s="6"/>
      <c r="D381" s="43"/>
      <c r="H381" s="43"/>
      <c r="K381" s="6"/>
    </row>
    <row r="382" spans="3:11">
      <c r="C382" s="6"/>
      <c r="D382" s="43"/>
      <c r="H382" s="43"/>
      <c r="K382" s="6"/>
    </row>
    <row r="383" spans="3:11">
      <c r="C383" s="6"/>
      <c r="D383" s="43"/>
      <c r="H383" s="43"/>
      <c r="K383" s="6"/>
    </row>
    <row r="384" spans="3:11">
      <c r="C384" s="6"/>
      <c r="D384" s="43"/>
      <c r="H384" s="43"/>
      <c r="K384" s="6"/>
    </row>
    <row r="385" spans="3:11">
      <c r="C385" s="6"/>
      <c r="D385" s="43"/>
      <c r="H385" s="43"/>
      <c r="K385" s="6"/>
    </row>
    <row r="386" spans="3:11">
      <c r="C386" s="6"/>
      <c r="D386" s="43"/>
      <c r="H386" s="43"/>
      <c r="K386" s="6"/>
    </row>
    <row r="387" spans="3:11">
      <c r="C387" s="6"/>
      <c r="D387" s="43"/>
      <c r="H387" s="43"/>
      <c r="K387" s="6"/>
    </row>
    <row r="388" spans="3:11">
      <c r="C388" s="6"/>
      <c r="D388" s="43"/>
      <c r="H388" s="43"/>
      <c r="K388" s="6"/>
    </row>
    <row r="389" spans="3:11">
      <c r="C389" s="6"/>
      <c r="D389" s="43"/>
      <c r="H389" s="43"/>
      <c r="K389" s="6"/>
    </row>
    <row r="390" spans="3:11">
      <c r="C390" s="6"/>
      <c r="D390" s="43"/>
      <c r="H390" s="43"/>
      <c r="K390" s="6"/>
    </row>
    <row r="391" spans="3:11">
      <c r="C391" s="6"/>
      <c r="D391" s="43"/>
      <c r="H391" s="43"/>
      <c r="K391" s="6"/>
    </row>
    <row r="392" spans="3:11">
      <c r="C392" s="6"/>
      <c r="D392" s="43"/>
      <c r="H392" s="43"/>
      <c r="K392" s="6"/>
    </row>
    <row r="393" spans="3:11">
      <c r="C393" s="6"/>
      <c r="D393" s="43"/>
      <c r="H393" s="43"/>
      <c r="K393" s="6"/>
    </row>
    <row r="394" spans="3:11">
      <c r="C394" s="6"/>
      <c r="D394" s="43"/>
      <c r="H394" s="43"/>
      <c r="K394" s="6"/>
    </row>
    <row r="395" spans="3:11">
      <c r="C395" s="6"/>
      <c r="D395" s="43"/>
      <c r="H395" s="43"/>
      <c r="K395" s="6"/>
    </row>
    <row r="396" spans="3:11">
      <c r="C396" s="6"/>
      <c r="D396" s="43"/>
      <c r="H396" s="43"/>
      <c r="K396" s="6"/>
    </row>
    <row r="397" spans="3:11">
      <c r="C397" s="6"/>
      <c r="D397" s="43"/>
      <c r="H397" s="43"/>
      <c r="K397" s="6"/>
    </row>
    <row r="398" spans="3:11">
      <c r="C398" s="6"/>
      <c r="D398" s="43"/>
      <c r="H398" s="43"/>
      <c r="K398" s="6"/>
    </row>
    <row r="399" spans="3:11">
      <c r="C399" s="6"/>
      <c r="D399" s="43"/>
      <c r="H399" s="43"/>
      <c r="K399" s="6"/>
    </row>
    <row r="400" spans="3:11">
      <c r="C400" s="6"/>
      <c r="D400" s="43"/>
      <c r="H400" s="43"/>
      <c r="K400" s="6"/>
    </row>
    <row r="401" spans="3:11">
      <c r="C401" s="6"/>
      <c r="D401" s="43"/>
      <c r="H401" s="43"/>
      <c r="K401" s="6"/>
    </row>
    <row r="402" spans="3:11">
      <c r="C402" s="6"/>
      <c r="D402" s="43"/>
      <c r="H402" s="43"/>
      <c r="K402" s="6"/>
    </row>
    <row r="403" spans="3:11">
      <c r="C403" s="6"/>
      <c r="D403" s="43"/>
      <c r="H403" s="43"/>
      <c r="K403" s="6"/>
    </row>
    <row r="404" spans="3:11">
      <c r="C404" s="6"/>
      <c r="D404" s="43"/>
      <c r="H404" s="43"/>
      <c r="K404" s="6"/>
    </row>
    <row r="405" spans="3:11">
      <c r="C405" s="6"/>
      <c r="D405" s="43"/>
      <c r="H405" s="43"/>
      <c r="K405" s="6"/>
    </row>
    <row r="406" spans="3:11">
      <c r="C406" s="6"/>
      <c r="D406" s="43"/>
      <c r="H406" s="43"/>
      <c r="K406" s="6"/>
    </row>
    <row r="407" spans="3:11">
      <c r="C407" s="6"/>
      <c r="D407" s="43"/>
      <c r="H407" s="43"/>
      <c r="K407" s="6"/>
    </row>
    <row r="408" spans="3:11">
      <c r="C408" s="6"/>
      <c r="D408" s="43"/>
      <c r="H408" s="43"/>
      <c r="K408" s="6"/>
    </row>
    <row r="409" spans="3:11">
      <c r="C409" s="6"/>
      <c r="D409" s="43"/>
      <c r="H409" s="43"/>
      <c r="K409" s="6"/>
    </row>
    <row r="410" spans="3:11">
      <c r="C410" s="6"/>
      <c r="D410" s="43"/>
      <c r="H410" s="43"/>
      <c r="K410" s="6"/>
    </row>
    <row r="411" spans="3:11">
      <c r="C411" s="6"/>
      <c r="D411" s="43"/>
      <c r="H411" s="43"/>
      <c r="K411" s="6"/>
    </row>
    <row r="412" spans="3:11">
      <c r="C412" s="6"/>
      <c r="D412" s="43"/>
      <c r="H412" s="43"/>
      <c r="K412" s="6"/>
    </row>
    <row r="413" spans="3:11">
      <c r="C413" s="6"/>
      <c r="D413" s="43"/>
      <c r="H413" s="43"/>
      <c r="K413" s="6"/>
    </row>
    <row r="414" spans="3:11">
      <c r="C414" s="6"/>
      <c r="D414" s="43"/>
      <c r="H414" s="43"/>
      <c r="K414" s="6"/>
    </row>
    <row r="415" spans="3:11">
      <c r="C415" s="6"/>
      <c r="D415" s="43"/>
      <c r="H415" s="43"/>
      <c r="K415" s="6"/>
    </row>
    <row r="416" spans="3:11">
      <c r="C416" s="6"/>
      <c r="D416" s="43"/>
      <c r="H416" s="43"/>
      <c r="K416" s="6"/>
    </row>
    <row r="417" spans="3:11">
      <c r="C417" s="6"/>
      <c r="D417" s="43"/>
      <c r="H417" s="43"/>
      <c r="K417" s="6"/>
    </row>
    <row r="418" spans="3:11">
      <c r="C418" s="6"/>
      <c r="D418" s="43"/>
      <c r="H418" s="43"/>
      <c r="K418" s="6"/>
    </row>
    <row r="419" spans="3:11">
      <c r="C419" s="6"/>
      <c r="D419" s="43"/>
      <c r="H419" s="43"/>
      <c r="K419" s="6"/>
    </row>
    <row r="420" spans="3:11">
      <c r="C420" s="6"/>
      <c r="D420" s="43"/>
      <c r="H420" s="43"/>
      <c r="K420" s="6"/>
    </row>
    <row r="421" spans="3:11">
      <c r="C421" s="6"/>
      <c r="D421" s="43"/>
      <c r="H421" s="43"/>
      <c r="K421" s="6"/>
    </row>
    <row r="422" spans="3:11">
      <c r="C422" s="6"/>
      <c r="D422" s="43"/>
      <c r="H422" s="43"/>
      <c r="K422" s="6"/>
    </row>
    <row r="423" spans="3:11">
      <c r="C423" s="6"/>
      <c r="D423" s="43"/>
      <c r="H423" s="43"/>
      <c r="K423" s="6"/>
    </row>
    <row r="424" spans="3:11">
      <c r="C424" s="6"/>
      <c r="D424" s="43"/>
      <c r="H424" s="43"/>
      <c r="K424" s="6"/>
    </row>
    <row r="425" spans="3:11">
      <c r="C425" s="6"/>
      <c r="D425" s="43"/>
      <c r="H425" s="43"/>
      <c r="K425" s="6"/>
    </row>
    <row r="426" spans="3:11">
      <c r="C426" s="6"/>
      <c r="D426" s="43"/>
      <c r="H426" s="43"/>
      <c r="K426" s="6"/>
    </row>
    <row r="427" spans="3:11">
      <c r="C427" s="6"/>
      <c r="D427" s="43"/>
      <c r="H427" s="43"/>
      <c r="K427" s="6"/>
    </row>
    <row r="428" spans="3:11">
      <c r="C428" s="6"/>
      <c r="D428" s="43"/>
      <c r="H428" s="43"/>
      <c r="K428" s="6"/>
    </row>
    <row r="429" spans="3:11">
      <c r="C429" s="6"/>
      <c r="D429" s="43"/>
      <c r="H429" s="43"/>
      <c r="K429" s="6"/>
    </row>
    <row r="430" spans="3:11">
      <c r="C430" s="6"/>
      <c r="D430" s="43"/>
      <c r="H430" s="43"/>
      <c r="K430" s="6"/>
    </row>
    <row r="431" spans="3:11">
      <c r="C431" s="6"/>
      <c r="D431" s="43"/>
      <c r="H431" s="43"/>
      <c r="K431" s="6"/>
    </row>
    <row r="432" spans="3:11">
      <c r="C432" s="6"/>
      <c r="D432" s="43"/>
      <c r="H432" s="43"/>
      <c r="K432" s="6"/>
    </row>
    <row r="433" spans="3:11">
      <c r="C433" s="6"/>
      <c r="D433" s="43"/>
      <c r="H433" s="43"/>
      <c r="K433" s="6"/>
    </row>
    <row r="434" spans="3:11">
      <c r="C434" s="6"/>
      <c r="D434" s="43"/>
      <c r="H434" s="43"/>
      <c r="K434" s="6"/>
    </row>
    <row r="435" spans="3:11">
      <c r="C435" s="6"/>
      <c r="D435" s="43"/>
      <c r="H435" s="43"/>
      <c r="K435" s="6"/>
    </row>
    <row r="436" spans="3:11">
      <c r="C436" s="6"/>
      <c r="D436" s="43"/>
      <c r="H436" s="43"/>
      <c r="K436" s="6"/>
    </row>
    <row r="437" spans="3:11">
      <c r="C437" s="6"/>
      <c r="D437" s="43"/>
      <c r="H437" s="43"/>
      <c r="K437" s="6"/>
    </row>
    <row r="438" spans="3:11">
      <c r="C438" s="6"/>
      <c r="D438" s="43"/>
      <c r="H438" s="43"/>
      <c r="K438" s="6"/>
    </row>
    <row r="439" spans="3:11">
      <c r="C439" s="6"/>
      <c r="D439" s="43"/>
      <c r="H439" s="43"/>
      <c r="K439" s="6"/>
    </row>
    <row r="440" spans="3:11">
      <c r="C440" s="6"/>
      <c r="D440" s="43"/>
      <c r="H440" s="43"/>
      <c r="K440" s="6"/>
    </row>
    <row r="441" spans="3:11">
      <c r="C441" s="6"/>
      <c r="D441" s="43"/>
      <c r="H441" s="43"/>
      <c r="K441" s="6"/>
    </row>
    <row r="442" spans="3:11">
      <c r="C442" s="6"/>
      <c r="D442" s="43"/>
      <c r="H442" s="43"/>
      <c r="K442" s="6"/>
    </row>
    <row r="443" spans="3:11">
      <c r="C443" s="6"/>
      <c r="D443" s="43"/>
      <c r="H443" s="43"/>
      <c r="K443" s="6"/>
    </row>
    <row r="444" spans="3:11">
      <c r="C444" s="6"/>
      <c r="D444" s="43"/>
      <c r="H444" s="43"/>
      <c r="K444" s="6"/>
    </row>
    <row r="445" spans="3:11">
      <c r="C445" s="6"/>
      <c r="D445" s="43"/>
      <c r="H445" s="43"/>
      <c r="K445" s="6"/>
    </row>
    <row r="446" spans="3:11">
      <c r="C446" s="6"/>
      <c r="D446" s="43"/>
      <c r="H446" s="43"/>
      <c r="K446" s="6"/>
    </row>
    <row r="447" spans="3:11">
      <c r="C447" s="6"/>
      <c r="D447" s="43"/>
      <c r="H447" s="43"/>
      <c r="K447" s="6"/>
    </row>
    <row r="448" spans="3:11">
      <c r="C448" s="6"/>
      <c r="D448" s="43"/>
      <c r="H448" s="43"/>
      <c r="K448" s="6"/>
    </row>
    <row r="449" spans="3:11">
      <c r="C449" s="6"/>
      <c r="D449" s="43"/>
      <c r="H449" s="43"/>
      <c r="K449" s="6"/>
    </row>
    <row r="450" spans="3:11">
      <c r="C450" s="6"/>
      <c r="D450" s="43"/>
      <c r="H450" s="43"/>
      <c r="K450" s="6"/>
    </row>
    <row r="451" spans="3:11">
      <c r="C451" s="6"/>
      <c r="D451" s="43"/>
      <c r="H451" s="43"/>
      <c r="K451" s="6"/>
    </row>
    <row r="452" spans="3:11">
      <c r="C452" s="6"/>
      <c r="D452" s="43"/>
      <c r="H452" s="43"/>
      <c r="K452" s="6"/>
    </row>
    <row r="453" spans="3:11">
      <c r="C453" s="6"/>
      <c r="D453" s="43"/>
      <c r="H453" s="43"/>
      <c r="K453" s="6"/>
    </row>
    <row r="454" spans="3:11">
      <c r="C454" s="6"/>
      <c r="D454" s="43"/>
      <c r="H454" s="43"/>
      <c r="K454" s="6"/>
    </row>
    <row r="455" spans="3:11">
      <c r="C455" s="6"/>
      <c r="D455" s="43"/>
      <c r="H455" s="43"/>
      <c r="K455" s="6"/>
    </row>
    <row r="456" spans="3:11">
      <c r="C456" s="6"/>
      <c r="D456" s="43"/>
      <c r="H456" s="43"/>
      <c r="K456" s="6"/>
    </row>
    <row r="457" spans="3:11">
      <c r="C457" s="6"/>
      <c r="D457" s="43"/>
      <c r="H457" s="43"/>
      <c r="K457" s="6"/>
    </row>
    <row r="458" spans="3:11">
      <c r="C458" s="6"/>
      <c r="D458" s="43"/>
      <c r="H458" s="43"/>
      <c r="K458" s="6"/>
    </row>
    <row r="459" spans="3:11">
      <c r="C459" s="6"/>
      <c r="D459" s="43"/>
      <c r="H459" s="43"/>
      <c r="K459" s="6"/>
    </row>
    <row r="460" spans="3:11">
      <c r="C460" s="6"/>
      <c r="D460" s="43"/>
      <c r="H460" s="43"/>
      <c r="K460" s="6"/>
    </row>
    <row r="461" spans="3:11">
      <c r="C461" s="6"/>
      <c r="D461" s="43"/>
      <c r="H461" s="43"/>
      <c r="K461" s="6"/>
    </row>
    <row r="462" spans="3:11">
      <c r="C462" s="6"/>
      <c r="D462" s="43"/>
      <c r="H462" s="43"/>
      <c r="K462" s="6"/>
    </row>
    <row r="463" spans="3:11">
      <c r="C463" s="6"/>
      <c r="D463" s="43"/>
      <c r="H463" s="43"/>
      <c r="K463" s="6"/>
    </row>
    <row r="464" spans="3:11">
      <c r="C464" s="6"/>
      <c r="D464" s="43"/>
      <c r="H464" s="43"/>
      <c r="K464" s="6"/>
    </row>
    <row r="465" spans="3:11">
      <c r="C465" s="6"/>
      <c r="D465" s="43"/>
      <c r="H465" s="43"/>
      <c r="K465" s="6"/>
    </row>
    <row r="466" spans="3:11">
      <c r="C466" s="6"/>
      <c r="D466" s="43"/>
      <c r="H466" s="43"/>
      <c r="K466" s="6"/>
    </row>
    <row r="467" spans="3:11">
      <c r="C467" s="6"/>
      <c r="D467" s="43"/>
      <c r="H467" s="43"/>
      <c r="K467" s="6"/>
    </row>
    <row r="468" spans="3:11">
      <c r="C468" s="6"/>
      <c r="D468" s="43"/>
      <c r="H468" s="43"/>
      <c r="K468" s="6"/>
    </row>
    <row r="469" spans="3:11">
      <c r="C469" s="6"/>
      <c r="D469" s="43"/>
      <c r="H469" s="43"/>
      <c r="K469" s="6"/>
    </row>
    <row r="470" spans="3:11">
      <c r="C470" s="6"/>
      <c r="D470" s="43"/>
      <c r="H470" s="43"/>
      <c r="K470" s="6"/>
    </row>
    <row r="471" spans="3:11">
      <c r="C471" s="6"/>
      <c r="D471" s="43"/>
      <c r="H471" s="43"/>
      <c r="K471" s="6"/>
    </row>
    <row r="472" spans="3:11">
      <c r="C472" s="6"/>
      <c r="D472" s="43"/>
      <c r="H472" s="43"/>
      <c r="K472" s="6"/>
    </row>
    <row r="473" spans="3:11">
      <c r="C473" s="6"/>
      <c r="D473" s="43"/>
      <c r="H473" s="43"/>
      <c r="K473" s="6"/>
    </row>
    <row r="474" spans="3:11">
      <c r="C474" s="6"/>
      <c r="D474" s="43"/>
      <c r="H474" s="43"/>
      <c r="K474" s="6"/>
    </row>
    <row r="475" spans="3:11">
      <c r="C475" s="6"/>
      <c r="D475" s="43"/>
      <c r="H475" s="43"/>
      <c r="K475" s="6"/>
    </row>
    <row r="476" spans="3:11">
      <c r="C476" s="6"/>
      <c r="D476" s="43"/>
      <c r="H476" s="43"/>
      <c r="K476" s="6"/>
    </row>
    <row r="477" spans="3:11">
      <c r="C477" s="6"/>
      <c r="D477" s="43"/>
      <c r="H477" s="43"/>
      <c r="K477" s="6"/>
    </row>
    <row r="478" spans="3:11">
      <c r="C478" s="6"/>
      <c r="D478" s="43"/>
      <c r="H478" s="43"/>
      <c r="K478" s="6"/>
    </row>
    <row r="479" spans="3:11">
      <c r="C479" s="6"/>
      <c r="D479" s="43"/>
      <c r="H479" s="43"/>
      <c r="K479" s="6"/>
    </row>
    <row r="480" spans="3:11">
      <c r="C480" s="6"/>
      <c r="D480" s="43"/>
      <c r="H480" s="43"/>
      <c r="K480" s="6"/>
    </row>
    <row r="481" spans="3:11">
      <c r="C481" s="6"/>
      <c r="D481" s="43"/>
      <c r="H481" s="43"/>
      <c r="K481" s="6"/>
    </row>
    <row r="482" spans="3:11">
      <c r="C482" s="6"/>
      <c r="D482" s="43"/>
      <c r="H482" s="43"/>
      <c r="K482" s="6"/>
    </row>
    <row r="483" spans="3:11">
      <c r="C483" s="6"/>
      <c r="D483" s="43"/>
      <c r="H483" s="43"/>
      <c r="K483" s="6"/>
    </row>
    <row r="484" spans="3:11">
      <c r="C484" s="6"/>
      <c r="D484" s="43"/>
      <c r="H484" s="43"/>
      <c r="K484" s="6"/>
    </row>
    <row r="485" spans="3:11">
      <c r="C485" s="6"/>
      <c r="D485" s="43"/>
      <c r="H485" s="43"/>
      <c r="K485" s="6"/>
    </row>
    <row r="486" spans="3:11">
      <c r="C486" s="6"/>
      <c r="D486" s="43"/>
      <c r="H486" s="43"/>
      <c r="K486" s="6"/>
    </row>
    <row r="487" spans="3:11">
      <c r="C487" s="6"/>
      <c r="D487" s="43"/>
      <c r="H487" s="43"/>
      <c r="K487" s="6"/>
    </row>
    <row r="488" spans="3:11">
      <c r="C488" s="6"/>
      <c r="D488" s="43"/>
      <c r="H488" s="43"/>
      <c r="K488" s="6"/>
    </row>
    <row r="489" spans="3:11">
      <c r="C489" s="6"/>
      <c r="D489" s="43"/>
      <c r="H489" s="43"/>
      <c r="K489" s="6"/>
    </row>
    <row r="490" spans="3:11">
      <c r="C490" s="6"/>
      <c r="D490" s="43"/>
      <c r="H490" s="43"/>
      <c r="K490" s="6"/>
    </row>
    <row r="491" spans="3:11">
      <c r="C491" s="6"/>
      <c r="D491" s="43"/>
      <c r="H491" s="43"/>
      <c r="K491" s="6"/>
    </row>
    <row r="492" spans="3:11">
      <c r="C492" s="6"/>
      <c r="D492" s="43"/>
      <c r="H492" s="43"/>
      <c r="K492" s="6"/>
    </row>
    <row r="493" spans="3:11">
      <c r="C493" s="6"/>
      <c r="D493" s="43"/>
      <c r="H493" s="43"/>
      <c r="K493" s="6"/>
    </row>
    <row r="494" spans="3:11">
      <c r="C494" s="6"/>
      <c r="D494" s="43"/>
      <c r="H494" s="43"/>
      <c r="K494" s="6"/>
    </row>
    <row r="495" spans="3:11">
      <c r="C495" s="6"/>
      <c r="D495" s="43"/>
      <c r="H495" s="43"/>
      <c r="K495" s="6"/>
    </row>
    <row r="496" spans="3:11">
      <c r="C496" s="6"/>
      <c r="D496" s="43"/>
      <c r="H496" s="43"/>
      <c r="K496" s="6"/>
    </row>
    <row r="497" spans="3:11">
      <c r="C497" s="6"/>
      <c r="D497" s="43"/>
      <c r="H497" s="43"/>
      <c r="K497" s="6"/>
    </row>
    <row r="498" spans="3:11">
      <c r="C498" s="6"/>
      <c r="D498" s="43"/>
      <c r="H498" s="43"/>
      <c r="K498" s="6"/>
    </row>
    <row r="499" spans="3:11">
      <c r="C499" s="6"/>
      <c r="D499" s="43"/>
      <c r="H499" s="43"/>
      <c r="K499" s="6"/>
    </row>
    <row r="500" spans="3:11">
      <c r="C500" s="6"/>
      <c r="D500" s="43"/>
      <c r="H500" s="43"/>
      <c r="K500" s="6"/>
    </row>
    <row r="501" spans="3:11">
      <c r="C501" s="6"/>
      <c r="D501" s="43"/>
      <c r="H501" s="43"/>
      <c r="K501" s="6"/>
    </row>
    <row r="502" spans="3:11">
      <c r="C502" s="6"/>
      <c r="D502" s="43"/>
      <c r="H502" s="43"/>
      <c r="K502" s="6"/>
    </row>
    <row r="503" spans="3:11">
      <c r="C503" s="6"/>
      <c r="D503" s="43"/>
      <c r="H503" s="43"/>
      <c r="K503" s="6"/>
    </row>
    <row r="504" spans="3:11">
      <c r="C504" s="6"/>
      <c r="D504" s="43"/>
      <c r="H504" s="43"/>
      <c r="K504" s="6"/>
    </row>
    <row r="505" spans="3:11">
      <c r="C505" s="6"/>
      <c r="D505" s="43"/>
      <c r="H505" s="43"/>
      <c r="K505" s="6"/>
    </row>
    <row r="506" spans="3:11">
      <c r="C506" s="6"/>
      <c r="D506" s="43"/>
      <c r="H506" s="43"/>
      <c r="K506" s="6"/>
    </row>
    <row r="507" spans="3:11">
      <c r="C507" s="6"/>
      <c r="D507" s="43"/>
      <c r="H507" s="43"/>
      <c r="K507" s="6"/>
    </row>
    <row r="508" spans="3:11">
      <c r="C508" s="6"/>
      <c r="D508" s="43"/>
      <c r="H508" s="43"/>
      <c r="K508" s="6"/>
    </row>
    <row r="509" spans="3:11">
      <c r="C509" s="6"/>
      <c r="D509" s="43"/>
      <c r="H509" s="43"/>
      <c r="K509" s="6"/>
    </row>
    <row r="510" spans="3:11">
      <c r="C510" s="6"/>
      <c r="D510" s="43"/>
      <c r="H510" s="43"/>
      <c r="K510" s="6"/>
    </row>
    <row r="511" spans="3:11">
      <c r="C511" s="6"/>
      <c r="D511" s="43"/>
      <c r="H511" s="43"/>
      <c r="K511" s="6"/>
    </row>
    <row r="512" spans="3:11">
      <c r="C512" s="6"/>
      <c r="D512" s="43"/>
      <c r="H512" s="43"/>
      <c r="K512" s="6"/>
    </row>
    <row r="513" spans="3:11">
      <c r="C513" s="6"/>
      <c r="D513" s="43"/>
      <c r="H513" s="43"/>
      <c r="K513" s="6"/>
    </row>
    <row r="514" spans="3:11">
      <c r="C514" s="6"/>
      <c r="D514" s="43"/>
      <c r="H514" s="43"/>
      <c r="K514" s="6"/>
    </row>
    <row r="515" spans="3:11">
      <c r="C515" s="6"/>
      <c r="D515" s="43"/>
      <c r="H515" s="43"/>
      <c r="K515" s="6"/>
    </row>
    <row r="516" spans="3:11">
      <c r="C516" s="6"/>
      <c r="D516" s="43"/>
      <c r="H516" s="43"/>
      <c r="K516" s="6"/>
    </row>
    <row r="517" spans="3:11">
      <c r="C517" s="6"/>
      <c r="D517" s="43"/>
      <c r="H517" s="43"/>
      <c r="K517" s="6"/>
    </row>
    <row r="518" spans="3:11">
      <c r="C518" s="6"/>
      <c r="D518" s="43"/>
      <c r="H518" s="43"/>
      <c r="K518" s="6"/>
    </row>
    <row r="519" spans="3:11">
      <c r="C519" s="6"/>
      <c r="D519" s="43"/>
      <c r="H519" s="43"/>
      <c r="K519" s="6"/>
    </row>
    <row r="520" spans="3:11">
      <c r="C520" s="6"/>
      <c r="D520" s="43"/>
      <c r="H520" s="43"/>
      <c r="K520" s="6"/>
    </row>
    <row r="521" spans="3:11">
      <c r="C521" s="6"/>
      <c r="D521" s="43"/>
      <c r="H521" s="43"/>
      <c r="K521" s="6"/>
    </row>
    <row r="522" spans="3:11">
      <c r="C522" s="6"/>
      <c r="D522" s="43"/>
      <c r="H522" s="43"/>
      <c r="K522" s="6"/>
    </row>
    <row r="523" spans="3:11">
      <c r="C523" s="6"/>
      <c r="D523" s="43"/>
      <c r="H523" s="43"/>
      <c r="K523" s="6"/>
    </row>
    <row r="524" spans="3:11">
      <c r="C524" s="6"/>
      <c r="D524" s="43"/>
      <c r="H524" s="43"/>
      <c r="K524" s="6"/>
    </row>
    <row r="525" spans="3:11">
      <c r="C525" s="6"/>
      <c r="D525" s="43"/>
      <c r="H525" s="43"/>
      <c r="K525" s="6"/>
    </row>
    <row r="526" spans="3:11">
      <c r="C526" s="6"/>
      <c r="D526" s="43"/>
      <c r="H526" s="43"/>
      <c r="K526" s="6"/>
    </row>
    <row r="527" spans="3:11">
      <c r="C527" s="6"/>
      <c r="D527" s="43"/>
      <c r="H527" s="43"/>
      <c r="K527" s="6"/>
    </row>
    <row r="528" spans="3:11">
      <c r="C528" s="6"/>
      <c r="D528" s="43"/>
      <c r="H528" s="43"/>
      <c r="K528" s="6"/>
    </row>
    <row r="529" spans="3:11">
      <c r="C529" s="6"/>
      <c r="D529" s="43"/>
      <c r="H529" s="43"/>
      <c r="K529" s="6"/>
    </row>
    <row r="530" spans="3:11">
      <c r="C530" s="6"/>
      <c r="D530" s="43"/>
      <c r="H530" s="43"/>
      <c r="K530" s="6"/>
    </row>
    <row r="531" spans="3:11">
      <c r="C531" s="6"/>
      <c r="D531" s="43"/>
      <c r="H531" s="43"/>
      <c r="K531" s="6"/>
    </row>
    <row r="532" spans="3:11">
      <c r="C532" s="6"/>
      <c r="D532" s="43"/>
      <c r="H532" s="43"/>
      <c r="K532" s="6"/>
    </row>
    <row r="533" spans="3:11">
      <c r="C533" s="6"/>
      <c r="D533" s="43"/>
      <c r="H533" s="43"/>
      <c r="K533" s="6"/>
    </row>
    <row r="534" spans="3:11">
      <c r="C534" s="6"/>
      <c r="D534" s="43"/>
      <c r="H534" s="43"/>
      <c r="K534" s="6"/>
    </row>
    <row r="535" spans="3:11">
      <c r="C535" s="6"/>
      <c r="D535" s="43"/>
      <c r="H535" s="43"/>
      <c r="K535" s="6"/>
    </row>
    <row r="536" spans="3:11">
      <c r="C536" s="6"/>
      <c r="D536" s="43"/>
      <c r="H536" s="43"/>
      <c r="K536" s="6"/>
    </row>
    <row r="537" spans="3:11">
      <c r="C537" s="6"/>
      <c r="D537" s="43"/>
      <c r="H537" s="43"/>
      <c r="K537" s="6"/>
    </row>
    <row r="538" spans="3:11">
      <c r="C538" s="6"/>
      <c r="D538" s="43"/>
      <c r="H538" s="43"/>
      <c r="K538" s="6"/>
    </row>
    <row r="539" spans="3:11">
      <c r="C539" s="6"/>
      <c r="D539" s="43"/>
      <c r="H539" s="43"/>
      <c r="K539" s="6"/>
    </row>
    <row r="540" spans="3:11">
      <c r="C540" s="6"/>
      <c r="D540" s="43"/>
      <c r="H540" s="43"/>
      <c r="K540" s="6"/>
    </row>
    <row r="541" spans="3:11">
      <c r="C541" s="6"/>
      <c r="D541" s="43"/>
      <c r="H541" s="43"/>
      <c r="K541" s="6"/>
    </row>
    <row r="542" spans="3:11">
      <c r="C542" s="6"/>
      <c r="D542" s="43"/>
      <c r="H542" s="43"/>
      <c r="K542" s="6"/>
    </row>
    <row r="543" spans="3:11">
      <c r="C543" s="6"/>
      <c r="D543" s="43"/>
      <c r="H543" s="43"/>
      <c r="K543" s="6"/>
    </row>
    <row r="544" spans="3:11">
      <c r="C544" s="6"/>
      <c r="D544" s="43"/>
      <c r="H544" s="43"/>
      <c r="K544" s="6"/>
    </row>
    <row r="545" spans="3:11">
      <c r="C545" s="6"/>
      <c r="D545" s="43"/>
      <c r="H545" s="43"/>
      <c r="K545" s="6"/>
    </row>
    <row r="546" spans="3:11">
      <c r="C546" s="6"/>
      <c r="D546" s="43"/>
      <c r="H546" s="43"/>
      <c r="K546" s="6"/>
    </row>
    <row r="547" spans="3:11">
      <c r="C547" s="6"/>
      <c r="D547" s="43"/>
      <c r="H547" s="43"/>
      <c r="K547" s="6"/>
    </row>
    <row r="548" spans="3:11">
      <c r="C548" s="6"/>
      <c r="D548" s="43"/>
      <c r="H548" s="43"/>
      <c r="K548" s="6"/>
    </row>
    <row r="549" spans="3:11">
      <c r="C549" s="6"/>
      <c r="D549" s="43"/>
      <c r="H549" s="43"/>
      <c r="K549" s="6"/>
    </row>
    <row r="550" spans="3:11">
      <c r="C550" s="6"/>
      <c r="D550" s="43"/>
      <c r="H550" s="43"/>
      <c r="K550" s="6"/>
    </row>
    <row r="551" spans="3:11">
      <c r="C551" s="6"/>
      <c r="D551" s="43"/>
      <c r="H551" s="43"/>
      <c r="K551" s="6"/>
    </row>
    <row r="552" spans="3:11">
      <c r="C552" s="6"/>
      <c r="D552" s="43"/>
      <c r="H552" s="43"/>
      <c r="K552" s="6"/>
    </row>
    <row r="553" spans="3:11">
      <c r="C553" s="6"/>
      <c r="D553" s="43"/>
      <c r="H553" s="43"/>
      <c r="K553" s="6"/>
    </row>
    <row r="554" spans="3:11">
      <c r="C554" s="6"/>
      <c r="D554" s="43"/>
      <c r="H554" s="43"/>
      <c r="K554" s="6"/>
    </row>
    <row r="555" spans="3:11">
      <c r="C555" s="6"/>
      <c r="D555" s="43"/>
      <c r="H555" s="43"/>
      <c r="K555" s="6"/>
    </row>
    <row r="556" spans="3:11">
      <c r="C556" s="6"/>
      <c r="D556" s="43"/>
      <c r="H556" s="43"/>
      <c r="K556" s="6"/>
    </row>
    <row r="557" spans="3:11">
      <c r="C557" s="6"/>
      <c r="D557" s="43"/>
      <c r="H557" s="43"/>
      <c r="K557" s="6"/>
    </row>
    <row r="558" spans="3:11">
      <c r="C558" s="6"/>
      <c r="D558" s="43"/>
      <c r="H558" s="43"/>
      <c r="K558" s="6"/>
    </row>
    <row r="559" spans="3:11">
      <c r="C559" s="6"/>
      <c r="D559" s="43"/>
      <c r="H559" s="43"/>
      <c r="K559" s="6"/>
    </row>
    <row r="560" spans="3:11">
      <c r="C560" s="6"/>
      <c r="D560" s="43"/>
      <c r="H560" s="43"/>
      <c r="K560" s="6"/>
    </row>
    <row r="561" spans="3:11">
      <c r="C561" s="6"/>
      <c r="D561" s="43"/>
      <c r="H561" s="43"/>
      <c r="K561" s="6"/>
    </row>
    <row r="562" spans="3:11">
      <c r="C562" s="6"/>
      <c r="D562" s="43"/>
      <c r="H562" s="43"/>
      <c r="K562" s="6"/>
    </row>
    <row r="563" spans="3:11">
      <c r="C563" s="6"/>
      <c r="D563" s="43"/>
      <c r="H563" s="43"/>
      <c r="K563" s="6"/>
    </row>
    <row r="564" spans="3:11">
      <c r="C564" s="6"/>
      <c r="D564" s="43"/>
      <c r="H564" s="43"/>
      <c r="K564" s="6"/>
    </row>
    <row r="565" spans="3:11">
      <c r="C565" s="6"/>
      <c r="D565" s="43"/>
      <c r="H565" s="43"/>
      <c r="K565" s="6"/>
    </row>
    <row r="566" spans="3:11">
      <c r="C566" s="6"/>
      <c r="D566" s="43"/>
      <c r="H566" s="43"/>
      <c r="K566" s="6"/>
    </row>
    <row r="567" spans="3:11">
      <c r="C567" s="6"/>
      <c r="D567" s="43"/>
      <c r="H567" s="43"/>
      <c r="K567" s="6"/>
    </row>
    <row r="568" spans="3:11">
      <c r="C568" s="6"/>
      <c r="D568" s="43"/>
      <c r="H568" s="43"/>
      <c r="K568" s="6"/>
    </row>
    <row r="569" spans="3:11">
      <c r="C569" s="6"/>
      <c r="D569" s="43"/>
      <c r="H569" s="43"/>
      <c r="K569" s="6"/>
    </row>
    <row r="570" spans="3:11">
      <c r="C570" s="6"/>
      <c r="D570" s="43"/>
      <c r="H570" s="43"/>
      <c r="K570" s="6"/>
    </row>
    <row r="571" spans="3:11">
      <c r="C571" s="6"/>
      <c r="D571" s="43"/>
      <c r="H571" s="43"/>
      <c r="K571" s="6"/>
    </row>
    <row r="572" spans="3:11">
      <c r="C572" s="6"/>
      <c r="D572" s="43"/>
      <c r="H572" s="43"/>
      <c r="K572" s="6"/>
    </row>
    <row r="573" spans="3:11">
      <c r="C573" s="6"/>
      <c r="D573" s="43"/>
      <c r="H573" s="43"/>
      <c r="K573" s="6"/>
    </row>
    <row r="574" spans="3:11">
      <c r="C574" s="6"/>
      <c r="D574" s="43"/>
      <c r="H574" s="43"/>
      <c r="K574" s="6"/>
    </row>
    <row r="575" spans="3:11">
      <c r="C575" s="6"/>
      <c r="D575" s="43"/>
      <c r="H575" s="43"/>
      <c r="K575" s="6"/>
    </row>
    <row r="576" spans="3:11">
      <c r="C576" s="6"/>
      <c r="D576" s="43"/>
      <c r="H576" s="43"/>
      <c r="K576" s="6"/>
    </row>
    <row r="577" spans="3:11">
      <c r="C577" s="6"/>
      <c r="D577" s="43"/>
      <c r="H577" s="43"/>
      <c r="K577" s="6"/>
    </row>
    <row r="578" spans="3:11">
      <c r="C578" s="6"/>
      <c r="D578" s="43"/>
      <c r="H578" s="43"/>
      <c r="K578" s="6"/>
    </row>
    <row r="579" spans="3:11">
      <c r="C579" s="6"/>
      <c r="D579" s="43"/>
      <c r="H579" s="43"/>
      <c r="K579" s="6"/>
    </row>
    <row r="580" spans="3:11">
      <c r="C580" s="6"/>
      <c r="D580" s="43"/>
      <c r="H580" s="43"/>
      <c r="K580" s="6"/>
    </row>
    <row r="581" spans="3:11">
      <c r="C581" s="6"/>
      <c r="D581" s="43"/>
      <c r="H581" s="43"/>
      <c r="K581" s="6"/>
    </row>
    <row r="582" spans="3:11">
      <c r="C582" s="6"/>
      <c r="D582" s="43"/>
      <c r="H582" s="43"/>
      <c r="K582" s="6"/>
    </row>
    <row r="583" spans="3:11">
      <c r="C583" s="6"/>
      <c r="D583" s="43"/>
      <c r="H583" s="43"/>
      <c r="K583" s="6"/>
    </row>
    <row r="584" spans="3:11">
      <c r="C584" s="6"/>
      <c r="D584" s="43"/>
      <c r="H584" s="43"/>
      <c r="K584" s="6"/>
    </row>
    <row r="585" spans="3:11">
      <c r="C585" s="6"/>
      <c r="D585" s="43"/>
      <c r="H585" s="43"/>
      <c r="K585" s="6"/>
    </row>
    <row r="586" spans="3:11">
      <c r="C586" s="6"/>
      <c r="D586" s="43"/>
      <c r="H586" s="43"/>
      <c r="K586" s="6"/>
    </row>
    <row r="587" spans="3:11">
      <c r="C587" s="6"/>
      <c r="D587" s="43"/>
      <c r="H587" s="43"/>
      <c r="K587" s="6"/>
    </row>
    <row r="588" spans="3:11">
      <c r="C588" s="6"/>
      <c r="D588" s="43"/>
      <c r="H588" s="43"/>
      <c r="K588" s="6"/>
    </row>
    <row r="589" spans="3:11">
      <c r="C589" s="6"/>
      <c r="D589" s="43"/>
      <c r="H589" s="43"/>
      <c r="K589" s="6"/>
    </row>
    <row r="590" spans="3:11">
      <c r="C590" s="6"/>
      <c r="D590" s="43"/>
      <c r="H590" s="43"/>
      <c r="K590" s="6"/>
    </row>
    <row r="591" spans="3:11">
      <c r="C591" s="6"/>
      <c r="D591" s="43"/>
      <c r="H591" s="43"/>
      <c r="K591" s="6"/>
    </row>
    <row r="592" spans="3:11">
      <c r="C592" s="6"/>
      <c r="D592" s="43"/>
      <c r="H592" s="43"/>
      <c r="K592" s="6"/>
    </row>
    <row r="593" spans="3:11">
      <c r="C593" s="6"/>
      <c r="D593" s="43"/>
      <c r="H593" s="43"/>
      <c r="K593" s="6"/>
    </row>
    <row r="594" spans="3:11">
      <c r="C594" s="6"/>
      <c r="D594" s="43"/>
      <c r="H594" s="43"/>
      <c r="K594" s="6"/>
    </row>
    <row r="595" spans="3:11">
      <c r="C595" s="6"/>
      <c r="D595" s="43"/>
      <c r="H595" s="43"/>
      <c r="K595" s="6"/>
    </row>
    <row r="596" spans="3:11">
      <c r="C596" s="6"/>
      <c r="D596" s="43"/>
      <c r="H596" s="43"/>
      <c r="K596" s="6"/>
    </row>
    <row r="597" spans="3:11">
      <c r="C597" s="6"/>
      <c r="D597" s="43"/>
      <c r="H597" s="43"/>
      <c r="K597" s="6"/>
    </row>
    <row r="598" spans="3:11">
      <c r="C598" s="6"/>
      <c r="D598" s="43"/>
      <c r="H598" s="43"/>
      <c r="K598" s="6"/>
    </row>
    <row r="599" spans="3:11">
      <c r="C599" s="6"/>
      <c r="D599" s="43"/>
      <c r="H599" s="43"/>
      <c r="K599" s="6"/>
    </row>
    <row r="600" spans="3:11">
      <c r="C600" s="6"/>
      <c r="D600" s="43"/>
      <c r="H600" s="43"/>
      <c r="K600" s="6"/>
    </row>
    <row r="601" spans="3:11">
      <c r="C601" s="6"/>
      <c r="D601" s="43"/>
      <c r="H601" s="43"/>
      <c r="K601" s="6"/>
    </row>
    <row r="602" spans="3:11">
      <c r="C602" s="6"/>
      <c r="D602" s="43"/>
      <c r="H602" s="43"/>
      <c r="K602" s="6"/>
    </row>
    <row r="603" spans="3:11">
      <c r="C603" s="6"/>
      <c r="D603" s="43"/>
      <c r="H603" s="43"/>
      <c r="K603" s="6"/>
    </row>
    <row r="604" spans="3:11">
      <c r="C604" s="6"/>
      <c r="D604" s="43"/>
      <c r="H604" s="43"/>
      <c r="K604" s="6"/>
    </row>
    <row r="605" spans="3:11">
      <c r="C605" s="6"/>
      <c r="D605" s="43"/>
      <c r="H605" s="43"/>
      <c r="K605" s="6"/>
    </row>
    <row r="606" spans="3:11">
      <c r="C606" s="6"/>
      <c r="D606" s="43"/>
      <c r="H606" s="43"/>
      <c r="K606" s="6"/>
    </row>
    <row r="607" spans="3:11">
      <c r="C607" s="6"/>
      <c r="D607" s="43"/>
      <c r="H607" s="43"/>
      <c r="K607" s="6"/>
    </row>
    <row r="608" spans="3:11">
      <c r="C608" s="6"/>
      <c r="D608" s="43"/>
      <c r="H608" s="43"/>
      <c r="K608" s="6"/>
    </row>
    <row r="609" spans="3:11">
      <c r="C609" s="6"/>
      <c r="D609" s="43"/>
      <c r="H609" s="43"/>
      <c r="K609" s="6"/>
    </row>
    <row r="610" spans="3:11">
      <c r="C610" s="6"/>
      <c r="D610" s="43"/>
      <c r="H610" s="43"/>
      <c r="K610" s="6"/>
    </row>
    <row r="611" spans="3:11">
      <c r="C611" s="6"/>
      <c r="D611" s="43"/>
      <c r="H611" s="43"/>
      <c r="K611" s="6"/>
    </row>
    <row r="612" spans="3:11">
      <c r="C612" s="6"/>
      <c r="D612" s="43"/>
      <c r="H612" s="43"/>
      <c r="K612" s="6"/>
    </row>
    <row r="613" spans="3:11">
      <c r="C613" s="6"/>
      <c r="D613" s="43"/>
      <c r="H613" s="43"/>
      <c r="K613" s="6"/>
    </row>
    <row r="614" spans="3:11">
      <c r="C614" s="6"/>
      <c r="D614" s="43"/>
      <c r="H614" s="43"/>
      <c r="K614" s="6"/>
    </row>
    <row r="615" spans="3:11">
      <c r="C615" s="6"/>
      <c r="D615" s="43"/>
      <c r="H615" s="43"/>
      <c r="K615" s="6"/>
    </row>
    <row r="616" spans="3:11">
      <c r="C616" s="6"/>
      <c r="D616" s="43"/>
      <c r="H616" s="43"/>
      <c r="K616" s="6"/>
    </row>
    <row r="617" spans="3:11">
      <c r="C617" s="6"/>
      <c r="D617" s="43"/>
      <c r="H617" s="43"/>
      <c r="K617" s="6"/>
    </row>
    <row r="618" spans="3:11">
      <c r="C618" s="6"/>
      <c r="D618" s="43"/>
      <c r="H618" s="43"/>
      <c r="K618" s="6"/>
    </row>
    <row r="619" spans="3:11">
      <c r="C619" s="6"/>
      <c r="D619" s="43"/>
      <c r="H619" s="43"/>
      <c r="K619" s="6"/>
    </row>
    <row r="620" spans="3:11">
      <c r="C620" s="6"/>
      <c r="D620" s="43"/>
      <c r="H620" s="43"/>
      <c r="K620" s="6"/>
    </row>
    <row r="621" spans="3:11">
      <c r="C621" s="6"/>
      <c r="D621" s="43"/>
      <c r="H621" s="43"/>
      <c r="K621" s="6"/>
    </row>
    <row r="622" spans="3:11">
      <c r="C622" s="6"/>
      <c r="D622" s="43"/>
      <c r="H622" s="43"/>
      <c r="K622" s="6"/>
    </row>
    <row r="623" spans="3:11">
      <c r="C623" s="6"/>
      <c r="D623" s="43"/>
      <c r="H623" s="43"/>
      <c r="K623" s="6"/>
    </row>
    <row r="624" spans="3:11">
      <c r="C624" s="6"/>
      <c r="D624" s="43"/>
      <c r="H624" s="43"/>
      <c r="K624" s="6"/>
    </row>
    <row r="625" spans="3:11">
      <c r="C625" s="6"/>
      <c r="D625" s="43"/>
      <c r="H625" s="43"/>
      <c r="K625" s="6"/>
    </row>
    <row r="626" spans="3:11">
      <c r="C626" s="6"/>
      <c r="D626" s="43"/>
      <c r="H626" s="43"/>
      <c r="K626" s="6"/>
    </row>
    <row r="627" spans="3:11">
      <c r="C627" s="6"/>
      <c r="D627" s="43"/>
      <c r="H627" s="43"/>
      <c r="K627" s="6"/>
    </row>
    <row r="628" spans="3:11">
      <c r="C628" s="6"/>
      <c r="D628" s="43"/>
      <c r="H628" s="43"/>
      <c r="K628" s="6"/>
    </row>
    <row r="629" spans="3:11">
      <c r="C629" s="6"/>
      <c r="D629" s="43"/>
      <c r="H629" s="43"/>
      <c r="K629" s="6"/>
    </row>
    <row r="630" spans="3:11">
      <c r="C630" s="6"/>
      <c r="D630" s="43"/>
      <c r="H630" s="43"/>
      <c r="K630" s="6"/>
    </row>
    <row r="631" spans="3:11">
      <c r="C631" s="6"/>
      <c r="D631" s="43"/>
      <c r="H631" s="43"/>
      <c r="K631" s="6"/>
    </row>
    <row r="632" spans="3:11">
      <c r="C632" s="6"/>
      <c r="D632" s="43"/>
      <c r="H632" s="43"/>
      <c r="K632" s="6"/>
    </row>
    <row r="633" spans="3:11">
      <c r="C633" s="6"/>
      <c r="D633" s="43"/>
      <c r="H633" s="43"/>
      <c r="K633" s="6"/>
    </row>
    <row r="634" spans="3:11">
      <c r="C634" s="6"/>
      <c r="D634" s="43"/>
      <c r="H634" s="43"/>
      <c r="K634" s="6"/>
    </row>
    <row r="635" spans="3:11">
      <c r="C635" s="6"/>
      <c r="D635" s="43"/>
      <c r="H635" s="43"/>
      <c r="K635" s="6"/>
    </row>
    <row r="636" spans="3:11">
      <c r="C636" s="6"/>
      <c r="D636" s="43"/>
      <c r="H636" s="43"/>
      <c r="K636" s="6"/>
    </row>
    <row r="637" spans="3:11">
      <c r="C637" s="6"/>
      <c r="D637" s="43"/>
      <c r="H637" s="43"/>
      <c r="K637" s="6"/>
    </row>
    <row r="638" spans="3:11">
      <c r="C638" s="6"/>
      <c r="D638" s="43"/>
      <c r="H638" s="43"/>
      <c r="K638" s="6"/>
    </row>
    <row r="639" spans="3:11">
      <c r="C639" s="6"/>
      <c r="D639" s="43"/>
      <c r="H639" s="43"/>
      <c r="K639" s="6"/>
    </row>
    <row r="640" spans="3:11">
      <c r="C640" s="6"/>
      <c r="D640" s="43"/>
      <c r="H640" s="43"/>
      <c r="K640" s="6"/>
    </row>
    <row r="641" spans="3:11">
      <c r="C641" s="6"/>
      <c r="D641" s="43"/>
      <c r="H641" s="43"/>
      <c r="K641" s="6"/>
    </row>
    <row r="642" spans="3:11">
      <c r="C642" s="6"/>
      <c r="D642" s="43"/>
      <c r="H642" s="43"/>
      <c r="K642" s="6"/>
    </row>
    <row r="643" spans="3:11">
      <c r="C643" s="6"/>
      <c r="D643" s="43"/>
      <c r="H643" s="43"/>
      <c r="K643" s="6"/>
    </row>
    <row r="644" spans="3:11">
      <c r="C644" s="6"/>
      <c r="D644" s="43"/>
      <c r="H644" s="43"/>
      <c r="K644" s="6"/>
    </row>
    <row r="645" spans="3:11">
      <c r="C645" s="6"/>
      <c r="D645" s="43"/>
      <c r="H645" s="43"/>
      <c r="K645" s="6"/>
    </row>
    <row r="646" spans="3:11">
      <c r="C646" s="6"/>
      <c r="D646" s="43"/>
      <c r="H646" s="43"/>
      <c r="K646" s="6"/>
    </row>
    <row r="647" spans="3:11">
      <c r="C647" s="6"/>
      <c r="D647" s="43"/>
      <c r="H647" s="43"/>
      <c r="K647" s="6"/>
    </row>
    <row r="648" spans="3:11">
      <c r="C648" s="6"/>
      <c r="D648" s="43"/>
      <c r="H648" s="43"/>
      <c r="K648" s="6"/>
    </row>
    <row r="649" spans="3:11">
      <c r="C649" s="6"/>
      <c r="D649" s="43"/>
      <c r="H649" s="43"/>
      <c r="K649" s="6"/>
    </row>
    <row r="650" spans="3:11">
      <c r="C650" s="6"/>
      <c r="D650" s="43"/>
      <c r="H650" s="43"/>
      <c r="K650" s="6"/>
    </row>
    <row r="651" spans="3:11">
      <c r="C651" s="6"/>
      <c r="D651" s="43"/>
      <c r="H651" s="43"/>
      <c r="K651" s="6"/>
    </row>
    <row r="652" spans="3:11">
      <c r="C652" s="6"/>
      <c r="D652" s="43"/>
      <c r="H652" s="43"/>
      <c r="K652" s="6"/>
    </row>
    <row r="653" spans="3:11">
      <c r="C653" s="6"/>
      <c r="D653" s="43"/>
      <c r="H653" s="43"/>
      <c r="K653" s="6"/>
    </row>
    <row r="654" spans="3:11">
      <c r="C654" s="6"/>
      <c r="D654" s="43"/>
      <c r="H654" s="43"/>
      <c r="K654" s="6"/>
    </row>
    <row r="655" spans="3:11">
      <c r="C655" s="6"/>
      <c r="D655" s="43"/>
      <c r="H655" s="43"/>
      <c r="K655" s="6"/>
    </row>
    <row r="656" spans="3:11">
      <c r="C656" s="6"/>
      <c r="D656" s="43"/>
      <c r="H656" s="43"/>
      <c r="K656" s="6"/>
    </row>
    <row r="657" spans="3:11">
      <c r="C657" s="6"/>
      <c r="D657" s="43"/>
      <c r="H657" s="43"/>
      <c r="K657" s="6"/>
    </row>
    <row r="658" spans="3:11">
      <c r="C658" s="6"/>
      <c r="D658" s="43"/>
      <c r="H658" s="43"/>
      <c r="K658" s="6"/>
    </row>
    <row r="659" spans="3:11">
      <c r="C659" s="6"/>
      <c r="D659" s="43"/>
      <c r="H659" s="43"/>
      <c r="K659" s="6"/>
    </row>
    <row r="660" spans="3:11">
      <c r="C660" s="6"/>
      <c r="D660" s="43"/>
      <c r="H660" s="43"/>
      <c r="K660" s="6"/>
    </row>
    <row r="661" spans="3:11">
      <c r="C661" s="6"/>
      <c r="D661" s="43"/>
      <c r="H661" s="43"/>
      <c r="K661" s="6"/>
    </row>
    <row r="662" spans="3:11">
      <c r="C662" s="6"/>
      <c r="D662" s="43"/>
      <c r="H662" s="43"/>
      <c r="K662" s="6"/>
    </row>
    <row r="663" spans="3:11">
      <c r="C663" s="6"/>
      <c r="D663" s="43"/>
      <c r="H663" s="43"/>
      <c r="K663" s="6"/>
    </row>
    <row r="664" spans="3:11">
      <c r="C664" s="6"/>
      <c r="D664" s="43"/>
      <c r="H664" s="43"/>
      <c r="K664" s="6"/>
    </row>
    <row r="665" spans="3:11">
      <c r="C665" s="6"/>
      <c r="D665" s="43"/>
      <c r="H665" s="43"/>
      <c r="K665" s="6"/>
    </row>
    <row r="666" spans="3:11">
      <c r="C666" s="6"/>
      <c r="D666" s="43"/>
      <c r="H666" s="43"/>
      <c r="K666" s="6"/>
    </row>
    <row r="667" spans="3:11">
      <c r="C667" s="6"/>
      <c r="D667" s="43"/>
      <c r="H667" s="43"/>
      <c r="K667" s="6"/>
    </row>
    <row r="668" spans="3:11">
      <c r="C668" s="6"/>
      <c r="D668" s="43"/>
      <c r="H668" s="43"/>
      <c r="K668" s="6"/>
    </row>
    <row r="669" spans="3:11">
      <c r="C669" s="6"/>
      <c r="D669" s="43"/>
      <c r="H669" s="43"/>
      <c r="K669" s="6"/>
    </row>
    <row r="670" spans="3:11">
      <c r="C670" s="6"/>
      <c r="D670" s="43"/>
      <c r="H670" s="43"/>
      <c r="K670" s="6"/>
    </row>
    <row r="671" spans="3:11">
      <c r="C671" s="6"/>
      <c r="D671" s="43"/>
      <c r="H671" s="43"/>
      <c r="K671" s="6"/>
    </row>
    <row r="672" spans="3:11">
      <c r="C672" s="6"/>
      <c r="D672" s="43"/>
      <c r="H672" s="43"/>
      <c r="K672" s="6"/>
    </row>
    <row r="673" spans="3:11">
      <c r="C673" s="6"/>
      <c r="D673" s="43"/>
      <c r="H673" s="43"/>
      <c r="K673" s="6"/>
    </row>
    <row r="674" spans="3:11">
      <c r="C674" s="6"/>
      <c r="D674" s="43"/>
      <c r="H674" s="43"/>
      <c r="K674" s="6"/>
    </row>
    <row r="675" spans="3:11">
      <c r="C675" s="6"/>
      <c r="D675" s="43"/>
      <c r="H675" s="43"/>
      <c r="K675" s="6"/>
    </row>
    <row r="676" spans="3:11">
      <c r="C676" s="6"/>
      <c r="D676" s="43"/>
      <c r="H676" s="43"/>
      <c r="K676" s="6"/>
    </row>
    <row r="677" spans="3:11">
      <c r="C677" s="6"/>
      <c r="D677" s="43"/>
      <c r="H677" s="43"/>
      <c r="K677" s="6"/>
    </row>
    <row r="678" spans="3:11">
      <c r="C678" s="6"/>
      <c r="D678" s="43"/>
      <c r="H678" s="43"/>
      <c r="K678" s="6"/>
    </row>
    <row r="679" spans="3:11">
      <c r="C679" s="6"/>
      <c r="D679" s="43"/>
      <c r="H679" s="43"/>
      <c r="K679" s="6"/>
    </row>
    <row r="680" spans="3:11">
      <c r="C680" s="6"/>
      <c r="D680" s="43"/>
      <c r="H680" s="43"/>
      <c r="K680" s="6"/>
    </row>
    <row r="681" spans="3:11">
      <c r="C681" s="6"/>
      <c r="D681" s="43"/>
      <c r="H681" s="43"/>
      <c r="K681" s="6"/>
    </row>
    <row r="682" spans="3:11">
      <c r="C682" s="6"/>
      <c r="D682" s="43"/>
      <c r="H682" s="43"/>
      <c r="K682" s="6"/>
    </row>
    <row r="683" spans="3:11">
      <c r="C683" s="6"/>
      <c r="D683" s="43"/>
      <c r="H683" s="43"/>
      <c r="K683" s="6"/>
    </row>
    <row r="684" spans="3:11">
      <c r="C684" s="6"/>
      <c r="D684" s="43"/>
      <c r="H684" s="43"/>
      <c r="K684" s="6"/>
    </row>
    <row r="685" spans="3:11">
      <c r="C685" s="6"/>
      <c r="D685" s="43"/>
      <c r="H685" s="43"/>
      <c r="K685" s="6"/>
    </row>
    <row r="686" spans="3:11">
      <c r="C686" s="6"/>
      <c r="D686" s="43"/>
      <c r="H686" s="43"/>
      <c r="K686" s="6"/>
    </row>
    <row r="687" spans="3:11">
      <c r="C687" s="6"/>
      <c r="D687" s="43"/>
      <c r="H687" s="43"/>
      <c r="K687" s="6"/>
    </row>
    <row r="688" spans="3:11">
      <c r="C688" s="6"/>
      <c r="D688" s="43"/>
      <c r="H688" s="43"/>
      <c r="K688" s="6"/>
    </row>
    <row r="689" spans="3:11">
      <c r="C689" s="6"/>
      <c r="D689" s="43"/>
      <c r="H689" s="43"/>
      <c r="K689" s="6"/>
    </row>
    <row r="690" spans="3:11">
      <c r="C690" s="6"/>
      <c r="D690" s="43"/>
      <c r="H690" s="43"/>
      <c r="K690" s="6"/>
    </row>
    <row r="691" spans="3:11">
      <c r="C691" s="6"/>
      <c r="D691" s="43"/>
      <c r="H691" s="43"/>
      <c r="K691" s="6"/>
    </row>
    <row r="692" spans="3:11">
      <c r="C692" s="6"/>
      <c r="D692" s="43"/>
      <c r="H692" s="43"/>
      <c r="K692" s="6"/>
    </row>
    <row r="693" spans="3:11">
      <c r="C693" s="6"/>
      <c r="D693" s="43"/>
      <c r="H693" s="43"/>
      <c r="K693" s="6"/>
    </row>
    <row r="694" spans="3:11">
      <c r="C694" s="6"/>
      <c r="D694" s="43"/>
      <c r="H694" s="43"/>
      <c r="K694" s="6"/>
    </row>
    <row r="695" spans="3:11">
      <c r="C695" s="6"/>
      <c r="D695" s="43"/>
      <c r="H695" s="43"/>
      <c r="K695" s="6"/>
    </row>
    <row r="696" spans="3:11">
      <c r="C696" s="6"/>
      <c r="D696" s="43"/>
      <c r="H696" s="43"/>
      <c r="K696" s="6"/>
    </row>
    <row r="697" spans="3:11">
      <c r="C697" s="6"/>
      <c r="D697" s="43"/>
      <c r="H697" s="43"/>
      <c r="K697" s="6"/>
    </row>
    <row r="698" spans="3:11">
      <c r="C698" s="6"/>
      <c r="D698" s="43"/>
      <c r="H698" s="43"/>
      <c r="K698" s="6"/>
    </row>
    <row r="699" spans="3:11">
      <c r="C699" s="6"/>
      <c r="D699" s="43"/>
      <c r="H699" s="43"/>
      <c r="K699" s="6"/>
    </row>
    <row r="700" spans="3:11">
      <c r="C700" s="6"/>
      <c r="D700" s="43"/>
      <c r="H700" s="43"/>
      <c r="K700" s="6"/>
    </row>
    <row r="701" spans="3:11">
      <c r="C701" s="6"/>
      <c r="D701" s="43"/>
      <c r="H701" s="43"/>
      <c r="K701" s="6"/>
    </row>
    <row r="702" spans="3:11">
      <c r="C702" s="6"/>
      <c r="D702" s="43"/>
      <c r="H702" s="43"/>
      <c r="K702" s="6"/>
    </row>
    <row r="703" spans="3:11">
      <c r="C703" s="6"/>
      <c r="D703" s="43"/>
      <c r="H703" s="43"/>
      <c r="K703" s="6"/>
    </row>
    <row r="704" spans="3:11">
      <c r="C704" s="6"/>
      <c r="D704" s="43"/>
      <c r="H704" s="43"/>
      <c r="K704" s="6"/>
    </row>
    <row r="705" spans="3:11">
      <c r="C705" s="6"/>
      <c r="D705" s="43"/>
      <c r="H705" s="43"/>
      <c r="K705" s="6"/>
    </row>
    <row r="706" spans="3:11">
      <c r="C706" s="6"/>
      <c r="D706" s="43"/>
      <c r="H706" s="43"/>
      <c r="K706" s="6"/>
    </row>
    <row r="707" spans="3:11">
      <c r="C707" s="6"/>
      <c r="D707" s="43"/>
      <c r="H707" s="43"/>
      <c r="K707" s="6"/>
    </row>
    <row r="708" spans="3:11">
      <c r="C708" s="6"/>
      <c r="D708" s="43"/>
      <c r="H708" s="43"/>
      <c r="K708" s="6"/>
    </row>
    <row r="709" spans="3:11">
      <c r="C709" s="6"/>
      <c r="D709" s="43"/>
      <c r="H709" s="43"/>
      <c r="K709" s="6"/>
    </row>
    <row r="710" spans="3:11">
      <c r="C710" s="6"/>
      <c r="D710" s="43"/>
      <c r="H710" s="43"/>
      <c r="K710" s="6"/>
    </row>
    <row r="711" spans="3:11">
      <c r="C711" s="6"/>
      <c r="D711" s="43"/>
      <c r="H711" s="43"/>
      <c r="K711" s="6"/>
    </row>
    <row r="712" spans="3:11">
      <c r="C712" s="6"/>
      <c r="D712" s="43"/>
      <c r="H712" s="43"/>
      <c r="K712" s="6"/>
    </row>
    <row r="713" spans="3:11">
      <c r="C713" s="6"/>
      <c r="D713" s="43"/>
      <c r="H713" s="43"/>
      <c r="K713" s="6"/>
    </row>
    <row r="714" spans="3:11">
      <c r="C714" s="6"/>
      <c r="D714" s="43"/>
      <c r="H714" s="43"/>
      <c r="K714" s="6"/>
    </row>
    <row r="715" spans="3:11">
      <c r="C715" s="6"/>
      <c r="D715" s="43"/>
      <c r="H715" s="43"/>
      <c r="K715" s="6"/>
    </row>
    <row r="716" spans="3:11">
      <c r="C716" s="6"/>
      <c r="D716" s="43"/>
      <c r="H716" s="43"/>
      <c r="K716" s="6"/>
    </row>
    <row r="717" spans="3:11">
      <c r="C717" s="6"/>
      <c r="D717" s="43"/>
      <c r="H717" s="43"/>
      <c r="K717" s="6"/>
    </row>
    <row r="718" spans="3:11">
      <c r="C718" s="6"/>
      <c r="D718" s="43"/>
      <c r="H718" s="43"/>
      <c r="K718" s="6"/>
    </row>
    <row r="719" spans="3:11">
      <c r="C719" s="6"/>
      <c r="D719" s="43"/>
      <c r="H719" s="43"/>
      <c r="K719" s="6"/>
    </row>
    <row r="720" spans="3:11">
      <c r="C720" s="6"/>
      <c r="D720" s="43"/>
      <c r="H720" s="43"/>
      <c r="K720" s="6"/>
    </row>
    <row r="721" spans="3:11">
      <c r="C721" s="6"/>
      <c r="D721" s="43"/>
      <c r="H721" s="43"/>
      <c r="K721" s="6"/>
    </row>
    <row r="722" spans="3:11">
      <c r="C722" s="6"/>
      <c r="D722" s="43"/>
      <c r="H722" s="43"/>
      <c r="K722" s="6"/>
    </row>
    <row r="723" spans="3:11">
      <c r="C723" s="6"/>
      <c r="D723" s="43"/>
      <c r="H723" s="43"/>
      <c r="K723" s="6"/>
    </row>
    <row r="724" spans="3:11">
      <c r="C724" s="6"/>
      <c r="D724" s="43"/>
      <c r="H724" s="43"/>
      <c r="K724" s="6"/>
    </row>
    <row r="725" spans="3:11">
      <c r="C725" s="6"/>
      <c r="D725" s="43"/>
      <c r="H725" s="43"/>
      <c r="K725" s="6"/>
    </row>
    <row r="726" spans="3:11">
      <c r="C726" s="6"/>
      <c r="D726" s="43"/>
      <c r="H726" s="43"/>
      <c r="K726" s="6"/>
    </row>
    <row r="727" spans="3:11">
      <c r="C727" s="6"/>
      <c r="D727" s="43"/>
      <c r="H727" s="43"/>
      <c r="K727" s="6"/>
    </row>
    <row r="728" spans="3:11">
      <c r="C728" s="6"/>
      <c r="D728" s="43"/>
      <c r="H728" s="43"/>
      <c r="K728" s="6"/>
    </row>
    <row r="729" spans="3:11">
      <c r="C729" s="6"/>
      <c r="D729" s="43"/>
      <c r="H729" s="43"/>
      <c r="K729" s="6"/>
    </row>
    <row r="730" spans="3:11">
      <c r="C730" s="6"/>
      <c r="D730" s="43"/>
      <c r="H730" s="43"/>
      <c r="K730" s="6"/>
    </row>
    <row r="731" spans="3:11">
      <c r="C731" s="6"/>
      <c r="D731" s="43"/>
      <c r="H731" s="43"/>
      <c r="K731" s="6"/>
    </row>
    <row r="732" spans="3:11">
      <c r="C732" s="6"/>
      <c r="D732" s="43"/>
      <c r="H732" s="43"/>
      <c r="K732" s="6"/>
    </row>
    <row r="733" spans="3:11">
      <c r="C733" s="6"/>
      <c r="D733" s="43"/>
      <c r="H733" s="43"/>
      <c r="K733" s="6"/>
    </row>
    <row r="734" spans="3:11">
      <c r="C734" s="6"/>
      <c r="D734" s="43"/>
      <c r="H734" s="43"/>
      <c r="K734" s="6"/>
    </row>
    <row r="735" spans="3:11">
      <c r="C735" s="6"/>
      <c r="D735" s="43"/>
      <c r="H735" s="43"/>
      <c r="K735" s="6"/>
    </row>
    <row r="736" spans="3:11">
      <c r="C736" s="6"/>
      <c r="D736" s="43"/>
      <c r="H736" s="43"/>
      <c r="K736" s="6"/>
    </row>
    <row r="737" spans="3:11">
      <c r="C737" s="6"/>
      <c r="D737" s="43"/>
      <c r="H737" s="43"/>
      <c r="K737" s="6"/>
    </row>
    <row r="738" spans="3:11">
      <c r="C738" s="6"/>
      <c r="D738" s="43"/>
      <c r="H738" s="43"/>
      <c r="K738" s="6"/>
    </row>
    <row r="739" spans="3:11">
      <c r="C739" s="6"/>
      <c r="D739" s="43"/>
      <c r="H739" s="43"/>
      <c r="K739" s="6"/>
    </row>
    <row r="740" spans="3:11">
      <c r="C740" s="6"/>
      <c r="D740" s="43"/>
      <c r="H740" s="43"/>
      <c r="K740" s="6"/>
    </row>
    <row r="741" spans="3:11">
      <c r="C741" s="6"/>
      <c r="D741" s="43"/>
      <c r="H741" s="43"/>
      <c r="K741" s="6"/>
    </row>
    <row r="742" spans="3:11">
      <c r="C742" s="6"/>
      <c r="D742" s="43"/>
      <c r="H742" s="43"/>
      <c r="K742" s="6"/>
    </row>
    <row r="743" spans="3:11">
      <c r="C743" s="6"/>
      <c r="D743" s="43"/>
      <c r="H743" s="43"/>
      <c r="K743" s="6"/>
    </row>
    <row r="744" spans="3:11">
      <c r="C744" s="6"/>
      <c r="D744" s="43"/>
      <c r="H744" s="43"/>
      <c r="K744" s="6"/>
    </row>
    <row r="745" spans="3:11">
      <c r="C745" s="6"/>
      <c r="D745" s="43"/>
      <c r="H745" s="43"/>
      <c r="K745" s="6"/>
    </row>
    <row r="746" spans="3:11">
      <c r="C746" s="6"/>
      <c r="D746" s="43"/>
      <c r="H746" s="43"/>
      <c r="K746" s="6"/>
    </row>
    <row r="747" spans="3:11">
      <c r="C747" s="6"/>
      <c r="D747" s="43"/>
      <c r="H747" s="43"/>
      <c r="K747" s="6"/>
    </row>
    <row r="748" spans="3:11">
      <c r="C748" s="6"/>
      <c r="D748" s="43"/>
      <c r="H748" s="43"/>
      <c r="K748" s="6"/>
    </row>
    <row r="749" spans="3:11">
      <c r="C749" s="6"/>
      <c r="D749" s="43"/>
      <c r="H749" s="43"/>
      <c r="K749" s="6"/>
    </row>
    <row r="750" spans="3:11">
      <c r="C750" s="6"/>
      <c r="D750" s="43"/>
      <c r="H750" s="43"/>
      <c r="K750" s="6"/>
    </row>
    <row r="751" spans="3:11">
      <c r="C751" s="6"/>
      <c r="D751" s="43"/>
      <c r="H751" s="43"/>
      <c r="K751" s="6"/>
    </row>
    <row r="752" spans="3:11">
      <c r="C752" s="6"/>
      <c r="D752" s="43"/>
      <c r="H752" s="43"/>
      <c r="K752" s="6"/>
    </row>
    <row r="753" spans="3:11">
      <c r="C753" s="6"/>
      <c r="D753" s="43"/>
      <c r="H753" s="43"/>
      <c r="K753" s="6"/>
    </row>
    <row r="754" spans="3:11">
      <c r="C754" s="6"/>
      <c r="D754" s="43"/>
      <c r="H754" s="43"/>
      <c r="K754" s="6"/>
    </row>
    <row r="755" spans="3:11">
      <c r="C755" s="6"/>
      <c r="D755" s="43"/>
      <c r="H755" s="43"/>
      <c r="K755" s="6"/>
    </row>
    <row r="756" spans="3:11">
      <c r="C756" s="6"/>
      <c r="D756" s="43"/>
      <c r="H756" s="43"/>
      <c r="K756" s="6"/>
    </row>
    <row r="757" spans="3:11">
      <c r="C757" s="6"/>
      <c r="D757" s="43"/>
      <c r="H757" s="43"/>
      <c r="K757" s="6"/>
    </row>
    <row r="758" spans="3:11">
      <c r="C758" s="6"/>
      <c r="D758" s="43"/>
      <c r="H758" s="43"/>
      <c r="K758" s="6"/>
    </row>
    <row r="759" spans="3:11">
      <c r="C759" s="6"/>
      <c r="D759" s="43"/>
      <c r="H759" s="43"/>
      <c r="K759" s="6"/>
    </row>
    <row r="760" spans="3:11">
      <c r="C760" s="6"/>
      <c r="D760" s="43"/>
      <c r="H760" s="43"/>
      <c r="K760" s="6"/>
    </row>
    <row r="761" spans="3:11">
      <c r="C761" s="6"/>
      <c r="D761" s="43"/>
      <c r="H761" s="43"/>
      <c r="K761" s="6"/>
    </row>
    <row r="762" spans="3:11">
      <c r="C762" s="6"/>
      <c r="D762" s="43"/>
      <c r="H762" s="43"/>
      <c r="K762" s="6"/>
    </row>
    <row r="763" spans="3:11">
      <c r="C763" s="6"/>
      <c r="D763" s="43"/>
      <c r="H763" s="43"/>
      <c r="K763" s="6"/>
    </row>
    <row r="764" spans="3:11">
      <c r="C764" s="6"/>
      <c r="D764" s="43"/>
      <c r="H764" s="43"/>
      <c r="K764" s="6"/>
    </row>
    <row r="765" spans="3:11">
      <c r="C765" s="6"/>
      <c r="D765" s="43"/>
      <c r="H765" s="43"/>
      <c r="K765" s="6"/>
    </row>
    <row r="766" spans="3:11">
      <c r="C766" s="6"/>
      <c r="D766" s="43"/>
      <c r="H766" s="43"/>
      <c r="K766" s="6"/>
    </row>
    <row r="767" spans="3:11">
      <c r="C767" s="6"/>
      <c r="D767" s="43"/>
      <c r="H767" s="43"/>
      <c r="K767" s="6"/>
    </row>
    <row r="768" spans="3:11">
      <c r="C768" s="6"/>
      <c r="D768" s="43"/>
      <c r="H768" s="43"/>
      <c r="K768" s="6"/>
    </row>
    <row r="769" spans="3:11">
      <c r="C769" s="6"/>
      <c r="D769" s="43"/>
      <c r="H769" s="43"/>
      <c r="K769" s="6"/>
    </row>
    <row r="770" spans="3:11">
      <c r="C770" s="6"/>
      <c r="D770" s="43"/>
      <c r="H770" s="43"/>
      <c r="K770" s="6"/>
    </row>
    <row r="771" spans="3:11">
      <c r="C771" s="6"/>
      <c r="D771" s="43"/>
      <c r="H771" s="43"/>
      <c r="K771" s="6"/>
    </row>
    <row r="772" spans="3:11">
      <c r="C772" s="6"/>
      <c r="D772" s="43"/>
      <c r="H772" s="43"/>
      <c r="K772" s="6"/>
    </row>
    <row r="773" spans="3:11">
      <c r="C773" s="6"/>
      <c r="D773" s="43"/>
      <c r="H773" s="43"/>
      <c r="K773" s="6"/>
    </row>
    <row r="774" spans="3:11">
      <c r="C774" s="6"/>
      <c r="D774" s="43"/>
      <c r="H774" s="43"/>
      <c r="K774" s="6"/>
    </row>
    <row r="775" spans="3:11">
      <c r="C775" s="6"/>
      <c r="D775" s="43"/>
      <c r="H775" s="43"/>
      <c r="K775" s="6"/>
    </row>
    <row r="776" spans="3:11">
      <c r="C776" s="6"/>
      <c r="D776" s="43"/>
      <c r="H776" s="43"/>
      <c r="K776" s="6"/>
    </row>
    <row r="777" spans="3:11">
      <c r="C777" s="6"/>
      <c r="D777" s="43"/>
      <c r="H777" s="43"/>
      <c r="K777" s="6"/>
    </row>
    <row r="778" spans="3:11">
      <c r="C778" s="6"/>
      <c r="D778" s="43"/>
      <c r="H778" s="43"/>
      <c r="K778" s="6"/>
    </row>
    <row r="779" spans="3:11">
      <c r="C779" s="6"/>
      <c r="D779" s="43"/>
      <c r="H779" s="43"/>
      <c r="K779" s="6"/>
    </row>
    <row r="780" spans="3:11">
      <c r="C780" s="6"/>
      <c r="D780" s="43"/>
      <c r="H780" s="43"/>
      <c r="K780" s="6"/>
    </row>
    <row r="781" spans="3:11">
      <c r="C781" s="6"/>
      <c r="D781" s="43"/>
      <c r="H781" s="43"/>
      <c r="K781" s="6"/>
    </row>
    <row r="782" spans="3:11">
      <c r="C782" s="6"/>
      <c r="D782" s="43"/>
      <c r="H782" s="43"/>
      <c r="K782" s="6"/>
    </row>
    <row r="783" spans="3:11">
      <c r="C783" s="6"/>
      <c r="D783" s="43"/>
      <c r="H783" s="43"/>
      <c r="K783" s="6"/>
    </row>
    <row r="784" spans="3:11">
      <c r="C784" s="6"/>
      <c r="D784" s="43"/>
      <c r="H784" s="43"/>
      <c r="K784" s="6"/>
    </row>
    <row r="785" spans="3:11">
      <c r="C785" s="6"/>
      <c r="D785" s="43"/>
      <c r="H785" s="43"/>
      <c r="K785" s="6"/>
    </row>
    <row r="786" spans="3:11">
      <c r="C786" s="6"/>
      <c r="D786" s="43"/>
      <c r="H786" s="43"/>
      <c r="K786" s="6"/>
    </row>
    <row r="787" spans="3:11">
      <c r="C787" s="6"/>
      <c r="D787" s="43"/>
      <c r="H787" s="43"/>
      <c r="K787" s="6"/>
    </row>
    <row r="788" spans="3:11">
      <c r="C788" s="6"/>
      <c r="D788" s="43"/>
      <c r="H788" s="43"/>
      <c r="K788" s="6"/>
    </row>
    <row r="789" spans="3:11">
      <c r="C789" s="6"/>
      <c r="D789" s="43"/>
      <c r="H789" s="43"/>
      <c r="K789" s="6"/>
    </row>
    <row r="790" spans="3:11">
      <c r="C790" s="6"/>
      <c r="D790" s="43"/>
      <c r="H790" s="43"/>
      <c r="K790" s="6"/>
    </row>
    <row r="791" spans="3:11">
      <c r="C791" s="6"/>
      <c r="D791" s="43"/>
      <c r="H791" s="43"/>
      <c r="K791" s="6"/>
    </row>
    <row r="792" spans="3:11">
      <c r="C792" s="6"/>
      <c r="D792" s="43"/>
      <c r="H792" s="43"/>
      <c r="K792" s="6"/>
    </row>
    <row r="793" spans="3:11">
      <c r="C793" s="6"/>
      <c r="D793" s="43"/>
      <c r="H793" s="43"/>
      <c r="K793" s="6"/>
    </row>
    <row r="794" spans="3:11">
      <c r="C794" s="6"/>
      <c r="D794" s="43"/>
      <c r="H794" s="43"/>
      <c r="K794" s="6"/>
    </row>
    <row r="795" spans="3:11">
      <c r="C795" s="6"/>
      <c r="D795" s="43"/>
      <c r="H795" s="43"/>
      <c r="K795" s="6"/>
    </row>
    <row r="796" spans="3:11">
      <c r="C796" s="6"/>
      <c r="D796" s="43"/>
      <c r="H796" s="43"/>
      <c r="K796" s="6"/>
    </row>
    <row r="797" spans="3:11">
      <c r="C797" s="6"/>
      <c r="D797" s="43"/>
      <c r="H797" s="43"/>
      <c r="K797" s="6"/>
    </row>
    <row r="798" spans="3:11">
      <c r="C798" s="6"/>
      <c r="D798" s="43"/>
      <c r="H798" s="43"/>
      <c r="K798" s="6"/>
    </row>
    <row r="799" spans="3:11">
      <c r="C799" s="6"/>
      <c r="D799" s="43"/>
      <c r="H799" s="43"/>
      <c r="K799" s="6"/>
    </row>
    <row r="800" spans="3:11">
      <c r="C800" s="6"/>
      <c r="D800" s="43"/>
      <c r="H800" s="43"/>
      <c r="K800" s="6"/>
    </row>
    <row r="801" spans="3:11">
      <c r="C801" s="6"/>
      <c r="D801" s="43"/>
      <c r="H801" s="43"/>
      <c r="K801" s="6"/>
    </row>
    <row r="802" spans="3:11">
      <c r="C802" s="6"/>
      <c r="D802" s="43"/>
      <c r="H802" s="43"/>
      <c r="K802" s="6"/>
    </row>
    <row r="803" spans="3:11">
      <c r="C803" s="6"/>
      <c r="D803" s="43"/>
      <c r="H803" s="43"/>
      <c r="K803" s="6"/>
    </row>
    <row r="804" spans="3:11">
      <c r="C804" s="6"/>
      <c r="D804" s="43"/>
      <c r="H804" s="43"/>
      <c r="K804" s="6"/>
    </row>
    <row r="805" spans="3:11">
      <c r="C805" s="6"/>
      <c r="D805" s="43"/>
      <c r="H805" s="43"/>
      <c r="K805" s="6"/>
    </row>
    <row r="806" spans="3:11">
      <c r="C806" s="6"/>
      <c r="D806" s="43"/>
      <c r="H806" s="43"/>
      <c r="K806" s="6"/>
    </row>
    <row r="807" spans="3:11">
      <c r="C807" s="6"/>
      <c r="D807" s="43"/>
      <c r="H807" s="43"/>
      <c r="K807" s="6"/>
    </row>
    <row r="808" spans="3:11">
      <c r="C808" s="6"/>
      <c r="D808" s="43"/>
      <c r="H808" s="43"/>
      <c r="K808" s="6"/>
    </row>
    <row r="809" spans="3:11">
      <c r="C809" s="6"/>
      <c r="D809" s="43"/>
      <c r="H809" s="43"/>
      <c r="K809" s="6"/>
    </row>
    <row r="810" spans="3:11">
      <c r="C810" s="6"/>
      <c r="D810" s="43"/>
      <c r="H810" s="43"/>
      <c r="K810" s="6"/>
    </row>
    <row r="811" spans="3:11">
      <c r="C811" s="6"/>
      <c r="D811" s="43"/>
      <c r="H811" s="43"/>
      <c r="K811" s="6"/>
    </row>
    <row r="812" spans="3:11">
      <c r="C812" s="6"/>
      <c r="D812" s="43"/>
      <c r="H812" s="43"/>
      <c r="K812" s="6"/>
    </row>
    <row r="813" spans="3:11">
      <c r="C813" s="6"/>
      <c r="D813" s="43"/>
      <c r="H813" s="43"/>
      <c r="K813" s="6"/>
    </row>
    <row r="814" spans="3:11">
      <c r="C814" s="6"/>
      <c r="D814" s="43"/>
      <c r="H814" s="43"/>
      <c r="K814" s="6"/>
    </row>
    <row r="815" spans="3:11">
      <c r="C815" s="6"/>
      <c r="D815" s="43"/>
      <c r="H815" s="43"/>
      <c r="K815" s="6"/>
    </row>
    <row r="816" spans="3:11">
      <c r="C816" s="6"/>
      <c r="D816" s="43"/>
      <c r="H816" s="43"/>
      <c r="K816" s="6"/>
    </row>
    <row r="817" spans="3:11">
      <c r="C817" s="6"/>
      <c r="D817" s="43"/>
      <c r="H817" s="43"/>
      <c r="K817" s="6"/>
    </row>
    <row r="818" spans="3:11">
      <c r="C818" s="6"/>
      <c r="D818" s="43"/>
      <c r="H818" s="43"/>
      <c r="K818" s="6"/>
    </row>
    <row r="819" spans="3:11">
      <c r="C819" s="6"/>
      <c r="D819" s="43"/>
      <c r="H819" s="43"/>
      <c r="K819" s="6"/>
    </row>
    <row r="820" spans="3:11">
      <c r="C820" s="6"/>
      <c r="D820" s="43"/>
      <c r="H820" s="43"/>
      <c r="K820" s="6"/>
    </row>
    <row r="821" spans="3:11">
      <c r="C821" s="6"/>
      <c r="D821" s="43"/>
      <c r="H821" s="43"/>
      <c r="K821" s="6"/>
    </row>
    <row r="822" spans="3:11">
      <c r="C822" s="6"/>
      <c r="D822" s="43"/>
      <c r="H822" s="43"/>
      <c r="K822" s="6"/>
    </row>
    <row r="823" spans="3:11">
      <c r="C823" s="6"/>
      <c r="D823" s="43"/>
      <c r="H823" s="43"/>
      <c r="K823" s="6"/>
    </row>
    <row r="824" spans="3:11">
      <c r="C824" s="6"/>
      <c r="D824" s="43"/>
      <c r="H824" s="43"/>
      <c r="K824" s="6"/>
    </row>
    <row r="825" spans="3:11">
      <c r="C825" s="6"/>
      <c r="D825" s="43"/>
      <c r="H825" s="43"/>
      <c r="K825" s="6"/>
    </row>
    <row r="826" spans="3:11">
      <c r="C826" s="6"/>
      <c r="D826" s="43"/>
      <c r="H826" s="43"/>
      <c r="K826" s="6"/>
    </row>
    <row r="827" spans="3:11">
      <c r="C827" s="6"/>
      <c r="D827" s="43"/>
      <c r="H827" s="43"/>
      <c r="K827" s="6"/>
    </row>
    <row r="828" spans="3:11">
      <c r="C828" s="6"/>
      <c r="D828" s="43"/>
      <c r="H828" s="43"/>
      <c r="K828" s="6"/>
    </row>
    <row r="829" spans="3:11">
      <c r="C829" s="6"/>
      <c r="D829" s="43"/>
      <c r="H829" s="43"/>
      <c r="K829" s="6"/>
    </row>
    <row r="830" spans="3:11">
      <c r="C830" s="6"/>
      <c r="D830" s="43"/>
      <c r="H830" s="43"/>
      <c r="K830" s="6"/>
    </row>
    <row r="831" spans="3:11">
      <c r="C831" s="6"/>
      <c r="D831" s="43"/>
      <c r="H831" s="43"/>
      <c r="K831" s="6"/>
    </row>
    <row r="832" spans="3:11">
      <c r="C832" s="6"/>
      <c r="D832" s="43"/>
      <c r="H832" s="43"/>
      <c r="K832" s="6"/>
    </row>
    <row r="833" spans="3:11">
      <c r="C833" s="6"/>
      <c r="D833" s="43"/>
      <c r="H833" s="43"/>
      <c r="K833" s="6"/>
    </row>
    <row r="834" spans="3:11">
      <c r="C834" s="6"/>
      <c r="D834" s="43"/>
      <c r="H834" s="43"/>
      <c r="K834" s="6"/>
    </row>
    <row r="835" spans="3:11">
      <c r="C835" s="6"/>
      <c r="D835" s="43"/>
      <c r="H835" s="43"/>
      <c r="K835" s="6"/>
    </row>
    <row r="836" spans="3:11">
      <c r="C836" s="6"/>
      <c r="D836" s="43"/>
      <c r="H836" s="43"/>
      <c r="K836" s="6"/>
    </row>
    <row r="837" spans="3:11">
      <c r="C837" s="6"/>
      <c r="D837" s="43"/>
      <c r="H837" s="43"/>
      <c r="K837" s="6"/>
    </row>
    <row r="838" spans="3:11">
      <c r="C838" s="6"/>
      <c r="D838" s="43"/>
      <c r="H838" s="43"/>
      <c r="K838" s="6"/>
    </row>
    <row r="839" spans="3:11">
      <c r="C839" s="6"/>
      <c r="D839" s="43"/>
      <c r="H839" s="43"/>
      <c r="K839" s="6"/>
    </row>
    <row r="840" spans="3:11">
      <c r="C840" s="6"/>
      <c r="D840" s="43"/>
      <c r="H840" s="43"/>
      <c r="K840" s="6"/>
    </row>
    <row r="841" spans="3:11">
      <c r="C841" s="6"/>
      <c r="D841" s="43"/>
      <c r="H841" s="43"/>
      <c r="K841" s="6"/>
    </row>
    <row r="842" spans="3:11">
      <c r="C842" s="6"/>
      <c r="D842" s="43"/>
      <c r="H842" s="43"/>
      <c r="K842" s="6"/>
    </row>
    <row r="843" spans="3:11">
      <c r="C843" s="6"/>
      <c r="D843" s="43"/>
      <c r="H843" s="43"/>
      <c r="K843" s="6"/>
    </row>
    <row r="844" spans="3:11">
      <c r="C844" s="6"/>
      <c r="D844" s="43"/>
      <c r="H844" s="43"/>
      <c r="K844" s="6"/>
    </row>
    <row r="845" spans="3:11">
      <c r="C845" s="6"/>
      <c r="D845" s="43"/>
      <c r="H845" s="43"/>
      <c r="K845" s="6"/>
    </row>
    <row r="846" spans="3:11">
      <c r="C846" s="6"/>
      <c r="D846" s="43"/>
      <c r="H846" s="43"/>
      <c r="K846" s="6"/>
    </row>
    <row r="847" spans="3:11">
      <c r="C847" s="6"/>
      <c r="D847" s="43"/>
      <c r="H847" s="43"/>
      <c r="K847" s="6"/>
    </row>
    <row r="848" spans="3:11">
      <c r="C848" s="6"/>
      <c r="D848" s="43"/>
      <c r="H848" s="43"/>
      <c r="K848" s="6"/>
    </row>
    <row r="849" spans="3:11">
      <c r="C849" s="6"/>
      <c r="D849" s="43"/>
      <c r="H849" s="43"/>
      <c r="K849" s="6"/>
    </row>
    <row r="850" spans="3:11">
      <c r="C850" s="6"/>
      <c r="D850" s="43"/>
      <c r="H850" s="43"/>
      <c r="K850" s="6"/>
    </row>
    <row r="851" spans="3:11">
      <c r="C851" s="6"/>
      <c r="D851" s="43"/>
      <c r="H851" s="43"/>
      <c r="K851" s="6"/>
    </row>
    <row r="852" spans="3:11">
      <c r="C852" s="6"/>
      <c r="D852" s="43"/>
      <c r="H852" s="43"/>
      <c r="K852" s="6"/>
    </row>
    <row r="853" spans="3:11">
      <c r="C853" s="6"/>
      <c r="D853" s="43"/>
      <c r="H853" s="43"/>
      <c r="K853" s="6"/>
    </row>
    <row r="854" spans="3:11">
      <c r="C854" s="6"/>
      <c r="D854" s="43"/>
      <c r="H854" s="43"/>
      <c r="K854" s="6"/>
    </row>
    <row r="855" spans="3:11">
      <c r="C855" s="6"/>
      <c r="D855" s="43"/>
      <c r="H855" s="43"/>
      <c r="K855" s="6"/>
    </row>
    <row r="856" spans="3:11">
      <c r="C856" s="6"/>
      <c r="D856" s="43"/>
      <c r="H856" s="43"/>
      <c r="K856" s="6"/>
    </row>
    <row r="857" spans="3:11">
      <c r="C857" s="6"/>
      <c r="D857" s="43"/>
      <c r="H857" s="43"/>
      <c r="K857" s="6"/>
    </row>
    <row r="858" spans="3:11">
      <c r="C858" s="6"/>
      <c r="D858" s="43"/>
      <c r="H858" s="43"/>
      <c r="K858" s="6"/>
    </row>
    <row r="859" spans="3:11">
      <c r="C859" s="6"/>
      <c r="D859" s="43"/>
      <c r="H859" s="43"/>
      <c r="K859" s="6"/>
    </row>
    <row r="860" spans="3:11">
      <c r="C860" s="6"/>
      <c r="D860" s="43"/>
      <c r="H860" s="43"/>
      <c r="K860" s="6"/>
    </row>
    <row r="861" spans="3:11">
      <c r="C861" s="6"/>
      <c r="D861" s="43"/>
      <c r="H861" s="43"/>
      <c r="K861" s="6"/>
    </row>
    <row r="862" spans="3:11">
      <c r="C862" s="6"/>
      <c r="D862" s="43"/>
      <c r="H862" s="43"/>
      <c r="K862" s="6"/>
    </row>
    <row r="863" spans="3:11">
      <c r="C863" s="6"/>
      <c r="D863" s="43"/>
      <c r="H863" s="43"/>
      <c r="K863" s="6"/>
    </row>
    <row r="864" spans="3:11">
      <c r="C864" s="6"/>
      <c r="D864" s="43"/>
      <c r="H864" s="43"/>
      <c r="K864" s="6"/>
    </row>
    <row r="865" spans="3:11">
      <c r="C865" s="6"/>
      <c r="D865" s="43"/>
      <c r="H865" s="43"/>
      <c r="K865" s="6"/>
    </row>
    <row r="866" spans="3:11">
      <c r="C866" s="6"/>
      <c r="D866" s="43"/>
      <c r="H866" s="43"/>
      <c r="K866" s="6"/>
    </row>
    <row r="867" spans="3:11">
      <c r="C867" s="6"/>
      <c r="D867" s="43"/>
      <c r="H867" s="43"/>
      <c r="K867" s="6"/>
    </row>
    <row r="868" spans="3:11">
      <c r="C868" s="6"/>
      <c r="D868" s="43"/>
      <c r="H868" s="43"/>
      <c r="K868" s="6"/>
    </row>
    <row r="869" spans="3:11">
      <c r="C869" s="6"/>
      <c r="D869" s="43"/>
      <c r="H869" s="43"/>
      <c r="K869" s="6"/>
    </row>
    <row r="870" spans="3:11">
      <c r="C870" s="6"/>
      <c r="D870" s="43"/>
      <c r="H870" s="43"/>
      <c r="K870" s="6"/>
    </row>
    <row r="871" spans="3:11">
      <c r="C871" s="6"/>
      <c r="D871" s="43"/>
      <c r="H871" s="43"/>
      <c r="K871" s="6"/>
    </row>
    <row r="872" spans="3:11">
      <c r="C872" s="6"/>
      <c r="D872" s="43"/>
      <c r="H872" s="43"/>
      <c r="K872" s="6"/>
    </row>
    <row r="873" spans="3:11">
      <c r="C873" s="6"/>
      <c r="D873" s="43"/>
      <c r="H873" s="43"/>
      <c r="K873" s="6"/>
    </row>
    <row r="874" spans="3:11">
      <c r="C874" s="6"/>
      <c r="D874" s="43"/>
      <c r="H874" s="43"/>
      <c r="K874" s="6"/>
    </row>
    <row r="875" spans="3:11">
      <c r="C875" s="6"/>
      <c r="D875" s="43"/>
      <c r="H875" s="43"/>
      <c r="K875" s="6"/>
    </row>
    <row r="876" spans="3:11">
      <c r="C876" s="6"/>
      <c r="D876" s="43"/>
      <c r="H876" s="43"/>
      <c r="K876" s="6"/>
    </row>
    <row r="877" spans="3:11">
      <c r="C877" s="6"/>
      <c r="D877" s="43"/>
      <c r="H877" s="43"/>
      <c r="K877" s="6"/>
    </row>
    <row r="878" spans="3:11">
      <c r="C878" s="6"/>
      <c r="D878" s="43"/>
      <c r="H878" s="43"/>
      <c r="K878" s="6"/>
    </row>
    <row r="879" spans="3:11">
      <c r="C879" s="6"/>
      <c r="D879" s="43"/>
      <c r="H879" s="43"/>
      <c r="K879" s="6"/>
    </row>
    <row r="880" spans="3:11">
      <c r="C880" s="6"/>
      <c r="D880" s="43"/>
      <c r="H880" s="43"/>
      <c r="K880" s="6"/>
    </row>
    <row r="881" spans="3:11">
      <c r="C881" s="6"/>
      <c r="D881" s="43"/>
      <c r="H881" s="43"/>
      <c r="K881" s="6"/>
    </row>
    <row r="882" spans="3:11">
      <c r="C882" s="6"/>
      <c r="D882" s="43"/>
      <c r="H882" s="43"/>
      <c r="K882" s="6"/>
    </row>
    <row r="883" spans="3:11">
      <c r="C883" s="6"/>
      <c r="D883" s="43"/>
      <c r="H883" s="43"/>
      <c r="K883" s="6"/>
    </row>
    <row r="884" spans="3:11">
      <c r="C884" s="6"/>
      <c r="D884" s="43"/>
      <c r="H884" s="43"/>
      <c r="K884" s="6"/>
    </row>
    <row r="885" spans="3:11">
      <c r="C885" s="6"/>
      <c r="D885" s="43"/>
      <c r="H885" s="43"/>
      <c r="K885" s="6"/>
    </row>
    <row r="886" spans="3:11">
      <c r="C886" s="6"/>
      <c r="D886" s="43"/>
      <c r="H886" s="43"/>
      <c r="K886" s="6"/>
    </row>
    <row r="887" spans="3:11">
      <c r="C887" s="6"/>
      <c r="D887" s="43"/>
      <c r="H887" s="43"/>
      <c r="K887" s="6"/>
    </row>
    <row r="888" spans="3:11">
      <c r="C888" s="6"/>
      <c r="D888" s="43"/>
      <c r="H888" s="43"/>
      <c r="K888" s="6"/>
    </row>
    <row r="889" spans="3:11">
      <c r="C889" s="6"/>
      <c r="D889" s="43"/>
      <c r="H889" s="43"/>
      <c r="K889" s="6"/>
    </row>
    <row r="890" spans="3:11">
      <c r="C890" s="6"/>
      <c r="D890" s="43"/>
      <c r="H890" s="43"/>
      <c r="K890" s="6"/>
    </row>
    <row r="891" spans="3:11">
      <c r="C891" s="6"/>
      <c r="D891" s="43"/>
      <c r="H891" s="43"/>
      <c r="K891" s="6"/>
    </row>
    <row r="892" spans="3:11">
      <c r="C892" s="6"/>
      <c r="D892" s="43"/>
      <c r="H892" s="43"/>
      <c r="K892" s="6"/>
    </row>
    <row r="893" spans="3:11">
      <c r="C893" s="6"/>
      <c r="D893" s="43"/>
      <c r="H893" s="43"/>
      <c r="K893" s="6"/>
    </row>
    <row r="894" spans="3:11">
      <c r="C894" s="6"/>
      <c r="D894" s="43"/>
      <c r="H894" s="43"/>
      <c r="K894" s="6"/>
    </row>
    <row r="895" spans="3:11">
      <c r="C895" s="6"/>
      <c r="D895" s="43"/>
      <c r="H895" s="43"/>
      <c r="K895" s="6"/>
    </row>
    <row r="896" spans="3:11">
      <c r="C896" s="6"/>
      <c r="D896" s="43"/>
      <c r="H896" s="43"/>
      <c r="K896" s="6"/>
    </row>
    <row r="897" spans="3:11">
      <c r="C897" s="6"/>
      <c r="D897" s="43"/>
      <c r="H897" s="43"/>
      <c r="K897" s="6"/>
    </row>
    <row r="898" spans="3:11">
      <c r="C898" s="6"/>
      <c r="D898" s="43"/>
      <c r="H898" s="43"/>
      <c r="K898" s="6"/>
    </row>
    <row r="899" spans="3:11">
      <c r="C899" s="6"/>
      <c r="D899" s="43"/>
      <c r="H899" s="43"/>
      <c r="K899" s="6"/>
    </row>
    <row r="900" spans="3:11">
      <c r="C900" s="6"/>
      <c r="D900" s="43"/>
      <c r="H900" s="43"/>
      <c r="K900" s="6"/>
    </row>
    <row r="901" spans="3:11">
      <c r="C901" s="6"/>
      <c r="D901" s="43"/>
      <c r="H901" s="43"/>
      <c r="K901" s="6"/>
    </row>
    <row r="902" spans="3:11">
      <c r="C902" s="6"/>
      <c r="D902" s="43"/>
      <c r="H902" s="43"/>
      <c r="K902" s="6"/>
    </row>
    <row r="903" spans="3:11">
      <c r="C903" s="6"/>
      <c r="D903" s="43"/>
      <c r="H903" s="43"/>
      <c r="K903" s="6"/>
    </row>
    <row r="904" spans="3:11">
      <c r="C904" s="6"/>
      <c r="D904" s="43"/>
      <c r="H904" s="43"/>
      <c r="K904" s="6"/>
    </row>
    <row r="905" spans="3:11">
      <c r="C905" s="6"/>
      <c r="D905" s="43"/>
      <c r="H905" s="43"/>
      <c r="K905" s="6"/>
    </row>
    <row r="906" spans="3:11">
      <c r="C906" s="6"/>
      <c r="D906" s="43"/>
      <c r="H906" s="43"/>
      <c r="K906" s="6"/>
    </row>
    <row r="907" spans="3:11">
      <c r="C907" s="6"/>
      <c r="D907" s="43"/>
      <c r="H907" s="43"/>
      <c r="K907" s="6"/>
    </row>
    <row r="908" spans="3:11">
      <c r="C908" s="6"/>
      <c r="D908" s="43"/>
      <c r="H908" s="43"/>
      <c r="K908" s="6"/>
    </row>
    <row r="909" spans="3:11">
      <c r="C909" s="6"/>
      <c r="D909" s="43"/>
      <c r="H909" s="43"/>
      <c r="K909" s="6"/>
    </row>
    <row r="910" spans="3:11">
      <c r="C910" s="6"/>
      <c r="D910" s="43"/>
      <c r="H910" s="43"/>
      <c r="K910" s="6"/>
    </row>
    <row r="911" spans="3:11">
      <c r="C911" s="6"/>
      <c r="D911" s="43"/>
      <c r="H911" s="43"/>
      <c r="K911" s="6"/>
    </row>
    <row r="912" spans="3:11">
      <c r="C912" s="6"/>
      <c r="D912" s="43"/>
      <c r="H912" s="43"/>
      <c r="K912" s="6"/>
    </row>
    <row r="913" spans="3:11">
      <c r="C913" s="6"/>
      <c r="D913" s="43"/>
      <c r="H913" s="43"/>
      <c r="K913" s="6"/>
    </row>
    <row r="914" spans="3:11">
      <c r="C914" s="6"/>
      <c r="D914" s="43"/>
      <c r="H914" s="43"/>
      <c r="K914" s="6"/>
    </row>
    <row r="915" spans="3:11">
      <c r="C915" s="6"/>
      <c r="D915" s="43"/>
      <c r="H915" s="43"/>
      <c r="K915" s="6"/>
    </row>
    <row r="916" spans="3:11">
      <c r="C916" s="6"/>
      <c r="D916" s="43"/>
      <c r="H916" s="43"/>
      <c r="K916" s="6"/>
    </row>
    <row r="917" spans="3:11">
      <c r="C917" s="6"/>
      <c r="D917" s="43"/>
      <c r="H917" s="43"/>
      <c r="K917" s="6"/>
    </row>
    <row r="918" spans="3:11">
      <c r="C918" s="6"/>
      <c r="D918" s="43"/>
      <c r="H918" s="43"/>
      <c r="K918" s="6"/>
    </row>
    <row r="919" spans="3:11">
      <c r="C919" s="6"/>
      <c r="D919" s="43"/>
      <c r="H919" s="43"/>
      <c r="K919" s="6"/>
    </row>
    <row r="920" spans="3:11">
      <c r="C920" s="6"/>
      <c r="D920" s="43"/>
      <c r="H920" s="43"/>
      <c r="K920" s="6"/>
    </row>
    <row r="921" spans="3:11">
      <c r="C921" s="6"/>
      <c r="D921" s="43"/>
      <c r="H921" s="43"/>
      <c r="K921" s="6"/>
    </row>
    <row r="922" spans="3:11">
      <c r="C922" s="6"/>
      <c r="D922" s="43"/>
      <c r="H922" s="43"/>
      <c r="K922" s="6"/>
    </row>
    <row r="923" spans="3:11">
      <c r="C923" s="6"/>
      <c r="D923" s="43"/>
      <c r="H923" s="43"/>
      <c r="K923" s="6"/>
    </row>
    <row r="924" spans="3:11">
      <c r="C924" s="6"/>
      <c r="D924" s="43"/>
      <c r="H924" s="43"/>
      <c r="K924" s="6"/>
    </row>
    <row r="925" spans="3:11">
      <c r="C925" s="6"/>
      <c r="D925" s="43"/>
      <c r="H925" s="43"/>
      <c r="K925" s="6"/>
    </row>
    <row r="926" spans="3:11">
      <c r="C926" s="6"/>
      <c r="D926" s="43"/>
      <c r="H926" s="43"/>
      <c r="K926" s="6"/>
    </row>
    <row r="927" spans="3:11">
      <c r="C927" s="6"/>
      <c r="D927" s="43"/>
      <c r="H927" s="43"/>
      <c r="K927" s="6"/>
    </row>
    <row r="928" spans="3:11">
      <c r="C928" s="6"/>
      <c r="D928" s="43"/>
      <c r="H928" s="43"/>
      <c r="K928" s="6"/>
    </row>
    <row r="929" spans="3:11">
      <c r="C929" s="6"/>
      <c r="D929" s="43"/>
      <c r="H929" s="43"/>
      <c r="K929" s="6"/>
    </row>
    <row r="930" spans="3:11">
      <c r="C930" s="6"/>
      <c r="D930" s="43"/>
      <c r="H930" s="43"/>
      <c r="K930" s="6"/>
    </row>
    <row r="931" spans="3:11">
      <c r="C931" s="6"/>
      <c r="D931" s="43"/>
      <c r="H931" s="43"/>
      <c r="K931" s="6"/>
    </row>
    <row r="932" spans="3:11">
      <c r="C932" s="6"/>
      <c r="D932" s="43"/>
      <c r="H932" s="43"/>
      <c r="K932" s="6"/>
    </row>
    <row r="933" spans="3:11">
      <c r="C933" s="6"/>
      <c r="D933" s="43"/>
      <c r="H933" s="43"/>
      <c r="K933" s="6"/>
    </row>
    <row r="934" spans="3:11">
      <c r="C934" s="6"/>
      <c r="D934" s="43"/>
      <c r="H934" s="43"/>
      <c r="K934" s="6"/>
    </row>
    <row r="935" spans="3:11">
      <c r="C935" s="6"/>
      <c r="D935" s="43"/>
      <c r="H935" s="43"/>
      <c r="K935" s="6"/>
    </row>
    <row r="936" spans="3:11">
      <c r="C936" s="6"/>
      <c r="D936" s="43"/>
      <c r="H936" s="43"/>
      <c r="K936" s="6"/>
    </row>
    <row r="937" spans="3:11">
      <c r="C937" s="6"/>
      <c r="D937" s="43"/>
      <c r="H937" s="43"/>
      <c r="K937" s="6"/>
    </row>
    <row r="938" spans="3:11">
      <c r="C938" s="6"/>
      <c r="D938" s="43"/>
      <c r="H938" s="43"/>
      <c r="K938" s="6"/>
    </row>
    <row r="939" spans="3:11">
      <c r="C939" s="6"/>
      <c r="D939" s="43"/>
      <c r="H939" s="43"/>
      <c r="K939" s="6"/>
    </row>
    <row r="940" spans="3:11">
      <c r="C940" s="6"/>
      <c r="D940" s="43"/>
      <c r="H940" s="43"/>
      <c r="K940" s="6"/>
    </row>
    <row r="941" spans="3:11">
      <c r="C941" s="6"/>
      <c r="D941" s="43"/>
      <c r="H941" s="43"/>
      <c r="K941" s="6"/>
    </row>
    <row r="942" spans="3:11">
      <c r="C942" s="6"/>
      <c r="D942" s="43"/>
      <c r="H942" s="43"/>
      <c r="K942" s="6"/>
    </row>
    <row r="943" spans="3:11">
      <c r="C943" s="6"/>
      <c r="D943" s="43"/>
      <c r="H943" s="43"/>
      <c r="K943" s="6"/>
    </row>
    <row r="944" spans="3:11">
      <c r="C944" s="6"/>
      <c r="D944" s="43"/>
      <c r="H944" s="43"/>
      <c r="K944" s="6"/>
    </row>
    <row r="945" spans="3:11">
      <c r="C945" s="6"/>
      <c r="D945" s="43"/>
      <c r="H945" s="43"/>
      <c r="K945" s="6"/>
    </row>
    <row r="946" spans="3:11">
      <c r="C946" s="6"/>
      <c r="D946" s="43"/>
      <c r="H946" s="43"/>
      <c r="K946" s="6"/>
    </row>
    <row r="947" spans="3:11">
      <c r="C947" s="6"/>
      <c r="D947" s="43"/>
      <c r="H947" s="43"/>
      <c r="K947" s="6"/>
    </row>
    <row r="948" spans="3:11">
      <c r="C948" s="6"/>
      <c r="D948" s="43"/>
      <c r="H948" s="43"/>
      <c r="K948" s="6"/>
    </row>
    <row r="949" spans="3:11">
      <c r="C949" s="6"/>
      <c r="D949" s="43"/>
      <c r="H949" s="43"/>
      <c r="K949" s="6"/>
    </row>
    <row r="950" spans="3:11">
      <c r="C950" s="6"/>
      <c r="D950" s="43"/>
      <c r="H950" s="43"/>
      <c r="K950" s="6"/>
    </row>
    <row r="951" spans="3:11">
      <c r="C951" s="6"/>
      <c r="D951" s="43"/>
      <c r="H951" s="43"/>
      <c r="K951" s="6"/>
    </row>
    <row r="952" spans="3:11">
      <c r="C952" s="6"/>
      <c r="D952" s="43"/>
      <c r="H952" s="43"/>
      <c r="K952" s="6"/>
    </row>
    <row r="953" spans="3:11">
      <c r="C953" s="6"/>
      <c r="D953" s="43"/>
      <c r="H953" s="43"/>
      <c r="K953" s="6"/>
    </row>
    <row r="954" spans="3:11">
      <c r="C954" s="6"/>
      <c r="D954" s="43"/>
      <c r="H954" s="43"/>
      <c r="K954" s="6"/>
    </row>
    <row r="955" spans="3:11">
      <c r="C955" s="6"/>
      <c r="D955" s="43"/>
      <c r="H955" s="43"/>
      <c r="K955" s="6"/>
    </row>
    <row r="956" spans="3:11">
      <c r="C956" s="6"/>
      <c r="D956" s="43"/>
      <c r="H956" s="43"/>
      <c r="K956" s="6"/>
    </row>
    <row r="957" spans="3:11">
      <c r="C957" s="6"/>
      <c r="D957" s="43"/>
      <c r="H957" s="43"/>
      <c r="K957" s="6"/>
    </row>
    <row r="958" spans="3:11">
      <c r="C958" s="6"/>
      <c r="D958" s="43"/>
      <c r="H958" s="43"/>
      <c r="K958" s="6"/>
    </row>
    <row r="959" spans="3:11">
      <c r="C959" s="6"/>
      <c r="D959" s="43"/>
      <c r="H959" s="43"/>
      <c r="K959" s="6"/>
    </row>
    <row r="960" spans="3:11">
      <c r="C960" s="6"/>
      <c r="D960" s="43"/>
      <c r="H960" s="43"/>
      <c r="K960" s="6"/>
    </row>
    <row r="961" spans="3:11">
      <c r="C961" s="6"/>
      <c r="D961" s="43"/>
      <c r="H961" s="43"/>
      <c r="K961" s="6"/>
    </row>
    <row r="962" spans="3:11">
      <c r="C962" s="6"/>
      <c r="D962" s="43"/>
      <c r="H962" s="43"/>
      <c r="K962" s="6"/>
    </row>
    <row r="963" spans="3:11">
      <c r="C963" s="6"/>
      <c r="D963" s="43"/>
      <c r="H963" s="43"/>
      <c r="K963" s="6"/>
    </row>
    <row r="964" spans="3:11">
      <c r="C964" s="6"/>
      <c r="D964" s="43"/>
      <c r="H964" s="43"/>
      <c r="K964" s="6"/>
    </row>
    <row r="965" spans="3:11">
      <c r="C965" s="6"/>
      <c r="D965" s="43"/>
      <c r="H965" s="43"/>
      <c r="K965" s="6"/>
    </row>
    <row r="966" spans="3:11">
      <c r="C966" s="6"/>
      <c r="D966" s="43"/>
      <c r="H966" s="43"/>
      <c r="K966" s="6"/>
    </row>
    <row r="967" spans="3:11">
      <c r="C967" s="6"/>
      <c r="D967" s="43"/>
      <c r="H967" s="43"/>
      <c r="K967" s="6"/>
    </row>
    <row r="968" spans="3:11">
      <c r="C968" s="6"/>
      <c r="D968" s="43"/>
      <c r="H968" s="43"/>
      <c r="K968" s="6"/>
    </row>
    <row r="969" spans="3:11">
      <c r="C969" s="6"/>
      <c r="D969" s="43"/>
      <c r="H969" s="43"/>
      <c r="K969" s="6"/>
    </row>
    <row r="970" spans="3:11">
      <c r="C970" s="6"/>
      <c r="D970" s="43"/>
      <c r="H970" s="43"/>
      <c r="K970" s="6"/>
    </row>
    <row r="971" spans="3:11">
      <c r="C971" s="6"/>
      <c r="D971" s="43"/>
      <c r="H971" s="43"/>
      <c r="K971" s="6"/>
    </row>
    <row r="972" spans="3:11">
      <c r="C972" s="6"/>
      <c r="D972" s="43"/>
      <c r="H972" s="43"/>
      <c r="K972" s="6"/>
    </row>
    <row r="973" spans="3:11">
      <c r="C973" s="6"/>
      <c r="D973" s="43"/>
      <c r="H973" s="43"/>
      <c r="K973" s="6"/>
    </row>
    <row r="974" spans="3:11">
      <c r="C974" s="6"/>
      <c r="D974" s="43"/>
      <c r="H974" s="43"/>
      <c r="K974" s="6"/>
    </row>
    <row r="975" spans="3:11">
      <c r="C975" s="6"/>
      <c r="D975" s="43"/>
      <c r="H975" s="43"/>
      <c r="K975" s="6"/>
    </row>
    <row r="976" spans="3:11">
      <c r="C976" s="6"/>
      <c r="D976" s="43"/>
      <c r="H976" s="43"/>
      <c r="K976" s="6"/>
    </row>
    <row r="977" spans="3:11">
      <c r="C977" s="6"/>
      <c r="D977" s="43"/>
      <c r="H977" s="43"/>
      <c r="K977" s="6"/>
    </row>
    <row r="978" spans="3:11">
      <c r="C978" s="6"/>
      <c r="D978" s="43"/>
      <c r="H978" s="43"/>
      <c r="K978" s="6"/>
    </row>
    <row r="979" spans="3:11">
      <c r="C979" s="6"/>
      <c r="D979" s="43"/>
      <c r="H979" s="43"/>
      <c r="K979" s="6"/>
    </row>
    <row r="980" spans="3:11">
      <c r="C980" s="6"/>
      <c r="D980" s="43"/>
      <c r="H980" s="43"/>
      <c r="K980" s="6"/>
    </row>
    <row r="981" spans="3:11">
      <c r="C981" s="6"/>
      <c r="D981" s="43"/>
      <c r="H981" s="43"/>
      <c r="K981" s="6"/>
    </row>
    <row r="982" spans="3:11">
      <c r="C982" s="6"/>
      <c r="D982" s="43"/>
      <c r="H982" s="43"/>
      <c r="K982" s="6"/>
    </row>
    <row r="983" spans="3:11">
      <c r="C983" s="6"/>
      <c r="D983" s="43"/>
      <c r="H983" s="43"/>
      <c r="K983" s="6"/>
    </row>
    <row r="984" spans="3:11">
      <c r="C984" s="6"/>
      <c r="D984" s="43"/>
      <c r="H984" s="43"/>
      <c r="K984" s="6"/>
    </row>
    <row r="985" spans="3:11">
      <c r="C985" s="6"/>
      <c r="D985" s="43"/>
      <c r="H985" s="43"/>
      <c r="K985" s="6"/>
    </row>
    <row r="986" spans="3:11">
      <c r="C986" s="6"/>
      <c r="D986" s="43"/>
      <c r="H986" s="43"/>
      <c r="K986" s="6"/>
    </row>
    <row r="987" spans="3:11">
      <c r="C987" s="6"/>
      <c r="D987" s="43"/>
      <c r="H987" s="43"/>
      <c r="K987" s="6"/>
    </row>
    <row r="988" spans="3:11">
      <c r="C988" s="6"/>
      <c r="D988" s="43"/>
      <c r="H988" s="43"/>
      <c r="K988" s="6"/>
    </row>
    <row r="989" spans="3:11">
      <c r="C989" s="6"/>
      <c r="D989" s="43"/>
      <c r="H989" s="43"/>
      <c r="K989" s="6"/>
    </row>
    <row r="990" spans="3:11">
      <c r="C990" s="6"/>
      <c r="D990" s="43"/>
      <c r="H990" s="43"/>
      <c r="K990" s="6"/>
    </row>
    <row r="991" spans="3:11">
      <c r="C991" s="6"/>
      <c r="D991" s="43"/>
      <c r="H991" s="43"/>
      <c r="K991" s="6"/>
    </row>
    <row r="992" spans="3:11">
      <c r="C992" s="6"/>
      <c r="D992" s="43"/>
      <c r="H992" s="43"/>
      <c r="K992" s="6"/>
    </row>
    <row r="993" spans="3:11">
      <c r="C993" s="6"/>
      <c r="D993" s="43"/>
      <c r="H993" s="43"/>
      <c r="K993" s="6"/>
    </row>
    <row r="994" spans="3:11">
      <c r="C994" s="6"/>
      <c r="D994" s="43"/>
      <c r="H994" s="43"/>
      <c r="K994" s="6"/>
    </row>
    <row r="995" spans="3:11">
      <c r="C995" s="6"/>
      <c r="D995" s="43"/>
      <c r="H995" s="43"/>
      <c r="K995" s="6"/>
    </row>
    <row r="996" spans="3:11">
      <c r="C996" s="6"/>
      <c r="D996" s="43"/>
      <c r="H996" s="43"/>
      <c r="K996" s="6"/>
    </row>
    <row r="997" spans="3:11">
      <c r="C997" s="6"/>
      <c r="D997" s="43"/>
      <c r="H997" s="43"/>
      <c r="K997" s="6"/>
    </row>
  </sheetData>
  <dataValidations count="2">
    <dataValidation type="custom" allowBlank="1" showDropDown="1" showErrorMessage="1" sqref="D2:D27 D29:D96 D98:D106 D108:D123 D170" xr:uid="{00000000-0002-0000-0200-000000000000}">
      <formula1>OR(NOT(ISERROR(DATEVALUE(D2))), AND(ISNUMBER(D2), LEFT(CELL("format", D2))="D"))</formula1>
    </dataValidation>
    <dataValidation type="decimal" allowBlank="1" showDropDown="1" showErrorMessage="1" sqref="E2:E6 E8:E22 E24:E27 E29:E32 E35:E53 E57:E96 E98:E123 E170" xr:uid="{00000000-0002-0000-0200-000001000000}">
      <formula1>1</formula1>
      <formula2>15</formula2>
    </dataValidation>
  </dataValidations>
  <hyperlinks>
    <hyperlink ref="G2" r:id="rId1" xr:uid="{00000000-0004-0000-0200-000000000000}"/>
    <hyperlink ref="G3" r:id="rId2" xr:uid="{00000000-0004-0000-0200-000001000000}"/>
    <hyperlink ref="G4" r:id="rId3" xr:uid="{00000000-0004-0000-0200-000002000000}"/>
    <hyperlink ref="G5" r:id="rId4" xr:uid="{00000000-0004-0000-0200-000003000000}"/>
    <hyperlink ref="G6" r:id="rId5" xr:uid="{00000000-0004-0000-0200-000004000000}"/>
    <hyperlink ref="G7" r:id="rId6" xr:uid="{00000000-0004-0000-0200-000005000000}"/>
    <hyperlink ref="G8" r:id="rId7" xr:uid="{00000000-0004-0000-0200-000006000000}"/>
    <hyperlink ref="G9" r:id="rId8" xr:uid="{00000000-0004-0000-0200-000007000000}"/>
    <hyperlink ref="G10" r:id="rId9" xr:uid="{00000000-0004-0000-0200-000008000000}"/>
    <hyperlink ref="J10" r:id="rId10" xr:uid="{00000000-0004-0000-0200-000009000000}"/>
    <hyperlink ref="G11" r:id="rId11" xr:uid="{00000000-0004-0000-0200-00000A000000}"/>
    <hyperlink ref="G12" r:id="rId12" xr:uid="{00000000-0004-0000-0200-00000B000000}"/>
    <hyperlink ref="G13" r:id="rId13" xr:uid="{00000000-0004-0000-0200-00000C000000}"/>
    <hyperlink ref="G14" r:id="rId14" xr:uid="{00000000-0004-0000-0200-00000D000000}"/>
    <hyperlink ref="G15" r:id="rId15" xr:uid="{00000000-0004-0000-0200-00000E000000}"/>
    <hyperlink ref="G16" r:id="rId16" xr:uid="{00000000-0004-0000-0200-00000F000000}"/>
    <hyperlink ref="G17" r:id="rId17" xr:uid="{00000000-0004-0000-0200-000010000000}"/>
    <hyperlink ref="G18" r:id="rId18" xr:uid="{00000000-0004-0000-0200-000011000000}"/>
    <hyperlink ref="G19" r:id="rId19" xr:uid="{00000000-0004-0000-0200-000012000000}"/>
    <hyperlink ref="G20" r:id="rId20" xr:uid="{00000000-0004-0000-0200-000013000000}"/>
    <hyperlink ref="G21" r:id="rId21" xr:uid="{00000000-0004-0000-0200-000014000000}"/>
    <hyperlink ref="G22" r:id="rId22" xr:uid="{00000000-0004-0000-0200-000015000000}"/>
    <hyperlink ref="G23" r:id="rId23" xr:uid="{00000000-0004-0000-0200-000016000000}"/>
    <hyperlink ref="G24" r:id="rId24" xr:uid="{00000000-0004-0000-0200-000017000000}"/>
    <hyperlink ref="G25" r:id="rId25" xr:uid="{00000000-0004-0000-0200-000018000000}"/>
    <hyperlink ref="G26" r:id="rId26" xr:uid="{00000000-0004-0000-0200-000019000000}"/>
    <hyperlink ref="G27" r:id="rId27" xr:uid="{00000000-0004-0000-0200-00001A000000}"/>
    <hyperlink ref="G28" r:id="rId28" xr:uid="{00000000-0004-0000-0200-00001B000000}"/>
    <hyperlink ref="G29" r:id="rId29" xr:uid="{00000000-0004-0000-0200-00001C000000}"/>
    <hyperlink ref="G30" r:id="rId30" xr:uid="{00000000-0004-0000-0200-00001D000000}"/>
    <hyperlink ref="G31" r:id="rId31" xr:uid="{00000000-0004-0000-0200-00001E000000}"/>
    <hyperlink ref="G32" r:id="rId32" xr:uid="{00000000-0004-0000-0200-00001F000000}"/>
    <hyperlink ref="G33" r:id="rId33" xr:uid="{00000000-0004-0000-0200-000020000000}"/>
    <hyperlink ref="G34" r:id="rId34" xr:uid="{00000000-0004-0000-0200-000021000000}"/>
    <hyperlink ref="G35" r:id="rId35" xr:uid="{00000000-0004-0000-0200-000022000000}"/>
    <hyperlink ref="G36" r:id="rId36" xr:uid="{00000000-0004-0000-0200-000023000000}"/>
    <hyperlink ref="G37" r:id="rId37" xr:uid="{00000000-0004-0000-0200-000024000000}"/>
    <hyperlink ref="G38" r:id="rId38" xr:uid="{00000000-0004-0000-0200-000025000000}"/>
    <hyperlink ref="G39" r:id="rId39" xr:uid="{00000000-0004-0000-0200-000026000000}"/>
    <hyperlink ref="G40" r:id="rId40" xr:uid="{00000000-0004-0000-0200-000027000000}"/>
    <hyperlink ref="G41" r:id="rId41" xr:uid="{00000000-0004-0000-0200-000028000000}"/>
    <hyperlink ref="G42" r:id="rId42" xr:uid="{00000000-0004-0000-0200-000029000000}"/>
    <hyperlink ref="G43" r:id="rId43" xr:uid="{00000000-0004-0000-0200-00002A000000}"/>
    <hyperlink ref="G44" r:id="rId44" xr:uid="{00000000-0004-0000-0200-00002B000000}"/>
    <hyperlink ref="G45" r:id="rId45" xr:uid="{00000000-0004-0000-0200-00002C000000}"/>
    <hyperlink ref="G46" r:id="rId46" xr:uid="{00000000-0004-0000-0200-00002D000000}"/>
    <hyperlink ref="G47" r:id="rId47" xr:uid="{00000000-0004-0000-0200-00002E000000}"/>
    <hyperlink ref="G48" r:id="rId48" xr:uid="{00000000-0004-0000-0200-00002F000000}"/>
    <hyperlink ref="G49" r:id="rId49" xr:uid="{00000000-0004-0000-0200-000030000000}"/>
    <hyperlink ref="G50" r:id="rId50" xr:uid="{00000000-0004-0000-0200-000031000000}"/>
    <hyperlink ref="G51" r:id="rId51" xr:uid="{00000000-0004-0000-0200-000032000000}"/>
    <hyperlink ref="G52" r:id="rId52" xr:uid="{00000000-0004-0000-0200-000033000000}"/>
    <hyperlink ref="G53" r:id="rId53" xr:uid="{00000000-0004-0000-0200-000034000000}"/>
    <hyperlink ref="G54" r:id="rId54" xr:uid="{00000000-0004-0000-0200-000035000000}"/>
    <hyperlink ref="G55" r:id="rId55" xr:uid="{00000000-0004-0000-0200-000036000000}"/>
    <hyperlink ref="G56" r:id="rId56" xr:uid="{00000000-0004-0000-0200-000037000000}"/>
    <hyperlink ref="G57" r:id="rId57" xr:uid="{00000000-0004-0000-0200-000038000000}"/>
    <hyperlink ref="G58" r:id="rId58" xr:uid="{00000000-0004-0000-0200-000039000000}"/>
    <hyperlink ref="G59" r:id="rId59" xr:uid="{00000000-0004-0000-0200-00003A000000}"/>
    <hyperlink ref="G60" r:id="rId60" xr:uid="{00000000-0004-0000-0200-00003B000000}"/>
    <hyperlink ref="G61" r:id="rId61" xr:uid="{00000000-0004-0000-0200-00003C000000}"/>
    <hyperlink ref="G62" r:id="rId62" xr:uid="{00000000-0004-0000-0200-00003D000000}"/>
    <hyperlink ref="G63" r:id="rId63" xr:uid="{00000000-0004-0000-0200-00003E000000}"/>
    <hyperlink ref="G64" r:id="rId64" xr:uid="{00000000-0004-0000-0200-00003F000000}"/>
    <hyperlink ref="G65" r:id="rId65" xr:uid="{00000000-0004-0000-0200-000040000000}"/>
    <hyperlink ref="G66" r:id="rId66" xr:uid="{00000000-0004-0000-0200-000041000000}"/>
    <hyperlink ref="G67" r:id="rId67" xr:uid="{00000000-0004-0000-0200-000042000000}"/>
    <hyperlink ref="G68" r:id="rId68" xr:uid="{00000000-0004-0000-0200-000043000000}"/>
    <hyperlink ref="G69" r:id="rId69" xr:uid="{00000000-0004-0000-0200-000044000000}"/>
    <hyperlink ref="G70" r:id="rId70" xr:uid="{00000000-0004-0000-0200-000045000000}"/>
    <hyperlink ref="G71" r:id="rId71" xr:uid="{00000000-0004-0000-0200-000046000000}"/>
    <hyperlink ref="G72" r:id="rId72" xr:uid="{00000000-0004-0000-0200-000047000000}"/>
    <hyperlink ref="G73" r:id="rId73" xr:uid="{00000000-0004-0000-0200-000048000000}"/>
    <hyperlink ref="G74" r:id="rId74" xr:uid="{00000000-0004-0000-0200-000049000000}"/>
    <hyperlink ref="G75" r:id="rId75" xr:uid="{00000000-0004-0000-0200-00004A000000}"/>
    <hyperlink ref="G76" r:id="rId76" xr:uid="{00000000-0004-0000-0200-00004B000000}"/>
    <hyperlink ref="G77" r:id="rId77" xr:uid="{00000000-0004-0000-0200-00004C000000}"/>
    <hyperlink ref="G78" r:id="rId78" xr:uid="{00000000-0004-0000-0200-00004D000000}"/>
    <hyperlink ref="G79" r:id="rId79" xr:uid="{00000000-0004-0000-0200-00004E000000}"/>
    <hyperlink ref="G80" r:id="rId80" xr:uid="{00000000-0004-0000-0200-00004F000000}"/>
    <hyperlink ref="G81" r:id="rId81" xr:uid="{00000000-0004-0000-0200-000050000000}"/>
    <hyperlink ref="G82" r:id="rId82" xr:uid="{00000000-0004-0000-0200-000051000000}"/>
    <hyperlink ref="G83" r:id="rId83" xr:uid="{00000000-0004-0000-0200-000052000000}"/>
    <hyperlink ref="G84" r:id="rId84" xr:uid="{00000000-0004-0000-0200-000053000000}"/>
    <hyperlink ref="G85" r:id="rId85" xr:uid="{00000000-0004-0000-0200-000054000000}"/>
    <hyperlink ref="G86" r:id="rId86" xr:uid="{00000000-0004-0000-0200-000055000000}"/>
    <hyperlink ref="G87" r:id="rId87" xr:uid="{00000000-0004-0000-0200-000056000000}"/>
    <hyperlink ref="G88" r:id="rId88" xr:uid="{00000000-0004-0000-0200-000057000000}"/>
    <hyperlink ref="G89" r:id="rId89" xr:uid="{00000000-0004-0000-0200-000058000000}"/>
    <hyperlink ref="G90" r:id="rId90" xr:uid="{00000000-0004-0000-0200-000059000000}"/>
    <hyperlink ref="G91" r:id="rId91" xr:uid="{00000000-0004-0000-0200-00005A000000}"/>
    <hyperlink ref="G92" r:id="rId92" xr:uid="{00000000-0004-0000-0200-00005B000000}"/>
    <hyperlink ref="G93" r:id="rId93" xr:uid="{00000000-0004-0000-0200-00005C000000}"/>
    <hyperlink ref="G94" r:id="rId94" xr:uid="{00000000-0004-0000-0200-00005D000000}"/>
    <hyperlink ref="G95" r:id="rId95" xr:uid="{00000000-0004-0000-0200-00005E000000}"/>
    <hyperlink ref="G96" r:id="rId96" xr:uid="{00000000-0004-0000-0200-00005F000000}"/>
    <hyperlink ref="G97" r:id="rId97" xr:uid="{00000000-0004-0000-0200-000060000000}"/>
    <hyperlink ref="G98" r:id="rId98" xr:uid="{00000000-0004-0000-0200-000061000000}"/>
    <hyperlink ref="G99" r:id="rId99" xr:uid="{00000000-0004-0000-0200-000062000000}"/>
    <hyperlink ref="G100" r:id="rId100" xr:uid="{00000000-0004-0000-0200-000063000000}"/>
    <hyperlink ref="G101" r:id="rId101" xr:uid="{00000000-0004-0000-0200-000064000000}"/>
    <hyperlink ref="G102" r:id="rId102" xr:uid="{00000000-0004-0000-0200-000065000000}"/>
    <hyperlink ref="G103" r:id="rId103" xr:uid="{00000000-0004-0000-0200-000066000000}"/>
    <hyperlink ref="G104" r:id="rId104" xr:uid="{00000000-0004-0000-0200-000067000000}"/>
    <hyperlink ref="G105" r:id="rId105" xr:uid="{00000000-0004-0000-0200-000068000000}"/>
    <hyperlink ref="G106" r:id="rId106" xr:uid="{00000000-0004-0000-0200-000069000000}"/>
    <hyperlink ref="G107" r:id="rId107" xr:uid="{00000000-0004-0000-0200-00006A000000}"/>
    <hyperlink ref="G108" r:id="rId108" xr:uid="{00000000-0004-0000-0200-00006B000000}"/>
    <hyperlink ref="G109" r:id="rId109" xr:uid="{00000000-0004-0000-0200-00006C000000}"/>
    <hyperlink ref="G110" r:id="rId110" xr:uid="{00000000-0004-0000-0200-00006D000000}"/>
    <hyperlink ref="G111" r:id="rId111" xr:uid="{00000000-0004-0000-0200-00006E000000}"/>
    <hyperlink ref="G112" r:id="rId112" xr:uid="{00000000-0004-0000-0200-00006F000000}"/>
    <hyperlink ref="G113" r:id="rId113" xr:uid="{00000000-0004-0000-0200-000070000000}"/>
    <hyperlink ref="G114" r:id="rId114" xr:uid="{00000000-0004-0000-0200-000071000000}"/>
    <hyperlink ref="G115" r:id="rId115" xr:uid="{00000000-0004-0000-0200-000072000000}"/>
    <hyperlink ref="G116" r:id="rId116" xr:uid="{00000000-0004-0000-0200-000073000000}"/>
    <hyperlink ref="G117" r:id="rId117" xr:uid="{00000000-0004-0000-0200-000074000000}"/>
    <hyperlink ref="G118" r:id="rId118" xr:uid="{00000000-0004-0000-0200-000075000000}"/>
    <hyperlink ref="G119" r:id="rId119" xr:uid="{00000000-0004-0000-0200-000076000000}"/>
    <hyperlink ref="G120" r:id="rId120" xr:uid="{00000000-0004-0000-0200-000077000000}"/>
    <hyperlink ref="G121" r:id="rId121" xr:uid="{00000000-0004-0000-0200-000078000000}"/>
    <hyperlink ref="G122" r:id="rId122" xr:uid="{00000000-0004-0000-0200-000079000000}"/>
    <hyperlink ref="G123" r:id="rId123" xr:uid="{00000000-0004-0000-0200-00007A000000}"/>
    <hyperlink ref="G124" r:id="rId124" xr:uid="{00000000-0004-0000-0200-00007B000000}"/>
    <hyperlink ref="G125" r:id="rId125" xr:uid="{00000000-0004-0000-0200-00007C000000}"/>
    <hyperlink ref="G126" r:id="rId126" xr:uid="{00000000-0004-0000-0200-00007D000000}"/>
    <hyperlink ref="G127" r:id="rId127" xr:uid="{00000000-0004-0000-0200-00007E000000}"/>
    <hyperlink ref="G128" r:id="rId128" xr:uid="{00000000-0004-0000-0200-00007F000000}"/>
    <hyperlink ref="G129" r:id="rId129" xr:uid="{00000000-0004-0000-0200-000080000000}"/>
    <hyperlink ref="G130" r:id="rId130" xr:uid="{00000000-0004-0000-0200-000081000000}"/>
    <hyperlink ref="G131" r:id="rId131" xr:uid="{00000000-0004-0000-0200-000082000000}"/>
    <hyperlink ref="G132" r:id="rId132" xr:uid="{00000000-0004-0000-0200-000083000000}"/>
    <hyperlink ref="G133" r:id="rId133" xr:uid="{00000000-0004-0000-0200-000084000000}"/>
    <hyperlink ref="G134" r:id="rId134" xr:uid="{00000000-0004-0000-0200-000085000000}"/>
    <hyperlink ref="G135" r:id="rId135" xr:uid="{00000000-0004-0000-0200-000086000000}"/>
    <hyperlink ref="G136" r:id="rId136" xr:uid="{00000000-0004-0000-0200-000087000000}"/>
    <hyperlink ref="G137" r:id="rId137" xr:uid="{00000000-0004-0000-0200-000088000000}"/>
    <hyperlink ref="G138" r:id="rId138" xr:uid="{00000000-0004-0000-0200-000089000000}"/>
    <hyperlink ref="G139" r:id="rId139" xr:uid="{00000000-0004-0000-0200-00008A000000}"/>
    <hyperlink ref="G140" r:id="rId140" xr:uid="{00000000-0004-0000-0200-00008B000000}"/>
    <hyperlink ref="G141" r:id="rId141" xr:uid="{00000000-0004-0000-0200-00008C000000}"/>
    <hyperlink ref="G142" r:id="rId142" xr:uid="{00000000-0004-0000-0200-00008D000000}"/>
    <hyperlink ref="G143" r:id="rId143" xr:uid="{00000000-0004-0000-0200-00008E000000}"/>
    <hyperlink ref="G144" r:id="rId144" xr:uid="{00000000-0004-0000-0200-00008F000000}"/>
    <hyperlink ref="G145" r:id="rId145" xr:uid="{00000000-0004-0000-0200-000090000000}"/>
    <hyperlink ref="G146" r:id="rId146" xr:uid="{00000000-0004-0000-0200-000091000000}"/>
    <hyperlink ref="G147" r:id="rId147" xr:uid="{00000000-0004-0000-0200-000092000000}"/>
    <hyperlink ref="G148" r:id="rId148" xr:uid="{00000000-0004-0000-0200-000093000000}"/>
    <hyperlink ref="G149" r:id="rId149" xr:uid="{00000000-0004-0000-0200-000094000000}"/>
    <hyperlink ref="G150" r:id="rId150" xr:uid="{00000000-0004-0000-0200-000095000000}"/>
    <hyperlink ref="G151" r:id="rId151" xr:uid="{00000000-0004-0000-0200-000096000000}"/>
    <hyperlink ref="G152" r:id="rId152" xr:uid="{00000000-0004-0000-0200-000097000000}"/>
    <hyperlink ref="G153" r:id="rId153" xr:uid="{00000000-0004-0000-0200-000098000000}"/>
    <hyperlink ref="G154" r:id="rId154" xr:uid="{00000000-0004-0000-0200-000099000000}"/>
    <hyperlink ref="G155" r:id="rId155" xr:uid="{00000000-0004-0000-0200-00009A000000}"/>
    <hyperlink ref="G156" r:id="rId156" xr:uid="{00000000-0004-0000-0200-00009B000000}"/>
    <hyperlink ref="G157" r:id="rId157" xr:uid="{00000000-0004-0000-0200-00009C000000}"/>
    <hyperlink ref="G158" r:id="rId158" xr:uid="{00000000-0004-0000-0200-00009D000000}"/>
    <hyperlink ref="G159" r:id="rId159" xr:uid="{00000000-0004-0000-0200-00009E000000}"/>
    <hyperlink ref="G160" r:id="rId160" xr:uid="{00000000-0004-0000-0200-00009F000000}"/>
    <hyperlink ref="G161" r:id="rId161" xr:uid="{00000000-0004-0000-0200-0000A0000000}"/>
    <hyperlink ref="G162" r:id="rId162" xr:uid="{00000000-0004-0000-0200-0000A1000000}"/>
    <hyperlink ref="G163" r:id="rId163" xr:uid="{00000000-0004-0000-0200-0000A2000000}"/>
    <hyperlink ref="G164" r:id="rId164" xr:uid="{00000000-0004-0000-0200-0000A3000000}"/>
    <hyperlink ref="G165" r:id="rId165" xr:uid="{00000000-0004-0000-0200-0000A4000000}"/>
    <hyperlink ref="G166" r:id="rId166" xr:uid="{00000000-0004-0000-0200-0000A5000000}"/>
    <hyperlink ref="G167" r:id="rId167" xr:uid="{00000000-0004-0000-0200-0000A6000000}"/>
    <hyperlink ref="G168" r:id="rId168" xr:uid="{00000000-0004-0000-0200-0000A7000000}"/>
    <hyperlink ref="G169" r:id="rId169" xr:uid="{00000000-0004-0000-0200-0000A8000000}"/>
    <hyperlink ref="G170" r:id="rId170" xr:uid="{00000000-0004-0000-0200-0000A9000000}"/>
    <hyperlink ref="G171" r:id="rId171" xr:uid="{00000000-0004-0000-0200-0000AA000000}"/>
    <hyperlink ref="G172" r:id="rId172" xr:uid="{00000000-0004-0000-0200-0000AB000000}"/>
    <hyperlink ref="G173" r:id="rId173" xr:uid="{00000000-0004-0000-0200-0000AC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997"/>
  <sheetViews>
    <sheetView workbookViewId="0">
      <pane xSplit="2" ySplit="1" topLeftCell="D2" activePane="bottomRight" state="frozen"/>
      <selection pane="topRight" activeCell="C1" sqref="C1"/>
      <selection pane="bottomLeft" activeCell="A2" sqref="A2"/>
      <selection pane="bottomRight" activeCell="J1" sqref="J1"/>
    </sheetView>
  </sheetViews>
  <sheetFormatPr defaultColWidth="12.6640625" defaultRowHeight="15.75" customHeight="1"/>
  <cols>
    <col min="2" max="2" width="18.21875" customWidth="1"/>
    <col min="3" max="3" width="76.44140625" customWidth="1"/>
    <col min="10" max="10" width="76.44140625" customWidth="1"/>
  </cols>
  <sheetData>
    <row r="1" spans="1:10">
      <c r="A1" s="2" t="s">
        <v>1070</v>
      </c>
      <c r="B1" s="2" t="s">
        <v>1</v>
      </c>
      <c r="C1" s="2" t="s">
        <v>1572</v>
      </c>
      <c r="D1" s="50" t="s">
        <v>1573</v>
      </c>
      <c r="E1" s="2" t="s">
        <v>1574</v>
      </c>
      <c r="F1" s="2" t="s">
        <v>1575</v>
      </c>
      <c r="G1" s="2" t="s">
        <v>1576</v>
      </c>
      <c r="H1" s="50" t="s">
        <v>10</v>
      </c>
      <c r="I1" s="50" t="s">
        <v>11</v>
      </c>
      <c r="J1" s="1" t="s">
        <v>1577</v>
      </c>
    </row>
    <row r="2" spans="1:10">
      <c r="A2" s="7">
        <v>1</v>
      </c>
      <c r="B2" s="8" t="str">
        <f>VLOOKUP(A2,vaccines!A:B,2)</f>
        <v>BCG_Microgen</v>
      </c>
      <c r="C2" s="63" t="s">
        <v>1578</v>
      </c>
      <c r="D2" s="12">
        <v>45461</v>
      </c>
      <c r="E2" s="7"/>
      <c r="F2" s="7"/>
      <c r="G2" s="15" t="s">
        <v>1079</v>
      </c>
      <c r="H2" s="11">
        <v>44712</v>
      </c>
      <c r="I2" s="52">
        <v>45517</v>
      </c>
      <c r="J2" s="63" t="s">
        <v>1579</v>
      </c>
    </row>
    <row r="3" spans="1:10">
      <c r="A3" s="7">
        <v>2</v>
      </c>
      <c r="B3" s="8" t="str">
        <f>VLOOKUP(A3,vaccines!A:B,2)</f>
        <v>BCG_M_Microgen</v>
      </c>
      <c r="C3" s="28" t="s">
        <v>1580</v>
      </c>
      <c r="D3" s="12">
        <v>45461</v>
      </c>
      <c r="E3" s="7"/>
      <c r="F3" s="7"/>
      <c r="G3" s="15" t="s">
        <v>1082</v>
      </c>
      <c r="H3" s="11">
        <f t="shared" ref="H3:H50" si="0">H2</f>
        <v>44712</v>
      </c>
      <c r="I3" s="52">
        <v>45517</v>
      </c>
      <c r="J3" s="28" t="s">
        <v>1581</v>
      </c>
    </row>
    <row r="4" spans="1:10">
      <c r="A4" s="7">
        <v>3</v>
      </c>
      <c r="B4" s="8" t="str">
        <f>VLOOKUP(A4,vaccines!A:B,2)</f>
        <v>BCG_Gamaleya</v>
      </c>
      <c r="C4" s="64" t="s">
        <v>1582</v>
      </c>
      <c r="D4" s="12">
        <v>45769</v>
      </c>
      <c r="E4" s="7">
        <v>1</v>
      </c>
      <c r="F4" s="7">
        <v>0</v>
      </c>
      <c r="G4" s="15" t="s">
        <v>1085</v>
      </c>
      <c r="H4" s="11">
        <f t="shared" si="0"/>
        <v>44712</v>
      </c>
      <c r="I4" s="52">
        <v>45801</v>
      </c>
      <c r="J4" s="64" t="s">
        <v>1583</v>
      </c>
    </row>
    <row r="5" spans="1:10">
      <c r="A5" s="7">
        <v>4</v>
      </c>
      <c r="B5" s="8" t="str">
        <f>VLOOKUP(A5,vaccines!A:B,2)</f>
        <v>BCG_M_Gamaleya</v>
      </c>
      <c r="C5" s="51" t="s">
        <v>1584</v>
      </c>
      <c r="D5" s="12">
        <v>45771</v>
      </c>
      <c r="E5" s="7">
        <v>1</v>
      </c>
      <c r="F5" s="7">
        <v>0</v>
      </c>
      <c r="G5" s="15" t="s">
        <v>1088</v>
      </c>
      <c r="H5" s="11">
        <f t="shared" si="0"/>
        <v>44712</v>
      </c>
      <c r="I5" s="52">
        <v>45818</v>
      </c>
      <c r="J5" s="51" t="s">
        <v>1585</v>
      </c>
    </row>
    <row r="6" spans="1:10">
      <c r="A6" s="7">
        <v>5</v>
      </c>
      <c r="B6" s="8" t="str">
        <f>VLOOKUP(A6,vaccines!A:B,2)</f>
        <v>Infanrix</v>
      </c>
      <c r="C6" s="28" t="s">
        <v>1586</v>
      </c>
      <c r="D6" s="12">
        <v>44211</v>
      </c>
      <c r="E6" s="7"/>
      <c r="F6" s="7"/>
      <c r="G6" s="15" t="s">
        <v>1091</v>
      </c>
      <c r="H6" s="11">
        <f t="shared" si="0"/>
        <v>44712</v>
      </c>
      <c r="I6" s="52">
        <v>45481</v>
      </c>
      <c r="J6" s="28" t="s">
        <v>1587</v>
      </c>
    </row>
    <row r="7" spans="1:10">
      <c r="A7" s="7">
        <v>6</v>
      </c>
      <c r="B7" s="8" t="str">
        <f>VLOOKUP(A7,vaccines!A:B,2)</f>
        <v>AKDS_Microgen</v>
      </c>
      <c r="C7" s="28" t="s">
        <v>1588</v>
      </c>
      <c r="D7" s="52">
        <v>45415</v>
      </c>
      <c r="E7" s="7"/>
      <c r="F7" s="7"/>
      <c r="G7" s="15" t="s">
        <v>1094</v>
      </c>
      <c r="H7" s="53">
        <f t="shared" si="0"/>
        <v>44712</v>
      </c>
      <c r="I7" s="52">
        <v>45461</v>
      </c>
      <c r="J7" s="28" t="s">
        <v>1589</v>
      </c>
    </row>
    <row r="8" spans="1:10">
      <c r="A8" s="7">
        <v>7</v>
      </c>
      <c r="B8" s="8" t="str">
        <f>VLOOKUP(A8,vaccines!A:B,2)</f>
        <v>AKDS_Biomed</v>
      </c>
      <c r="C8" s="10" t="s">
        <v>1590</v>
      </c>
      <c r="D8" s="53">
        <v>41388</v>
      </c>
      <c r="E8" s="7">
        <v>1</v>
      </c>
      <c r="F8" s="7">
        <v>0</v>
      </c>
      <c r="G8" s="19" t="s">
        <v>1097</v>
      </c>
      <c r="H8" s="53">
        <f t="shared" si="0"/>
        <v>44712</v>
      </c>
      <c r="I8" s="53">
        <v>44904</v>
      </c>
      <c r="J8" s="10" t="s">
        <v>1591</v>
      </c>
    </row>
    <row r="9" spans="1:10">
      <c r="A9" s="7">
        <v>8</v>
      </c>
      <c r="B9" s="8" t="str">
        <f>VLOOKUP(A9,vaccines!A:B,2)</f>
        <v>Bubo_kok</v>
      </c>
      <c r="C9" s="10" t="s">
        <v>1592</v>
      </c>
      <c r="D9" s="53">
        <v>40395</v>
      </c>
      <c r="E9" s="7">
        <v>1</v>
      </c>
      <c r="F9" s="7">
        <v>0</v>
      </c>
      <c r="G9" s="19" t="s">
        <v>1100</v>
      </c>
      <c r="H9" s="53">
        <f t="shared" si="0"/>
        <v>44712</v>
      </c>
      <c r="I9" s="53">
        <v>44910</v>
      </c>
      <c r="J9" s="10" t="s">
        <v>1593</v>
      </c>
    </row>
    <row r="10" spans="1:10">
      <c r="A10" s="7">
        <v>9</v>
      </c>
      <c r="B10" s="8" t="str">
        <f>VLOOKUP(A10,vaccines!A:B,2)</f>
        <v>Pentaxim</v>
      </c>
      <c r="C10" s="28" t="s">
        <v>1594</v>
      </c>
      <c r="D10" s="12">
        <v>45980</v>
      </c>
      <c r="E10" s="54">
        <v>1</v>
      </c>
      <c r="F10" s="54">
        <v>0</v>
      </c>
      <c r="G10" s="15" t="s">
        <v>1104</v>
      </c>
      <c r="H10" s="11">
        <f t="shared" si="0"/>
        <v>44712</v>
      </c>
      <c r="I10" s="52">
        <v>46204</v>
      </c>
      <c r="J10" s="28" t="s">
        <v>1595</v>
      </c>
    </row>
    <row r="11" spans="1:10">
      <c r="A11" s="7">
        <v>10</v>
      </c>
      <c r="B11" s="8" t="str">
        <f>VLOOKUP(A11,vaccines!A:B,2)</f>
        <v>Infanrix_Hexa</v>
      </c>
      <c r="C11" s="28" t="s">
        <v>1596</v>
      </c>
      <c r="D11" s="12">
        <v>45953</v>
      </c>
      <c r="E11" s="54">
        <v>1</v>
      </c>
      <c r="F11" s="54">
        <v>0</v>
      </c>
      <c r="G11" s="27" t="s">
        <v>1108</v>
      </c>
      <c r="H11" s="11">
        <f t="shared" si="0"/>
        <v>44712</v>
      </c>
      <c r="I11" s="52">
        <v>46000</v>
      </c>
      <c r="J11" s="28" t="s">
        <v>1597</v>
      </c>
    </row>
    <row r="12" spans="1:10">
      <c r="A12" s="7">
        <v>11</v>
      </c>
      <c r="B12" s="8" t="str">
        <f>VLOOKUP(A12,vaccines!A:B,2)</f>
        <v>Bubo_M</v>
      </c>
      <c r="C12" s="28" t="s">
        <v>1598</v>
      </c>
      <c r="D12" s="12">
        <v>46136</v>
      </c>
      <c r="E12" s="7">
        <v>1</v>
      </c>
      <c r="F12" s="7">
        <v>0</v>
      </c>
      <c r="G12" s="15" t="s">
        <v>1111</v>
      </c>
      <c r="H12" s="11">
        <f t="shared" si="0"/>
        <v>44712</v>
      </c>
      <c r="I12" s="52">
        <v>46188</v>
      </c>
      <c r="J12" s="28" t="s">
        <v>1599</v>
      </c>
    </row>
    <row r="13" spans="1:10">
      <c r="A13" s="7">
        <v>12</v>
      </c>
      <c r="B13" s="8" t="str">
        <f>VLOOKUP(A13,vaccines!A:B,2)</f>
        <v>AD_M_Microgen</v>
      </c>
      <c r="C13" s="28" t="s">
        <v>1600</v>
      </c>
      <c r="D13" s="12">
        <v>45482</v>
      </c>
      <c r="E13" s="7"/>
      <c r="F13" s="7"/>
      <c r="G13" s="15" t="s">
        <v>1114</v>
      </c>
      <c r="H13" s="11">
        <f t="shared" si="0"/>
        <v>44712</v>
      </c>
      <c r="I13" s="52">
        <v>45518</v>
      </c>
      <c r="J13" s="28" t="s">
        <v>1601</v>
      </c>
    </row>
    <row r="14" spans="1:10">
      <c r="A14" s="7">
        <v>13</v>
      </c>
      <c r="B14" s="8" t="str">
        <f>VLOOKUP(A14,vaccines!A:B,2)</f>
        <v>ADS_Microgen</v>
      </c>
      <c r="C14" s="28" t="s">
        <v>1602</v>
      </c>
      <c r="D14" s="12">
        <v>45488</v>
      </c>
      <c r="E14" s="7"/>
      <c r="F14" s="7"/>
      <c r="G14" s="15" t="s">
        <v>1117</v>
      </c>
      <c r="H14" s="11">
        <f t="shared" si="0"/>
        <v>44712</v>
      </c>
      <c r="I14" s="52">
        <v>45518</v>
      </c>
      <c r="J14" s="28" t="s">
        <v>1603</v>
      </c>
    </row>
    <row r="15" spans="1:10">
      <c r="A15" s="7">
        <v>14</v>
      </c>
      <c r="B15" s="8" t="str">
        <f>VLOOKUP(A15,vaccines!A:B,2)</f>
        <v>ADS_M_Microgen</v>
      </c>
      <c r="C15" s="28" t="s">
        <v>1604</v>
      </c>
      <c r="D15" s="12">
        <v>45623</v>
      </c>
      <c r="E15" s="54">
        <v>1</v>
      </c>
      <c r="F15" s="54">
        <v>0</v>
      </c>
      <c r="G15" s="15" t="s">
        <v>1121</v>
      </c>
      <c r="H15" s="11">
        <f t="shared" si="0"/>
        <v>44712</v>
      </c>
      <c r="I15" s="52">
        <v>45861</v>
      </c>
      <c r="J15" s="28" t="s">
        <v>1605</v>
      </c>
    </row>
    <row r="16" spans="1:10">
      <c r="A16" s="7">
        <v>15</v>
      </c>
      <c r="B16" s="8" t="str">
        <f>VLOOKUP(A16,vaccines!A:B,2)</f>
        <v>ADS_M_Biomed</v>
      </c>
      <c r="C16" s="10" t="s">
        <v>1606</v>
      </c>
      <c r="D16" s="53">
        <v>41046</v>
      </c>
      <c r="E16" s="7">
        <v>1</v>
      </c>
      <c r="F16" s="7">
        <v>0</v>
      </c>
      <c r="G16" s="19" t="s">
        <v>1124</v>
      </c>
      <c r="H16" s="53">
        <f t="shared" si="0"/>
        <v>44712</v>
      </c>
      <c r="I16" s="53">
        <v>44914</v>
      </c>
      <c r="J16" s="10" t="s">
        <v>1607</v>
      </c>
    </row>
    <row r="17" spans="1:10">
      <c r="A17" s="7">
        <v>16</v>
      </c>
      <c r="B17" s="8" t="str">
        <f>VLOOKUP(A17,vaccines!A:B,2)</f>
        <v>Adacel</v>
      </c>
      <c r="C17" s="28" t="s">
        <v>1608</v>
      </c>
      <c r="D17" s="12">
        <v>45456</v>
      </c>
      <c r="E17" s="7"/>
      <c r="F17" s="7"/>
      <c r="G17" s="9" t="s">
        <v>1127</v>
      </c>
      <c r="H17" s="11">
        <f t="shared" si="0"/>
        <v>44712</v>
      </c>
      <c r="I17" s="52">
        <v>45589</v>
      </c>
      <c r="J17" s="28" t="s">
        <v>1609</v>
      </c>
    </row>
    <row r="18" spans="1:10">
      <c r="A18" s="7">
        <v>17</v>
      </c>
      <c r="B18" s="8" t="str">
        <f>VLOOKUP(A18,vaccines!A:B,2)</f>
        <v>Algavac_M</v>
      </c>
      <c r="C18" s="28" t="s">
        <v>1610</v>
      </c>
      <c r="D18" s="53">
        <v>43369</v>
      </c>
      <c r="E18" s="7">
        <v>1</v>
      </c>
      <c r="F18" s="7">
        <v>0</v>
      </c>
      <c r="G18" s="19" t="s">
        <v>1130</v>
      </c>
      <c r="H18" s="53">
        <f t="shared" si="0"/>
        <v>44712</v>
      </c>
      <c r="I18" s="53">
        <v>44915</v>
      </c>
      <c r="J18" s="28" t="s">
        <v>1611</v>
      </c>
    </row>
    <row r="19" spans="1:10">
      <c r="A19" s="7">
        <v>18</v>
      </c>
      <c r="B19" s="8" t="str">
        <f>VLOOKUP(A19,vaccines!A:B,2)</f>
        <v>Algavac</v>
      </c>
      <c r="C19" s="28" t="s">
        <v>1612</v>
      </c>
      <c r="D19" s="12">
        <v>46111</v>
      </c>
      <c r="E19" s="7">
        <v>1</v>
      </c>
      <c r="F19" s="7">
        <v>0</v>
      </c>
      <c r="G19" s="15" t="s">
        <v>1133</v>
      </c>
      <c r="H19" s="11">
        <f t="shared" si="0"/>
        <v>44712</v>
      </c>
      <c r="I19" s="52">
        <v>46188</v>
      </c>
      <c r="J19" s="28" t="s">
        <v>1613</v>
      </c>
    </row>
    <row r="20" spans="1:10">
      <c r="A20" s="7">
        <v>19</v>
      </c>
      <c r="B20" s="8" t="str">
        <f>VLOOKUP(A20,vaccines!A:B,2)</f>
        <v>Havrix_720</v>
      </c>
      <c r="C20" s="28" t="s">
        <v>1614</v>
      </c>
      <c r="D20" s="12">
        <v>45490</v>
      </c>
      <c r="E20" s="7"/>
      <c r="F20" s="7"/>
      <c r="G20" s="15" t="s">
        <v>1136</v>
      </c>
      <c r="H20" s="11">
        <f t="shared" si="0"/>
        <v>44712</v>
      </c>
      <c r="I20" s="52">
        <v>45558</v>
      </c>
      <c r="J20" s="28" t="s">
        <v>1615</v>
      </c>
    </row>
    <row r="21" spans="1:10">
      <c r="A21" s="7">
        <v>20</v>
      </c>
      <c r="B21" s="8" t="str">
        <f>VLOOKUP(A21,vaccines!A:B,2)</f>
        <v>Havrix_1440</v>
      </c>
      <c r="C21" s="28" t="s">
        <v>1614</v>
      </c>
      <c r="D21" s="12">
        <v>45490</v>
      </c>
      <c r="E21" s="7"/>
      <c r="F21" s="7"/>
      <c r="G21" s="15" t="s">
        <v>1136</v>
      </c>
      <c r="H21" s="11">
        <f t="shared" si="0"/>
        <v>44712</v>
      </c>
      <c r="I21" s="52">
        <v>45558</v>
      </c>
      <c r="J21" s="28" t="s">
        <v>1615</v>
      </c>
    </row>
    <row r="22" spans="1:10">
      <c r="A22" s="7">
        <v>21</v>
      </c>
      <c r="B22" s="8" t="str">
        <f>VLOOKUP(A22,vaccines!A:B,2)</f>
        <v>Avaxim_80</v>
      </c>
      <c r="C22" s="10" t="s">
        <v>1616</v>
      </c>
      <c r="D22" s="53">
        <v>41816</v>
      </c>
      <c r="E22" s="7">
        <v>1</v>
      </c>
      <c r="F22" s="7">
        <v>0</v>
      </c>
      <c r="G22" s="19" t="s">
        <v>1617</v>
      </c>
      <c r="H22" s="53">
        <f t="shared" si="0"/>
        <v>44712</v>
      </c>
      <c r="I22" s="53">
        <v>45079</v>
      </c>
      <c r="J22" s="10" t="s">
        <v>1618</v>
      </c>
    </row>
    <row r="23" spans="1:10">
      <c r="A23" s="7">
        <v>22</v>
      </c>
      <c r="B23" s="8" t="str">
        <f>VLOOKUP(A23,vaccines!A:B,2)</f>
        <v>Avaxim_160</v>
      </c>
      <c r="C23" s="10" t="s">
        <v>1619</v>
      </c>
      <c r="D23" s="53">
        <v>42131</v>
      </c>
      <c r="E23" s="7">
        <v>1</v>
      </c>
      <c r="F23" s="7">
        <v>0</v>
      </c>
      <c r="G23" s="19" t="s">
        <v>1144</v>
      </c>
      <c r="H23" s="53">
        <f t="shared" si="0"/>
        <v>44712</v>
      </c>
      <c r="I23" s="53">
        <v>45079</v>
      </c>
      <c r="J23" s="10" t="s">
        <v>1620</v>
      </c>
    </row>
    <row r="24" spans="1:10">
      <c r="A24" s="7">
        <v>23</v>
      </c>
      <c r="B24" s="8" t="str">
        <f>VLOOKUP(A24,vaccines!A:B,2)</f>
        <v>Regevac_0_5</v>
      </c>
      <c r="C24" s="10" t="s">
        <v>1621</v>
      </c>
      <c r="D24" s="12">
        <v>45216</v>
      </c>
      <c r="E24" s="54">
        <v>1</v>
      </c>
      <c r="F24" s="54">
        <v>0</v>
      </c>
      <c r="G24" s="15" t="s">
        <v>1147</v>
      </c>
      <c r="H24" s="11">
        <f t="shared" si="0"/>
        <v>44712</v>
      </c>
      <c r="I24" s="52">
        <v>45988</v>
      </c>
      <c r="J24" s="10" t="s">
        <v>1622</v>
      </c>
    </row>
    <row r="25" spans="1:10">
      <c r="A25" s="7">
        <v>24</v>
      </c>
      <c r="B25" s="8" t="str">
        <f>VLOOKUP(A25,vaccines!A:B,2)</f>
        <v>HepB_Combiotech_0_5</v>
      </c>
      <c r="C25" s="28" t="s">
        <v>1623</v>
      </c>
      <c r="D25" s="12">
        <v>46056</v>
      </c>
      <c r="E25" s="7">
        <v>1</v>
      </c>
      <c r="F25" s="7">
        <v>0</v>
      </c>
      <c r="G25" s="15" t="s">
        <v>1150</v>
      </c>
      <c r="H25" s="11">
        <f t="shared" si="0"/>
        <v>44712</v>
      </c>
      <c r="I25" s="52">
        <v>46130</v>
      </c>
      <c r="J25" s="28" t="s">
        <v>1624</v>
      </c>
    </row>
    <row r="26" spans="1:10">
      <c r="A26" s="7">
        <v>25</v>
      </c>
      <c r="B26" s="8" t="str">
        <f>VLOOKUP(A26,vaccines!A:B,2)</f>
        <v>Euvax_B_0_5</v>
      </c>
      <c r="C26" s="10" t="s">
        <v>1625</v>
      </c>
      <c r="D26" s="53">
        <v>41841</v>
      </c>
      <c r="E26" s="7">
        <v>1</v>
      </c>
      <c r="F26" s="7">
        <v>0</v>
      </c>
      <c r="G26" s="19" t="s">
        <v>1626</v>
      </c>
      <c r="H26" s="53">
        <f t="shared" si="0"/>
        <v>44712</v>
      </c>
      <c r="I26" s="53">
        <v>44916</v>
      </c>
      <c r="J26" s="10" t="s">
        <v>1627</v>
      </c>
    </row>
    <row r="27" spans="1:10">
      <c r="A27" s="7">
        <v>26</v>
      </c>
      <c r="B27" s="8" t="str">
        <f>VLOOKUP(A27,vaccines!A:B,2)</f>
        <v>Euvax_B_1_0</v>
      </c>
      <c r="C27" s="10" t="s">
        <v>1625</v>
      </c>
      <c r="D27" s="53">
        <v>41841</v>
      </c>
      <c r="E27" s="7">
        <v>1</v>
      </c>
      <c r="F27" s="7">
        <v>0</v>
      </c>
      <c r="G27" s="19" t="s">
        <v>1626</v>
      </c>
      <c r="H27" s="53">
        <f t="shared" si="0"/>
        <v>44712</v>
      </c>
      <c r="I27" s="53">
        <v>44916</v>
      </c>
      <c r="J27" s="10" t="s">
        <v>1627</v>
      </c>
    </row>
    <row r="28" spans="1:10">
      <c r="A28" s="7">
        <v>27</v>
      </c>
      <c r="B28" s="8" t="str">
        <f>VLOOKUP(A28,vaccines!A:B,2)</f>
        <v>Cervarix</v>
      </c>
      <c r="C28" s="28" t="s">
        <v>1628</v>
      </c>
      <c r="D28" s="12">
        <v>45513</v>
      </c>
      <c r="E28" s="7"/>
      <c r="F28" s="7"/>
      <c r="G28" s="15" t="s">
        <v>1158</v>
      </c>
      <c r="H28" s="11">
        <f t="shared" si="0"/>
        <v>44712</v>
      </c>
      <c r="I28" s="52">
        <v>45589</v>
      </c>
      <c r="J28" s="28" t="s">
        <v>1629</v>
      </c>
    </row>
    <row r="29" spans="1:10">
      <c r="A29" s="7">
        <v>28</v>
      </c>
      <c r="B29" s="8" t="str">
        <f>VLOOKUP(A29,vaccines!A:B,2)</f>
        <v>Gardasil_4</v>
      </c>
      <c r="C29" s="28" t="s">
        <v>1630</v>
      </c>
      <c r="D29" s="12">
        <v>45386</v>
      </c>
      <c r="E29" s="7"/>
      <c r="F29" s="7"/>
      <c r="G29" s="15" t="s">
        <v>1161</v>
      </c>
      <c r="H29" s="11">
        <f t="shared" si="0"/>
        <v>44712</v>
      </c>
      <c r="I29" s="52">
        <v>45483</v>
      </c>
      <c r="J29" s="28" t="s">
        <v>1631</v>
      </c>
    </row>
    <row r="30" spans="1:10">
      <c r="A30" s="7">
        <v>29</v>
      </c>
      <c r="B30" s="8" t="str">
        <f>VLOOKUP(A30,vaccines!A:B,2)</f>
        <v>Sputnik</v>
      </c>
      <c r="C30" s="28" t="s">
        <v>1632</v>
      </c>
      <c r="D30" s="12">
        <v>45839</v>
      </c>
      <c r="E30" s="7">
        <v>1</v>
      </c>
      <c r="F30" s="7">
        <v>0</v>
      </c>
      <c r="G30" s="15" t="s">
        <v>1164</v>
      </c>
      <c r="H30" s="11">
        <f t="shared" si="0"/>
        <v>44712</v>
      </c>
      <c r="I30" s="52">
        <v>45923</v>
      </c>
      <c r="J30" s="28" t="s">
        <v>1633</v>
      </c>
    </row>
    <row r="31" spans="1:10">
      <c r="A31" s="7">
        <v>30</v>
      </c>
      <c r="B31" s="8" t="str">
        <f>VLOOKUP(A31,vaccines!A:B,2)</f>
        <v>Sputnik_Lyo</v>
      </c>
      <c r="C31" s="28" t="s">
        <v>1634</v>
      </c>
      <c r="D31" s="53">
        <v>44068</v>
      </c>
      <c r="E31" s="7">
        <v>1</v>
      </c>
      <c r="F31" s="7">
        <v>0</v>
      </c>
      <c r="G31" s="19" t="s">
        <v>1167</v>
      </c>
      <c r="H31" s="53">
        <f t="shared" si="0"/>
        <v>44712</v>
      </c>
      <c r="I31" s="53">
        <v>45078</v>
      </c>
      <c r="J31" s="28" t="s">
        <v>1635</v>
      </c>
    </row>
    <row r="32" spans="1:10">
      <c r="A32" s="7">
        <v>31</v>
      </c>
      <c r="B32" s="8" t="str">
        <f>VLOOKUP(A32,vaccines!A:B,2)</f>
        <v>EpiVacCorona</v>
      </c>
      <c r="C32" s="10" t="s">
        <v>1636</v>
      </c>
      <c r="D32" s="53">
        <v>44909</v>
      </c>
      <c r="E32" s="7">
        <v>1</v>
      </c>
      <c r="F32" s="7">
        <v>0</v>
      </c>
      <c r="G32" s="19" t="s">
        <v>1170</v>
      </c>
      <c r="H32" s="53">
        <f t="shared" si="0"/>
        <v>44712</v>
      </c>
      <c r="I32" s="53">
        <v>45079</v>
      </c>
      <c r="J32" s="10" t="s">
        <v>1637</v>
      </c>
    </row>
    <row r="33" spans="1:10">
      <c r="A33" s="7">
        <v>32</v>
      </c>
      <c r="B33" s="8" t="str">
        <f>VLOOKUP(A33,vaccines!A:B,2)</f>
        <v>Grippol_Microgen</v>
      </c>
      <c r="C33" s="28" t="s">
        <v>1638</v>
      </c>
      <c r="D33" s="53">
        <v>41411</v>
      </c>
      <c r="E33" s="7">
        <v>1</v>
      </c>
      <c r="F33" s="7">
        <v>0</v>
      </c>
      <c r="G33" s="19" t="s">
        <v>228</v>
      </c>
      <c r="H33" s="53">
        <f t="shared" si="0"/>
        <v>44712</v>
      </c>
      <c r="I33" s="53">
        <v>45079</v>
      </c>
      <c r="J33" s="28" t="s">
        <v>1639</v>
      </c>
    </row>
    <row r="34" spans="1:10">
      <c r="A34" s="7">
        <v>33</v>
      </c>
      <c r="B34" s="8" t="str">
        <f>VLOOKUP(A34,vaccines!A:B,2)</f>
        <v>Grippol_Petrovax</v>
      </c>
      <c r="C34" s="10" t="s">
        <v>1640</v>
      </c>
      <c r="D34" s="53">
        <v>40634</v>
      </c>
      <c r="E34" s="7">
        <v>1</v>
      </c>
      <c r="F34" s="7">
        <v>0</v>
      </c>
      <c r="G34" s="19" t="s">
        <v>1176</v>
      </c>
      <c r="H34" s="53">
        <f t="shared" si="0"/>
        <v>44712</v>
      </c>
      <c r="I34" s="53">
        <v>45079</v>
      </c>
      <c r="J34" s="10" t="s">
        <v>1641</v>
      </c>
    </row>
    <row r="35" spans="1:10">
      <c r="A35" s="7">
        <v>34</v>
      </c>
      <c r="B35" s="8" t="str">
        <f>VLOOKUP(A35,vaccines!A:B,2)</f>
        <v>Grippol_plus_0_5</v>
      </c>
      <c r="C35" s="28" t="s">
        <v>1642</v>
      </c>
      <c r="D35" s="12">
        <v>45182</v>
      </c>
      <c r="E35" s="7"/>
      <c r="F35" s="7"/>
      <c r="G35" s="15" t="s">
        <v>1179</v>
      </c>
      <c r="H35" s="11">
        <f t="shared" si="0"/>
        <v>44712</v>
      </c>
      <c r="I35" s="52">
        <v>45483</v>
      </c>
      <c r="J35" s="28" t="s">
        <v>1643</v>
      </c>
    </row>
    <row r="36" spans="1:10">
      <c r="A36" s="7">
        <v>35</v>
      </c>
      <c r="B36" s="8" t="str">
        <f>VLOOKUP(A36,vaccines!A:B,2)</f>
        <v>Sovigripp</v>
      </c>
      <c r="C36" s="28" t="s">
        <v>1644</v>
      </c>
      <c r="D36" s="12">
        <v>45580</v>
      </c>
      <c r="E36" s="7"/>
      <c r="F36" s="7"/>
      <c r="G36" s="9" t="s">
        <v>1182</v>
      </c>
      <c r="H36" s="11">
        <f t="shared" si="0"/>
        <v>44712</v>
      </c>
      <c r="I36" s="52">
        <v>45622</v>
      </c>
      <c r="J36" s="28" t="s">
        <v>1645</v>
      </c>
    </row>
    <row r="37" spans="1:10">
      <c r="A37" s="7">
        <v>36</v>
      </c>
      <c r="B37" s="8" t="str">
        <f>VLOOKUP(A37,vaccines!A:B,2)</f>
        <v>Ultrix</v>
      </c>
      <c r="C37" s="10" t="s">
        <v>1646</v>
      </c>
      <c r="D37" s="12">
        <v>45211</v>
      </c>
      <c r="E37" s="7"/>
      <c r="F37" s="7"/>
      <c r="G37" s="15" t="s">
        <v>1185</v>
      </c>
      <c r="H37" s="11">
        <f t="shared" si="0"/>
        <v>44712</v>
      </c>
      <c r="I37" s="52">
        <v>45483</v>
      </c>
      <c r="J37" s="10" t="s">
        <v>1647</v>
      </c>
    </row>
    <row r="38" spans="1:10">
      <c r="A38" s="7">
        <v>37</v>
      </c>
      <c r="B38" s="8" t="str">
        <f>VLOOKUP(A38,vaccines!A:B,2)</f>
        <v>Flu_M</v>
      </c>
      <c r="C38" s="28" t="s">
        <v>1648</v>
      </c>
      <c r="D38" s="12">
        <v>46035</v>
      </c>
      <c r="E38" s="54">
        <v>1</v>
      </c>
      <c r="F38" s="54">
        <v>0</v>
      </c>
      <c r="G38" s="15" t="s">
        <v>1188</v>
      </c>
      <c r="H38" s="11">
        <f t="shared" si="0"/>
        <v>44712</v>
      </c>
      <c r="I38" s="52">
        <v>46130</v>
      </c>
      <c r="J38" s="28" t="s">
        <v>1649</v>
      </c>
    </row>
    <row r="39" spans="1:10">
      <c r="A39" s="7">
        <v>38</v>
      </c>
      <c r="B39" s="8" t="str">
        <f>VLOOKUP(A39,vaccines!A:B,2)</f>
        <v>Vaxigrip</v>
      </c>
      <c r="C39" s="10" t="s">
        <v>1650</v>
      </c>
      <c r="D39" s="53">
        <v>43598</v>
      </c>
      <c r="E39" s="7">
        <v>1</v>
      </c>
      <c r="F39" s="7">
        <v>0</v>
      </c>
      <c r="G39" s="19" t="s">
        <v>1651</v>
      </c>
      <c r="H39" s="53">
        <f t="shared" si="0"/>
        <v>44712</v>
      </c>
      <c r="I39" s="53">
        <v>45079</v>
      </c>
      <c r="J39" s="10" t="s">
        <v>1652</v>
      </c>
    </row>
    <row r="40" spans="1:10">
      <c r="A40" s="7">
        <v>39</v>
      </c>
      <c r="B40" s="8" t="str">
        <f>VLOOKUP(A40,vaccines!A:B,2)</f>
        <v>Influvac</v>
      </c>
      <c r="C40" s="28" t="s">
        <v>1653</v>
      </c>
      <c r="D40" s="12">
        <v>46066</v>
      </c>
      <c r="E40" s="7">
        <v>1</v>
      </c>
      <c r="F40" s="7">
        <v>0</v>
      </c>
      <c r="G40" s="15" t="s">
        <v>1194</v>
      </c>
      <c r="H40" s="11">
        <f t="shared" si="0"/>
        <v>44712</v>
      </c>
      <c r="I40" s="52">
        <v>46130</v>
      </c>
      <c r="J40" s="28" t="s">
        <v>1654</v>
      </c>
    </row>
    <row r="41" spans="1:10">
      <c r="A41" s="7">
        <v>40</v>
      </c>
      <c r="B41" s="8" t="str">
        <f>VLOOKUP(A41,vaccines!A:B,2)</f>
        <v>Ultrix_quadri</v>
      </c>
      <c r="C41" s="28" t="s">
        <v>1655</v>
      </c>
      <c r="D41" s="12">
        <v>45524</v>
      </c>
      <c r="E41" s="7"/>
      <c r="F41" s="7"/>
      <c r="G41" s="9" t="s">
        <v>1197</v>
      </c>
      <c r="H41" s="11">
        <f t="shared" si="0"/>
        <v>44712</v>
      </c>
      <c r="I41" s="52">
        <v>45589</v>
      </c>
      <c r="J41" s="28" t="s">
        <v>1656</v>
      </c>
    </row>
    <row r="42" spans="1:10">
      <c r="A42" s="7">
        <v>41</v>
      </c>
      <c r="B42" s="8" t="str">
        <f>VLOOKUP(A42,vaccines!A:B,2)</f>
        <v>Grippol_quadrivalent</v>
      </c>
      <c r="C42" s="28" t="s">
        <v>1657</v>
      </c>
      <c r="D42" s="12">
        <v>45727</v>
      </c>
      <c r="E42" s="54">
        <v>1</v>
      </c>
      <c r="F42" s="54">
        <v>0</v>
      </c>
      <c r="G42" s="15" t="s">
        <v>1200</v>
      </c>
      <c r="H42" s="11">
        <f t="shared" si="0"/>
        <v>44712</v>
      </c>
      <c r="I42" s="52">
        <v>45818</v>
      </c>
      <c r="J42" s="28" t="s">
        <v>1658</v>
      </c>
    </row>
    <row r="43" spans="1:10">
      <c r="A43" s="7">
        <v>42</v>
      </c>
      <c r="B43" s="8" t="str">
        <f>VLOOKUP(A43,vaccines!A:B,2)</f>
        <v>measles_Microgen</v>
      </c>
      <c r="C43" s="28" t="s">
        <v>1659</v>
      </c>
      <c r="D43" s="12">
        <v>45404</v>
      </c>
      <c r="E43" s="7"/>
      <c r="F43" s="7"/>
      <c r="G43" s="15" t="s">
        <v>1203</v>
      </c>
      <c r="H43" s="11">
        <f t="shared" si="0"/>
        <v>44712</v>
      </c>
      <c r="I43" s="12">
        <v>45483</v>
      </c>
      <c r="J43" s="28" t="s">
        <v>1660</v>
      </c>
    </row>
    <row r="44" spans="1:10">
      <c r="A44" s="7">
        <v>43</v>
      </c>
      <c r="B44" s="8" t="str">
        <f>VLOOKUP(A44,vaccines!A:B,2)</f>
        <v>measles_Serum_India</v>
      </c>
      <c r="C44" s="28" t="s">
        <v>1661</v>
      </c>
      <c r="D44" s="12">
        <v>45981</v>
      </c>
      <c r="E44" s="7">
        <v>1</v>
      </c>
      <c r="F44" s="7">
        <v>0</v>
      </c>
      <c r="G44" s="15" t="s">
        <v>1206</v>
      </c>
      <c r="H44" s="11">
        <f t="shared" si="0"/>
        <v>44712</v>
      </c>
      <c r="I44" s="57">
        <v>46053</v>
      </c>
      <c r="J44" s="28" t="s">
        <v>1662</v>
      </c>
    </row>
    <row r="45" spans="1:10">
      <c r="A45" s="7">
        <v>44</v>
      </c>
      <c r="B45" s="8" t="str">
        <f>VLOOKUP(A45,vaccines!A:B,2)</f>
        <v>measles_Vector</v>
      </c>
      <c r="C45" s="10" t="s">
        <v>1663</v>
      </c>
      <c r="D45" s="53">
        <v>39421</v>
      </c>
      <c r="E45" s="7">
        <v>1</v>
      </c>
      <c r="F45" s="7">
        <v>0</v>
      </c>
      <c r="G45" s="19" t="s">
        <v>1209</v>
      </c>
      <c r="H45" s="53">
        <f t="shared" si="0"/>
        <v>44712</v>
      </c>
      <c r="I45" s="58"/>
      <c r="J45" s="10" t="s">
        <v>1664</v>
      </c>
    </row>
    <row r="46" spans="1:10">
      <c r="A46" s="7">
        <v>45</v>
      </c>
      <c r="B46" s="8" t="str">
        <f>VLOOKUP(A46,vaccines!A:B,2)</f>
        <v>measles_mumps_Microgen</v>
      </c>
      <c r="C46" s="28" t="s">
        <v>1665</v>
      </c>
      <c r="D46" s="12">
        <v>45460</v>
      </c>
      <c r="E46" s="7"/>
      <c r="F46" s="7"/>
      <c r="G46" s="9" t="s">
        <v>1212</v>
      </c>
      <c r="H46" s="11">
        <f t="shared" si="0"/>
        <v>44712</v>
      </c>
      <c r="I46" s="52">
        <v>45589</v>
      </c>
      <c r="J46" s="28" t="s">
        <v>1666</v>
      </c>
    </row>
    <row r="47" spans="1:10">
      <c r="A47" s="7">
        <v>46</v>
      </c>
      <c r="B47" s="8" t="str">
        <f>VLOOKUP(A47,vaccines!A:B,2)</f>
        <v>Vactrivir</v>
      </c>
      <c r="C47" s="28" t="s">
        <v>1667</v>
      </c>
      <c r="D47" s="12">
        <v>45817</v>
      </c>
      <c r="E47" s="54">
        <v>1</v>
      </c>
      <c r="F47" s="54">
        <v>0</v>
      </c>
      <c r="G47" s="15" t="s">
        <v>1215</v>
      </c>
      <c r="H47" s="11">
        <f t="shared" si="0"/>
        <v>44712</v>
      </c>
      <c r="I47" s="52">
        <v>45830</v>
      </c>
      <c r="J47" s="28" t="s">
        <v>1668</v>
      </c>
    </row>
    <row r="48" spans="1:10">
      <c r="A48" s="7">
        <v>47</v>
      </c>
      <c r="B48" s="8" t="str">
        <f>VLOOKUP(A48,vaccines!A:B,2)</f>
        <v>MMR_II</v>
      </c>
      <c r="C48" s="10" t="s">
        <v>1669</v>
      </c>
      <c r="D48" s="53">
        <v>42108</v>
      </c>
      <c r="E48" s="7">
        <v>1</v>
      </c>
      <c r="F48" s="7">
        <v>0</v>
      </c>
      <c r="G48" s="19" t="s">
        <v>1218</v>
      </c>
      <c r="H48" s="53">
        <f t="shared" si="0"/>
        <v>44712</v>
      </c>
      <c r="I48" s="53">
        <v>44715</v>
      </c>
      <c r="J48" s="10" t="s">
        <v>1670</v>
      </c>
    </row>
    <row r="49" spans="1:10">
      <c r="A49" s="7">
        <v>48</v>
      </c>
      <c r="B49" s="8" t="str">
        <f>VLOOKUP(A49,vaccines!A:B,2)</f>
        <v>MenA_Microgen</v>
      </c>
      <c r="C49" s="28" t="s">
        <v>1671</v>
      </c>
      <c r="D49" s="11">
        <v>45414</v>
      </c>
      <c r="E49" s="8"/>
      <c r="F49" s="8"/>
      <c r="G49" s="19" t="s">
        <v>1221</v>
      </c>
      <c r="H49" s="11">
        <f t="shared" si="0"/>
        <v>44712</v>
      </c>
      <c r="I49" s="11">
        <v>45460</v>
      </c>
      <c r="J49" s="28" t="s">
        <v>1672</v>
      </c>
    </row>
    <row r="50" spans="1:10">
      <c r="A50" s="7">
        <v>49</v>
      </c>
      <c r="B50" s="8" t="str">
        <f>VLOOKUP(A50,vaccines!A:B,2)</f>
        <v>MeningoVac_A_C</v>
      </c>
      <c r="C50" s="28" t="s">
        <v>1673</v>
      </c>
      <c r="D50" s="52">
        <v>45414</v>
      </c>
      <c r="E50" s="7"/>
      <c r="F50" s="7"/>
      <c r="G50" s="15" t="s">
        <v>1674</v>
      </c>
      <c r="H50" s="53">
        <f t="shared" si="0"/>
        <v>44712</v>
      </c>
      <c r="I50" s="52">
        <v>45460</v>
      </c>
      <c r="J50" s="28" t="s">
        <v>1675</v>
      </c>
    </row>
    <row r="51" spans="1:10">
      <c r="A51" s="7">
        <v>50</v>
      </c>
      <c r="B51" s="8" t="str">
        <f>VLOOKUP(A51,vaccines!A:B,2)</f>
        <v>Menactra</v>
      </c>
      <c r="C51" s="28" t="s">
        <v>1676</v>
      </c>
      <c r="D51" s="12">
        <v>45188</v>
      </c>
      <c r="E51" s="7"/>
      <c r="F51" s="7"/>
      <c r="G51" s="27" t="s">
        <v>1226</v>
      </c>
      <c r="H51" s="11">
        <v>44712</v>
      </c>
      <c r="I51" s="52">
        <v>45483</v>
      </c>
      <c r="J51" s="28" t="s">
        <v>1677</v>
      </c>
    </row>
    <row r="52" spans="1:10">
      <c r="A52" s="7">
        <v>51</v>
      </c>
      <c r="B52" s="8" t="str">
        <f>VLOOKUP(A52,vaccines!A:B,2)</f>
        <v>mumps_Microgen</v>
      </c>
      <c r="C52" s="28" t="s">
        <v>1678</v>
      </c>
      <c r="D52" s="12">
        <v>45454</v>
      </c>
      <c r="E52" s="7"/>
      <c r="F52" s="7"/>
      <c r="G52" s="9" t="s">
        <v>1229</v>
      </c>
      <c r="H52" s="11">
        <f t="shared" ref="H52:H106" si="1">H51</f>
        <v>44712</v>
      </c>
      <c r="I52" s="52">
        <v>45589</v>
      </c>
      <c r="J52" s="28" t="s">
        <v>1679</v>
      </c>
    </row>
    <row r="53" spans="1:10">
      <c r="A53" s="7">
        <v>52</v>
      </c>
      <c r="B53" s="8" t="str">
        <f>VLOOKUP(A53,vaccines!A:B,2)</f>
        <v>Prevenar_13</v>
      </c>
      <c r="C53" s="28" t="s">
        <v>1680</v>
      </c>
      <c r="D53" s="12">
        <v>45267</v>
      </c>
      <c r="E53" s="7"/>
      <c r="F53" s="7"/>
      <c r="G53" s="27" t="s">
        <v>1232</v>
      </c>
      <c r="H53" s="11">
        <f t="shared" si="1"/>
        <v>44712</v>
      </c>
      <c r="I53" s="52">
        <v>45481</v>
      </c>
      <c r="J53" s="28" t="s">
        <v>1681</v>
      </c>
    </row>
    <row r="54" spans="1:10">
      <c r="A54" s="7">
        <v>53</v>
      </c>
      <c r="B54" s="8" t="str">
        <f>VLOOKUP(A54,vaccines!A:B,2)</f>
        <v>Synflorix</v>
      </c>
      <c r="C54" s="10" t="s">
        <v>1682</v>
      </c>
      <c r="D54" s="53">
        <v>43605</v>
      </c>
      <c r="E54" s="7">
        <v>1</v>
      </c>
      <c r="F54" s="7">
        <v>0</v>
      </c>
      <c r="G54" s="19" t="s">
        <v>1235</v>
      </c>
      <c r="H54" s="53">
        <f t="shared" si="1"/>
        <v>44712</v>
      </c>
      <c r="I54" s="53">
        <v>44722</v>
      </c>
      <c r="J54" s="10" t="s">
        <v>1683</v>
      </c>
    </row>
    <row r="55" spans="1:10">
      <c r="A55" s="7">
        <v>54</v>
      </c>
      <c r="B55" s="8" t="str">
        <f>VLOOKUP(A55,vaccines!A:B,2)</f>
        <v>Pneumovax_23</v>
      </c>
      <c r="C55" s="10" t="s">
        <v>1684</v>
      </c>
      <c r="D55" s="12">
        <v>45051</v>
      </c>
      <c r="E55" s="7"/>
      <c r="F55" s="7"/>
      <c r="G55" s="27" t="s">
        <v>1238</v>
      </c>
      <c r="H55" s="11">
        <f t="shared" si="1"/>
        <v>44712</v>
      </c>
      <c r="I55" s="52">
        <v>45489</v>
      </c>
      <c r="J55" s="10" t="s">
        <v>1685</v>
      </c>
    </row>
    <row r="56" spans="1:10">
      <c r="A56" s="7">
        <v>55</v>
      </c>
      <c r="B56" s="8" t="str">
        <f>VLOOKUP(A56,vaccines!A:B,2)</f>
        <v>MonoVac_Polio</v>
      </c>
      <c r="C56" s="10" t="s">
        <v>1686</v>
      </c>
      <c r="D56" s="53">
        <v>44266</v>
      </c>
      <c r="E56" s="7">
        <v>1</v>
      </c>
      <c r="F56" s="7">
        <v>0</v>
      </c>
      <c r="G56" s="19" t="s">
        <v>1241</v>
      </c>
      <c r="H56" s="53">
        <f t="shared" si="1"/>
        <v>44712</v>
      </c>
      <c r="I56" s="53">
        <v>44742</v>
      </c>
      <c r="J56" s="10" t="s">
        <v>1687</v>
      </c>
    </row>
    <row r="57" spans="1:10">
      <c r="A57" s="7">
        <v>56</v>
      </c>
      <c r="B57" s="8" t="str">
        <f>VLOOKUP(A57,vaccines!A:B,2)</f>
        <v>BiVac_Polio</v>
      </c>
      <c r="C57" s="28" t="s">
        <v>1688</v>
      </c>
      <c r="D57" s="12">
        <v>45736</v>
      </c>
      <c r="E57" s="7">
        <v>1</v>
      </c>
      <c r="F57" s="7">
        <v>0</v>
      </c>
      <c r="G57" s="15" t="s">
        <v>1244</v>
      </c>
      <c r="H57" s="11">
        <f t="shared" si="1"/>
        <v>44712</v>
      </c>
      <c r="I57" s="52">
        <v>45988</v>
      </c>
      <c r="J57" s="28" t="s">
        <v>1689</v>
      </c>
    </row>
    <row r="58" spans="1:10">
      <c r="A58" s="7">
        <v>57</v>
      </c>
      <c r="B58" s="8" t="str">
        <f>VLOOKUP(A58,vaccines!A:B,2)</f>
        <v>Polymilex</v>
      </c>
      <c r="C58" s="28" t="s">
        <v>1690</v>
      </c>
      <c r="D58" s="12">
        <v>45623</v>
      </c>
      <c r="E58" s="7">
        <v>1</v>
      </c>
      <c r="F58" s="7">
        <v>0</v>
      </c>
      <c r="G58" s="15" t="s">
        <v>1247</v>
      </c>
      <c r="H58" s="11">
        <f t="shared" si="1"/>
        <v>44712</v>
      </c>
      <c r="I58" s="52">
        <v>45715</v>
      </c>
      <c r="J58" s="28" t="s">
        <v>1691</v>
      </c>
    </row>
    <row r="59" spans="1:10">
      <c r="A59" s="7">
        <v>58</v>
      </c>
      <c r="B59" s="8" t="str">
        <f>VLOOKUP(A59,vaccines!A:B,2)</f>
        <v>COCAV</v>
      </c>
      <c r="C59" s="28" t="s">
        <v>1692</v>
      </c>
      <c r="D59" s="12">
        <v>45631</v>
      </c>
      <c r="E59" s="7"/>
      <c r="F59" s="7"/>
      <c r="G59" s="15" t="s">
        <v>1249</v>
      </c>
      <c r="H59" s="11">
        <f t="shared" si="1"/>
        <v>44712</v>
      </c>
      <c r="I59" s="52">
        <v>45678</v>
      </c>
      <c r="J59" s="28" t="s">
        <v>1693</v>
      </c>
    </row>
    <row r="60" spans="1:10">
      <c r="A60" s="7">
        <v>59</v>
      </c>
      <c r="B60" s="8" t="str">
        <f>VLOOKUP(A60,vaccines!A:B,2)</f>
        <v>rabies_Chumakov</v>
      </c>
      <c r="C60" s="10" t="s">
        <v>1694</v>
      </c>
      <c r="D60" s="53">
        <v>44862</v>
      </c>
      <c r="E60" s="7">
        <v>1</v>
      </c>
      <c r="F60" s="7">
        <v>0</v>
      </c>
      <c r="G60" s="19" t="s">
        <v>1250</v>
      </c>
      <c r="H60" s="53">
        <f t="shared" si="1"/>
        <v>44712</v>
      </c>
      <c r="I60" s="53">
        <v>45034</v>
      </c>
      <c r="J60" s="10" t="s">
        <v>1695</v>
      </c>
    </row>
    <row r="61" spans="1:10">
      <c r="A61" s="7">
        <v>60</v>
      </c>
      <c r="B61" s="8" t="str">
        <f>VLOOKUP(A61,vaccines!A:B,2)</f>
        <v>Rabivac_Vnukovo_32</v>
      </c>
      <c r="C61" s="10" t="s">
        <v>1696</v>
      </c>
      <c r="D61" s="53">
        <v>40925</v>
      </c>
      <c r="E61" s="7">
        <v>1</v>
      </c>
      <c r="F61" s="7">
        <v>0</v>
      </c>
      <c r="G61" s="19" t="s">
        <v>1251</v>
      </c>
      <c r="H61" s="53">
        <f t="shared" si="1"/>
        <v>44712</v>
      </c>
      <c r="I61" s="53">
        <v>44748</v>
      </c>
      <c r="J61" s="10" t="s">
        <v>1697</v>
      </c>
    </row>
    <row r="62" spans="1:10">
      <c r="A62" s="7">
        <v>61</v>
      </c>
      <c r="B62" s="8" t="str">
        <f>VLOOKUP(A62,vaccines!A:B,2)</f>
        <v>RotaTeq</v>
      </c>
      <c r="C62" s="10" t="s">
        <v>1698</v>
      </c>
      <c r="D62" s="53">
        <v>43010</v>
      </c>
      <c r="E62" s="7">
        <v>1</v>
      </c>
      <c r="F62" s="7">
        <v>0</v>
      </c>
      <c r="G62" s="19" t="s">
        <v>1253</v>
      </c>
      <c r="H62" s="53">
        <f t="shared" si="1"/>
        <v>44712</v>
      </c>
      <c r="I62" s="53">
        <v>44787</v>
      </c>
      <c r="J62" s="10" t="s">
        <v>1699</v>
      </c>
    </row>
    <row r="63" spans="1:10">
      <c r="A63" s="7">
        <v>62</v>
      </c>
      <c r="B63" s="8" t="str">
        <f>VLOOKUP(A63,vaccines!A:B,2)</f>
        <v>rubella_Microgen</v>
      </c>
      <c r="C63" s="10" t="s">
        <v>1700</v>
      </c>
      <c r="D63" s="12">
        <v>45531</v>
      </c>
      <c r="E63" s="7"/>
      <c r="F63" s="7"/>
      <c r="G63" s="9" t="s">
        <v>1256</v>
      </c>
      <c r="H63" s="11">
        <f t="shared" si="1"/>
        <v>44712</v>
      </c>
      <c r="I63" s="52">
        <v>45589</v>
      </c>
      <c r="J63" s="10" t="s">
        <v>1701</v>
      </c>
    </row>
    <row r="64" spans="1:10">
      <c r="A64" s="7">
        <v>63</v>
      </c>
      <c r="B64" s="8" t="str">
        <f>VLOOKUP(A64,vaccines!A:B,2)</f>
        <v>rubella_Serum</v>
      </c>
      <c r="C64" s="10" t="s">
        <v>1702</v>
      </c>
      <c r="D64" s="53">
        <v>40142</v>
      </c>
      <c r="E64" s="7">
        <v>1</v>
      </c>
      <c r="F64" s="7">
        <v>0</v>
      </c>
      <c r="G64" s="19" t="s">
        <v>1259</v>
      </c>
      <c r="H64" s="53">
        <f t="shared" si="1"/>
        <v>44712</v>
      </c>
      <c r="I64" s="53">
        <v>45079</v>
      </c>
      <c r="J64" s="10" t="s">
        <v>1703</v>
      </c>
    </row>
    <row r="65" spans="1:10">
      <c r="A65" s="7">
        <v>64</v>
      </c>
      <c r="B65" s="8" t="str">
        <f>VLOOKUP(A65,vaccines!A:B,2)</f>
        <v>AS_Microgen</v>
      </c>
      <c r="C65" s="28" t="s">
        <v>1704</v>
      </c>
      <c r="D65" s="12">
        <v>45607</v>
      </c>
      <c r="E65" s="54">
        <v>1</v>
      </c>
      <c r="F65" s="54">
        <v>0</v>
      </c>
      <c r="G65" s="15" t="s">
        <v>1262</v>
      </c>
      <c r="H65" s="11">
        <f t="shared" si="1"/>
        <v>44712</v>
      </c>
      <c r="I65" s="52">
        <v>46053</v>
      </c>
      <c r="J65" s="28" t="s">
        <v>1705</v>
      </c>
    </row>
    <row r="66" spans="1:10">
      <c r="A66" s="7">
        <v>65</v>
      </c>
      <c r="B66" s="8" t="str">
        <f>VLOOKUP(A66,vaccines!A:B,2)</f>
        <v>AS_Biomed</v>
      </c>
      <c r="C66" s="10" t="s">
        <v>1706</v>
      </c>
      <c r="D66" s="53">
        <v>41047</v>
      </c>
      <c r="E66" s="7">
        <v>1</v>
      </c>
      <c r="F66" s="7">
        <v>0</v>
      </c>
      <c r="G66" s="19" t="s">
        <v>1265</v>
      </c>
      <c r="H66" s="53">
        <f t="shared" si="1"/>
        <v>44712</v>
      </c>
      <c r="I66" s="53">
        <v>44750</v>
      </c>
      <c r="J66" s="10" t="s">
        <v>1707</v>
      </c>
    </row>
    <row r="67" spans="1:10">
      <c r="A67" s="7">
        <v>66</v>
      </c>
      <c r="B67" s="8" t="str">
        <f>VLOOKUP(A67,vaccines!A:B,2)</f>
        <v>Vaqta_25</v>
      </c>
      <c r="C67" s="10" t="s">
        <v>1708</v>
      </c>
      <c r="D67" s="53">
        <v>41780</v>
      </c>
      <c r="E67" s="7">
        <v>1</v>
      </c>
      <c r="F67" s="7">
        <v>0</v>
      </c>
      <c r="G67" s="19" t="s">
        <v>1268</v>
      </c>
      <c r="H67" s="53">
        <f t="shared" si="1"/>
        <v>44712</v>
      </c>
      <c r="I67" s="53">
        <v>45079</v>
      </c>
      <c r="J67" s="10" t="s">
        <v>1709</v>
      </c>
    </row>
    <row r="68" spans="1:10">
      <c r="A68" s="7">
        <v>67</v>
      </c>
      <c r="B68" s="8" t="str">
        <f>VLOOKUP(A68,vaccines!A:B,2)</f>
        <v>Vaqta_50</v>
      </c>
      <c r="C68" s="10" t="s">
        <v>1708</v>
      </c>
      <c r="D68" s="53">
        <v>41780</v>
      </c>
      <c r="E68" s="7">
        <v>1</v>
      </c>
      <c r="F68" s="7">
        <v>0</v>
      </c>
      <c r="G68" s="19" t="s">
        <v>1268</v>
      </c>
      <c r="H68" s="53">
        <f t="shared" si="1"/>
        <v>44712</v>
      </c>
      <c r="I68" s="53">
        <v>45079</v>
      </c>
      <c r="J68" s="10" t="s">
        <v>1709</v>
      </c>
    </row>
    <row r="69" spans="1:10">
      <c r="A69" s="7">
        <v>68</v>
      </c>
      <c r="B69" s="8" t="str">
        <f>VLOOKUP(A69,vaccines!A:B,2)</f>
        <v>Klesh_E_Vac_0_5</v>
      </c>
      <c r="C69" s="28" t="s">
        <v>1710</v>
      </c>
      <c r="D69" s="12">
        <v>45904</v>
      </c>
      <c r="E69" s="54">
        <v>1</v>
      </c>
      <c r="F69" s="54">
        <v>0</v>
      </c>
      <c r="G69" s="15" t="s">
        <v>1273</v>
      </c>
      <c r="H69" s="11">
        <f t="shared" si="1"/>
        <v>44712</v>
      </c>
      <c r="I69" s="52">
        <v>45988</v>
      </c>
      <c r="J69" s="28" t="s">
        <v>1711</v>
      </c>
    </row>
    <row r="70" spans="1:10">
      <c r="A70" s="7">
        <v>69</v>
      </c>
      <c r="B70" s="8" t="str">
        <f>VLOOKUP(A70,vaccines!A:B,2)</f>
        <v>Klesh_E_Vac_0_25</v>
      </c>
      <c r="C70" s="28" t="s">
        <v>1710</v>
      </c>
      <c r="D70" s="12">
        <v>45904</v>
      </c>
      <c r="E70" s="54">
        <v>1</v>
      </c>
      <c r="F70" s="54">
        <v>0</v>
      </c>
      <c r="G70" s="15" t="s">
        <v>1273</v>
      </c>
      <c r="H70" s="11">
        <f t="shared" si="1"/>
        <v>44712</v>
      </c>
      <c r="I70" s="52">
        <v>45988</v>
      </c>
      <c r="J70" s="28" t="s">
        <v>1711</v>
      </c>
    </row>
    <row r="71" spans="1:10">
      <c r="A71" s="7">
        <v>70</v>
      </c>
      <c r="B71" s="8" t="str">
        <f>VLOOKUP(A71,vaccines!A:B,2)</f>
        <v>EnceVir_0_5</v>
      </c>
      <c r="C71" s="28" t="s">
        <v>1712</v>
      </c>
      <c r="D71" s="12">
        <v>45510</v>
      </c>
      <c r="E71" s="7"/>
      <c r="F71" s="7"/>
      <c r="G71" s="9" t="s">
        <v>1278</v>
      </c>
      <c r="H71" s="11">
        <f t="shared" si="1"/>
        <v>44712</v>
      </c>
      <c r="I71" s="52">
        <v>45589</v>
      </c>
      <c r="J71" s="28" t="s">
        <v>1713</v>
      </c>
    </row>
    <row r="72" spans="1:10">
      <c r="A72" s="7">
        <v>71</v>
      </c>
      <c r="B72" s="8" t="str">
        <f>VLOOKUP(A72,vaccines!A:B,2)</f>
        <v>EnceVir_Neo_kids</v>
      </c>
      <c r="C72" s="28" t="s">
        <v>1714</v>
      </c>
      <c r="D72" s="12">
        <v>45520</v>
      </c>
      <c r="E72" s="7"/>
      <c r="F72" s="7"/>
      <c r="G72" s="9" t="s">
        <v>1281</v>
      </c>
      <c r="H72" s="11">
        <f t="shared" si="1"/>
        <v>44712</v>
      </c>
      <c r="I72" s="52">
        <v>45589</v>
      </c>
      <c r="J72" s="28" t="s">
        <v>1715</v>
      </c>
    </row>
    <row r="73" spans="1:10">
      <c r="A73" s="7">
        <v>72</v>
      </c>
      <c r="B73" s="8" t="str">
        <f>VLOOKUP(A73,vaccines!A:B,2)</f>
        <v>TBE_Chumakov_lyo</v>
      </c>
      <c r="C73" s="28" t="s">
        <v>1716</v>
      </c>
      <c r="D73" s="12">
        <v>45727</v>
      </c>
      <c r="E73" s="7">
        <v>1</v>
      </c>
      <c r="F73" s="7">
        <v>0</v>
      </c>
      <c r="G73" s="15" t="s">
        <v>1284</v>
      </c>
      <c r="H73" s="11">
        <f t="shared" si="1"/>
        <v>44712</v>
      </c>
      <c r="I73" s="52">
        <v>45750</v>
      </c>
      <c r="J73" s="28" t="s">
        <v>1717</v>
      </c>
    </row>
    <row r="74" spans="1:10">
      <c r="A74" s="7">
        <v>73</v>
      </c>
      <c r="B74" s="8" t="str">
        <f>VLOOKUP(A74,vaccines!A:B,2)</f>
        <v>Varilrix</v>
      </c>
      <c r="C74" s="28" t="s">
        <v>1718</v>
      </c>
      <c r="D74" s="12">
        <v>45439</v>
      </c>
      <c r="E74" s="54">
        <v>1</v>
      </c>
      <c r="F74" s="54">
        <v>0</v>
      </c>
      <c r="G74" s="15" t="s">
        <v>1287</v>
      </c>
      <c r="H74" s="11">
        <f t="shared" si="1"/>
        <v>44712</v>
      </c>
      <c r="I74" s="59">
        <v>45830</v>
      </c>
      <c r="J74" s="28" t="s">
        <v>1719</v>
      </c>
    </row>
    <row r="75" spans="1:10">
      <c r="A75" s="7">
        <v>74</v>
      </c>
      <c r="B75" s="8" t="str">
        <f>VLOOKUP(A75,vaccines!A:B,2)</f>
        <v>YF_Chumakov_lyo</v>
      </c>
      <c r="C75" s="28" t="s">
        <v>1720</v>
      </c>
      <c r="D75" s="53">
        <v>44540</v>
      </c>
      <c r="E75" s="7">
        <v>1</v>
      </c>
      <c r="F75" s="7">
        <v>0</v>
      </c>
      <c r="G75" s="19" t="s">
        <v>1290</v>
      </c>
      <c r="H75" s="53">
        <f t="shared" si="1"/>
        <v>44712</v>
      </c>
      <c r="I75" s="53" t="s">
        <v>1291</v>
      </c>
      <c r="J75" s="28" t="s">
        <v>1721</v>
      </c>
    </row>
    <row r="76" spans="1:10">
      <c r="A76" s="7">
        <v>75</v>
      </c>
      <c r="B76" s="8" t="str">
        <f>VLOOKUP(A76,vaccines!A:B,2)</f>
        <v>tularemia_Microgen</v>
      </c>
      <c r="C76" s="28" t="s">
        <v>1722</v>
      </c>
      <c r="D76" s="12">
        <v>45562</v>
      </c>
      <c r="E76" s="7"/>
      <c r="F76" s="7"/>
      <c r="G76" s="15" t="s">
        <v>1294</v>
      </c>
      <c r="H76" s="11">
        <f t="shared" si="1"/>
        <v>44712</v>
      </c>
      <c r="I76" s="52">
        <v>45589</v>
      </c>
      <c r="J76" s="28" t="s">
        <v>1723</v>
      </c>
    </row>
    <row r="77" spans="1:10">
      <c r="A77" s="7">
        <v>76</v>
      </c>
      <c r="B77" s="8" t="str">
        <f>VLOOKUP(A77,vaccines!A:B,2)</f>
        <v>plague_molecular_lyo_RPN</v>
      </c>
      <c r="C77" s="10" t="s">
        <v>1724</v>
      </c>
      <c r="D77" s="53">
        <v>43209</v>
      </c>
      <c r="E77" s="7">
        <v>1</v>
      </c>
      <c r="F77" s="7">
        <v>0</v>
      </c>
      <c r="G77" s="19" t="s">
        <v>1725</v>
      </c>
      <c r="H77" s="53">
        <f t="shared" si="1"/>
        <v>44712</v>
      </c>
      <c r="I77" s="53" t="s">
        <v>1298</v>
      </c>
      <c r="J77" s="10" t="s">
        <v>1726</v>
      </c>
    </row>
    <row r="78" spans="1:10">
      <c r="A78" s="7">
        <v>77</v>
      </c>
      <c r="B78" s="8" t="str">
        <f>VLOOKUP(A78,vaccines!A:B,2)</f>
        <v>plague_live_lyo_48_NII_Minoborony</v>
      </c>
      <c r="C78" s="28" t="s">
        <v>1727</v>
      </c>
      <c r="D78" s="53">
        <v>40675</v>
      </c>
      <c r="E78" s="7">
        <v>1</v>
      </c>
      <c r="F78" s="7">
        <v>0</v>
      </c>
      <c r="G78" s="19" t="s">
        <v>1301</v>
      </c>
      <c r="H78" s="53">
        <f t="shared" si="1"/>
        <v>44712</v>
      </c>
      <c r="I78" s="53" t="s">
        <v>1298</v>
      </c>
      <c r="J78" s="28" t="s">
        <v>1728</v>
      </c>
    </row>
    <row r="79" spans="1:10">
      <c r="A79" s="7">
        <v>78</v>
      </c>
      <c r="B79" s="8" t="str">
        <f>VLOOKUP(A79,vaccines!A:B,2)</f>
        <v>plague_live_tablets_48_NII_Minoborony</v>
      </c>
      <c r="C79" s="28" t="s">
        <v>1729</v>
      </c>
      <c r="D79" s="53">
        <v>40126</v>
      </c>
      <c r="E79" s="7">
        <v>1</v>
      </c>
      <c r="F79" s="7">
        <v>0</v>
      </c>
      <c r="G79" s="19" t="s">
        <v>1304</v>
      </c>
      <c r="H79" s="53">
        <f t="shared" si="1"/>
        <v>44712</v>
      </c>
      <c r="I79" s="7" t="s">
        <v>1298</v>
      </c>
      <c r="J79" s="28" t="s">
        <v>1730</v>
      </c>
    </row>
    <row r="80" spans="1:10">
      <c r="A80" s="7">
        <v>79</v>
      </c>
      <c r="B80" s="8" t="str">
        <f>VLOOKUP(A80,vaccines!A:B,2)</f>
        <v>plague_live_lyo_RPN</v>
      </c>
      <c r="C80" s="10" t="s">
        <v>1731</v>
      </c>
      <c r="D80" s="53">
        <v>44158</v>
      </c>
      <c r="E80" s="7">
        <v>1</v>
      </c>
      <c r="F80" s="7">
        <v>0</v>
      </c>
      <c r="G80" s="19" t="s">
        <v>1307</v>
      </c>
      <c r="H80" s="53">
        <f t="shared" si="1"/>
        <v>44712</v>
      </c>
      <c r="I80" s="53" t="s">
        <v>1298</v>
      </c>
      <c r="J80" s="10" t="s">
        <v>1732</v>
      </c>
    </row>
    <row r="81" spans="1:10">
      <c r="A81" s="7">
        <v>80</v>
      </c>
      <c r="B81" s="8" t="str">
        <f>VLOOKUP(A81,vaccines!A:B,2)</f>
        <v>brucellosis_therapeutic_48_NII_Minoborony</v>
      </c>
      <c r="C81" s="10" t="s">
        <v>1733</v>
      </c>
      <c r="D81" s="53">
        <v>40263</v>
      </c>
      <c r="E81" s="7">
        <v>1</v>
      </c>
      <c r="F81" s="7">
        <v>0</v>
      </c>
      <c r="G81" s="19" t="s">
        <v>1310</v>
      </c>
      <c r="H81" s="53">
        <f t="shared" si="1"/>
        <v>44712</v>
      </c>
      <c r="I81" s="53" t="s">
        <v>1298</v>
      </c>
      <c r="J81" s="10" t="s">
        <v>1734</v>
      </c>
    </row>
    <row r="82" spans="1:10">
      <c r="A82" s="7">
        <v>81</v>
      </c>
      <c r="B82" s="8" t="str">
        <f>VLOOKUP(A82,vaccines!A:B,2)</f>
        <v>brucellosis_prophylactic_Microgen</v>
      </c>
      <c r="C82" s="28" t="s">
        <v>1735</v>
      </c>
      <c r="D82" s="12">
        <v>45743</v>
      </c>
      <c r="E82" s="7">
        <v>1</v>
      </c>
      <c r="F82" s="7">
        <v>0</v>
      </c>
      <c r="G82" s="15" t="s">
        <v>1313</v>
      </c>
      <c r="H82" s="11">
        <f t="shared" si="1"/>
        <v>44712</v>
      </c>
      <c r="I82" s="52">
        <v>45798</v>
      </c>
      <c r="J82" s="28" t="s">
        <v>1736</v>
      </c>
    </row>
    <row r="83" spans="1:10">
      <c r="A83" s="7">
        <v>82</v>
      </c>
      <c r="B83" s="8" t="str">
        <f>VLOOKUP(A83,vaccines!A:B,2)</f>
        <v>anthrax_live_48_NII_Minoborony</v>
      </c>
      <c r="C83" s="10" t="s">
        <v>1737</v>
      </c>
      <c r="D83" s="53">
        <v>43754</v>
      </c>
      <c r="E83" s="7">
        <v>1</v>
      </c>
      <c r="F83" s="7">
        <v>0</v>
      </c>
      <c r="G83" s="19" t="s">
        <v>1316</v>
      </c>
      <c r="H83" s="53">
        <f t="shared" si="1"/>
        <v>44712</v>
      </c>
      <c r="I83" s="53" t="s">
        <v>1291</v>
      </c>
      <c r="J83" s="10" t="s">
        <v>1738</v>
      </c>
    </row>
    <row r="84" spans="1:10">
      <c r="A84" s="7">
        <v>83</v>
      </c>
      <c r="B84" s="8" t="str">
        <f>VLOOKUP(A84,vaccines!A:B,2)</f>
        <v>anthrax_combined_48_NII_Minoborony</v>
      </c>
      <c r="C84" s="10" t="s">
        <v>1739</v>
      </c>
      <c r="D84" s="53">
        <v>39773</v>
      </c>
      <c r="E84" s="7">
        <v>1</v>
      </c>
      <c r="F84" s="7">
        <v>0</v>
      </c>
      <c r="G84" s="19" t="s">
        <v>1319</v>
      </c>
      <c r="H84" s="53">
        <f t="shared" si="1"/>
        <v>44712</v>
      </c>
      <c r="I84" s="53" t="s">
        <v>1291</v>
      </c>
      <c r="J84" s="10" t="s">
        <v>1740</v>
      </c>
    </row>
    <row r="85" spans="1:10">
      <c r="A85" s="7">
        <v>84</v>
      </c>
      <c r="B85" s="8" t="str">
        <f>VLOOKUP(A85,vaccines!A:B,2)</f>
        <v>Rabipur</v>
      </c>
      <c r="C85" s="1" t="s">
        <v>1741</v>
      </c>
      <c r="D85" s="53">
        <v>42996</v>
      </c>
      <c r="E85" s="7">
        <v>1</v>
      </c>
      <c r="F85" s="7">
        <v>0</v>
      </c>
      <c r="G85" s="19" t="s">
        <v>1321</v>
      </c>
      <c r="H85" s="53">
        <f t="shared" si="1"/>
        <v>44712</v>
      </c>
      <c r="I85" s="53" t="s">
        <v>1291</v>
      </c>
      <c r="J85" s="2" t="s">
        <v>1742</v>
      </c>
    </row>
    <row r="86" spans="1:10">
      <c r="A86" s="7">
        <v>85</v>
      </c>
      <c r="B86" s="8" t="str">
        <f>VLOOKUP(A86,vaccines!A:B,2)</f>
        <v>leptospirosis_Rostov_NII</v>
      </c>
      <c r="C86" s="10" t="s">
        <v>1743</v>
      </c>
      <c r="D86" s="53">
        <v>43881</v>
      </c>
      <c r="E86" s="7">
        <v>1</v>
      </c>
      <c r="F86" s="7">
        <v>0</v>
      </c>
      <c r="G86" s="19" t="s">
        <v>1323</v>
      </c>
      <c r="H86" s="53">
        <f t="shared" si="1"/>
        <v>44712</v>
      </c>
      <c r="I86" s="53" t="s">
        <v>1324</v>
      </c>
      <c r="J86" s="10" t="s">
        <v>1744</v>
      </c>
    </row>
    <row r="87" spans="1:10">
      <c r="A87" s="7">
        <v>86</v>
      </c>
      <c r="B87" s="8" t="str">
        <f>VLOOKUP(A87,vaccines!A:B,2)</f>
        <v>Q_fever_M_44_Microgen</v>
      </c>
      <c r="C87" s="28" t="s">
        <v>1745</v>
      </c>
      <c r="D87" s="12">
        <v>45691</v>
      </c>
      <c r="E87" s="54">
        <v>1</v>
      </c>
      <c r="F87" s="54">
        <v>0</v>
      </c>
      <c r="G87" s="15" t="s">
        <v>1327</v>
      </c>
      <c r="H87" s="11">
        <f t="shared" si="1"/>
        <v>44712</v>
      </c>
      <c r="I87" s="52">
        <v>45716</v>
      </c>
      <c r="J87" s="28" t="s">
        <v>1746</v>
      </c>
    </row>
    <row r="88" spans="1:10">
      <c r="A88" s="7">
        <v>87</v>
      </c>
      <c r="B88" s="8" t="str">
        <f>VLOOKUP(A88,vaccines!A:B,2)</f>
        <v>cholera_NII_Microb</v>
      </c>
      <c r="C88" s="10" t="s">
        <v>1747</v>
      </c>
      <c r="D88" s="53">
        <v>44705</v>
      </c>
      <c r="E88" s="7">
        <v>1</v>
      </c>
      <c r="F88" s="7">
        <v>0</v>
      </c>
      <c r="G88" s="19" t="s">
        <v>1330</v>
      </c>
      <c r="H88" s="53">
        <f t="shared" si="1"/>
        <v>44712</v>
      </c>
      <c r="I88" s="53" t="s">
        <v>1324</v>
      </c>
      <c r="J88" s="10" t="s">
        <v>1748</v>
      </c>
    </row>
    <row r="89" spans="1:10">
      <c r="A89" s="7">
        <v>88</v>
      </c>
      <c r="B89" s="8" t="str">
        <f>VLOOKUP(A89,vaccines!A:B,2)</f>
        <v>Vianvac</v>
      </c>
      <c r="C89" s="28" t="s">
        <v>1749</v>
      </c>
      <c r="D89" s="12">
        <v>46036</v>
      </c>
      <c r="E89" s="7">
        <v>1</v>
      </c>
      <c r="F89" s="7">
        <v>0</v>
      </c>
      <c r="G89" s="15" t="s">
        <v>1333</v>
      </c>
      <c r="H89" s="11">
        <f t="shared" si="1"/>
        <v>44712</v>
      </c>
      <c r="I89" s="52">
        <v>46130</v>
      </c>
      <c r="J89" s="28" t="s">
        <v>1750</v>
      </c>
    </row>
    <row r="90" spans="1:10">
      <c r="A90" s="7">
        <v>89</v>
      </c>
      <c r="B90" s="8" t="str">
        <f>VLOOKUP(A90,vaccines!A:B,2)</f>
        <v>Typhivac</v>
      </c>
      <c r="C90" s="10" t="s">
        <v>1751</v>
      </c>
      <c r="D90" s="53">
        <v>42762</v>
      </c>
      <c r="E90" s="7">
        <v>1</v>
      </c>
      <c r="F90" s="7">
        <v>0</v>
      </c>
      <c r="G90" s="19" t="s">
        <v>1336</v>
      </c>
      <c r="H90" s="53">
        <f t="shared" si="1"/>
        <v>44712</v>
      </c>
      <c r="I90" s="7" t="s">
        <v>1324</v>
      </c>
      <c r="J90" s="10" t="s">
        <v>1752</v>
      </c>
    </row>
    <row r="91" spans="1:10">
      <c r="A91" s="7">
        <v>90</v>
      </c>
      <c r="B91" s="8" t="str">
        <f>VLOOKUP(A91,vaccines!A:B,2)</f>
        <v>Shigellvac</v>
      </c>
      <c r="C91" s="28" t="s">
        <v>1753</v>
      </c>
      <c r="D91" s="12">
        <v>46015</v>
      </c>
      <c r="E91" s="7">
        <v>1</v>
      </c>
      <c r="F91" s="7">
        <v>0</v>
      </c>
      <c r="G91" s="15" t="s">
        <v>1339</v>
      </c>
      <c r="H91" s="11">
        <f t="shared" si="1"/>
        <v>44712</v>
      </c>
      <c r="I91" s="52">
        <v>46130</v>
      </c>
      <c r="J91" s="28" t="s">
        <v>1754</v>
      </c>
    </row>
    <row r="92" spans="1:10">
      <c r="A92" s="7">
        <v>91</v>
      </c>
      <c r="B92" s="8" t="str">
        <f>VLOOKUP(A92,vaccines!A:B,2)</f>
        <v>CoviVac</v>
      </c>
      <c r="C92" s="28" t="s">
        <v>1755</v>
      </c>
      <c r="D92" s="53">
        <v>44859</v>
      </c>
      <c r="E92" s="7">
        <v>1</v>
      </c>
      <c r="F92" s="7">
        <v>0</v>
      </c>
      <c r="G92" s="19" t="s">
        <v>1341</v>
      </c>
      <c r="H92" s="53">
        <f t="shared" si="1"/>
        <v>44712</v>
      </c>
      <c r="I92" s="53">
        <v>44903</v>
      </c>
      <c r="J92" s="10" t="s">
        <v>1756</v>
      </c>
    </row>
    <row r="93" spans="1:10">
      <c r="A93" s="7">
        <v>92</v>
      </c>
      <c r="B93" s="8" t="str">
        <f>VLOOKUP(A93,vaccines!A:B,2)</f>
        <v>Sputnik_light</v>
      </c>
      <c r="C93" s="28" t="s">
        <v>1757</v>
      </c>
      <c r="D93" s="12">
        <v>45810</v>
      </c>
      <c r="E93" s="7">
        <v>1</v>
      </c>
      <c r="F93" s="54">
        <v>0</v>
      </c>
      <c r="G93" s="15" t="s">
        <v>1343</v>
      </c>
      <c r="H93" s="11">
        <f t="shared" si="1"/>
        <v>44712</v>
      </c>
      <c r="I93" s="52">
        <v>45830</v>
      </c>
      <c r="J93" s="28" t="s">
        <v>1758</v>
      </c>
    </row>
    <row r="94" spans="1:10">
      <c r="A94" s="7">
        <v>93</v>
      </c>
      <c r="B94" s="8" t="str">
        <f>VLOOKUP(A94,vaccines!A:B,2)</f>
        <v>Sputnik_M</v>
      </c>
      <c r="C94" s="28" t="s">
        <v>1759</v>
      </c>
      <c r="D94" s="53">
        <v>44524</v>
      </c>
      <c r="E94" s="7">
        <v>1</v>
      </c>
      <c r="F94" s="7">
        <v>0</v>
      </c>
      <c r="G94" s="19" t="s">
        <v>1346</v>
      </c>
      <c r="H94" s="53">
        <f t="shared" si="1"/>
        <v>44712</v>
      </c>
      <c r="I94" s="53" t="s">
        <v>1347</v>
      </c>
      <c r="J94" s="10" t="s">
        <v>1760</v>
      </c>
    </row>
    <row r="95" spans="1:10">
      <c r="A95" s="7">
        <v>94</v>
      </c>
      <c r="B95" s="8" t="str">
        <f>VLOOKUP(A95,vaccines!A:B,2)</f>
        <v>Convacel</v>
      </c>
      <c r="C95" s="28" t="s">
        <v>1761</v>
      </c>
      <c r="D95" s="12">
        <v>46009</v>
      </c>
      <c r="E95" s="54">
        <v>1</v>
      </c>
      <c r="F95" s="54">
        <v>0</v>
      </c>
      <c r="G95" s="15" t="s">
        <v>1350</v>
      </c>
      <c r="H95" s="11">
        <f t="shared" si="1"/>
        <v>44712</v>
      </c>
      <c r="I95" s="52">
        <v>46053</v>
      </c>
      <c r="J95" s="28" t="s">
        <v>1762</v>
      </c>
    </row>
    <row r="96" spans="1:10">
      <c r="A96" s="7">
        <v>95</v>
      </c>
      <c r="B96" s="8" t="str">
        <f>VLOOKUP(A96,vaccines!A:B,2)</f>
        <v>Aurora</v>
      </c>
      <c r="C96" s="10" t="s">
        <v>1763</v>
      </c>
      <c r="D96" s="53">
        <v>44596</v>
      </c>
      <c r="E96" s="7">
        <v>2</v>
      </c>
      <c r="F96" s="7">
        <v>1</v>
      </c>
      <c r="G96" s="19" t="s">
        <v>1764</v>
      </c>
      <c r="H96" s="53">
        <f t="shared" si="1"/>
        <v>44712</v>
      </c>
      <c r="I96" s="53">
        <v>44904</v>
      </c>
      <c r="J96" s="10" t="s">
        <v>1765</v>
      </c>
    </row>
    <row r="97" spans="1:10">
      <c r="A97" s="7">
        <v>96</v>
      </c>
      <c r="B97" s="8" t="str">
        <f>VLOOKUP(A97,vaccines!A:B,2)</f>
        <v>Rota_V_Aid</v>
      </c>
      <c r="C97" s="28" t="s">
        <v>1766</v>
      </c>
      <c r="D97" s="12">
        <v>45594</v>
      </c>
      <c r="E97" s="7"/>
      <c r="F97" s="7"/>
      <c r="G97" s="15" t="s">
        <v>1356</v>
      </c>
      <c r="H97" s="11">
        <f t="shared" si="1"/>
        <v>44712</v>
      </c>
      <c r="I97" s="12">
        <v>45629</v>
      </c>
      <c r="J97" s="28" t="s">
        <v>1767</v>
      </c>
    </row>
    <row r="98" spans="1:10">
      <c r="A98" s="7">
        <v>97</v>
      </c>
      <c r="B98" s="8" t="str">
        <f>VLOOKUP(A98,vaccines!A:B,2)</f>
        <v>Hib_Rostov</v>
      </c>
      <c r="C98" s="10" t="s">
        <v>1768</v>
      </c>
      <c r="D98" s="53">
        <v>42577</v>
      </c>
      <c r="E98" s="7">
        <v>1</v>
      </c>
      <c r="F98" s="7">
        <v>0</v>
      </c>
      <c r="G98" s="19" t="s">
        <v>1359</v>
      </c>
      <c r="H98" s="53">
        <f t="shared" si="1"/>
        <v>44712</v>
      </c>
      <c r="I98" s="53">
        <v>44904</v>
      </c>
      <c r="J98" s="10" t="s">
        <v>1769</v>
      </c>
    </row>
    <row r="99" spans="1:10">
      <c r="A99" s="7">
        <v>98</v>
      </c>
      <c r="B99" s="8" t="str">
        <f>VLOOKUP(A99,vaccines!A:B,2)</f>
        <v>HepB_Combiotech_1_0</v>
      </c>
      <c r="C99" s="28" t="s">
        <v>1623</v>
      </c>
      <c r="D99" s="12">
        <v>46056</v>
      </c>
      <c r="E99" s="7">
        <v>1</v>
      </c>
      <c r="F99" s="7">
        <v>0</v>
      </c>
      <c r="G99" s="15" t="s">
        <v>1150</v>
      </c>
      <c r="H99" s="11">
        <f t="shared" si="1"/>
        <v>44712</v>
      </c>
      <c r="I99" s="52">
        <v>46130</v>
      </c>
      <c r="J99" s="28" t="s">
        <v>1624</v>
      </c>
    </row>
    <row r="100" spans="1:10">
      <c r="A100" s="7">
        <v>99</v>
      </c>
      <c r="B100" s="8" t="str">
        <f>VLOOKUP(A100,vaccines!A:B,2)</f>
        <v>Regevac_1_0</v>
      </c>
      <c r="C100" s="10" t="s">
        <v>1621</v>
      </c>
      <c r="D100" s="12">
        <v>45216</v>
      </c>
      <c r="E100" s="54">
        <v>1</v>
      </c>
      <c r="F100" s="54">
        <v>0</v>
      </c>
      <c r="G100" s="15" t="s">
        <v>1147</v>
      </c>
      <c r="H100" s="11">
        <f t="shared" si="1"/>
        <v>44712</v>
      </c>
      <c r="I100" s="52">
        <v>45988</v>
      </c>
      <c r="J100" s="10" t="s">
        <v>1622</v>
      </c>
    </row>
    <row r="101" spans="1:10">
      <c r="A101" s="7">
        <v>100</v>
      </c>
      <c r="B101" s="8" t="str">
        <f>VLOOKUP(A101,vaccines!A:B,2)</f>
        <v>Priorix_Tetra</v>
      </c>
      <c r="C101" s="28" t="s">
        <v>1770</v>
      </c>
      <c r="D101" s="12">
        <v>45453</v>
      </c>
      <c r="E101" s="7"/>
      <c r="F101" s="7"/>
      <c r="G101" s="15" t="s">
        <v>1366</v>
      </c>
      <c r="H101" s="11">
        <f t="shared" si="1"/>
        <v>44712</v>
      </c>
      <c r="I101" s="52">
        <v>45510</v>
      </c>
      <c r="J101" s="28" t="s">
        <v>1771</v>
      </c>
    </row>
    <row r="102" spans="1:10">
      <c r="A102" s="7">
        <v>101</v>
      </c>
      <c r="B102" s="8" t="str">
        <f>VLOOKUP(A102,vaccines!A:B,2)</f>
        <v>Menveo</v>
      </c>
      <c r="C102" s="10" t="s">
        <v>1772</v>
      </c>
      <c r="D102" s="53">
        <v>42958</v>
      </c>
      <c r="E102" s="7">
        <v>1</v>
      </c>
      <c r="F102" s="7">
        <v>0</v>
      </c>
      <c r="G102" s="19" t="s">
        <v>1369</v>
      </c>
      <c r="H102" s="53">
        <f t="shared" si="1"/>
        <v>44712</v>
      </c>
      <c r="I102" s="53">
        <v>45079</v>
      </c>
      <c r="J102" s="10" t="s">
        <v>1773</v>
      </c>
    </row>
    <row r="103" spans="1:10">
      <c r="A103" s="7">
        <v>102</v>
      </c>
      <c r="B103" s="8" t="str">
        <f>VLOOKUP(A103,vaccines!A:B,2)</f>
        <v>Sputnik_intranasal</v>
      </c>
      <c r="C103" s="10" t="s">
        <v>1774</v>
      </c>
      <c r="D103" s="53">
        <v>44651</v>
      </c>
      <c r="E103" s="7">
        <v>1</v>
      </c>
      <c r="F103" s="7">
        <v>0</v>
      </c>
      <c r="G103" s="19" t="s">
        <v>1372</v>
      </c>
      <c r="H103" s="53">
        <f t="shared" si="1"/>
        <v>44712</v>
      </c>
      <c r="I103" s="53">
        <v>44904</v>
      </c>
      <c r="J103" s="10" t="s">
        <v>1775</v>
      </c>
    </row>
    <row r="104" spans="1:10">
      <c r="A104" s="7">
        <v>103</v>
      </c>
      <c r="B104" s="8" t="str">
        <f>VLOOKUP(A104,vaccines!A:B,2)</f>
        <v>Grippol_plus_0_25</v>
      </c>
      <c r="C104" s="28" t="s">
        <v>1642</v>
      </c>
      <c r="D104" s="12">
        <v>45182</v>
      </c>
      <c r="E104" s="7"/>
      <c r="F104" s="7"/>
      <c r="G104" s="15" t="s">
        <v>1179</v>
      </c>
      <c r="H104" s="11">
        <f t="shared" si="1"/>
        <v>44712</v>
      </c>
      <c r="I104" s="52">
        <v>45483</v>
      </c>
      <c r="J104" s="28" t="s">
        <v>1643</v>
      </c>
    </row>
    <row r="105" spans="1:10">
      <c r="A105" s="7">
        <v>104</v>
      </c>
      <c r="B105" s="8" t="str">
        <f>VLOOKUP(A105,vaccines!A:B,2)</f>
        <v>Flu_M_Tetra</v>
      </c>
      <c r="C105" s="28" t="s">
        <v>1776</v>
      </c>
      <c r="D105" s="12">
        <v>45741</v>
      </c>
      <c r="E105" s="54">
        <v>1</v>
      </c>
      <c r="F105" s="54">
        <v>0</v>
      </c>
      <c r="G105" s="15" t="s">
        <v>1377</v>
      </c>
      <c r="H105" s="11">
        <f t="shared" si="1"/>
        <v>44712</v>
      </c>
      <c r="I105" s="52">
        <v>45798</v>
      </c>
      <c r="J105" s="28" t="s">
        <v>1777</v>
      </c>
    </row>
    <row r="106" spans="1:10">
      <c r="A106" s="7">
        <v>105</v>
      </c>
      <c r="B106" s="8" t="str">
        <f>VLOOKUP(A106,vaccines!A:B,2)</f>
        <v>Vaxigrip_Tetra</v>
      </c>
      <c r="C106" s="28" t="s">
        <v>1778</v>
      </c>
      <c r="D106" s="12">
        <v>45300</v>
      </c>
      <c r="E106" s="7"/>
      <c r="F106" s="7"/>
      <c r="G106" s="15" t="s">
        <v>1380</v>
      </c>
      <c r="H106" s="11">
        <f t="shared" si="1"/>
        <v>44712</v>
      </c>
      <c r="I106" s="52">
        <v>45489</v>
      </c>
      <c r="J106" s="28" t="s">
        <v>1779</v>
      </c>
    </row>
    <row r="107" spans="1:10">
      <c r="A107" s="7">
        <v>106</v>
      </c>
      <c r="B107" s="8" t="str">
        <f>VLOOKUP(A107,vaccines!A:B,2)</f>
        <v>Ocavax</v>
      </c>
      <c r="C107" s="28" t="s">
        <v>1780</v>
      </c>
      <c r="D107" s="53">
        <v>40233</v>
      </c>
      <c r="E107" s="7">
        <v>1</v>
      </c>
      <c r="F107" s="7">
        <v>0</v>
      </c>
      <c r="G107" s="19" t="s">
        <v>1781</v>
      </c>
      <c r="H107" s="53">
        <v>44902</v>
      </c>
      <c r="I107" s="53">
        <v>45079</v>
      </c>
      <c r="J107" s="28" t="s">
        <v>1782</v>
      </c>
    </row>
    <row r="108" spans="1:10">
      <c r="A108" s="7">
        <v>107</v>
      </c>
      <c r="B108" s="8" t="str">
        <f>VLOOKUP(A108,vaccines!A:B,2)</f>
        <v>Pneumo_23</v>
      </c>
      <c r="C108" s="10" t="s">
        <v>1783</v>
      </c>
      <c r="D108" s="53">
        <v>41688</v>
      </c>
      <c r="E108" s="7">
        <v>1</v>
      </c>
      <c r="F108" s="7">
        <v>0</v>
      </c>
      <c r="G108" s="19" t="s">
        <v>1386</v>
      </c>
      <c r="H108" s="53">
        <v>44902</v>
      </c>
      <c r="I108" s="53">
        <v>45079</v>
      </c>
      <c r="J108" s="10" t="s">
        <v>1784</v>
      </c>
    </row>
    <row r="109" spans="1:10">
      <c r="A109" s="7">
        <v>108</v>
      </c>
      <c r="B109" s="8" t="str">
        <f>VLOOKUP(A109,vaccines!A:B,2)</f>
        <v>Varivax</v>
      </c>
      <c r="C109" s="28" t="s">
        <v>1785</v>
      </c>
      <c r="D109" s="12">
        <v>45126</v>
      </c>
      <c r="E109" s="7"/>
      <c r="F109" s="7"/>
      <c r="G109" s="15" t="s">
        <v>1389</v>
      </c>
      <c r="H109" s="11">
        <v>44902</v>
      </c>
      <c r="I109" s="57">
        <v>45489</v>
      </c>
      <c r="J109" s="28" t="s">
        <v>1786</v>
      </c>
    </row>
    <row r="110" spans="1:10">
      <c r="A110" s="7">
        <v>109</v>
      </c>
      <c r="B110" s="8" t="str">
        <f>VLOOKUP(A110,vaccines!A:B,2)</f>
        <v>Pneumotex</v>
      </c>
      <c r="C110" s="28" t="s">
        <v>1787</v>
      </c>
      <c r="D110" s="12">
        <v>45777</v>
      </c>
      <c r="E110" s="7">
        <v>1</v>
      </c>
      <c r="F110" s="7">
        <v>0</v>
      </c>
      <c r="G110" s="15" t="s">
        <v>1392</v>
      </c>
      <c r="H110" s="11">
        <v>45063</v>
      </c>
      <c r="I110" s="57">
        <v>45818</v>
      </c>
      <c r="J110" s="28" t="s">
        <v>1788</v>
      </c>
    </row>
    <row r="111" spans="1:10">
      <c r="A111" s="7">
        <v>110</v>
      </c>
      <c r="B111" s="8" t="str">
        <f>VLOOKUP(A111,vaccines!A:B,2)</f>
        <v>Priorix</v>
      </c>
      <c r="C111" s="10" t="s">
        <v>1789</v>
      </c>
      <c r="D111" s="53">
        <v>42177</v>
      </c>
      <c r="E111" s="7">
        <v>4</v>
      </c>
      <c r="F111" s="7">
        <v>4</v>
      </c>
      <c r="G111" s="19" t="s">
        <v>1790</v>
      </c>
      <c r="H111" s="53">
        <v>45079</v>
      </c>
      <c r="I111" s="58"/>
      <c r="J111" s="10" t="s">
        <v>1791</v>
      </c>
    </row>
    <row r="112" spans="1:10">
      <c r="A112" s="7">
        <v>111</v>
      </c>
      <c r="B112" s="8" t="str">
        <f>VLOOKUP(A112,vaccines!A:B,2)</f>
        <v>MenQuadfi</v>
      </c>
      <c r="C112" s="28" t="s">
        <v>1792</v>
      </c>
      <c r="D112" s="12">
        <v>45932</v>
      </c>
      <c r="E112" s="54">
        <v>1</v>
      </c>
      <c r="F112" s="54">
        <v>0</v>
      </c>
      <c r="G112" s="15" t="s">
        <v>1398</v>
      </c>
      <c r="H112" s="11">
        <v>45083</v>
      </c>
      <c r="I112" s="57">
        <v>46072</v>
      </c>
      <c r="J112" s="28" t="s">
        <v>1793</v>
      </c>
    </row>
    <row r="113" spans="1:10">
      <c r="A113" s="7">
        <v>112</v>
      </c>
      <c r="B113" s="8" t="str">
        <f>VLOOKUP(A113,vaccines!A:B,2)</f>
        <v>Bexsero</v>
      </c>
      <c r="C113" s="28" t="s">
        <v>1794</v>
      </c>
      <c r="D113" s="12">
        <v>45391</v>
      </c>
      <c r="E113" s="7"/>
      <c r="F113" s="7"/>
      <c r="G113" s="15" t="s">
        <v>1401</v>
      </c>
      <c r="H113" s="11">
        <v>45083</v>
      </c>
      <c r="I113" s="57">
        <v>45489</v>
      </c>
      <c r="J113" s="28" t="s">
        <v>1795</v>
      </c>
    </row>
    <row r="114" spans="1:10">
      <c r="A114" s="7">
        <v>113</v>
      </c>
      <c r="B114" s="8" t="str">
        <f>VLOOKUP(A114,vaccines!A:B,2)</f>
        <v>Sputnik_D</v>
      </c>
      <c r="C114" s="10" t="s">
        <v>1796</v>
      </c>
      <c r="D114" s="53">
        <v>45030</v>
      </c>
      <c r="E114" s="7">
        <v>1</v>
      </c>
      <c r="F114" s="7">
        <v>0</v>
      </c>
      <c r="G114" s="19" t="s">
        <v>1404</v>
      </c>
      <c r="H114" s="53">
        <v>45083</v>
      </c>
      <c r="I114" s="58"/>
      <c r="J114" s="10" t="s">
        <v>1797</v>
      </c>
    </row>
    <row r="115" spans="1:10">
      <c r="A115" s="7">
        <v>114</v>
      </c>
      <c r="B115" s="8" t="str">
        <f>VLOOKUP(A115,vaccines!A:B,2)</f>
        <v>Encepur_0_25</v>
      </c>
      <c r="C115" s="10" t="s">
        <v>1798</v>
      </c>
      <c r="D115" s="53">
        <v>41626</v>
      </c>
      <c r="E115" s="7">
        <v>2</v>
      </c>
      <c r="F115" s="7">
        <v>3</v>
      </c>
      <c r="G115" s="19" t="s">
        <v>1799</v>
      </c>
      <c r="H115" s="53">
        <v>45083</v>
      </c>
      <c r="I115" s="58"/>
      <c r="J115" s="10" t="s">
        <v>1800</v>
      </c>
    </row>
    <row r="116" spans="1:10">
      <c r="A116" s="7">
        <v>115</v>
      </c>
      <c r="B116" s="8" t="str">
        <f>VLOOKUP(A116,vaccines!A:B,2)</f>
        <v>Encepur_0_5</v>
      </c>
      <c r="C116" s="10" t="s">
        <v>1798</v>
      </c>
      <c r="D116" s="53">
        <v>41626</v>
      </c>
      <c r="E116" s="7">
        <v>3</v>
      </c>
      <c r="F116" s="7">
        <v>5</v>
      </c>
      <c r="G116" s="19" t="s">
        <v>1801</v>
      </c>
      <c r="H116" s="53">
        <v>45083</v>
      </c>
      <c r="I116" s="58"/>
      <c r="J116" s="10" t="s">
        <v>1800</v>
      </c>
    </row>
    <row r="117" spans="1:10">
      <c r="A117" s="7">
        <v>116</v>
      </c>
      <c r="B117" s="8" t="str">
        <f>VLOOKUP(A117,vaccines!A:B,2)</f>
        <v>Poliovaccine</v>
      </c>
      <c r="C117" s="10" t="s">
        <v>1802</v>
      </c>
      <c r="D117" s="53">
        <v>44476</v>
      </c>
      <c r="E117" s="7">
        <v>1</v>
      </c>
      <c r="F117" s="7">
        <v>0</v>
      </c>
      <c r="G117" s="19" t="s">
        <v>1412</v>
      </c>
      <c r="H117" s="53">
        <v>45083</v>
      </c>
      <c r="I117" s="58"/>
      <c r="J117" s="10" t="s">
        <v>1803</v>
      </c>
    </row>
    <row r="118" spans="1:10">
      <c r="A118" s="7">
        <v>117</v>
      </c>
      <c r="B118" s="8" t="str">
        <f>VLOOKUP(A118,vaccines!A:B,2)</f>
        <v>Act_Hib</v>
      </c>
      <c r="C118" s="10" t="s">
        <v>1804</v>
      </c>
      <c r="D118" s="53">
        <v>41936</v>
      </c>
      <c r="E118" s="7">
        <v>1</v>
      </c>
      <c r="F118" s="7">
        <v>0</v>
      </c>
      <c r="G118" s="19" t="s">
        <v>1414</v>
      </c>
      <c r="H118" s="53">
        <v>45084</v>
      </c>
      <c r="I118" s="58"/>
      <c r="J118" s="10" t="s">
        <v>1805</v>
      </c>
    </row>
    <row r="119" spans="1:10">
      <c r="A119" s="7">
        <v>118</v>
      </c>
      <c r="B119" s="8" t="str">
        <f>VLOOKUP(A119,vaccines!A:B,2)</f>
        <v>Hiberix</v>
      </c>
      <c r="C119" s="10" t="s">
        <v>1806</v>
      </c>
      <c r="D119" s="53">
        <v>41047</v>
      </c>
      <c r="E119" s="7">
        <v>1</v>
      </c>
      <c r="F119" s="7">
        <v>0</v>
      </c>
      <c r="G119" s="19" t="s">
        <v>1417</v>
      </c>
      <c r="H119" s="53">
        <v>45085</v>
      </c>
      <c r="I119" s="58"/>
      <c r="J119" s="10" t="s">
        <v>1807</v>
      </c>
    </row>
    <row r="120" spans="1:10">
      <c r="A120" s="7">
        <v>119</v>
      </c>
      <c r="B120" s="8" t="str">
        <f>VLOOKUP(A120,vaccines!A:B,2)</f>
        <v>FSME_Immun_Junior</v>
      </c>
      <c r="C120" s="10" t="s">
        <v>1808</v>
      </c>
      <c r="D120" s="53">
        <v>43115</v>
      </c>
      <c r="E120" s="7">
        <v>1</v>
      </c>
      <c r="F120" s="7">
        <v>0</v>
      </c>
      <c r="G120" s="19" t="s">
        <v>1420</v>
      </c>
      <c r="H120" s="53">
        <v>45085</v>
      </c>
      <c r="I120" s="58"/>
      <c r="J120" s="10" t="s">
        <v>1809</v>
      </c>
    </row>
    <row r="121" spans="1:10">
      <c r="A121" s="7">
        <v>120</v>
      </c>
      <c r="B121" s="8" t="str">
        <f>VLOOKUP(A121,vaccines!A:B,2)</f>
        <v>FSME_Immun</v>
      </c>
      <c r="C121" s="10" t="s">
        <v>1808</v>
      </c>
      <c r="D121" s="53">
        <v>44169</v>
      </c>
      <c r="E121" s="7">
        <v>1</v>
      </c>
      <c r="F121" s="7">
        <v>0</v>
      </c>
      <c r="G121" s="19" t="s">
        <v>1423</v>
      </c>
      <c r="H121" s="53">
        <v>45085</v>
      </c>
      <c r="I121" s="58"/>
      <c r="J121" s="10" t="s">
        <v>1809</v>
      </c>
    </row>
    <row r="122" spans="1:10">
      <c r="A122" s="7">
        <v>121</v>
      </c>
      <c r="B122" s="8" t="str">
        <f>VLOOKUP(A122,vaccines!A:B,2)</f>
        <v>SciBiVac</v>
      </c>
      <c r="C122" s="10" t="s">
        <v>1810</v>
      </c>
      <c r="D122" s="53">
        <v>44762</v>
      </c>
      <c r="E122" s="7">
        <v>1</v>
      </c>
      <c r="F122" s="7">
        <v>0</v>
      </c>
      <c r="G122" s="19" t="s">
        <v>1426</v>
      </c>
      <c r="H122" s="53">
        <v>45085</v>
      </c>
      <c r="I122" s="58"/>
      <c r="J122" s="10" t="s">
        <v>1811</v>
      </c>
    </row>
    <row r="123" spans="1:10">
      <c r="A123" s="7">
        <v>122</v>
      </c>
      <c r="B123" s="8" t="str">
        <f>VLOOKUP(A123,vaccines!A:B,2)</f>
        <v>Pentavaccina</v>
      </c>
      <c r="C123" s="28" t="s">
        <v>1812</v>
      </c>
      <c r="D123" s="52">
        <v>45320</v>
      </c>
      <c r="E123" s="7"/>
      <c r="F123" s="7"/>
      <c r="G123" s="15" t="s">
        <v>1429</v>
      </c>
      <c r="H123" s="53">
        <v>45105</v>
      </c>
      <c r="I123" s="57">
        <v>45460</v>
      </c>
      <c r="J123" s="28" t="s">
        <v>1813</v>
      </c>
    </row>
    <row r="124" spans="1:10">
      <c r="A124" s="29">
        <v>123</v>
      </c>
      <c r="B124" s="8" t="str">
        <f>VLOOKUP(A124,vaccines!A:B,2)</f>
        <v>Vitagerpavac</v>
      </c>
      <c r="C124" s="47" t="s">
        <v>1814</v>
      </c>
      <c r="D124" s="60">
        <v>40255</v>
      </c>
      <c r="E124" s="29">
        <v>1</v>
      </c>
      <c r="F124" s="29">
        <v>0</v>
      </c>
      <c r="G124" s="33" t="s">
        <v>1432</v>
      </c>
      <c r="H124" s="60">
        <v>45169</v>
      </c>
      <c r="J124" s="47" t="s">
        <v>1815</v>
      </c>
    </row>
    <row r="125" spans="1:10">
      <c r="A125" s="29">
        <v>124</v>
      </c>
      <c r="B125" s="8" t="str">
        <f>VLOOKUP(A125,vaccines!A:B,2)</f>
        <v>Shingrix</v>
      </c>
      <c r="C125" s="47" t="s">
        <v>1816</v>
      </c>
      <c r="D125" s="40">
        <v>45440</v>
      </c>
      <c r="G125" s="33" t="s">
        <v>1435</v>
      </c>
      <c r="H125" s="40">
        <v>45377</v>
      </c>
      <c r="I125" s="40">
        <v>45589</v>
      </c>
      <c r="J125" s="47" t="s">
        <v>1817</v>
      </c>
    </row>
    <row r="126" spans="1:10">
      <c r="A126" s="29">
        <v>125</v>
      </c>
      <c r="B126" s="8" t="str">
        <f>VLOOKUP(A126,vaccines!A:B,2)</f>
        <v>Trivaid</v>
      </c>
      <c r="C126" s="47" t="s">
        <v>1818</v>
      </c>
      <c r="D126" s="12">
        <v>45996</v>
      </c>
      <c r="E126" s="54">
        <v>1</v>
      </c>
      <c r="F126" s="54">
        <v>0</v>
      </c>
      <c r="G126" s="15" t="s">
        <v>1438</v>
      </c>
      <c r="H126" s="11">
        <v>45436</v>
      </c>
      <c r="I126" s="40">
        <v>46053</v>
      </c>
      <c r="J126" s="47" t="s">
        <v>1819</v>
      </c>
    </row>
    <row r="127" spans="1:10">
      <c r="A127" s="29">
        <v>126</v>
      </c>
      <c r="B127" s="8" t="str">
        <f>VLOOKUP(A127,vaccines!A:B,2)</f>
        <v>BabyHib</v>
      </c>
      <c r="C127" s="47" t="s">
        <v>1820</v>
      </c>
      <c r="D127" s="12">
        <v>45938</v>
      </c>
      <c r="E127" s="7">
        <v>1</v>
      </c>
      <c r="F127" s="7">
        <v>0</v>
      </c>
      <c r="G127" s="15" t="s">
        <v>1441</v>
      </c>
      <c r="H127" s="11">
        <v>45436</v>
      </c>
      <c r="I127" s="40">
        <v>45988</v>
      </c>
      <c r="J127" s="47" t="s">
        <v>1821</v>
      </c>
    </row>
    <row r="128" spans="1:10">
      <c r="A128" s="29">
        <v>127</v>
      </c>
      <c r="B128" s="8" t="str">
        <f>VLOOKUP(A128,vaccines!A:B,2)</f>
        <v>AD_M_Biomed</v>
      </c>
      <c r="C128" s="47" t="s">
        <v>1822</v>
      </c>
      <c r="D128" s="60">
        <v>41046</v>
      </c>
      <c r="E128" s="29">
        <v>1</v>
      </c>
      <c r="F128" s="29">
        <v>0</v>
      </c>
      <c r="G128" s="33" t="s">
        <v>1444</v>
      </c>
      <c r="H128" s="12">
        <v>45461</v>
      </c>
      <c r="J128" s="47" t="s">
        <v>1823</v>
      </c>
    </row>
    <row r="129" spans="1:10">
      <c r="A129" s="29">
        <v>128</v>
      </c>
      <c r="B129" s="8" t="str">
        <f>VLOOKUP(A129,vaccines!A:B,2)</f>
        <v>AS_D_Microgen</v>
      </c>
      <c r="C129" s="47" t="s">
        <v>1824</v>
      </c>
      <c r="D129" s="40">
        <v>45266</v>
      </c>
      <c r="G129" s="34" t="s">
        <v>1447</v>
      </c>
      <c r="H129" s="12">
        <v>45461</v>
      </c>
      <c r="J129" s="47" t="s">
        <v>1825</v>
      </c>
    </row>
    <row r="130" spans="1:10">
      <c r="A130" s="29">
        <v>129</v>
      </c>
      <c r="B130" s="8" t="str">
        <f>VLOOKUP(A130,vaccines!A:B,2)</f>
        <v>Variola</v>
      </c>
      <c r="C130" s="47" t="s">
        <v>1826</v>
      </c>
      <c r="D130" s="40">
        <v>45252</v>
      </c>
      <c r="G130" s="33" t="s">
        <v>1450</v>
      </c>
      <c r="H130" s="12">
        <v>45461</v>
      </c>
      <c r="J130" s="47" t="s">
        <v>1827</v>
      </c>
    </row>
    <row r="131" spans="1:10">
      <c r="A131" s="29">
        <v>130</v>
      </c>
      <c r="B131" s="8" t="str">
        <f>VLOOKUP(A131,vaccines!A:B,2)</f>
        <v>AKDS_HepB_Microgen</v>
      </c>
      <c r="C131" s="47" t="s">
        <v>1828</v>
      </c>
      <c r="D131" s="40">
        <v>45135</v>
      </c>
      <c r="G131" s="33" t="s">
        <v>1453</v>
      </c>
      <c r="H131" s="40">
        <v>45464</v>
      </c>
      <c r="J131" s="47" t="s">
        <v>1829</v>
      </c>
    </row>
    <row r="132" spans="1:10">
      <c r="A132" s="29">
        <v>131</v>
      </c>
      <c r="B132" s="8" t="str">
        <f>VLOOKUP(A132,vaccines!A:B,2)</f>
        <v>Rickettsia</v>
      </c>
      <c r="C132" s="47" t="s">
        <v>1830</v>
      </c>
      <c r="D132" s="40">
        <v>45107</v>
      </c>
      <c r="G132" s="33" t="s">
        <v>1456</v>
      </c>
      <c r="H132" s="40">
        <v>45464</v>
      </c>
      <c r="J132" s="47" t="s">
        <v>1831</v>
      </c>
    </row>
    <row r="133" spans="1:10">
      <c r="A133" s="29">
        <v>132</v>
      </c>
      <c r="B133" s="8" t="str">
        <f>VLOOKUP(A133,vaccines!A:B,2)</f>
        <v>OspaVir</v>
      </c>
      <c r="C133" s="47" t="s">
        <v>1832</v>
      </c>
      <c r="D133" s="40">
        <v>45077</v>
      </c>
      <c r="G133" s="33" t="s">
        <v>1459</v>
      </c>
      <c r="H133" s="40">
        <v>45464</v>
      </c>
      <c r="J133" s="47" t="s">
        <v>1833</v>
      </c>
    </row>
    <row r="134" spans="1:10">
      <c r="A134" s="29">
        <v>133</v>
      </c>
      <c r="B134" s="8" t="str">
        <f>VLOOKUP(A134,vaccines!A:B,2)</f>
        <v>Gonovaccina_therapeutic</v>
      </c>
      <c r="C134" s="47" t="s">
        <v>1834</v>
      </c>
      <c r="D134" s="40">
        <v>44942</v>
      </c>
      <c r="G134" s="33" t="s">
        <v>1462</v>
      </c>
      <c r="H134" s="40">
        <v>45464</v>
      </c>
      <c r="J134" s="47" t="s">
        <v>1835</v>
      </c>
    </row>
    <row r="135" spans="1:10">
      <c r="A135" s="29">
        <v>134</v>
      </c>
      <c r="B135" s="8" t="str">
        <f>VLOOKUP(A135,vaccines!A:B,2)</f>
        <v>OrtopoxVac</v>
      </c>
      <c r="C135" s="47" t="s">
        <v>1836</v>
      </c>
      <c r="D135" s="11">
        <v>45147</v>
      </c>
      <c r="E135" s="8"/>
      <c r="F135" s="8"/>
      <c r="G135" s="19" t="s">
        <v>1465</v>
      </c>
      <c r="H135" s="11">
        <v>45465</v>
      </c>
      <c r="J135" s="47" t="s">
        <v>1837</v>
      </c>
    </row>
    <row r="136" spans="1:10">
      <c r="A136" s="29">
        <v>135</v>
      </c>
      <c r="B136" s="8" t="str">
        <f>VLOOKUP(A136,vaccines!A:B,2)</f>
        <v>FlexVac</v>
      </c>
      <c r="C136" s="47" t="s">
        <v>1838</v>
      </c>
      <c r="D136" s="40">
        <v>46126</v>
      </c>
      <c r="E136" s="29">
        <v>1</v>
      </c>
      <c r="F136" s="29">
        <v>0</v>
      </c>
      <c r="G136" s="33" t="s">
        <v>1468</v>
      </c>
      <c r="H136" s="11">
        <v>45465</v>
      </c>
      <c r="I136" s="40">
        <v>46188</v>
      </c>
      <c r="J136" s="47" t="s">
        <v>1839</v>
      </c>
    </row>
    <row r="137" spans="1:10">
      <c r="A137" s="29">
        <v>136</v>
      </c>
      <c r="B137" s="8" t="str">
        <f>VLOOKUP(A137,vaccines!A:B,2)</f>
        <v>SinSaVac</v>
      </c>
      <c r="C137" s="47" t="s">
        <v>1840</v>
      </c>
      <c r="D137" s="40">
        <v>44537</v>
      </c>
      <c r="E137" s="29">
        <v>1</v>
      </c>
      <c r="F137" s="29">
        <v>0</v>
      </c>
      <c r="G137" s="33" t="s">
        <v>1471</v>
      </c>
      <c r="H137" s="11">
        <v>45465</v>
      </c>
      <c r="J137" s="47" t="s">
        <v>1841</v>
      </c>
    </row>
    <row r="138" spans="1:10">
      <c r="A138" s="29">
        <v>138</v>
      </c>
      <c r="B138" s="8" t="str">
        <f>VLOOKUP(A138,vaccines!A:B,2)</f>
        <v>EpiVacEbola</v>
      </c>
      <c r="C138" s="47" t="s">
        <v>1842</v>
      </c>
      <c r="D138" s="40">
        <v>43185</v>
      </c>
      <c r="E138" s="29">
        <v>1</v>
      </c>
      <c r="F138" s="29">
        <v>0</v>
      </c>
      <c r="G138" s="33" t="s">
        <v>1474</v>
      </c>
      <c r="H138" s="40">
        <v>45465</v>
      </c>
      <c r="J138" s="47" t="s">
        <v>1843</v>
      </c>
    </row>
    <row r="139" spans="1:10">
      <c r="A139" s="29">
        <v>139</v>
      </c>
      <c r="B139" s="8" t="str">
        <f>VLOOKUP(A139,vaccines!A:B,2)</f>
        <v>GamEvac_Combi</v>
      </c>
      <c r="C139" s="47" t="s">
        <v>1844</v>
      </c>
      <c r="D139" s="40">
        <v>46099</v>
      </c>
      <c r="E139" s="29">
        <v>1</v>
      </c>
      <c r="F139" s="29">
        <v>0</v>
      </c>
      <c r="G139" s="33" t="s">
        <v>1477</v>
      </c>
      <c r="H139" s="40">
        <v>46131</v>
      </c>
      <c r="J139" s="47" t="s">
        <v>1845</v>
      </c>
    </row>
    <row r="140" spans="1:10">
      <c r="A140" s="29">
        <v>141</v>
      </c>
      <c r="B140" s="8" t="str">
        <f>VLOOKUP(A140,vaccines!A:B,2)</f>
        <v>Staphylococcus_therapeutic_Biomed</v>
      </c>
      <c r="C140" s="47" t="s">
        <v>1846</v>
      </c>
      <c r="D140" s="40">
        <v>43388</v>
      </c>
      <c r="E140" s="29">
        <v>1</v>
      </c>
      <c r="F140" s="29">
        <v>0</v>
      </c>
      <c r="G140" s="34" t="s">
        <v>1480</v>
      </c>
      <c r="H140" s="40">
        <v>45465</v>
      </c>
      <c r="J140" s="47" t="s">
        <v>1847</v>
      </c>
    </row>
    <row r="141" spans="1:10">
      <c r="A141" s="29">
        <v>142</v>
      </c>
      <c r="B141" s="8" t="str">
        <f>VLOOKUP(A141,vaccines!A:B,2)</f>
        <v>Pseudovac</v>
      </c>
      <c r="C141" s="47" t="s">
        <v>1848</v>
      </c>
      <c r="D141" s="40">
        <v>42809</v>
      </c>
      <c r="E141" s="29">
        <v>1</v>
      </c>
      <c r="F141" s="29">
        <v>0</v>
      </c>
      <c r="G141" s="34" t="s">
        <v>1483</v>
      </c>
      <c r="H141" s="40">
        <v>45466</v>
      </c>
      <c r="J141" s="47" t="s">
        <v>1849</v>
      </c>
    </row>
    <row r="142" spans="1:10">
      <c r="A142" s="29">
        <v>143</v>
      </c>
      <c r="B142" s="8" t="str">
        <f>VLOOKUP(A142,vaccines!A:B,2)</f>
        <v>SPSA_therapeutic</v>
      </c>
      <c r="C142" s="47" t="s">
        <v>1850</v>
      </c>
      <c r="D142" s="40">
        <v>40819</v>
      </c>
      <c r="E142" s="29">
        <v>1</v>
      </c>
      <c r="F142" s="29">
        <v>0</v>
      </c>
      <c r="G142" s="33" t="s">
        <v>1486</v>
      </c>
      <c r="H142" s="40">
        <v>45466</v>
      </c>
      <c r="J142" s="47" t="s">
        <v>1851</v>
      </c>
    </row>
    <row r="143" spans="1:10">
      <c r="A143" s="29">
        <v>144</v>
      </c>
      <c r="B143" s="8" t="str">
        <f>VLOOKUP(A143,vaccines!A:B,2)</f>
        <v>HepB_Serum_India_0_5</v>
      </c>
      <c r="C143" s="47" t="s">
        <v>1852</v>
      </c>
      <c r="D143" s="40">
        <v>45981</v>
      </c>
      <c r="E143" s="29">
        <v>1</v>
      </c>
      <c r="F143" s="29">
        <v>0</v>
      </c>
      <c r="G143" s="33" t="s">
        <v>1489</v>
      </c>
      <c r="H143" s="40">
        <v>45466</v>
      </c>
      <c r="I143" s="60">
        <v>46053</v>
      </c>
      <c r="J143" s="47" t="s">
        <v>1853</v>
      </c>
    </row>
    <row r="144" spans="1:10">
      <c r="A144" s="29">
        <v>145</v>
      </c>
      <c r="B144" s="8" t="str">
        <f>VLOOKUP(A144,vaccines!A:B,2)</f>
        <v>Polio_1_2_3</v>
      </c>
      <c r="C144" s="47" t="s">
        <v>1854</v>
      </c>
      <c r="D144" s="40">
        <v>45275</v>
      </c>
      <c r="E144" s="29">
        <v>1</v>
      </c>
      <c r="F144" s="29">
        <v>0</v>
      </c>
      <c r="G144" s="33" t="s">
        <v>1492</v>
      </c>
      <c r="H144" s="40">
        <v>45466</v>
      </c>
      <c r="J144" s="47" t="s">
        <v>1855</v>
      </c>
    </row>
    <row r="145" spans="1:10">
      <c r="A145" s="29">
        <v>146</v>
      </c>
      <c r="B145" s="8" t="str">
        <f>VLOOKUP(A145,vaccines!A:B,2)</f>
        <v>TEOVac_chew_tablets</v>
      </c>
      <c r="C145" s="47" t="s">
        <v>1856</v>
      </c>
      <c r="D145" s="40">
        <v>40396</v>
      </c>
      <c r="E145" s="29">
        <v>1</v>
      </c>
      <c r="F145" s="29">
        <v>0</v>
      </c>
      <c r="G145" s="33" t="s">
        <v>1495</v>
      </c>
      <c r="H145" s="40">
        <v>45467</v>
      </c>
      <c r="J145" s="47" t="s">
        <v>1857</v>
      </c>
    </row>
    <row r="146" spans="1:10">
      <c r="A146" s="29">
        <v>147</v>
      </c>
      <c r="B146" s="8" t="str">
        <f>VLOOKUP(A146,vaccines!A:B,2)</f>
        <v>TEOVac_tablets</v>
      </c>
      <c r="C146" s="47" t="s">
        <v>1856</v>
      </c>
      <c r="D146" s="40">
        <v>40392</v>
      </c>
      <c r="E146" s="29">
        <v>1</v>
      </c>
      <c r="F146" s="29">
        <v>0</v>
      </c>
      <c r="G146" s="33" t="s">
        <v>1497</v>
      </c>
      <c r="H146" s="40">
        <v>45467</v>
      </c>
      <c r="J146" s="47" t="s">
        <v>1857</v>
      </c>
    </row>
    <row r="147" spans="1:10">
      <c r="A147" s="29">
        <v>148</v>
      </c>
      <c r="B147" s="8" t="str">
        <f>VLOOKUP(A147,vaccines!A:B,2)</f>
        <v>Uro_BCG_therapeutic</v>
      </c>
      <c r="C147" s="47" t="s">
        <v>1858</v>
      </c>
      <c r="D147" s="40">
        <v>42947</v>
      </c>
      <c r="E147" s="29">
        <v>1</v>
      </c>
      <c r="F147" s="29">
        <v>0</v>
      </c>
      <c r="G147" s="33" t="s">
        <v>1499</v>
      </c>
      <c r="H147" s="40">
        <v>45494</v>
      </c>
      <c r="J147" s="47" t="s">
        <v>1859</v>
      </c>
    </row>
    <row r="148" spans="1:10">
      <c r="A148" s="29">
        <v>149</v>
      </c>
      <c r="B148" s="8" t="str">
        <f>VLOOKUP(A148,vaccines!A:B,2)</f>
        <v>Flu_Microgen</v>
      </c>
      <c r="C148" s="47" t="s">
        <v>1860</v>
      </c>
      <c r="D148" s="40">
        <v>40940</v>
      </c>
      <c r="E148" s="29">
        <v>1</v>
      </c>
      <c r="F148" s="29">
        <v>0</v>
      </c>
      <c r="G148" s="33" t="s">
        <v>1502</v>
      </c>
      <c r="H148" s="40">
        <v>45494</v>
      </c>
      <c r="J148" s="47" t="s">
        <v>1861</v>
      </c>
    </row>
    <row r="149" spans="1:10">
      <c r="A149" s="29">
        <v>150</v>
      </c>
      <c r="B149" s="8" t="str">
        <f>VLOOKUP(A149,vaccines!A:B,2)</f>
        <v>MonoGrippol_plus</v>
      </c>
      <c r="C149" s="47" t="s">
        <v>1862</v>
      </c>
      <c r="D149" s="40">
        <v>42719</v>
      </c>
      <c r="E149" s="29">
        <v>1</v>
      </c>
      <c r="F149" s="29">
        <v>0</v>
      </c>
      <c r="G149" s="33" t="s">
        <v>1505</v>
      </c>
      <c r="H149" s="40">
        <v>45494</v>
      </c>
      <c r="J149" s="47" t="s">
        <v>1863</v>
      </c>
    </row>
    <row r="150" spans="1:10">
      <c r="A150" s="29">
        <v>151</v>
      </c>
      <c r="B150" s="8" t="str">
        <f>VLOOKUP(A150,vaccines!A:B,2)</f>
        <v>MonoGrippol_Neo</v>
      </c>
      <c r="C150" s="47" t="s">
        <v>1864</v>
      </c>
      <c r="D150" s="40">
        <v>40102</v>
      </c>
      <c r="E150" s="29">
        <v>1</v>
      </c>
      <c r="F150" s="29">
        <v>0</v>
      </c>
      <c r="G150" s="33" t="s">
        <v>1508</v>
      </c>
      <c r="H150" s="40">
        <v>45494</v>
      </c>
      <c r="J150" s="47" t="s">
        <v>1865</v>
      </c>
    </row>
    <row r="151" spans="1:10">
      <c r="A151" s="29">
        <v>152</v>
      </c>
      <c r="B151" s="8" t="str">
        <f>VLOOKUP(A151,vaccines!A:B,2)</f>
        <v>MonoGrippol</v>
      </c>
      <c r="C151" s="47" t="s">
        <v>1864</v>
      </c>
      <c r="D151" s="40">
        <v>40102</v>
      </c>
      <c r="E151" s="29">
        <v>1</v>
      </c>
      <c r="F151" s="29">
        <v>0</v>
      </c>
      <c r="G151" s="33" t="s">
        <v>1510</v>
      </c>
      <c r="H151" s="40">
        <v>45494</v>
      </c>
      <c r="J151" s="47" t="s">
        <v>1865</v>
      </c>
    </row>
    <row r="152" spans="1:10">
      <c r="A152" s="29">
        <v>153</v>
      </c>
      <c r="B152" s="8" t="str">
        <f>VLOOKUP(A152,vaccines!A:B,2)</f>
        <v>Influvir</v>
      </c>
      <c r="C152" s="47" t="s">
        <v>1866</v>
      </c>
      <c r="D152" s="40">
        <v>45681</v>
      </c>
      <c r="E152" s="29">
        <v>1</v>
      </c>
      <c r="F152" s="29">
        <v>0</v>
      </c>
      <c r="G152" s="34" t="s">
        <v>1512</v>
      </c>
      <c r="H152" s="40">
        <v>45494</v>
      </c>
      <c r="I152" s="40">
        <v>45717</v>
      </c>
      <c r="J152" s="47" t="s">
        <v>1867</v>
      </c>
    </row>
    <row r="153" spans="1:10">
      <c r="A153" s="29">
        <v>154</v>
      </c>
      <c r="B153" s="8" t="str">
        <f>VLOOKUP(A153,vaccines!A:B,2)</f>
        <v>Pandeflu</v>
      </c>
      <c r="C153" s="47" t="s">
        <v>1868</v>
      </c>
      <c r="D153" s="40">
        <v>45719</v>
      </c>
      <c r="E153" s="29">
        <v>1</v>
      </c>
      <c r="F153" s="29">
        <v>0</v>
      </c>
      <c r="G153" s="34" t="s">
        <v>1515</v>
      </c>
      <c r="H153" s="40">
        <v>45494</v>
      </c>
      <c r="I153" s="40">
        <v>45750</v>
      </c>
      <c r="J153" s="47" t="s">
        <v>1869</v>
      </c>
    </row>
    <row r="154" spans="1:10">
      <c r="A154" s="29">
        <v>155</v>
      </c>
      <c r="B154" s="8" t="str">
        <f>VLOOKUP(A154,vaccines!A:B,2)</f>
        <v>Grippol_Neo</v>
      </c>
      <c r="C154" s="47" t="s">
        <v>1864</v>
      </c>
      <c r="D154" s="40">
        <v>40274</v>
      </c>
      <c r="E154" s="29">
        <v>1</v>
      </c>
      <c r="F154" s="29">
        <v>0</v>
      </c>
      <c r="G154" s="34" t="s">
        <v>1518</v>
      </c>
      <c r="H154" s="40">
        <v>45494</v>
      </c>
      <c r="J154" s="47" t="s">
        <v>1865</v>
      </c>
    </row>
    <row r="155" spans="1:10">
      <c r="A155" s="29">
        <v>156</v>
      </c>
      <c r="B155" s="8" t="str">
        <f>VLOOKUP(A155,vaccines!A:B,2)</f>
        <v>Ultravac</v>
      </c>
      <c r="C155" s="47" t="s">
        <v>1870</v>
      </c>
      <c r="D155" s="40">
        <v>45569</v>
      </c>
      <c r="G155" s="9" t="s">
        <v>1521</v>
      </c>
      <c r="H155" s="40">
        <v>45494</v>
      </c>
      <c r="I155" s="40">
        <v>45622</v>
      </c>
      <c r="J155" s="47" t="s">
        <v>1871</v>
      </c>
    </row>
    <row r="156" spans="1:10">
      <c r="A156" s="29">
        <v>158</v>
      </c>
      <c r="B156" s="8" t="str">
        <f>VLOOKUP(A156,vaccines!A:B,2)</f>
        <v>Gerpovax_therapeutic</v>
      </c>
      <c r="C156" s="47" t="s">
        <v>1872</v>
      </c>
      <c r="D156" s="40">
        <v>43808</v>
      </c>
      <c r="E156" s="29">
        <v>1</v>
      </c>
      <c r="F156" s="29">
        <v>0</v>
      </c>
      <c r="G156" s="33" t="s">
        <v>1524</v>
      </c>
      <c r="H156" s="40">
        <v>45496</v>
      </c>
      <c r="J156" s="47" t="s">
        <v>1873</v>
      </c>
    </row>
    <row r="157" spans="1:10">
      <c r="A157" s="29">
        <v>159</v>
      </c>
      <c r="B157" s="8" t="str">
        <f>VLOOKUP(A157,vaccines!A:B,2)</f>
        <v>Ultragrivac</v>
      </c>
      <c r="C157" s="47" t="s">
        <v>1874</v>
      </c>
      <c r="D157" s="40">
        <v>45775</v>
      </c>
      <c r="E157" s="29">
        <v>1</v>
      </c>
      <c r="F157" s="29">
        <v>0</v>
      </c>
      <c r="G157" s="34" t="s">
        <v>1527</v>
      </c>
      <c r="H157" s="40">
        <v>45496</v>
      </c>
      <c r="I157" s="40">
        <v>45818</v>
      </c>
      <c r="J157" s="47" t="s">
        <v>1875</v>
      </c>
    </row>
    <row r="158" spans="1:10">
      <c r="A158" s="29">
        <v>160</v>
      </c>
      <c r="B158" s="8" t="str">
        <f>VLOOKUP(A158,vaccines!A:B,2)</f>
        <v>OrniFlu</v>
      </c>
      <c r="C158" s="47" t="s">
        <v>1876</v>
      </c>
      <c r="D158" s="40">
        <v>45720</v>
      </c>
      <c r="E158" s="29">
        <v>1</v>
      </c>
      <c r="F158" s="29">
        <v>0</v>
      </c>
      <c r="G158" s="34" t="s">
        <v>1530</v>
      </c>
      <c r="H158" s="40">
        <v>45496</v>
      </c>
      <c r="I158" s="40">
        <v>45750</v>
      </c>
      <c r="J158" s="47" t="s">
        <v>1877</v>
      </c>
    </row>
    <row r="159" spans="1:10">
      <c r="A159" s="29">
        <v>161</v>
      </c>
      <c r="B159" s="8" t="str">
        <f>VLOOKUP(A159,vaccines!A:B,2)</f>
        <v>rubella_Croatia</v>
      </c>
      <c r="C159" s="47" t="s">
        <v>1878</v>
      </c>
      <c r="D159" s="40">
        <v>37712</v>
      </c>
      <c r="E159" s="29">
        <v>1</v>
      </c>
      <c r="F159" s="29">
        <v>0</v>
      </c>
      <c r="G159" s="34" t="s">
        <v>1533</v>
      </c>
      <c r="H159" s="40">
        <v>45496</v>
      </c>
      <c r="J159" s="47" t="s">
        <v>1879</v>
      </c>
    </row>
    <row r="160" spans="1:10">
      <c r="A160" s="29">
        <v>162</v>
      </c>
      <c r="B160" s="8" t="str">
        <f>VLOOKUP(A160,vaccines!A:B,2)</f>
        <v>Tetraanatoxin</v>
      </c>
      <c r="C160" s="47" t="s">
        <v>1880</v>
      </c>
      <c r="D160" s="40">
        <v>45546</v>
      </c>
      <c r="G160" s="9" t="s">
        <v>1536</v>
      </c>
      <c r="H160" s="40">
        <v>45497</v>
      </c>
      <c r="I160" s="40">
        <v>45581</v>
      </c>
      <c r="J160" s="47" t="s">
        <v>1881</v>
      </c>
    </row>
    <row r="161" spans="1:10">
      <c r="A161" s="29">
        <v>163</v>
      </c>
      <c r="B161" s="8" t="str">
        <f>VLOOKUP(A161,vaccines!A:B,2)</f>
        <v>Staphylococcus_Gamaleya</v>
      </c>
      <c r="C161" s="47" t="s">
        <v>1882</v>
      </c>
      <c r="D161" s="40">
        <v>45799</v>
      </c>
      <c r="E161" s="29">
        <v>1</v>
      </c>
      <c r="F161" s="29">
        <v>0</v>
      </c>
      <c r="G161" s="34" t="s">
        <v>1539</v>
      </c>
      <c r="H161" s="40">
        <v>45497</v>
      </c>
      <c r="I161" s="60">
        <v>45830</v>
      </c>
      <c r="J161" s="47" t="s">
        <v>1883</v>
      </c>
    </row>
    <row r="162" spans="1:10">
      <c r="A162" s="29">
        <v>164</v>
      </c>
      <c r="B162" s="8" t="str">
        <f>VLOOKUP(A162,vaccines!A:B,2)</f>
        <v>Staphylococcus_therapeutic_Gamaleya</v>
      </c>
      <c r="C162" s="47" t="s">
        <v>1884</v>
      </c>
      <c r="D162" s="40">
        <v>45799</v>
      </c>
      <c r="E162" s="29">
        <v>1</v>
      </c>
      <c r="F162" s="29">
        <v>0</v>
      </c>
      <c r="G162" s="34" t="s">
        <v>1542</v>
      </c>
      <c r="H162" s="40">
        <v>45497</v>
      </c>
      <c r="I162" s="40">
        <v>45830</v>
      </c>
      <c r="J162" s="47" t="s">
        <v>1885</v>
      </c>
    </row>
    <row r="163" spans="1:10">
      <c r="A163" s="29">
        <v>165</v>
      </c>
      <c r="B163" s="8" t="str">
        <f>VLOOKUP(A163,vaccines!A:B,2)</f>
        <v>Imuron_vac_therapeutic</v>
      </c>
      <c r="C163" s="47" t="s">
        <v>1886</v>
      </c>
      <c r="D163" s="40">
        <v>45811</v>
      </c>
      <c r="E163" s="29">
        <v>1</v>
      </c>
      <c r="F163" s="29">
        <v>0</v>
      </c>
      <c r="G163" s="34" t="s">
        <v>1545</v>
      </c>
      <c r="H163" s="40">
        <v>45497</v>
      </c>
      <c r="I163" s="40">
        <v>45861</v>
      </c>
      <c r="J163" s="47" t="s">
        <v>1887</v>
      </c>
    </row>
    <row r="164" spans="1:10">
      <c r="A164" s="29">
        <v>166</v>
      </c>
      <c r="B164" s="8" t="str">
        <f>VLOOKUP(A164,vaccines!A:B,2)</f>
        <v>HepB_Serum_India_1_0</v>
      </c>
      <c r="C164" s="47" t="s">
        <v>1852</v>
      </c>
      <c r="D164" s="40">
        <v>45981</v>
      </c>
      <c r="E164" s="29">
        <v>1</v>
      </c>
      <c r="F164" s="29">
        <v>0</v>
      </c>
      <c r="G164" s="33" t="s">
        <v>1489</v>
      </c>
      <c r="H164" s="40">
        <v>45466</v>
      </c>
      <c r="I164" s="60">
        <v>46053</v>
      </c>
      <c r="J164" s="47" t="s">
        <v>1853</v>
      </c>
    </row>
    <row r="165" spans="1:10">
      <c r="A165" s="29">
        <v>167</v>
      </c>
      <c r="B165" s="8" t="str">
        <f>VLOOKUP(A165,vaccines!A:B,2)</f>
        <v>Hexaxim</v>
      </c>
      <c r="C165" s="47" t="s">
        <v>1888</v>
      </c>
      <c r="D165" s="40">
        <v>45504</v>
      </c>
      <c r="G165" s="9" t="s">
        <v>1550</v>
      </c>
      <c r="H165" s="40">
        <v>45558</v>
      </c>
      <c r="J165" s="47" t="s">
        <v>1889</v>
      </c>
    </row>
    <row r="166" spans="1:10">
      <c r="A166" s="29">
        <v>168</v>
      </c>
      <c r="B166" s="8" t="str">
        <f>VLOOKUP(A166,vaccines!A:B,2)</f>
        <v>Gam_VLP_multivac</v>
      </c>
      <c r="C166" s="47" t="s">
        <v>1890</v>
      </c>
      <c r="D166" s="40">
        <v>45632</v>
      </c>
      <c r="E166" s="29">
        <v>1</v>
      </c>
      <c r="F166" s="29">
        <v>0</v>
      </c>
      <c r="G166" s="25" t="s">
        <v>1553</v>
      </c>
      <c r="H166" s="40">
        <v>45678</v>
      </c>
      <c r="J166" s="47" t="s">
        <v>1891</v>
      </c>
    </row>
    <row r="167" spans="1:10">
      <c r="A167" s="29">
        <v>169</v>
      </c>
      <c r="B167" s="8" t="str">
        <f>VLOOKUP(A167,vaccines!A:B,2)</f>
        <v>Gam_VLP_multivac_nasal</v>
      </c>
      <c r="C167" s="47" t="s">
        <v>1890</v>
      </c>
      <c r="D167" s="40">
        <v>45737</v>
      </c>
      <c r="E167" s="29">
        <v>1</v>
      </c>
      <c r="F167" s="29">
        <v>0</v>
      </c>
      <c r="G167" s="33" t="s">
        <v>1555</v>
      </c>
      <c r="H167" s="40">
        <v>45742</v>
      </c>
      <c r="J167" s="47" t="s">
        <v>1891</v>
      </c>
    </row>
    <row r="168" spans="1:10">
      <c r="A168" s="29">
        <v>170</v>
      </c>
      <c r="B168" s="8" t="str">
        <f>VLOOKUP(A168,vaccines!A:B,2)</f>
        <v>Cegardex</v>
      </c>
      <c r="C168" s="47" t="s">
        <v>1892</v>
      </c>
      <c r="D168" s="40">
        <v>45721</v>
      </c>
      <c r="E168" s="29">
        <v>1</v>
      </c>
      <c r="F168" s="29">
        <v>0</v>
      </c>
      <c r="G168" s="33" t="s">
        <v>1557</v>
      </c>
      <c r="H168" s="40">
        <v>45742</v>
      </c>
      <c r="J168" s="47" t="s">
        <v>1893</v>
      </c>
    </row>
    <row r="169" spans="1:10">
      <c r="A169" s="29">
        <v>171</v>
      </c>
      <c r="B169" s="8" t="str">
        <f>VLOOKUP(A169,vaccines!A:B,2)</f>
        <v>Menvaid</v>
      </c>
      <c r="C169" s="47" t="s">
        <v>1894</v>
      </c>
      <c r="D169" s="40">
        <v>45740</v>
      </c>
      <c r="E169" s="29">
        <v>1</v>
      </c>
      <c r="F169" s="29">
        <v>0</v>
      </c>
      <c r="G169" s="33" t="s">
        <v>1560</v>
      </c>
      <c r="H169" s="40">
        <v>45755</v>
      </c>
      <c r="J169" s="47" t="s">
        <v>1895</v>
      </c>
    </row>
    <row r="170" spans="1:10">
      <c r="A170" s="29">
        <v>172</v>
      </c>
      <c r="B170" s="8" t="str">
        <f>VLOOKUP(A170,vaccines!A:B,2)</f>
        <v>ChiroRab</v>
      </c>
      <c r="C170" s="1" t="s">
        <v>1896</v>
      </c>
      <c r="D170" s="53">
        <v>42996</v>
      </c>
      <c r="E170" s="7">
        <v>1</v>
      </c>
      <c r="F170" s="7">
        <v>0</v>
      </c>
      <c r="G170" s="19" t="s">
        <v>1321</v>
      </c>
      <c r="H170" s="52">
        <v>45818</v>
      </c>
      <c r="I170" s="53"/>
      <c r="J170" s="1" t="s">
        <v>1897</v>
      </c>
    </row>
    <row r="171" spans="1:10">
      <c r="A171" s="29">
        <v>173</v>
      </c>
      <c r="B171" s="8" t="str">
        <f>VLOOKUP(A171,vaccines!A:B,2)</f>
        <v>Prevenar_20</v>
      </c>
      <c r="C171" s="47" t="s">
        <v>1898</v>
      </c>
      <c r="D171" s="40">
        <v>45835</v>
      </c>
      <c r="E171" s="29">
        <v>1</v>
      </c>
      <c r="F171" s="29">
        <v>0</v>
      </c>
      <c r="G171" s="33" t="s">
        <v>1564</v>
      </c>
      <c r="H171" s="40">
        <v>45861</v>
      </c>
      <c r="J171" s="47" t="s">
        <v>1899</v>
      </c>
    </row>
    <row r="172" spans="1:10">
      <c r="A172" s="29">
        <v>174</v>
      </c>
      <c r="B172" s="8" t="str">
        <f>VLOOKUP(A172,vaccines!A:B,2)</f>
        <v>aAKDS_M</v>
      </c>
      <c r="C172" s="47" t="s">
        <v>1900</v>
      </c>
      <c r="D172" s="40">
        <v>46104</v>
      </c>
      <c r="E172" s="29">
        <v>1</v>
      </c>
      <c r="F172" s="29">
        <v>0</v>
      </c>
      <c r="G172" s="33" t="s">
        <v>1567</v>
      </c>
      <c r="H172" s="40">
        <v>46131</v>
      </c>
      <c r="J172" s="47" t="s">
        <v>1901</v>
      </c>
    </row>
    <row r="173" spans="1:10">
      <c r="A173" s="29">
        <v>175</v>
      </c>
      <c r="B173" s="8" t="str">
        <f>VLOOKUP(A173,vaccines!A:B,2)</f>
        <v>Nimenrix</v>
      </c>
      <c r="C173" s="47" t="s">
        <v>1902</v>
      </c>
      <c r="D173" s="40">
        <v>46111</v>
      </c>
      <c r="E173" s="29">
        <v>1</v>
      </c>
      <c r="F173" s="29">
        <v>0</v>
      </c>
      <c r="G173" s="33" t="s">
        <v>1570</v>
      </c>
      <c r="H173" s="40">
        <v>46131</v>
      </c>
      <c r="J173" s="47" t="s">
        <v>1903</v>
      </c>
    </row>
    <row r="174" spans="1:10">
      <c r="C174" s="6"/>
      <c r="J174" s="6"/>
    </row>
    <row r="175" spans="1:10">
      <c r="C175" s="6"/>
      <c r="J175" s="6"/>
    </row>
    <row r="176" spans="1:10">
      <c r="C176" s="6"/>
      <c r="J176" s="6"/>
    </row>
    <row r="177" spans="3:10">
      <c r="C177" s="6"/>
      <c r="J177" s="6"/>
    </row>
    <row r="178" spans="3:10">
      <c r="C178" s="6"/>
      <c r="J178" s="6"/>
    </row>
    <row r="179" spans="3:10">
      <c r="C179" s="6"/>
      <c r="J179" s="6"/>
    </row>
    <row r="180" spans="3:10">
      <c r="C180" s="6"/>
      <c r="J180" s="6"/>
    </row>
    <row r="181" spans="3:10">
      <c r="C181" s="6"/>
      <c r="J181" s="6"/>
    </row>
    <row r="182" spans="3:10">
      <c r="C182" s="6"/>
      <c r="J182" s="6"/>
    </row>
    <row r="183" spans="3:10">
      <c r="C183" s="6"/>
      <c r="J183" s="6"/>
    </row>
    <row r="184" spans="3:10">
      <c r="C184" s="6"/>
      <c r="J184" s="6"/>
    </row>
    <row r="185" spans="3:10">
      <c r="C185" s="6"/>
      <c r="J185" s="6"/>
    </row>
    <row r="186" spans="3:10">
      <c r="C186" s="6"/>
      <c r="J186" s="6"/>
    </row>
    <row r="187" spans="3:10">
      <c r="C187" s="6"/>
      <c r="J187" s="6"/>
    </row>
    <row r="188" spans="3:10">
      <c r="C188" s="6"/>
      <c r="J188" s="6"/>
    </row>
    <row r="189" spans="3:10">
      <c r="C189" s="6"/>
      <c r="J189" s="6"/>
    </row>
    <row r="190" spans="3:10">
      <c r="C190" s="6"/>
      <c r="J190" s="6"/>
    </row>
    <row r="191" spans="3:10">
      <c r="C191" s="6"/>
      <c r="J191" s="6"/>
    </row>
    <row r="192" spans="3:10">
      <c r="C192" s="6"/>
      <c r="J192" s="6"/>
    </row>
    <row r="193" spans="3:10">
      <c r="C193" s="6"/>
      <c r="J193" s="6"/>
    </row>
    <row r="194" spans="3:10">
      <c r="C194" s="6"/>
      <c r="J194" s="6"/>
    </row>
    <row r="195" spans="3:10">
      <c r="C195" s="6"/>
      <c r="J195" s="6"/>
    </row>
    <row r="196" spans="3:10">
      <c r="C196" s="6"/>
      <c r="J196" s="6"/>
    </row>
    <row r="197" spans="3:10">
      <c r="C197" s="6"/>
      <c r="J197" s="6"/>
    </row>
    <row r="198" spans="3:10">
      <c r="C198" s="6"/>
      <c r="J198" s="6"/>
    </row>
    <row r="199" spans="3:10">
      <c r="C199" s="6"/>
      <c r="J199" s="6"/>
    </row>
    <row r="200" spans="3:10">
      <c r="C200" s="6"/>
      <c r="J200" s="6"/>
    </row>
    <row r="201" spans="3:10">
      <c r="C201" s="6"/>
      <c r="J201" s="6"/>
    </row>
    <row r="202" spans="3:10">
      <c r="C202" s="6"/>
      <c r="J202" s="6"/>
    </row>
    <row r="203" spans="3:10">
      <c r="C203" s="6"/>
      <c r="J203" s="6"/>
    </row>
    <row r="204" spans="3:10">
      <c r="C204" s="6"/>
      <c r="J204" s="6"/>
    </row>
    <row r="205" spans="3:10">
      <c r="C205" s="6"/>
      <c r="J205" s="6"/>
    </row>
    <row r="206" spans="3:10">
      <c r="C206" s="6"/>
      <c r="J206" s="6"/>
    </row>
    <row r="207" spans="3:10">
      <c r="C207" s="6"/>
      <c r="J207" s="6"/>
    </row>
    <row r="208" spans="3:10">
      <c r="C208" s="6"/>
      <c r="J208" s="6"/>
    </row>
    <row r="209" spans="3:10">
      <c r="C209" s="6"/>
      <c r="J209" s="6"/>
    </row>
    <row r="210" spans="3:10">
      <c r="C210" s="6"/>
      <c r="J210" s="6"/>
    </row>
    <row r="211" spans="3:10">
      <c r="C211" s="6"/>
      <c r="J211" s="6"/>
    </row>
    <row r="212" spans="3:10">
      <c r="C212" s="6"/>
      <c r="J212" s="6"/>
    </row>
    <row r="213" spans="3:10">
      <c r="C213" s="6"/>
      <c r="J213" s="6"/>
    </row>
    <row r="214" spans="3:10">
      <c r="C214" s="6"/>
      <c r="J214" s="6"/>
    </row>
    <row r="215" spans="3:10">
      <c r="C215" s="6"/>
      <c r="J215" s="6"/>
    </row>
    <row r="216" spans="3:10">
      <c r="C216" s="6"/>
      <c r="J216" s="6"/>
    </row>
    <row r="217" spans="3:10">
      <c r="C217" s="6"/>
      <c r="J217" s="6"/>
    </row>
    <row r="218" spans="3:10">
      <c r="C218" s="6"/>
      <c r="J218" s="6"/>
    </row>
    <row r="219" spans="3:10">
      <c r="C219" s="6"/>
      <c r="J219" s="6"/>
    </row>
    <row r="220" spans="3:10">
      <c r="C220" s="6"/>
      <c r="J220" s="6"/>
    </row>
    <row r="221" spans="3:10">
      <c r="C221" s="6"/>
      <c r="J221" s="6"/>
    </row>
    <row r="222" spans="3:10">
      <c r="C222" s="6"/>
      <c r="J222" s="6"/>
    </row>
    <row r="223" spans="3:10">
      <c r="C223" s="6"/>
      <c r="J223" s="6"/>
    </row>
    <row r="224" spans="3:10">
      <c r="C224" s="6"/>
      <c r="J224" s="6"/>
    </row>
    <row r="225" spans="3:10">
      <c r="C225" s="6"/>
      <c r="J225" s="6"/>
    </row>
    <row r="226" spans="3:10">
      <c r="C226" s="6"/>
      <c r="J226" s="6"/>
    </row>
    <row r="227" spans="3:10">
      <c r="C227" s="6"/>
      <c r="J227" s="6"/>
    </row>
    <row r="228" spans="3:10">
      <c r="C228" s="6"/>
      <c r="J228" s="6"/>
    </row>
    <row r="229" spans="3:10">
      <c r="C229" s="6"/>
      <c r="J229" s="6"/>
    </row>
    <row r="230" spans="3:10">
      <c r="C230" s="6"/>
      <c r="J230" s="6"/>
    </row>
    <row r="231" spans="3:10">
      <c r="C231" s="6"/>
      <c r="J231" s="6"/>
    </row>
    <row r="232" spans="3:10">
      <c r="C232" s="6"/>
      <c r="J232" s="6"/>
    </row>
    <row r="233" spans="3:10">
      <c r="C233" s="6"/>
      <c r="J233" s="6"/>
    </row>
    <row r="234" spans="3:10">
      <c r="C234" s="6"/>
      <c r="J234" s="6"/>
    </row>
    <row r="235" spans="3:10">
      <c r="C235" s="6"/>
      <c r="J235" s="6"/>
    </row>
    <row r="236" spans="3:10">
      <c r="C236" s="6"/>
      <c r="J236" s="6"/>
    </row>
    <row r="237" spans="3:10">
      <c r="C237" s="6"/>
      <c r="J237" s="6"/>
    </row>
    <row r="238" spans="3:10">
      <c r="C238" s="6"/>
      <c r="J238" s="6"/>
    </row>
    <row r="239" spans="3:10">
      <c r="C239" s="6"/>
      <c r="J239" s="6"/>
    </row>
    <row r="240" spans="3:10">
      <c r="C240" s="6"/>
      <c r="J240" s="6"/>
    </row>
    <row r="241" spans="3:10">
      <c r="C241" s="6"/>
      <c r="J241" s="6"/>
    </row>
    <row r="242" spans="3:10">
      <c r="C242" s="6"/>
      <c r="J242" s="6"/>
    </row>
    <row r="243" spans="3:10">
      <c r="C243" s="6"/>
      <c r="J243" s="6"/>
    </row>
    <row r="244" spans="3:10">
      <c r="C244" s="6"/>
      <c r="J244" s="6"/>
    </row>
    <row r="245" spans="3:10">
      <c r="C245" s="6"/>
      <c r="J245" s="6"/>
    </row>
    <row r="246" spans="3:10">
      <c r="C246" s="6"/>
      <c r="J246" s="6"/>
    </row>
    <row r="247" spans="3:10">
      <c r="C247" s="6"/>
      <c r="J247" s="6"/>
    </row>
    <row r="248" spans="3:10">
      <c r="C248" s="6"/>
      <c r="J248" s="6"/>
    </row>
    <row r="249" spans="3:10">
      <c r="C249" s="6"/>
      <c r="J249" s="6"/>
    </row>
    <row r="250" spans="3:10">
      <c r="C250" s="6"/>
      <c r="J250" s="6"/>
    </row>
    <row r="251" spans="3:10">
      <c r="C251" s="6"/>
      <c r="J251" s="6"/>
    </row>
    <row r="252" spans="3:10">
      <c r="C252" s="6"/>
      <c r="J252" s="6"/>
    </row>
    <row r="253" spans="3:10">
      <c r="C253" s="6"/>
      <c r="J253" s="6"/>
    </row>
    <row r="254" spans="3:10">
      <c r="C254" s="6"/>
      <c r="J254" s="6"/>
    </row>
    <row r="255" spans="3:10">
      <c r="C255" s="6"/>
      <c r="J255" s="6"/>
    </row>
    <row r="256" spans="3:10">
      <c r="C256" s="6"/>
      <c r="J256" s="6"/>
    </row>
    <row r="257" spans="3:10">
      <c r="C257" s="6"/>
      <c r="J257" s="6"/>
    </row>
    <row r="258" spans="3:10">
      <c r="C258" s="6"/>
      <c r="J258" s="6"/>
    </row>
    <row r="259" spans="3:10">
      <c r="C259" s="6"/>
      <c r="J259" s="6"/>
    </row>
    <row r="260" spans="3:10">
      <c r="C260" s="6"/>
      <c r="J260" s="6"/>
    </row>
    <row r="261" spans="3:10">
      <c r="C261" s="6"/>
      <c r="J261" s="6"/>
    </row>
    <row r="262" spans="3:10">
      <c r="C262" s="6"/>
      <c r="J262" s="6"/>
    </row>
    <row r="263" spans="3:10">
      <c r="C263" s="6"/>
      <c r="J263" s="6"/>
    </row>
    <row r="264" spans="3:10">
      <c r="C264" s="6"/>
      <c r="J264" s="6"/>
    </row>
    <row r="265" spans="3:10">
      <c r="C265" s="6"/>
      <c r="J265" s="6"/>
    </row>
    <row r="266" spans="3:10">
      <c r="C266" s="6"/>
      <c r="J266" s="6"/>
    </row>
    <row r="267" spans="3:10">
      <c r="C267" s="6"/>
      <c r="J267" s="6"/>
    </row>
    <row r="268" spans="3:10">
      <c r="C268" s="6"/>
      <c r="J268" s="6"/>
    </row>
    <row r="269" spans="3:10">
      <c r="C269" s="6"/>
      <c r="J269" s="6"/>
    </row>
    <row r="270" spans="3:10">
      <c r="C270" s="6"/>
      <c r="J270" s="6"/>
    </row>
    <row r="271" spans="3:10">
      <c r="C271" s="6"/>
      <c r="J271" s="6"/>
    </row>
    <row r="272" spans="3:10">
      <c r="C272" s="6"/>
      <c r="J272" s="6"/>
    </row>
    <row r="273" spans="3:10">
      <c r="C273" s="6"/>
      <c r="J273" s="6"/>
    </row>
    <row r="274" spans="3:10">
      <c r="C274" s="6"/>
      <c r="J274" s="6"/>
    </row>
    <row r="275" spans="3:10">
      <c r="C275" s="6"/>
      <c r="J275" s="6"/>
    </row>
    <row r="276" spans="3:10">
      <c r="C276" s="6"/>
      <c r="J276" s="6"/>
    </row>
    <row r="277" spans="3:10">
      <c r="C277" s="6"/>
      <c r="J277" s="6"/>
    </row>
    <row r="278" spans="3:10">
      <c r="C278" s="6"/>
      <c r="J278" s="6"/>
    </row>
    <row r="279" spans="3:10">
      <c r="C279" s="6"/>
      <c r="J279" s="6"/>
    </row>
    <row r="280" spans="3:10">
      <c r="C280" s="6"/>
      <c r="J280" s="6"/>
    </row>
    <row r="281" spans="3:10">
      <c r="C281" s="6"/>
      <c r="J281" s="6"/>
    </row>
    <row r="282" spans="3:10">
      <c r="C282" s="6"/>
      <c r="J282" s="6"/>
    </row>
    <row r="283" spans="3:10">
      <c r="C283" s="6"/>
      <c r="J283" s="6"/>
    </row>
    <row r="284" spans="3:10">
      <c r="C284" s="6"/>
      <c r="J284" s="6"/>
    </row>
    <row r="285" spans="3:10">
      <c r="C285" s="6"/>
      <c r="J285" s="6"/>
    </row>
    <row r="286" spans="3:10">
      <c r="C286" s="6"/>
      <c r="J286" s="6"/>
    </row>
    <row r="287" spans="3:10">
      <c r="C287" s="6"/>
      <c r="J287" s="6"/>
    </row>
    <row r="288" spans="3:10">
      <c r="C288" s="6"/>
      <c r="J288" s="6"/>
    </row>
    <row r="289" spans="3:10">
      <c r="C289" s="6"/>
      <c r="J289" s="6"/>
    </row>
    <row r="290" spans="3:10">
      <c r="C290" s="6"/>
      <c r="J290" s="6"/>
    </row>
    <row r="291" spans="3:10">
      <c r="C291" s="6"/>
      <c r="J291" s="6"/>
    </row>
    <row r="292" spans="3:10">
      <c r="C292" s="6"/>
      <c r="J292" s="6"/>
    </row>
    <row r="293" spans="3:10">
      <c r="C293" s="6"/>
      <c r="J293" s="6"/>
    </row>
    <row r="294" spans="3:10">
      <c r="C294" s="6"/>
      <c r="J294" s="6"/>
    </row>
    <row r="295" spans="3:10">
      <c r="C295" s="6"/>
      <c r="J295" s="6"/>
    </row>
    <row r="296" spans="3:10">
      <c r="C296" s="6"/>
      <c r="J296" s="6"/>
    </row>
    <row r="297" spans="3:10">
      <c r="C297" s="6"/>
      <c r="J297" s="6"/>
    </row>
    <row r="298" spans="3:10">
      <c r="C298" s="6"/>
      <c r="J298" s="6"/>
    </row>
    <row r="299" spans="3:10">
      <c r="C299" s="6"/>
      <c r="J299" s="6"/>
    </row>
    <row r="300" spans="3:10">
      <c r="C300" s="6"/>
      <c r="J300" s="6"/>
    </row>
    <row r="301" spans="3:10">
      <c r="C301" s="6"/>
      <c r="J301" s="6"/>
    </row>
    <row r="302" spans="3:10">
      <c r="C302" s="6"/>
      <c r="J302" s="6"/>
    </row>
    <row r="303" spans="3:10">
      <c r="C303" s="6"/>
      <c r="J303" s="6"/>
    </row>
    <row r="304" spans="3:10">
      <c r="C304" s="6"/>
      <c r="J304" s="6"/>
    </row>
    <row r="305" spans="3:10">
      <c r="C305" s="6"/>
      <c r="J305" s="6"/>
    </row>
    <row r="306" spans="3:10">
      <c r="C306" s="6"/>
      <c r="J306" s="6"/>
    </row>
    <row r="307" spans="3:10">
      <c r="C307" s="6"/>
      <c r="J307" s="6"/>
    </row>
    <row r="308" spans="3:10">
      <c r="C308" s="6"/>
      <c r="J308" s="6"/>
    </row>
    <row r="309" spans="3:10">
      <c r="C309" s="6"/>
      <c r="J309" s="6"/>
    </row>
    <row r="310" spans="3:10">
      <c r="C310" s="6"/>
      <c r="J310" s="6"/>
    </row>
    <row r="311" spans="3:10">
      <c r="C311" s="6"/>
      <c r="J311" s="6"/>
    </row>
    <row r="312" spans="3:10">
      <c r="C312" s="6"/>
      <c r="J312" s="6"/>
    </row>
    <row r="313" spans="3:10">
      <c r="C313" s="6"/>
      <c r="J313" s="6"/>
    </row>
    <row r="314" spans="3:10">
      <c r="C314" s="6"/>
      <c r="J314" s="6"/>
    </row>
    <row r="315" spans="3:10">
      <c r="C315" s="6"/>
      <c r="J315" s="6"/>
    </row>
    <row r="316" spans="3:10">
      <c r="C316" s="6"/>
      <c r="J316" s="6"/>
    </row>
    <row r="317" spans="3:10">
      <c r="C317" s="6"/>
      <c r="J317" s="6"/>
    </row>
    <row r="318" spans="3:10">
      <c r="C318" s="6"/>
      <c r="J318" s="6"/>
    </row>
    <row r="319" spans="3:10">
      <c r="C319" s="6"/>
      <c r="J319" s="6"/>
    </row>
    <row r="320" spans="3:10">
      <c r="C320" s="6"/>
      <c r="J320" s="6"/>
    </row>
    <row r="321" spans="3:10">
      <c r="C321" s="6"/>
      <c r="J321" s="6"/>
    </row>
    <row r="322" spans="3:10">
      <c r="C322" s="6"/>
      <c r="J322" s="6"/>
    </row>
    <row r="323" spans="3:10">
      <c r="C323" s="6"/>
      <c r="J323" s="6"/>
    </row>
    <row r="324" spans="3:10">
      <c r="C324" s="6"/>
      <c r="J324" s="6"/>
    </row>
    <row r="325" spans="3:10">
      <c r="C325" s="6"/>
      <c r="J325" s="6"/>
    </row>
    <row r="326" spans="3:10">
      <c r="C326" s="6"/>
      <c r="J326" s="6"/>
    </row>
    <row r="327" spans="3:10">
      <c r="C327" s="6"/>
      <c r="J327" s="6"/>
    </row>
    <row r="328" spans="3:10">
      <c r="C328" s="6"/>
      <c r="J328" s="6"/>
    </row>
    <row r="329" spans="3:10">
      <c r="C329" s="6"/>
      <c r="J329" s="6"/>
    </row>
    <row r="330" spans="3:10">
      <c r="C330" s="6"/>
      <c r="J330" s="6"/>
    </row>
    <row r="331" spans="3:10">
      <c r="C331" s="6"/>
      <c r="J331" s="6"/>
    </row>
    <row r="332" spans="3:10">
      <c r="C332" s="6"/>
      <c r="J332" s="6"/>
    </row>
    <row r="333" spans="3:10">
      <c r="C333" s="6"/>
      <c r="J333" s="6"/>
    </row>
    <row r="334" spans="3:10">
      <c r="C334" s="6"/>
      <c r="J334" s="6"/>
    </row>
    <row r="335" spans="3:10">
      <c r="C335" s="6"/>
      <c r="J335" s="6"/>
    </row>
    <row r="336" spans="3:10">
      <c r="C336" s="6"/>
      <c r="J336" s="6"/>
    </row>
    <row r="337" spans="3:10">
      <c r="C337" s="6"/>
      <c r="J337" s="6"/>
    </row>
    <row r="338" spans="3:10">
      <c r="C338" s="6"/>
      <c r="J338" s="6"/>
    </row>
    <row r="339" spans="3:10">
      <c r="C339" s="6"/>
      <c r="J339" s="6"/>
    </row>
    <row r="340" spans="3:10">
      <c r="C340" s="6"/>
      <c r="J340" s="6"/>
    </row>
    <row r="341" spans="3:10">
      <c r="C341" s="6"/>
      <c r="J341" s="6"/>
    </row>
    <row r="342" spans="3:10">
      <c r="C342" s="6"/>
      <c r="J342" s="6"/>
    </row>
    <row r="343" spans="3:10">
      <c r="C343" s="6"/>
      <c r="J343" s="6"/>
    </row>
    <row r="344" spans="3:10">
      <c r="C344" s="6"/>
      <c r="J344" s="6"/>
    </row>
    <row r="345" spans="3:10">
      <c r="C345" s="6"/>
      <c r="J345" s="6"/>
    </row>
    <row r="346" spans="3:10">
      <c r="C346" s="6"/>
      <c r="J346" s="6"/>
    </row>
    <row r="347" spans="3:10">
      <c r="C347" s="6"/>
      <c r="J347" s="6"/>
    </row>
    <row r="348" spans="3:10">
      <c r="C348" s="6"/>
      <c r="J348" s="6"/>
    </row>
    <row r="349" spans="3:10">
      <c r="C349" s="6"/>
      <c r="J349" s="6"/>
    </row>
    <row r="350" spans="3:10">
      <c r="C350" s="6"/>
      <c r="J350" s="6"/>
    </row>
    <row r="351" spans="3:10">
      <c r="C351" s="6"/>
      <c r="J351" s="6"/>
    </row>
    <row r="352" spans="3:10">
      <c r="C352" s="6"/>
      <c r="J352" s="6"/>
    </row>
    <row r="353" spans="3:10">
      <c r="C353" s="6"/>
      <c r="J353" s="6"/>
    </row>
    <row r="354" spans="3:10">
      <c r="C354" s="6"/>
      <c r="J354" s="6"/>
    </row>
    <row r="355" spans="3:10">
      <c r="C355" s="6"/>
      <c r="J355" s="6"/>
    </row>
    <row r="356" spans="3:10">
      <c r="C356" s="6"/>
      <c r="J356" s="6"/>
    </row>
    <row r="357" spans="3:10">
      <c r="C357" s="6"/>
      <c r="J357" s="6"/>
    </row>
    <row r="358" spans="3:10">
      <c r="C358" s="6"/>
      <c r="J358" s="6"/>
    </row>
    <row r="359" spans="3:10">
      <c r="C359" s="6"/>
      <c r="J359" s="6"/>
    </row>
    <row r="360" spans="3:10">
      <c r="C360" s="6"/>
      <c r="J360" s="6"/>
    </row>
    <row r="361" spans="3:10">
      <c r="C361" s="6"/>
      <c r="J361" s="6"/>
    </row>
    <row r="362" spans="3:10">
      <c r="C362" s="6"/>
      <c r="J362" s="6"/>
    </row>
    <row r="363" spans="3:10">
      <c r="C363" s="6"/>
      <c r="J363" s="6"/>
    </row>
    <row r="364" spans="3:10">
      <c r="C364" s="6"/>
      <c r="J364" s="6"/>
    </row>
    <row r="365" spans="3:10">
      <c r="C365" s="6"/>
      <c r="J365" s="6"/>
    </row>
    <row r="366" spans="3:10">
      <c r="C366" s="6"/>
      <c r="J366" s="6"/>
    </row>
    <row r="367" spans="3:10">
      <c r="C367" s="6"/>
      <c r="J367" s="6"/>
    </row>
    <row r="368" spans="3:10">
      <c r="C368" s="6"/>
      <c r="J368" s="6"/>
    </row>
    <row r="369" spans="3:10">
      <c r="C369" s="6"/>
      <c r="J369" s="6"/>
    </row>
    <row r="370" spans="3:10">
      <c r="C370" s="6"/>
      <c r="J370" s="6"/>
    </row>
    <row r="371" spans="3:10">
      <c r="C371" s="6"/>
      <c r="J371" s="6"/>
    </row>
    <row r="372" spans="3:10">
      <c r="C372" s="6"/>
      <c r="J372" s="6"/>
    </row>
    <row r="373" spans="3:10">
      <c r="C373" s="6"/>
      <c r="J373" s="6"/>
    </row>
    <row r="374" spans="3:10">
      <c r="C374" s="6"/>
      <c r="J374" s="6"/>
    </row>
    <row r="375" spans="3:10">
      <c r="C375" s="6"/>
      <c r="J375" s="6"/>
    </row>
    <row r="376" spans="3:10">
      <c r="C376" s="6"/>
      <c r="J376" s="6"/>
    </row>
    <row r="377" spans="3:10">
      <c r="C377" s="6"/>
      <c r="J377" s="6"/>
    </row>
    <row r="378" spans="3:10">
      <c r="C378" s="6"/>
      <c r="J378" s="6"/>
    </row>
    <row r="379" spans="3:10">
      <c r="C379" s="6"/>
      <c r="J379" s="6"/>
    </row>
    <row r="380" spans="3:10">
      <c r="C380" s="6"/>
      <c r="J380" s="6"/>
    </row>
    <row r="381" spans="3:10">
      <c r="C381" s="6"/>
      <c r="J381" s="6"/>
    </row>
    <row r="382" spans="3:10">
      <c r="C382" s="6"/>
      <c r="J382" s="6"/>
    </row>
    <row r="383" spans="3:10">
      <c r="C383" s="6"/>
      <c r="J383" s="6"/>
    </row>
    <row r="384" spans="3:10">
      <c r="C384" s="6"/>
      <c r="J384" s="6"/>
    </row>
    <row r="385" spans="3:10">
      <c r="C385" s="6"/>
      <c r="J385" s="6"/>
    </row>
    <row r="386" spans="3:10">
      <c r="C386" s="6"/>
      <c r="J386" s="6"/>
    </row>
    <row r="387" spans="3:10">
      <c r="C387" s="6"/>
      <c r="J387" s="6"/>
    </row>
    <row r="388" spans="3:10">
      <c r="C388" s="6"/>
      <c r="J388" s="6"/>
    </row>
    <row r="389" spans="3:10">
      <c r="C389" s="6"/>
      <c r="J389" s="6"/>
    </row>
    <row r="390" spans="3:10">
      <c r="C390" s="6"/>
      <c r="J390" s="6"/>
    </row>
    <row r="391" spans="3:10">
      <c r="C391" s="6"/>
      <c r="J391" s="6"/>
    </row>
    <row r="392" spans="3:10">
      <c r="C392" s="6"/>
      <c r="J392" s="6"/>
    </row>
    <row r="393" spans="3:10">
      <c r="C393" s="6"/>
      <c r="J393" s="6"/>
    </row>
    <row r="394" spans="3:10">
      <c r="C394" s="6"/>
      <c r="J394" s="6"/>
    </row>
    <row r="395" spans="3:10">
      <c r="C395" s="6"/>
      <c r="J395" s="6"/>
    </row>
    <row r="396" spans="3:10">
      <c r="C396" s="6"/>
      <c r="J396" s="6"/>
    </row>
    <row r="397" spans="3:10">
      <c r="C397" s="6"/>
      <c r="J397" s="6"/>
    </row>
    <row r="398" spans="3:10">
      <c r="C398" s="6"/>
      <c r="J398" s="6"/>
    </row>
    <row r="399" spans="3:10">
      <c r="C399" s="6"/>
      <c r="J399" s="6"/>
    </row>
    <row r="400" spans="3:10">
      <c r="C400" s="6"/>
      <c r="J400" s="6"/>
    </row>
    <row r="401" spans="3:10">
      <c r="C401" s="6"/>
      <c r="J401" s="6"/>
    </row>
    <row r="402" spans="3:10">
      <c r="C402" s="6"/>
      <c r="J402" s="6"/>
    </row>
    <row r="403" spans="3:10">
      <c r="C403" s="6"/>
      <c r="J403" s="6"/>
    </row>
    <row r="404" spans="3:10">
      <c r="C404" s="6"/>
      <c r="J404" s="6"/>
    </row>
    <row r="405" spans="3:10">
      <c r="C405" s="6"/>
      <c r="J405" s="6"/>
    </row>
    <row r="406" spans="3:10">
      <c r="C406" s="6"/>
      <c r="J406" s="6"/>
    </row>
    <row r="407" spans="3:10">
      <c r="C407" s="6"/>
      <c r="J407" s="6"/>
    </row>
    <row r="408" spans="3:10">
      <c r="C408" s="6"/>
      <c r="J408" s="6"/>
    </row>
    <row r="409" spans="3:10">
      <c r="C409" s="6"/>
      <c r="J409" s="6"/>
    </row>
    <row r="410" spans="3:10">
      <c r="C410" s="6"/>
      <c r="J410" s="6"/>
    </row>
    <row r="411" spans="3:10">
      <c r="C411" s="6"/>
      <c r="J411" s="6"/>
    </row>
    <row r="412" spans="3:10">
      <c r="C412" s="6"/>
      <c r="J412" s="6"/>
    </row>
    <row r="413" spans="3:10">
      <c r="C413" s="6"/>
      <c r="J413" s="6"/>
    </row>
    <row r="414" spans="3:10">
      <c r="C414" s="6"/>
      <c r="J414" s="6"/>
    </row>
    <row r="415" spans="3:10">
      <c r="C415" s="6"/>
      <c r="J415" s="6"/>
    </row>
    <row r="416" spans="3:10">
      <c r="C416" s="6"/>
      <c r="J416" s="6"/>
    </row>
    <row r="417" spans="3:10">
      <c r="C417" s="6"/>
      <c r="J417" s="6"/>
    </row>
    <row r="418" spans="3:10">
      <c r="C418" s="6"/>
      <c r="J418" s="6"/>
    </row>
    <row r="419" spans="3:10">
      <c r="C419" s="6"/>
      <c r="J419" s="6"/>
    </row>
    <row r="420" spans="3:10">
      <c r="C420" s="6"/>
      <c r="J420" s="6"/>
    </row>
    <row r="421" spans="3:10">
      <c r="C421" s="6"/>
      <c r="J421" s="6"/>
    </row>
    <row r="422" spans="3:10">
      <c r="C422" s="6"/>
      <c r="J422" s="6"/>
    </row>
    <row r="423" spans="3:10">
      <c r="C423" s="6"/>
      <c r="J423" s="6"/>
    </row>
    <row r="424" spans="3:10">
      <c r="C424" s="6"/>
      <c r="J424" s="6"/>
    </row>
    <row r="425" spans="3:10">
      <c r="C425" s="6"/>
      <c r="J425" s="6"/>
    </row>
    <row r="426" spans="3:10">
      <c r="C426" s="6"/>
      <c r="J426" s="6"/>
    </row>
    <row r="427" spans="3:10">
      <c r="C427" s="6"/>
      <c r="J427" s="6"/>
    </row>
    <row r="428" spans="3:10">
      <c r="C428" s="6"/>
      <c r="J428" s="6"/>
    </row>
    <row r="429" spans="3:10">
      <c r="C429" s="6"/>
      <c r="J429" s="6"/>
    </row>
    <row r="430" spans="3:10">
      <c r="C430" s="6"/>
      <c r="J430" s="6"/>
    </row>
    <row r="431" spans="3:10">
      <c r="C431" s="6"/>
      <c r="J431" s="6"/>
    </row>
    <row r="432" spans="3:10">
      <c r="C432" s="6"/>
      <c r="J432" s="6"/>
    </row>
    <row r="433" spans="3:10">
      <c r="C433" s="6"/>
      <c r="J433" s="6"/>
    </row>
    <row r="434" spans="3:10">
      <c r="C434" s="6"/>
      <c r="J434" s="6"/>
    </row>
    <row r="435" spans="3:10">
      <c r="C435" s="6"/>
      <c r="J435" s="6"/>
    </row>
    <row r="436" spans="3:10">
      <c r="C436" s="6"/>
      <c r="J436" s="6"/>
    </row>
    <row r="437" spans="3:10">
      <c r="C437" s="6"/>
      <c r="J437" s="6"/>
    </row>
    <row r="438" spans="3:10">
      <c r="C438" s="6"/>
      <c r="J438" s="6"/>
    </row>
    <row r="439" spans="3:10">
      <c r="C439" s="6"/>
      <c r="J439" s="6"/>
    </row>
    <row r="440" spans="3:10">
      <c r="C440" s="6"/>
      <c r="J440" s="6"/>
    </row>
    <row r="441" spans="3:10">
      <c r="C441" s="6"/>
      <c r="J441" s="6"/>
    </row>
    <row r="442" spans="3:10">
      <c r="C442" s="6"/>
      <c r="J442" s="6"/>
    </row>
    <row r="443" spans="3:10">
      <c r="C443" s="6"/>
      <c r="J443" s="6"/>
    </row>
    <row r="444" spans="3:10">
      <c r="C444" s="6"/>
      <c r="J444" s="6"/>
    </row>
    <row r="445" spans="3:10">
      <c r="C445" s="6"/>
      <c r="J445" s="6"/>
    </row>
    <row r="446" spans="3:10">
      <c r="C446" s="6"/>
      <c r="J446" s="6"/>
    </row>
    <row r="447" spans="3:10">
      <c r="C447" s="6"/>
      <c r="J447" s="6"/>
    </row>
    <row r="448" spans="3:10">
      <c r="C448" s="6"/>
      <c r="J448" s="6"/>
    </row>
    <row r="449" spans="3:10">
      <c r="C449" s="6"/>
      <c r="J449" s="6"/>
    </row>
    <row r="450" spans="3:10">
      <c r="C450" s="6"/>
      <c r="J450" s="6"/>
    </row>
    <row r="451" spans="3:10">
      <c r="C451" s="6"/>
      <c r="J451" s="6"/>
    </row>
    <row r="452" spans="3:10">
      <c r="C452" s="6"/>
      <c r="J452" s="6"/>
    </row>
    <row r="453" spans="3:10">
      <c r="C453" s="6"/>
      <c r="J453" s="6"/>
    </row>
    <row r="454" spans="3:10">
      <c r="C454" s="6"/>
      <c r="J454" s="6"/>
    </row>
    <row r="455" spans="3:10">
      <c r="C455" s="6"/>
      <c r="J455" s="6"/>
    </row>
    <row r="456" spans="3:10">
      <c r="C456" s="6"/>
      <c r="J456" s="6"/>
    </row>
    <row r="457" spans="3:10">
      <c r="C457" s="6"/>
      <c r="J457" s="6"/>
    </row>
    <row r="458" spans="3:10">
      <c r="C458" s="6"/>
      <c r="J458" s="6"/>
    </row>
    <row r="459" spans="3:10">
      <c r="C459" s="6"/>
      <c r="J459" s="6"/>
    </row>
    <row r="460" spans="3:10">
      <c r="C460" s="6"/>
      <c r="J460" s="6"/>
    </row>
    <row r="461" spans="3:10">
      <c r="C461" s="6"/>
      <c r="J461" s="6"/>
    </row>
    <row r="462" spans="3:10">
      <c r="C462" s="6"/>
      <c r="J462" s="6"/>
    </row>
    <row r="463" spans="3:10">
      <c r="C463" s="6"/>
      <c r="J463" s="6"/>
    </row>
    <row r="464" spans="3:10">
      <c r="C464" s="6"/>
      <c r="J464" s="6"/>
    </row>
    <row r="465" spans="3:10">
      <c r="C465" s="6"/>
      <c r="J465" s="6"/>
    </row>
    <row r="466" spans="3:10">
      <c r="C466" s="6"/>
      <c r="J466" s="6"/>
    </row>
    <row r="467" spans="3:10">
      <c r="C467" s="6"/>
      <c r="J467" s="6"/>
    </row>
    <row r="468" spans="3:10">
      <c r="C468" s="6"/>
      <c r="J468" s="6"/>
    </row>
    <row r="469" spans="3:10">
      <c r="C469" s="6"/>
      <c r="J469" s="6"/>
    </row>
    <row r="470" spans="3:10">
      <c r="C470" s="6"/>
      <c r="J470" s="6"/>
    </row>
    <row r="471" spans="3:10">
      <c r="C471" s="6"/>
      <c r="J471" s="6"/>
    </row>
    <row r="472" spans="3:10">
      <c r="C472" s="6"/>
      <c r="J472" s="6"/>
    </row>
    <row r="473" spans="3:10">
      <c r="C473" s="6"/>
      <c r="J473" s="6"/>
    </row>
    <row r="474" spans="3:10">
      <c r="C474" s="6"/>
      <c r="J474" s="6"/>
    </row>
    <row r="475" spans="3:10">
      <c r="C475" s="6"/>
      <c r="J475" s="6"/>
    </row>
    <row r="476" spans="3:10">
      <c r="C476" s="6"/>
      <c r="J476" s="6"/>
    </row>
    <row r="477" spans="3:10">
      <c r="C477" s="6"/>
      <c r="J477" s="6"/>
    </row>
    <row r="478" spans="3:10">
      <c r="C478" s="6"/>
      <c r="J478" s="6"/>
    </row>
    <row r="479" spans="3:10">
      <c r="C479" s="6"/>
      <c r="J479" s="6"/>
    </row>
    <row r="480" spans="3:10">
      <c r="C480" s="6"/>
      <c r="J480" s="6"/>
    </row>
    <row r="481" spans="3:10">
      <c r="C481" s="6"/>
      <c r="J481" s="6"/>
    </row>
    <row r="482" spans="3:10">
      <c r="C482" s="6"/>
      <c r="J482" s="6"/>
    </row>
    <row r="483" spans="3:10">
      <c r="C483" s="6"/>
      <c r="J483" s="6"/>
    </row>
    <row r="484" spans="3:10">
      <c r="C484" s="6"/>
      <c r="J484" s="6"/>
    </row>
    <row r="485" spans="3:10">
      <c r="C485" s="6"/>
      <c r="J485" s="6"/>
    </row>
    <row r="486" spans="3:10">
      <c r="C486" s="6"/>
      <c r="J486" s="6"/>
    </row>
    <row r="487" spans="3:10">
      <c r="C487" s="6"/>
      <c r="J487" s="6"/>
    </row>
    <row r="488" spans="3:10">
      <c r="C488" s="6"/>
      <c r="J488" s="6"/>
    </row>
    <row r="489" spans="3:10">
      <c r="C489" s="6"/>
      <c r="J489" s="6"/>
    </row>
    <row r="490" spans="3:10">
      <c r="C490" s="6"/>
      <c r="J490" s="6"/>
    </row>
    <row r="491" spans="3:10">
      <c r="C491" s="6"/>
      <c r="J491" s="6"/>
    </row>
    <row r="492" spans="3:10">
      <c r="C492" s="6"/>
      <c r="J492" s="6"/>
    </row>
    <row r="493" spans="3:10">
      <c r="C493" s="6"/>
      <c r="J493" s="6"/>
    </row>
    <row r="494" spans="3:10">
      <c r="C494" s="6"/>
      <c r="J494" s="6"/>
    </row>
    <row r="495" spans="3:10">
      <c r="C495" s="6"/>
      <c r="J495" s="6"/>
    </row>
    <row r="496" spans="3:10">
      <c r="C496" s="6"/>
      <c r="J496" s="6"/>
    </row>
    <row r="497" spans="3:10">
      <c r="C497" s="6"/>
      <c r="J497" s="6"/>
    </row>
    <row r="498" spans="3:10">
      <c r="C498" s="6"/>
      <c r="J498" s="6"/>
    </row>
    <row r="499" spans="3:10">
      <c r="C499" s="6"/>
      <c r="J499" s="6"/>
    </row>
    <row r="500" spans="3:10">
      <c r="C500" s="6"/>
      <c r="J500" s="6"/>
    </row>
    <row r="501" spans="3:10">
      <c r="C501" s="6"/>
      <c r="J501" s="6"/>
    </row>
    <row r="502" spans="3:10">
      <c r="C502" s="6"/>
      <c r="J502" s="6"/>
    </row>
    <row r="503" spans="3:10">
      <c r="C503" s="6"/>
      <c r="J503" s="6"/>
    </row>
    <row r="504" spans="3:10">
      <c r="C504" s="6"/>
      <c r="J504" s="6"/>
    </row>
    <row r="505" spans="3:10">
      <c r="C505" s="6"/>
      <c r="J505" s="6"/>
    </row>
    <row r="506" spans="3:10">
      <c r="C506" s="6"/>
      <c r="J506" s="6"/>
    </row>
    <row r="507" spans="3:10">
      <c r="C507" s="6"/>
      <c r="J507" s="6"/>
    </row>
    <row r="508" spans="3:10">
      <c r="C508" s="6"/>
      <c r="J508" s="6"/>
    </row>
    <row r="509" spans="3:10">
      <c r="C509" s="6"/>
      <c r="J509" s="6"/>
    </row>
    <row r="510" spans="3:10">
      <c r="C510" s="6"/>
      <c r="J510" s="6"/>
    </row>
    <row r="511" spans="3:10">
      <c r="C511" s="6"/>
      <c r="J511" s="6"/>
    </row>
    <row r="512" spans="3:10">
      <c r="C512" s="6"/>
      <c r="J512" s="6"/>
    </row>
    <row r="513" spans="3:10">
      <c r="C513" s="6"/>
      <c r="J513" s="6"/>
    </row>
    <row r="514" spans="3:10">
      <c r="C514" s="6"/>
      <c r="J514" s="6"/>
    </row>
    <row r="515" spans="3:10">
      <c r="C515" s="6"/>
      <c r="J515" s="6"/>
    </row>
    <row r="516" spans="3:10">
      <c r="C516" s="6"/>
      <c r="J516" s="6"/>
    </row>
    <row r="517" spans="3:10">
      <c r="C517" s="6"/>
      <c r="J517" s="6"/>
    </row>
    <row r="518" spans="3:10">
      <c r="C518" s="6"/>
      <c r="J518" s="6"/>
    </row>
    <row r="519" spans="3:10">
      <c r="C519" s="6"/>
      <c r="J519" s="6"/>
    </row>
    <row r="520" spans="3:10">
      <c r="C520" s="6"/>
      <c r="J520" s="6"/>
    </row>
    <row r="521" spans="3:10">
      <c r="C521" s="6"/>
      <c r="J521" s="6"/>
    </row>
    <row r="522" spans="3:10">
      <c r="C522" s="6"/>
      <c r="J522" s="6"/>
    </row>
    <row r="523" spans="3:10">
      <c r="C523" s="6"/>
      <c r="J523" s="6"/>
    </row>
    <row r="524" spans="3:10">
      <c r="C524" s="6"/>
      <c r="J524" s="6"/>
    </row>
    <row r="525" spans="3:10">
      <c r="C525" s="6"/>
      <c r="J525" s="6"/>
    </row>
    <row r="526" spans="3:10">
      <c r="C526" s="6"/>
      <c r="J526" s="6"/>
    </row>
    <row r="527" spans="3:10">
      <c r="C527" s="6"/>
      <c r="J527" s="6"/>
    </row>
    <row r="528" spans="3:10">
      <c r="C528" s="6"/>
      <c r="J528" s="6"/>
    </row>
    <row r="529" spans="3:10">
      <c r="C529" s="6"/>
      <c r="J529" s="6"/>
    </row>
    <row r="530" spans="3:10">
      <c r="C530" s="6"/>
      <c r="J530" s="6"/>
    </row>
    <row r="531" spans="3:10">
      <c r="C531" s="6"/>
      <c r="J531" s="6"/>
    </row>
    <row r="532" spans="3:10">
      <c r="C532" s="6"/>
      <c r="J532" s="6"/>
    </row>
    <row r="533" spans="3:10">
      <c r="C533" s="6"/>
      <c r="J533" s="6"/>
    </row>
    <row r="534" spans="3:10">
      <c r="C534" s="6"/>
      <c r="J534" s="6"/>
    </row>
    <row r="535" spans="3:10">
      <c r="C535" s="6"/>
      <c r="J535" s="6"/>
    </row>
    <row r="536" spans="3:10">
      <c r="C536" s="6"/>
      <c r="J536" s="6"/>
    </row>
    <row r="537" spans="3:10">
      <c r="C537" s="6"/>
      <c r="J537" s="6"/>
    </row>
    <row r="538" spans="3:10">
      <c r="C538" s="6"/>
      <c r="J538" s="6"/>
    </row>
    <row r="539" spans="3:10">
      <c r="C539" s="6"/>
      <c r="J539" s="6"/>
    </row>
    <row r="540" spans="3:10">
      <c r="C540" s="6"/>
      <c r="J540" s="6"/>
    </row>
    <row r="541" spans="3:10">
      <c r="C541" s="6"/>
      <c r="J541" s="6"/>
    </row>
    <row r="542" spans="3:10">
      <c r="C542" s="6"/>
      <c r="J542" s="6"/>
    </row>
    <row r="543" spans="3:10">
      <c r="C543" s="6"/>
      <c r="J543" s="6"/>
    </row>
    <row r="544" spans="3:10">
      <c r="C544" s="6"/>
      <c r="J544" s="6"/>
    </row>
    <row r="545" spans="3:10">
      <c r="C545" s="6"/>
      <c r="J545" s="6"/>
    </row>
    <row r="546" spans="3:10">
      <c r="C546" s="6"/>
      <c r="J546" s="6"/>
    </row>
    <row r="547" spans="3:10">
      <c r="C547" s="6"/>
      <c r="J547" s="6"/>
    </row>
    <row r="548" spans="3:10">
      <c r="C548" s="6"/>
      <c r="J548" s="6"/>
    </row>
    <row r="549" spans="3:10">
      <c r="C549" s="6"/>
      <c r="J549" s="6"/>
    </row>
    <row r="550" spans="3:10">
      <c r="C550" s="6"/>
      <c r="J550" s="6"/>
    </row>
    <row r="551" spans="3:10">
      <c r="C551" s="6"/>
      <c r="J551" s="6"/>
    </row>
    <row r="552" spans="3:10">
      <c r="C552" s="6"/>
      <c r="J552" s="6"/>
    </row>
    <row r="553" spans="3:10">
      <c r="C553" s="6"/>
      <c r="J553" s="6"/>
    </row>
    <row r="554" spans="3:10">
      <c r="C554" s="6"/>
      <c r="J554" s="6"/>
    </row>
    <row r="555" spans="3:10">
      <c r="C555" s="6"/>
      <c r="J555" s="6"/>
    </row>
    <row r="556" spans="3:10">
      <c r="C556" s="6"/>
      <c r="J556" s="6"/>
    </row>
    <row r="557" spans="3:10">
      <c r="C557" s="6"/>
      <c r="J557" s="6"/>
    </row>
    <row r="558" spans="3:10">
      <c r="C558" s="6"/>
      <c r="J558" s="6"/>
    </row>
    <row r="559" spans="3:10">
      <c r="C559" s="6"/>
      <c r="J559" s="6"/>
    </row>
    <row r="560" spans="3:10">
      <c r="C560" s="6"/>
      <c r="J560" s="6"/>
    </row>
    <row r="561" spans="3:10">
      <c r="C561" s="6"/>
      <c r="J561" s="6"/>
    </row>
    <row r="562" spans="3:10">
      <c r="C562" s="6"/>
      <c r="J562" s="6"/>
    </row>
    <row r="563" spans="3:10">
      <c r="C563" s="6"/>
      <c r="J563" s="6"/>
    </row>
    <row r="564" spans="3:10">
      <c r="C564" s="6"/>
      <c r="J564" s="6"/>
    </row>
    <row r="565" spans="3:10">
      <c r="C565" s="6"/>
      <c r="J565" s="6"/>
    </row>
    <row r="566" spans="3:10">
      <c r="C566" s="6"/>
      <c r="J566" s="6"/>
    </row>
    <row r="567" spans="3:10">
      <c r="C567" s="6"/>
      <c r="J567" s="6"/>
    </row>
    <row r="568" spans="3:10">
      <c r="C568" s="6"/>
      <c r="J568" s="6"/>
    </row>
    <row r="569" spans="3:10">
      <c r="C569" s="6"/>
      <c r="J569" s="6"/>
    </row>
    <row r="570" spans="3:10">
      <c r="C570" s="6"/>
      <c r="J570" s="6"/>
    </row>
    <row r="571" spans="3:10">
      <c r="C571" s="6"/>
      <c r="J571" s="6"/>
    </row>
    <row r="572" spans="3:10">
      <c r="C572" s="6"/>
      <c r="J572" s="6"/>
    </row>
    <row r="573" spans="3:10">
      <c r="C573" s="6"/>
      <c r="J573" s="6"/>
    </row>
    <row r="574" spans="3:10">
      <c r="C574" s="6"/>
      <c r="J574" s="6"/>
    </row>
    <row r="575" spans="3:10">
      <c r="C575" s="6"/>
      <c r="J575" s="6"/>
    </row>
    <row r="576" spans="3:10">
      <c r="C576" s="6"/>
      <c r="J576" s="6"/>
    </row>
    <row r="577" spans="3:10">
      <c r="C577" s="6"/>
      <c r="J577" s="6"/>
    </row>
    <row r="578" spans="3:10">
      <c r="C578" s="6"/>
      <c r="J578" s="6"/>
    </row>
    <row r="579" spans="3:10">
      <c r="C579" s="6"/>
      <c r="J579" s="6"/>
    </row>
    <row r="580" spans="3:10">
      <c r="C580" s="6"/>
      <c r="J580" s="6"/>
    </row>
    <row r="581" spans="3:10">
      <c r="C581" s="6"/>
      <c r="J581" s="6"/>
    </row>
    <row r="582" spans="3:10">
      <c r="C582" s="6"/>
      <c r="J582" s="6"/>
    </row>
    <row r="583" spans="3:10">
      <c r="C583" s="6"/>
      <c r="J583" s="6"/>
    </row>
    <row r="584" spans="3:10">
      <c r="C584" s="6"/>
      <c r="J584" s="6"/>
    </row>
    <row r="585" spans="3:10">
      <c r="C585" s="6"/>
      <c r="J585" s="6"/>
    </row>
    <row r="586" spans="3:10">
      <c r="C586" s="6"/>
      <c r="J586" s="6"/>
    </row>
    <row r="587" spans="3:10">
      <c r="C587" s="6"/>
      <c r="J587" s="6"/>
    </row>
    <row r="588" spans="3:10">
      <c r="C588" s="6"/>
      <c r="J588" s="6"/>
    </row>
    <row r="589" spans="3:10">
      <c r="C589" s="6"/>
      <c r="J589" s="6"/>
    </row>
    <row r="590" spans="3:10">
      <c r="C590" s="6"/>
      <c r="J590" s="6"/>
    </row>
    <row r="591" spans="3:10">
      <c r="C591" s="6"/>
      <c r="J591" s="6"/>
    </row>
    <row r="592" spans="3:10">
      <c r="C592" s="6"/>
      <c r="J592" s="6"/>
    </row>
    <row r="593" spans="3:10">
      <c r="C593" s="6"/>
      <c r="J593" s="6"/>
    </row>
    <row r="594" spans="3:10">
      <c r="C594" s="6"/>
      <c r="J594" s="6"/>
    </row>
    <row r="595" spans="3:10">
      <c r="C595" s="6"/>
      <c r="J595" s="6"/>
    </row>
    <row r="596" spans="3:10">
      <c r="C596" s="6"/>
      <c r="J596" s="6"/>
    </row>
    <row r="597" spans="3:10">
      <c r="C597" s="6"/>
      <c r="J597" s="6"/>
    </row>
    <row r="598" spans="3:10">
      <c r="C598" s="6"/>
      <c r="J598" s="6"/>
    </row>
    <row r="599" spans="3:10">
      <c r="C599" s="6"/>
      <c r="J599" s="6"/>
    </row>
    <row r="600" spans="3:10">
      <c r="C600" s="6"/>
      <c r="J600" s="6"/>
    </row>
    <row r="601" spans="3:10">
      <c r="C601" s="6"/>
      <c r="J601" s="6"/>
    </row>
    <row r="602" spans="3:10">
      <c r="C602" s="6"/>
      <c r="J602" s="6"/>
    </row>
    <row r="603" spans="3:10">
      <c r="C603" s="6"/>
      <c r="J603" s="6"/>
    </row>
    <row r="604" spans="3:10">
      <c r="C604" s="6"/>
      <c r="J604" s="6"/>
    </row>
    <row r="605" spans="3:10">
      <c r="C605" s="6"/>
      <c r="J605" s="6"/>
    </row>
    <row r="606" spans="3:10">
      <c r="C606" s="6"/>
      <c r="J606" s="6"/>
    </row>
    <row r="607" spans="3:10">
      <c r="C607" s="6"/>
      <c r="J607" s="6"/>
    </row>
    <row r="608" spans="3:10">
      <c r="C608" s="6"/>
      <c r="J608" s="6"/>
    </row>
    <row r="609" spans="3:10">
      <c r="C609" s="6"/>
      <c r="J609" s="6"/>
    </row>
    <row r="610" spans="3:10">
      <c r="C610" s="6"/>
      <c r="J610" s="6"/>
    </row>
    <row r="611" spans="3:10">
      <c r="C611" s="6"/>
      <c r="J611" s="6"/>
    </row>
    <row r="612" spans="3:10">
      <c r="C612" s="6"/>
      <c r="J612" s="6"/>
    </row>
    <row r="613" spans="3:10">
      <c r="C613" s="6"/>
      <c r="J613" s="6"/>
    </row>
    <row r="614" spans="3:10">
      <c r="C614" s="6"/>
      <c r="J614" s="6"/>
    </row>
    <row r="615" spans="3:10">
      <c r="C615" s="6"/>
      <c r="J615" s="6"/>
    </row>
    <row r="616" spans="3:10">
      <c r="C616" s="6"/>
      <c r="J616" s="6"/>
    </row>
    <row r="617" spans="3:10">
      <c r="C617" s="6"/>
      <c r="J617" s="6"/>
    </row>
    <row r="618" spans="3:10">
      <c r="C618" s="6"/>
      <c r="J618" s="6"/>
    </row>
    <row r="619" spans="3:10">
      <c r="C619" s="6"/>
      <c r="J619" s="6"/>
    </row>
    <row r="620" spans="3:10">
      <c r="C620" s="6"/>
      <c r="J620" s="6"/>
    </row>
    <row r="621" spans="3:10">
      <c r="C621" s="6"/>
      <c r="J621" s="6"/>
    </row>
    <row r="622" spans="3:10">
      <c r="C622" s="6"/>
      <c r="J622" s="6"/>
    </row>
    <row r="623" spans="3:10">
      <c r="C623" s="6"/>
      <c r="J623" s="6"/>
    </row>
    <row r="624" spans="3:10">
      <c r="C624" s="6"/>
      <c r="J624" s="6"/>
    </row>
    <row r="625" spans="3:10">
      <c r="C625" s="6"/>
      <c r="J625" s="6"/>
    </row>
    <row r="626" spans="3:10">
      <c r="C626" s="6"/>
      <c r="J626" s="6"/>
    </row>
    <row r="627" spans="3:10">
      <c r="C627" s="6"/>
      <c r="J627" s="6"/>
    </row>
    <row r="628" spans="3:10">
      <c r="C628" s="6"/>
      <c r="J628" s="6"/>
    </row>
    <row r="629" spans="3:10">
      <c r="C629" s="6"/>
      <c r="J629" s="6"/>
    </row>
    <row r="630" spans="3:10">
      <c r="C630" s="6"/>
      <c r="J630" s="6"/>
    </row>
    <row r="631" spans="3:10">
      <c r="C631" s="6"/>
      <c r="J631" s="6"/>
    </row>
    <row r="632" spans="3:10">
      <c r="C632" s="6"/>
      <c r="J632" s="6"/>
    </row>
    <row r="633" spans="3:10">
      <c r="C633" s="6"/>
      <c r="J633" s="6"/>
    </row>
    <row r="634" spans="3:10">
      <c r="C634" s="6"/>
      <c r="J634" s="6"/>
    </row>
    <row r="635" spans="3:10">
      <c r="C635" s="6"/>
      <c r="J635" s="6"/>
    </row>
    <row r="636" spans="3:10">
      <c r="C636" s="6"/>
      <c r="J636" s="6"/>
    </row>
    <row r="637" spans="3:10">
      <c r="C637" s="6"/>
      <c r="J637" s="6"/>
    </row>
    <row r="638" spans="3:10">
      <c r="C638" s="6"/>
      <c r="J638" s="6"/>
    </row>
    <row r="639" spans="3:10">
      <c r="C639" s="6"/>
      <c r="J639" s="6"/>
    </row>
    <row r="640" spans="3:10">
      <c r="C640" s="6"/>
      <c r="J640" s="6"/>
    </row>
    <row r="641" spans="3:10">
      <c r="C641" s="6"/>
      <c r="J641" s="6"/>
    </row>
    <row r="642" spans="3:10">
      <c r="C642" s="6"/>
      <c r="J642" s="6"/>
    </row>
    <row r="643" spans="3:10">
      <c r="C643" s="6"/>
      <c r="J643" s="6"/>
    </row>
    <row r="644" spans="3:10">
      <c r="C644" s="6"/>
      <c r="J644" s="6"/>
    </row>
    <row r="645" spans="3:10">
      <c r="C645" s="6"/>
      <c r="J645" s="6"/>
    </row>
    <row r="646" spans="3:10">
      <c r="C646" s="6"/>
      <c r="J646" s="6"/>
    </row>
    <row r="647" spans="3:10">
      <c r="C647" s="6"/>
      <c r="J647" s="6"/>
    </row>
    <row r="648" spans="3:10">
      <c r="C648" s="6"/>
      <c r="J648" s="6"/>
    </row>
    <row r="649" spans="3:10">
      <c r="C649" s="6"/>
      <c r="J649" s="6"/>
    </row>
    <row r="650" spans="3:10">
      <c r="C650" s="6"/>
      <c r="J650" s="6"/>
    </row>
    <row r="651" spans="3:10">
      <c r="C651" s="6"/>
      <c r="J651" s="6"/>
    </row>
    <row r="652" spans="3:10">
      <c r="C652" s="6"/>
      <c r="J652" s="6"/>
    </row>
    <row r="653" spans="3:10">
      <c r="C653" s="6"/>
      <c r="J653" s="6"/>
    </row>
    <row r="654" spans="3:10">
      <c r="C654" s="6"/>
      <c r="J654" s="6"/>
    </row>
    <row r="655" spans="3:10">
      <c r="C655" s="6"/>
      <c r="J655" s="6"/>
    </row>
    <row r="656" spans="3:10">
      <c r="C656" s="6"/>
      <c r="J656" s="6"/>
    </row>
    <row r="657" spans="3:10">
      <c r="C657" s="6"/>
      <c r="J657" s="6"/>
    </row>
    <row r="658" spans="3:10">
      <c r="C658" s="6"/>
      <c r="J658" s="6"/>
    </row>
    <row r="659" spans="3:10">
      <c r="C659" s="6"/>
      <c r="J659" s="6"/>
    </row>
    <row r="660" spans="3:10">
      <c r="C660" s="6"/>
      <c r="J660" s="6"/>
    </row>
    <row r="661" spans="3:10">
      <c r="C661" s="6"/>
      <c r="J661" s="6"/>
    </row>
    <row r="662" spans="3:10">
      <c r="C662" s="6"/>
      <c r="J662" s="6"/>
    </row>
    <row r="663" spans="3:10">
      <c r="C663" s="6"/>
      <c r="J663" s="6"/>
    </row>
    <row r="664" spans="3:10">
      <c r="C664" s="6"/>
      <c r="J664" s="6"/>
    </row>
    <row r="665" spans="3:10">
      <c r="C665" s="6"/>
      <c r="J665" s="6"/>
    </row>
    <row r="666" spans="3:10">
      <c r="C666" s="6"/>
      <c r="J666" s="6"/>
    </row>
    <row r="667" spans="3:10">
      <c r="C667" s="6"/>
      <c r="J667" s="6"/>
    </row>
    <row r="668" spans="3:10">
      <c r="C668" s="6"/>
      <c r="J668" s="6"/>
    </row>
    <row r="669" spans="3:10">
      <c r="C669" s="6"/>
      <c r="J669" s="6"/>
    </row>
    <row r="670" spans="3:10">
      <c r="C670" s="6"/>
      <c r="J670" s="6"/>
    </row>
    <row r="671" spans="3:10">
      <c r="C671" s="6"/>
      <c r="J671" s="6"/>
    </row>
    <row r="672" spans="3:10">
      <c r="C672" s="6"/>
      <c r="J672" s="6"/>
    </row>
    <row r="673" spans="3:10">
      <c r="C673" s="6"/>
      <c r="J673" s="6"/>
    </row>
    <row r="674" spans="3:10">
      <c r="C674" s="6"/>
      <c r="J674" s="6"/>
    </row>
    <row r="675" spans="3:10">
      <c r="C675" s="6"/>
      <c r="J675" s="6"/>
    </row>
    <row r="676" spans="3:10">
      <c r="C676" s="6"/>
      <c r="J676" s="6"/>
    </row>
    <row r="677" spans="3:10">
      <c r="C677" s="6"/>
      <c r="J677" s="6"/>
    </row>
    <row r="678" spans="3:10">
      <c r="C678" s="6"/>
      <c r="J678" s="6"/>
    </row>
    <row r="679" spans="3:10">
      <c r="C679" s="6"/>
      <c r="J679" s="6"/>
    </row>
    <row r="680" spans="3:10">
      <c r="C680" s="6"/>
      <c r="J680" s="6"/>
    </row>
    <row r="681" spans="3:10">
      <c r="C681" s="6"/>
      <c r="J681" s="6"/>
    </row>
    <row r="682" spans="3:10">
      <c r="C682" s="6"/>
      <c r="J682" s="6"/>
    </row>
    <row r="683" spans="3:10">
      <c r="C683" s="6"/>
      <c r="J683" s="6"/>
    </row>
    <row r="684" spans="3:10">
      <c r="C684" s="6"/>
      <c r="J684" s="6"/>
    </row>
    <row r="685" spans="3:10">
      <c r="C685" s="6"/>
      <c r="J685" s="6"/>
    </row>
    <row r="686" spans="3:10">
      <c r="C686" s="6"/>
      <c r="J686" s="6"/>
    </row>
    <row r="687" spans="3:10">
      <c r="C687" s="6"/>
      <c r="J687" s="6"/>
    </row>
    <row r="688" spans="3:10">
      <c r="C688" s="6"/>
      <c r="J688" s="6"/>
    </row>
    <row r="689" spans="3:10">
      <c r="C689" s="6"/>
      <c r="J689" s="6"/>
    </row>
    <row r="690" spans="3:10">
      <c r="C690" s="6"/>
      <c r="J690" s="6"/>
    </row>
    <row r="691" spans="3:10">
      <c r="C691" s="6"/>
      <c r="J691" s="6"/>
    </row>
    <row r="692" spans="3:10">
      <c r="C692" s="6"/>
      <c r="J692" s="6"/>
    </row>
    <row r="693" spans="3:10">
      <c r="C693" s="6"/>
      <c r="J693" s="6"/>
    </row>
    <row r="694" spans="3:10">
      <c r="C694" s="6"/>
      <c r="J694" s="6"/>
    </row>
    <row r="695" spans="3:10">
      <c r="C695" s="6"/>
      <c r="J695" s="6"/>
    </row>
    <row r="696" spans="3:10">
      <c r="C696" s="6"/>
      <c r="J696" s="6"/>
    </row>
    <row r="697" spans="3:10">
      <c r="C697" s="6"/>
      <c r="J697" s="6"/>
    </row>
    <row r="698" spans="3:10">
      <c r="C698" s="6"/>
      <c r="J698" s="6"/>
    </row>
    <row r="699" spans="3:10">
      <c r="C699" s="6"/>
      <c r="J699" s="6"/>
    </row>
    <row r="700" spans="3:10">
      <c r="C700" s="6"/>
      <c r="J700" s="6"/>
    </row>
    <row r="701" spans="3:10">
      <c r="C701" s="6"/>
      <c r="J701" s="6"/>
    </row>
    <row r="702" spans="3:10">
      <c r="C702" s="6"/>
      <c r="J702" s="6"/>
    </row>
    <row r="703" spans="3:10">
      <c r="C703" s="6"/>
      <c r="J703" s="6"/>
    </row>
    <row r="704" spans="3:10">
      <c r="C704" s="6"/>
      <c r="J704" s="6"/>
    </row>
    <row r="705" spans="3:10">
      <c r="C705" s="6"/>
      <c r="J705" s="6"/>
    </row>
    <row r="706" spans="3:10">
      <c r="C706" s="6"/>
      <c r="J706" s="6"/>
    </row>
    <row r="707" spans="3:10">
      <c r="C707" s="6"/>
      <c r="J707" s="6"/>
    </row>
    <row r="708" spans="3:10">
      <c r="C708" s="6"/>
      <c r="J708" s="6"/>
    </row>
    <row r="709" spans="3:10">
      <c r="C709" s="6"/>
      <c r="J709" s="6"/>
    </row>
    <row r="710" spans="3:10">
      <c r="C710" s="6"/>
      <c r="J710" s="6"/>
    </row>
    <row r="711" spans="3:10">
      <c r="C711" s="6"/>
      <c r="J711" s="6"/>
    </row>
    <row r="712" spans="3:10">
      <c r="C712" s="6"/>
      <c r="J712" s="6"/>
    </row>
    <row r="713" spans="3:10">
      <c r="C713" s="6"/>
      <c r="J713" s="6"/>
    </row>
    <row r="714" spans="3:10">
      <c r="C714" s="6"/>
      <c r="J714" s="6"/>
    </row>
    <row r="715" spans="3:10">
      <c r="C715" s="6"/>
      <c r="J715" s="6"/>
    </row>
    <row r="716" spans="3:10">
      <c r="C716" s="6"/>
      <c r="J716" s="6"/>
    </row>
    <row r="717" spans="3:10">
      <c r="C717" s="6"/>
      <c r="J717" s="6"/>
    </row>
    <row r="718" spans="3:10">
      <c r="C718" s="6"/>
      <c r="J718" s="6"/>
    </row>
    <row r="719" spans="3:10">
      <c r="C719" s="6"/>
      <c r="J719" s="6"/>
    </row>
    <row r="720" spans="3:10">
      <c r="C720" s="6"/>
      <c r="J720" s="6"/>
    </row>
    <row r="721" spans="3:10">
      <c r="C721" s="6"/>
      <c r="J721" s="6"/>
    </row>
    <row r="722" spans="3:10">
      <c r="C722" s="6"/>
      <c r="J722" s="6"/>
    </row>
    <row r="723" spans="3:10">
      <c r="C723" s="6"/>
      <c r="J723" s="6"/>
    </row>
    <row r="724" spans="3:10">
      <c r="C724" s="6"/>
      <c r="J724" s="6"/>
    </row>
    <row r="725" spans="3:10">
      <c r="C725" s="6"/>
      <c r="J725" s="6"/>
    </row>
    <row r="726" spans="3:10">
      <c r="C726" s="6"/>
      <c r="J726" s="6"/>
    </row>
    <row r="727" spans="3:10">
      <c r="C727" s="6"/>
      <c r="J727" s="6"/>
    </row>
    <row r="728" spans="3:10">
      <c r="C728" s="6"/>
      <c r="J728" s="6"/>
    </row>
    <row r="729" spans="3:10">
      <c r="C729" s="6"/>
      <c r="J729" s="6"/>
    </row>
    <row r="730" spans="3:10">
      <c r="C730" s="6"/>
      <c r="J730" s="6"/>
    </row>
    <row r="731" spans="3:10">
      <c r="C731" s="6"/>
      <c r="J731" s="6"/>
    </row>
    <row r="732" spans="3:10">
      <c r="C732" s="6"/>
      <c r="J732" s="6"/>
    </row>
    <row r="733" spans="3:10">
      <c r="C733" s="6"/>
      <c r="J733" s="6"/>
    </row>
    <row r="734" spans="3:10">
      <c r="C734" s="6"/>
      <c r="J734" s="6"/>
    </row>
    <row r="735" spans="3:10">
      <c r="C735" s="6"/>
      <c r="J735" s="6"/>
    </row>
    <row r="736" spans="3:10">
      <c r="C736" s="6"/>
      <c r="J736" s="6"/>
    </row>
    <row r="737" spans="3:10">
      <c r="C737" s="6"/>
      <c r="J737" s="6"/>
    </row>
    <row r="738" spans="3:10">
      <c r="C738" s="6"/>
      <c r="J738" s="6"/>
    </row>
    <row r="739" spans="3:10">
      <c r="C739" s="6"/>
      <c r="J739" s="6"/>
    </row>
    <row r="740" spans="3:10">
      <c r="C740" s="6"/>
      <c r="J740" s="6"/>
    </row>
    <row r="741" spans="3:10">
      <c r="C741" s="6"/>
      <c r="J741" s="6"/>
    </row>
    <row r="742" spans="3:10">
      <c r="C742" s="6"/>
      <c r="J742" s="6"/>
    </row>
    <row r="743" spans="3:10">
      <c r="C743" s="6"/>
      <c r="J743" s="6"/>
    </row>
    <row r="744" spans="3:10">
      <c r="C744" s="6"/>
      <c r="J744" s="6"/>
    </row>
    <row r="745" spans="3:10">
      <c r="C745" s="6"/>
      <c r="J745" s="6"/>
    </row>
    <row r="746" spans="3:10">
      <c r="C746" s="6"/>
      <c r="J746" s="6"/>
    </row>
    <row r="747" spans="3:10">
      <c r="C747" s="6"/>
      <c r="J747" s="6"/>
    </row>
    <row r="748" spans="3:10">
      <c r="C748" s="6"/>
      <c r="J748" s="6"/>
    </row>
    <row r="749" spans="3:10">
      <c r="C749" s="6"/>
      <c r="J749" s="6"/>
    </row>
    <row r="750" spans="3:10">
      <c r="C750" s="6"/>
      <c r="J750" s="6"/>
    </row>
    <row r="751" spans="3:10">
      <c r="C751" s="6"/>
      <c r="J751" s="6"/>
    </row>
    <row r="752" spans="3:10">
      <c r="C752" s="6"/>
      <c r="J752" s="6"/>
    </row>
    <row r="753" spans="3:10">
      <c r="C753" s="6"/>
      <c r="J753" s="6"/>
    </row>
    <row r="754" spans="3:10">
      <c r="C754" s="6"/>
      <c r="J754" s="6"/>
    </row>
    <row r="755" spans="3:10">
      <c r="C755" s="6"/>
      <c r="J755" s="6"/>
    </row>
    <row r="756" spans="3:10">
      <c r="C756" s="6"/>
      <c r="J756" s="6"/>
    </row>
    <row r="757" spans="3:10">
      <c r="C757" s="6"/>
      <c r="J757" s="6"/>
    </row>
    <row r="758" spans="3:10">
      <c r="C758" s="6"/>
      <c r="J758" s="6"/>
    </row>
    <row r="759" spans="3:10">
      <c r="C759" s="6"/>
      <c r="J759" s="6"/>
    </row>
    <row r="760" spans="3:10">
      <c r="C760" s="6"/>
      <c r="J760" s="6"/>
    </row>
    <row r="761" spans="3:10">
      <c r="C761" s="6"/>
      <c r="J761" s="6"/>
    </row>
    <row r="762" spans="3:10">
      <c r="C762" s="6"/>
      <c r="J762" s="6"/>
    </row>
    <row r="763" spans="3:10">
      <c r="C763" s="6"/>
      <c r="J763" s="6"/>
    </row>
    <row r="764" spans="3:10">
      <c r="C764" s="6"/>
      <c r="J764" s="6"/>
    </row>
    <row r="765" spans="3:10">
      <c r="C765" s="6"/>
      <c r="J765" s="6"/>
    </row>
    <row r="766" spans="3:10">
      <c r="C766" s="6"/>
      <c r="J766" s="6"/>
    </row>
    <row r="767" spans="3:10">
      <c r="C767" s="6"/>
      <c r="J767" s="6"/>
    </row>
    <row r="768" spans="3:10">
      <c r="C768" s="6"/>
      <c r="J768" s="6"/>
    </row>
    <row r="769" spans="3:10">
      <c r="C769" s="6"/>
      <c r="J769" s="6"/>
    </row>
    <row r="770" spans="3:10">
      <c r="C770" s="6"/>
      <c r="J770" s="6"/>
    </row>
    <row r="771" spans="3:10">
      <c r="C771" s="6"/>
      <c r="J771" s="6"/>
    </row>
    <row r="772" spans="3:10">
      <c r="C772" s="6"/>
      <c r="J772" s="6"/>
    </row>
    <row r="773" spans="3:10">
      <c r="C773" s="6"/>
      <c r="J773" s="6"/>
    </row>
    <row r="774" spans="3:10">
      <c r="C774" s="6"/>
      <c r="J774" s="6"/>
    </row>
    <row r="775" spans="3:10">
      <c r="C775" s="6"/>
      <c r="J775" s="6"/>
    </row>
    <row r="776" spans="3:10">
      <c r="C776" s="6"/>
      <c r="J776" s="6"/>
    </row>
    <row r="777" spans="3:10">
      <c r="C777" s="6"/>
      <c r="J777" s="6"/>
    </row>
    <row r="778" spans="3:10">
      <c r="C778" s="6"/>
      <c r="J778" s="6"/>
    </row>
    <row r="779" spans="3:10">
      <c r="C779" s="6"/>
      <c r="J779" s="6"/>
    </row>
    <row r="780" spans="3:10">
      <c r="C780" s="6"/>
      <c r="J780" s="6"/>
    </row>
    <row r="781" spans="3:10">
      <c r="C781" s="6"/>
      <c r="J781" s="6"/>
    </row>
    <row r="782" spans="3:10">
      <c r="C782" s="6"/>
      <c r="J782" s="6"/>
    </row>
    <row r="783" spans="3:10">
      <c r="C783" s="6"/>
      <c r="J783" s="6"/>
    </row>
    <row r="784" spans="3:10">
      <c r="C784" s="6"/>
      <c r="J784" s="6"/>
    </row>
    <row r="785" spans="3:10">
      <c r="C785" s="6"/>
      <c r="J785" s="6"/>
    </row>
    <row r="786" spans="3:10">
      <c r="C786" s="6"/>
      <c r="J786" s="6"/>
    </row>
    <row r="787" spans="3:10">
      <c r="C787" s="6"/>
      <c r="J787" s="6"/>
    </row>
    <row r="788" spans="3:10">
      <c r="C788" s="6"/>
      <c r="J788" s="6"/>
    </row>
    <row r="789" spans="3:10">
      <c r="C789" s="6"/>
      <c r="J789" s="6"/>
    </row>
    <row r="790" spans="3:10">
      <c r="C790" s="6"/>
      <c r="J790" s="6"/>
    </row>
    <row r="791" spans="3:10">
      <c r="C791" s="6"/>
      <c r="J791" s="6"/>
    </row>
    <row r="792" spans="3:10">
      <c r="C792" s="6"/>
      <c r="J792" s="6"/>
    </row>
    <row r="793" spans="3:10">
      <c r="C793" s="6"/>
      <c r="J793" s="6"/>
    </row>
    <row r="794" spans="3:10">
      <c r="C794" s="6"/>
      <c r="J794" s="6"/>
    </row>
    <row r="795" spans="3:10">
      <c r="C795" s="6"/>
      <c r="J795" s="6"/>
    </row>
    <row r="796" spans="3:10">
      <c r="C796" s="6"/>
      <c r="J796" s="6"/>
    </row>
    <row r="797" spans="3:10">
      <c r="C797" s="6"/>
      <c r="J797" s="6"/>
    </row>
    <row r="798" spans="3:10">
      <c r="C798" s="6"/>
      <c r="J798" s="6"/>
    </row>
    <row r="799" spans="3:10">
      <c r="C799" s="6"/>
      <c r="J799" s="6"/>
    </row>
    <row r="800" spans="3:10">
      <c r="C800" s="6"/>
      <c r="J800" s="6"/>
    </row>
    <row r="801" spans="3:10">
      <c r="C801" s="6"/>
      <c r="J801" s="6"/>
    </row>
    <row r="802" spans="3:10">
      <c r="C802" s="6"/>
      <c r="J802" s="6"/>
    </row>
    <row r="803" spans="3:10">
      <c r="C803" s="6"/>
      <c r="J803" s="6"/>
    </row>
    <row r="804" spans="3:10">
      <c r="C804" s="6"/>
      <c r="J804" s="6"/>
    </row>
    <row r="805" spans="3:10">
      <c r="C805" s="6"/>
      <c r="J805" s="6"/>
    </row>
    <row r="806" spans="3:10">
      <c r="C806" s="6"/>
      <c r="J806" s="6"/>
    </row>
    <row r="807" spans="3:10">
      <c r="C807" s="6"/>
      <c r="J807" s="6"/>
    </row>
    <row r="808" spans="3:10">
      <c r="C808" s="6"/>
      <c r="J808" s="6"/>
    </row>
    <row r="809" spans="3:10">
      <c r="C809" s="6"/>
      <c r="J809" s="6"/>
    </row>
    <row r="810" spans="3:10">
      <c r="C810" s="6"/>
      <c r="J810" s="6"/>
    </row>
    <row r="811" spans="3:10">
      <c r="C811" s="6"/>
      <c r="J811" s="6"/>
    </row>
    <row r="812" spans="3:10">
      <c r="C812" s="6"/>
      <c r="J812" s="6"/>
    </row>
    <row r="813" spans="3:10">
      <c r="C813" s="6"/>
      <c r="J813" s="6"/>
    </row>
    <row r="814" spans="3:10">
      <c r="C814" s="6"/>
      <c r="J814" s="6"/>
    </row>
    <row r="815" spans="3:10">
      <c r="C815" s="6"/>
      <c r="J815" s="6"/>
    </row>
    <row r="816" spans="3:10">
      <c r="C816" s="6"/>
      <c r="J816" s="6"/>
    </row>
    <row r="817" spans="3:10">
      <c r="C817" s="6"/>
      <c r="J817" s="6"/>
    </row>
    <row r="818" spans="3:10">
      <c r="C818" s="6"/>
      <c r="J818" s="6"/>
    </row>
    <row r="819" spans="3:10">
      <c r="C819" s="6"/>
      <c r="J819" s="6"/>
    </row>
    <row r="820" spans="3:10">
      <c r="C820" s="6"/>
      <c r="J820" s="6"/>
    </row>
    <row r="821" spans="3:10">
      <c r="C821" s="6"/>
      <c r="J821" s="6"/>
    </row>
    <row r="822" spans="3:10">
      <c r="C822" s="6"/>
      <c r="J822" s="6"/>
    </row>
    <row r="823" spans="3:10">
      <c r="C823" s="6"/>
      <c r="J823" s="6"/>
    </row>
    <row r="824" spans="3:10">
      <c r="C824" s="6"/>
      <c r="J824" s="6"/>
    </row>
    <row r="825" spans="3:10">
      <c r="C825" s="6"/>
      <c r="J825" s="6"/>
    </row>
    <row r="826" spans="3:10">
      <c r="C826" s="6"/>
      <c r="J826" s="6"/>
    </row>
    <row r="827" spans="3:10">
      <c r="C827" s="6"/>
      <c r="J827" s="6"/>
    </row>
    <row r="828" spans="3:10">
      <c r="C828" s="6"/>
      <c r="J828" s="6"/>
    </row>
    <row r="829" spans="3:10">
      <c r="C829" s="6"/>
      <c r="J829" s="6"/>
    </row>
    <row r="830" spans="3:10">
      <c r="C830" s="6"/>
      <c r="J830" s="6"/>
    </row>
    <row r="831" spans="3:10">
      <c r="C831" s="6"/>
      <c r="J831" s="6"/>
    </row>
    <row r="832" spans="3:10">
      <c r="C832" s="6"/>
      <c r="J832" s="6"/>
    </row>
    <row r="833" spans="3:10">
      <c r="C833" s="6"/>
      <c r="J833" s="6"/>
    </row>
    <row r="834" spans="3:10">
      <c r="C834" s="6"/>
      <c r="J834" s="6"/>
    </row>
    <row r="835" spans="3:10">
      <c r="C835" s="6"/>
      <c r="J835" s="6"/>
    </row>
    <row r="836" spans="3:10">
      <c r="C836" s="6"/>
      <c r="J836" s="6"/>
    </row>
    <row r="837" spans="3:10">
      <c r="C837" s="6"/>
      <c r="J837" s="6"/>
    </row>
    <row r="838" spans="3:10">
      <c r="C838" s="6"/>
      <c r="J838" s="6"/>
    </row>
    <row r="839" spans="3:10">
      <c r="C839" s="6"/>
      <c r="J839" s="6"/>
    </row>
    <row r="840" spans="3:10">
      <c r="C840" s="6"/>
      <c r="J840" s="6"/>
    </row>
    <row r="841" spans="3:10">
      <c r="C841" s="6"/>
      <c r="J841" s="6"/>
    </row>
    <row r="842" spans="3:10">
      <c r="C842" s="6"/>
      <c r="J842" s="6"/>
    </row>
    <row r="843" spans="3:10">
      <c r="C843" s="6"/>
      <c r="J843" s="6"/>
    </row>
    <row r="844" spans="3:10">
      <c r="C844" s="6"/>
      <c r="J844" s="6"/>
    </row>
    <row r="845" spans="3:10">
      <c r="C845" s="6"/>
      <c r="J845" s="6"/>
    </row>
    <row r="846" spans="3:10">
      <c r="C846" s="6"/>
      <c r="J846" s="6"/>
    </row>
    <row r="847" spans="3:10">
      <c r="C847" s="6"/>
      <c r="J847" s="6"/>
    </row>
    <row r="848" spans="3:10">
      <c r="C848" s="6"/>
      <c r="J848" s="6"/>
    </row>
    <row r="849" spans="3:10">
      <c r="C849" s="6"/>
      <c r="J849" s="6"/>
    </row>
    <row r="850" spans="3:10">
      <c r="C850" s="6"/>
      <c r="J850" s="6"/>
    </row>
    <row r="851" spans="3:10">
      <c r="C851" s="6"/>
      <c r="J851" s="6"/>
    </row>
    <row r="852" spans="3:10">
      <c r="C852" s="6"/>
      <c r="J852" s="6"/>
    </row>
    <row r="853" spans="3:10">
      <c r="C853" s="6"/>
      <c r="J853" s="6"/>
    </row>
    <row r="854" spans="3:10">
      <c r="C854" s="6"/>
      <c r="J854" s="6"/>
    </row>
    <row r="855" spans="3:10">
      <c r="C855" s="6"/>
      <c r="J855" s="6"/>
    </row>
    <row r="856" spans="3:10">
      <c r="C856" s="6"/>
      <c r="J856" s="6"/>
    </row>
    <row r="857" spans="3:10">
      <c r="C857" s="6"/>
      <c r="J857" s="6"/>
    </row>
    <row r="858" spans="3:10">
      <c r="C858" s="6"/>
      <c r="J858" s="6"/>
    </row>
    <row r="859" spans="3:10">
      <c r="C859" s="6"/>
      <c r="J859" s="6"/>
    </row>
    <row r="860" spans="3:10">
      <c r="C860" s="6"/>
      <c r="J860" s="6"/>
    </row>
    <row r="861" spans="3:10">
      <c r="C861" s="6"/>
      <c r="J861" s="6"/>
    </row>
    <row r="862" spans="3:10">
      <c r="C862" s="6"/>
      <c r="J862" s="6"/>
    </row>
    <row r="863" spans="3:10">
      <c r="C863" s="6"/>
      <c r="J863" s="6"/>
    </row>
    <row r="864" spans="3:10">
      <c r="C864" s="6"/>
      <c r="J864" s="6"/>
    </row>
    <row r="865" spans="3:10">
      <c r="C865" s="6"/>
      <c r="J865" s="6"/>
    </row>
    <row r="866" spans="3:10">
      <c r="C866" s="6"/>
      <c r="J866" s="6"/>
    </row>
    <row r="867" spans="3:10">
      <c r="C867" s="6"/>
      <c r="J867" s="6"/>
    </row>
    <row r="868" spans="3:10">
      <c r="C868" s="6"/>
      <c r="J868" s="6"/>
    </row>
    <row r="869" spans="3:10">
      <c r="C869" s="6"/>
      <c r="J869" s="6"/>
    </row>
    <row r="870" spans="3:10">
      <c r="C870" s="6"/>
      <c r="J870" s="6"/>
    </row>
    <row r="871" spans="3:10">
      <c r="C871" s="6"/>
      <c r="J871" s="6"/>
    </row>
    <row r="872" spans="3:10">
      <c r="C872" s="6"/>
      <c r="J872" s="6"/>
    </row>
    <row r="873" spans="3:10">
      <c r="C873" s="6"/>
      <c r="J873" s="6"/>
    </row>
    <row r="874" spans="3:10">
      <c r="C874" s="6"/>
      <c r="J874" s="6"/>
    </row>
    <row r="875" spans="3:10">
      <c r="C875" s="6"/>
      <c r="J875" s="6"/>
    </row>
    <row r="876" spans="3:10">
      <c r="C876" s="6"/>
      <c r="J876" s="6"/>
    </row>
    <row r="877" spans="3:10">
      <c r="C877" s="6"/>
      <c r="J877" s="6"/>
    </row>
    <row r="878" spans="3:10">
      <c r="C878" s="6"/>
      <c r="J878" s="6"/>
    </row>
    <row r="879" spans="3:10">
      <c r="C879" s="6"/>
      <c r="J879" s="6"/>
    </row>
    <row r="880" spans="3:10">
      <c r="C880" s="6"/>
      <c r="J880" s="6"/>
    </row>
    <row r="881" spans="3:10">
      <c r="C881" s="6"/>
      <c r="J881" s="6"/>
    </row>
    <row r="882" spans="3:10">
      <c r="C882" s="6"/>
      <c r="J882" s="6"/>
    </row>
    <row r="883" spans="3:10">
      <c r="C883" s="6"/>
      <c r="J883" s="6"/>
    </row>
    <row r="884" spans="3:10">
      <c r="C884" s="6"/>
      <c r="J884" s="6"/>
    </row>
    <row r="885" spans="3:10">
      <c r="C885" s="6"/>
      <c r="J885" s="6"/>
    </row>
    <row r="886" spans="3:10">
      <c r="C886" s="6"/>
      <c r="J886" s="6"/>
    </row>
    <row r="887" spans="3:10">
      <c r="C887" s="6"/>
      <c r="J887" s="6"/>
    </row>
    <row r="888" spans="3:10">
      <c r="C888" s="6"/>
      <c r="J888" s="6"/>
    </row>
    <row r="889" spans="3:10">
      <c r="C889" s="6"/>
      <c r="J889" s="6"/>
    </row>
    <row r="890" spans="3:10">
      <c r="C890" s="6"/>
      <c r="J890" s="6"/>
    </row>
    <row r="891" spans="3:10">
      <c r="C891" s="6"/>
      <c r="J891" s="6"/>
    </row>
    <row r="892" spans="3:10">
      <c r="C892" s="6"/>
      <c r="J892" s="6"/>
    </row>
    <row r="893" spans="3:10">
      <c r="C893" s="6"/>
      <c r="J893" s="6"/>
    </row>
    <row r="894" spans="3:10">
      <c r="C894" s="6"/>
      <c r="J894" s="6"/>
    </row>
    <row r="895" spans="3:10">
      <c r="C895" s="6"/>
      <c r="J895" s="6"/>
    </row>
    <row r="896" spans="3:10">
      <c r="C896" s="6"/>
      <c r="J896" s="6"/>
    </row>
    <row r="897" spans="3:10">
      <c r="C897" s="6"/>
      <c r="J897" s="6"/>
    </row>
    <row r="898" spans="3:10">
      <c r="C898" s="6"/>
      <c r="J898" s="6"/>
    </row>
    <row r="899" spans="3:10">
      <c r="C899" s="6"/>
      <c r="J899" s="6"/>
    </row>
    <row r="900" spans="3:10">
      <c r="C900" s="6"/>
      <c r="J900" s="6"/>
    </row>
    <row r="901" spans="3:10">
      <c r="C901" s="6"/>
      <c r="J901" s="6"/>
    </row>
    <row r="902" spans="3:10">
      <c r="C902" s="6"/>
      <c r="J902" s="6"/>
    </row>
    <row r="903" spans="3:10">
      <c r="C903" s="6"/>
      <c r="J903" s="6"/>
    </row>
    <row r="904" spans="3:10">
      <c r="C904" s="6"/>
      <c r="J904" s="6"/>
    </row>
    <row r="905" spans="3:10">
      <c r="C905" s="6"/>
      <c r="J905" s="6"/>
    </row>
    <row r="906" spans="3:10">
      <c r="C906" s="6"/>
      <c r="J906" s="6"/>
    </row>
    <row r="907" spans="3:10">
      <c r="C907" s="6"/>
      <c r="J907" s="6"/>
    </row>
    <row r="908" spans="3:10">
      <c r="C908" s="6"/>
      <c r="J908" s="6"/>
    </row>
    <row r="909" spans="3:10">
      <c r="C909" s="6"/>
      <c r="J909" s="6"/>
    </row>
    <row r="910" spans="3:10">
      <c r="C910" s="6"/>
      <c r="J910" s="6"/>
    </row>
    <row r="911" spans="3:10">
      <c r="C911" s="6"/>
      <c r="J911" s="6"/>
    </row>
    <row r="912" spans="3:10">
      <c r="C912" s="6"/>
      <c r="J912" s="6"/>
    </row>
    <row r="913" spans="3:10">
      <c r="C913" s="6"/>
      <c r="J913" s="6"/>
    </row>
    <row r="914" spans="3:10">
      <c r="C914" s="6"/>
      <c r="J914" s="6"/>
    </row>
    <row r="915" spans="3:10">
      <c r="C915" s="6"/>
      <c r="J915" s="6"/>
    </row>
    <row r="916" spans="3:10">
      <c r="C916" s="6"/>
      <c r="J916" s="6"/>
    </row>
    <row r="917" spans="3:10">
      <c r="C917" s="6"/>
      <c r="J917" s="6"/>
    </row>
    <row r="918" spans="3:10">
      <c r="C918" s="6"/>
      <c r="J918" s="6"/>
    </row>
    <row r="919" spans="3:10">
      <c r="C919" s="6"/>
      <c r="J919" s="6"/>
    </row>
    <row r="920" spans="3:10">
      <c r="C920" s="6"/>
      <c r="J920" s="6"/>
    </row>
    <row r="921" spans="3:10">
      <c r="C921" s="6"/>
      <c r="J921" s="6"/>
    </row>
    <row r="922" spans="3:10">
      <c r="C922" s="6"/>
      <c r="J922" s="6"/>
    </row>
    <row r="923" spans="3:10">
      <c r="C923" s="6"/>
      <c r="J923" s="6"/>
    </row>
    <row r="924" spans="3:10">
      <c r="C924" s="6"/>
      <c r="J924" s="6"/>
    </row>
    <row r="925" spans="3:10">
      <c r="C925" s="6"/>
      <c r="J925" s="6"/>
    </row>
    <row r="926" spans="3:10">
      <c r="C926" s="6"/>
      <c r="J926" s="6"/>
    </row>
    <row r="927" spans="3:10">
      <c r="C927" s="6"/>
      <c r="J927" s="6"/>
    </row>
    <row r="928" spans="3:10">
      <c r="C928" s="6"/>
      <c r="J928" s="6"/>
    </row>
    <row r="929" spans="3:10">
      <c r="C929" s="6"/>
      <c r="J929" s="6"/>
    </row>
    <row r="930" spans="3:10">
      <c r="C930" s="6"/>
      <c r="J930" s="6"/>
    </row>
    <row r="931" spans="3:10">
      <c r="C931" s="6"/>
      <c r="J931" s="6"/>
    </row>
    <row r="932" spans="3:10">
      <c r="C932" s="6"/>
      <c r="J932" s="6"/>
    </row>
    <row r="933" spans="3:10">
      <c r="C933" s="6"/>
      <c r="J933" s="6"/>
    </row>
    <row r="934" spans="3:10">
      <c r="C934" s="6"/>
      <c r="J934" s="6"/>
    </row>
    <row r="935" spans="3:10">
      <c r="C935" s="6"/>
      <c r="J935" s="6"/>
    </row>
    <row r="936" spans="3:10">
      <c r="C936" s="6"/>
      <c r="J936" s="6"/>
    </row>
    <row r="937" spans="3:10">
      <c r="C937" s="6"/>
      <c r="J937" s="6"/>
    </row>
    <row r="938" spans="3:10">
      <c r="C938" s="6"/>
      <c r="J938" s="6"/>
    </row>
    <row r="939" spans="3:10">
      <c r="C939" s="6"/>
      <c r="J939" s="6"/>
    </row>
    <row r="940" spans="3:10">
      <c r="C940" s="6"/>
      <c r="J940" s="6"/>
    </row>
    <row r="941" spans="3:10">
      <c r="C941" s="6"/>
      <c r="J941" s="6"/>
    </row>
    <row r="942" spans="3:10">
      <c r="C942" s="6"/>
      <c r="J942" s="6"/>
    </row>
    <row r="943" spans="3:10">
      <c r="C943" s="6"/>
      <c r="J943" s="6"/>
    </row>
    <row r="944" spans="3:10">
      <c r="C944" s="6"/>
      <c r="J944" s="6"/>
    </row>
    <row r="945" spans="3:10">
      <c r="C945" s="6"/>
      <c r="J945" s="6"/>
    </row>
    <row r="946" spans="3:10">
      <c r="C946" s="6"/>
      <c r="J946" s="6"/>
    </row>
    <row r="947" spans="3:10">
      <c r="C947" s="6"/>
      <c r="J947" s="6"/>
    </row>
    <row r="948" spans="3:10">
      <c r="C948" s="6"/>
      <c r="J948" s="6"/>
    </row>
    <row r="949" spans="3:10">
      <c r="C949" s="6"/>
      <c r="J949" s="6"/>
    </row>
    <row r="950" spans="3:10">
      <c r="C950" s="6"/>
      <c r="J950" s="6"/>
    </row>
    <row r="951" spans="3:10">
      <c r="C951" s="6"/>
      <c r="J951" s="6"/>
    </row>
    <row r="952" spans="3:10">
      <c r="C952" s="6"/>
      <c r="J952" s="6"/>
    </row>
    <row r="953" spans="3:10">
      <c r="C953" s="6"/>
      <c r="J953" s="6"/>
    </row>
    <row r="954" spans="3:10">
      <c r="C954" s="6"/>
      <c r="J954" s="6"/>
    </row>
    <row r="955" spans="3:10">
      <c r="C955" s="6"/>
      <c r="J955" s="6"/>
    </row>
    <row r="956" spans="3:10">
      <c r="C956" s="6"/>
      <c r="J956" s="6"/>
    </row>
    <row r="957" spans="3:10">
      <c r="C957" s="6"/>
      <c r="J957" s="6"/>
    </row>
    <row r="958" spans="3:10">
      <c r="C958" s="6"/>
      <c r="J958" s="6"/>
    </row>
    <row r="959" spans="3:10">
      <c r="C959" s="6"/>
      <c r="J959" s="6"/>
    </row>
    <row r="960" spans="3:10">
      <c r="C960" s="6"/>
      <c r="J960" s="6"/>
    </row>
    <row r="961" spans="3:10">
      <c r="C961" s="6"/>
      <c r="J961" s="6"/>
    </row>
    <row r="962" spans="3:10">
      <c r="C962" s="6"/>
      <c r="J962" s="6"/>
    </row>
    <row r="963" spans="3:10">
      <c r="C963" s="6"/>
      <c r="J963" s="6"/>
    </row>
    <row r="964" spans="3:10">
      <c r="C964" s="6"/>
      <c r="J964" s="6"/>
    </row>
    <row r="965" spans="3:10">
      <c r="C965" s="6"/>
      <c r="J965" s="6"/>
    </row>
    <row r="966" spans="3:10">
      <c r="C966" s="6"/>
      <c r="J966" s="6"/>
    </row>
    <row r="967" spans="3:10">
      <c r="C967" s="6"/>
      <c r="J967" s="6"/>
    </row>
    <row r="968" spans="3:10">
      <c r="C968" s="6"/>
      <c r="J968" s="6"/>
    </row>
    <row r="969" spans="3:10">
      <c r="C969" s="6"/>
      <c r="J969" s="6"/>
    </row>
    <row r="970" spans="3:10">
      <c r="C970" s="6"/>
      <c r="J970" s="6"/>
    </row>
    <row r="971" spans="3:10">
      <c r="C971" s="6"/>
      <c r="J971" s="6"/>
    </row>
    <row r="972" spans="3:10">
      <c r="C972" s="6"/>
      <c r="J972" s="6"/>
    </row>
    <row r="973" spans="3:10">
      <c r="C973" s="6"/>
      <c r="J973" s="6"/>
    </row>
    <row r="974" spans="3:10">
      <c r="C974" s="6"/>
      <c r="J974" s="6"/>
    </row>
    <row r="975" spans="3:10">
      <c r="C975" s="6"/>
      <c r="J975" s="6"/>
    </row>
    <row r="976" spans="3:10">
      <c r="C976" s="6"/>
      <c r="J976" s="6"/>
    </row>
    <row r="977" spans="3:10">
      <c r="C977" s="6"/>
      <c r="J977" s="6"/>
    </row>
    <row r="978" spans="3:10">
      <c r="C978" s="6"/>
      <c r="J978" s="6"/>
    </row>
    <row r="979" spans="3:10">
      <c r="C979" s="6"/>
      <c r="J979" s="6"/>
    </row>
    <row r="980" spans="3:10">
      <c r="C980" s="6"/>
      <c r="J980" s="6"/>
    </row>
    <row r="981" spans="3:10">
      <c r="C981" s="6"/>
      <c r="J981" s="6"/>
    </row>
    <row r="982" spans="3:10">
      <c r="C982" s="6"/>
      <c r="J982" s="6"/>
    </row>
    <row r="983" spans="3:10">
      <c r="C983" s="6"/>
      <c r="J983" s="6"/>
    </row>
    <row r="984" spans="3:10">
      <c r="C984" s="6"/>
      <c r="J984" s="6"/>
    </row>
    <row r="985" spans="3:10">
      <c r="C985" s="6"/>
      <c r="J985" s="6"/>
    </row>
    <row r="986" spans="3:10">
      <c r="C986" s="6"/>
      <c r="J986" s="6"/>
    </row>
    <row r="987" spans="3:10">
      <c r="C987" s="6"/>
      <c r="J987" s="6"/>
    </row>
    <row r="988" spans="3:10">
      <c r="C988" s="6"/>
      <c r="J988" s="6"/>
    </row>
    <row r="989" spans="3:10">
      <c r="C989" s="6"/>
      <c r="J989" s="6"/>
    </row>
    <row r="990" spans="3:10">
      <c r="C990" s="6"/>
      <c r="J990" s="6"/>
    </row>
    <row r="991" spans="3:10">
      <c r="C991" s="6"/>
      <c r="J991" s="6"/>
    </row>
    <row r="992" spans="3:10">
      <c r="C992" s="6"/>
      <c r="J992" s="6"/>
    </row>
    <row r="993" spans="3:10">
      <c r="C993" s="6"/>
      <c r="J993" s="6"/>
    </row>
    <row r="994" spans="3:10">
      <c r="C994" s="6"/>
      <c r="J994" s="6"/>
    </row>
    <row r="995" spans="3:10">
      <c r="C995" s="6"/>
      <c r="J995" s="6"/>
    </row>
    <row r="996" spans="3:10">
      <c r="C996" s="6"/>
      <c r="J996" s="6"/>
    </row>
    <row r="997" spans="3:10">
      <c r="C997" s="6"/>
      <c r="J997" s="6"/>
    </row>
  </sheetData>
  <dataValidations count="2">
    <dataValidation type="custom" allowBlank="1" showDropDown="1" showErrorMessage="1" sqref="D2:D27 D29:D78 D80:D96 D98:D106 D108:D123 D170" xr:uid="{00000000-0002-0000-0300-000000000000}">
      <formula1>OR(NOT(ISERROR(DATEVALUE(D2))), AND(ISNUMBER(D2), LEFT(CELL("format", D2))="D"))</formula1>
    </dataValidation>
    <dataValidation type="decimal" allowBlank="1" showDropDown="1" showErrorMessage="1" sqref="E2:E6 E8:E21 E24:E25 E29:E31 E35:E38 E40:E44 E46:E53 E57:E74 E76 E82 E87 E89 E91:E93 E95 E98:E110 E112:E123" xr:uid="{00000000-0002-0000-0300-000001000000}">
      <formula1>1</formula1>
      <formula2>15</formula2>
    </dataValidation>
  </dataValidations>
  <hyperlinks>
    <hyperlink ref="G2" r:id="rId1" xr:uid="{00000000-0004-0000-0300-000000000000}"/>
    <hyperlink ref="G3" r:id="rId2" xr:uid="{00000000-0004-0000-0300-000001000000}"/>
    <hyperlink ref="G4" r:id="rId3" xr:uid="{00000000-0004-0000-0300-000002000000}"/>
    <hyperlink ref="G5" r:id="rId4" xr:uid="{00000000-0004-0000-0300-000003000000}"/>
    <hyperlink ref="G6" r:id="rId5" xr:uid="{00000000-0004-0000-0300-000004000000}"/>
    <hyperlink ref="G7" r:id="rId6" xr:uid="{00000000-0004-0000-0300-000005000000}"/>
    <hyperlink ref="G8" r:id="rId7" xr:uid="{00000000-0004-0000-0300-000006000000}"/>
    <hyperlink ref="G9" r:id="rId8" xr:uid="{00000000-0004-0000-0300-000007000000}"/>
    <hyperlink ref="G10" r:id="rId9" xr:uid="{00000000-0004-0000-0300-000008000000}"/>
    <hyperlink ref="G11" r:id="rId10" xr:uid="{00000000-0004-0000-0300-000009000000}"/>
    <hyperlink ref="G12" r:id="rId11" xr:uid="{00000000-0004-0000-0300-00000A000000}"/>
    <hyperlink ref="G13" r:id="rId12" xr:uid="{00000000-0004-0000-0300-00000B000000}"/>
    <hyperlink ref="G14" r:id="rId13" xr:uid="{00000000-0004-0000-0300-00000C000000}"/>
    <hyperlink ref="G15" r:id="rId14" xr:uid="{00000000-0004-0000-0300-00000D000000}"/>
    <hyperlink ref="G16" r:id="rId15" xr:uid="{00000000-0004-0000-0300-00000E000000}"/>
    <hyperlink ref="G17" r:id="rId16" xr:uid="{00000000-0004-0000-0300-00000F000000}"/>
    <hyperlink ref="G18" r:id="rId17" xr:uid="{00000000-0004-0000-0300-000010000000}"/>
    <hyperlink ref="G19" r:id="rId18" xr:uid="{00000000-0004-0000-0300-000011000000}"/>
    <hyperlink ref="G20" r:id="rId19" xr:uid="{00000000-0004-0000-0300-000012000000}"/>
    <hyperlink ref="G21" r:id="rId20" xr:uid="{00000000-0004-0000-0300-000013000000}"/>
    <hyperlink ref="G22" r:id="rId21" xr:uid="{00000000-0004-0000-0300-000014000000}"/>
    <hyperlink ref="G23" r:id="rId22" xr:uid="{00000000-0004-0000-0300-000015000000}"/>
    <hyperlink ref="G24" r:id="rId23" xr:uid="{00000000-0004-0000-0300-000016000000}"/>
    <hyperlink ref="G25" r:id="rId24" xr:uid="{00000000-0004-0000-0300-000017000000}"/>
    <hyperlink ref="G26" r:id="rId25" xr:uid="{00000000-0004-0000-0300-000018000000}"/>
    <hyperlink ref="G27" r:id="rId26" xr:uid="{00000000-0004-0000-0300-000019000000}"/>
    <hyperlink ref="G28" r:id="rId27" xr:uid="{00000000-0004-0000-0300-00001A000000}"/>
    <hyperlink ref="G29" r:id="rId28" xr:uid="{00000000-0004-0000-0300-00001B000000}"/>
    <hyperlink ref="G30" r:id="rId29" xr:uid="{00000000-0004-0000-0300-00001C000000}"/>
    <hyperlink ref="G31" r:id="rId30" xr:uid="{00000000-0004-0000-0300-00001D000000}"/>
    <hyperlink ref="G32" r:id="rId31" xr:uid="{00000000-0004-0000-0300-00001E000000}"/>
    <hyperlink ref="G33" r:id="rId32" xr:uid="{00000000-0004-0000-0300-00001F000000}"/>
    <hyperlink ref="G34" r:id="rId33" xr:uid="{00000000-0004-0000-0300-000020000000}"/>
    <hyperlink ref="G35" r:id="rId34" xr:uid="{00000000-0004-0000-0300-000021000000}"/>
    <hyperlink ref="G36" r:id="rId35" xr:uid="{00000000-0004-0000-0300-000022000000}"/>
    <hyperlink ref="G37" r:id="rId36" xr:uid="{00000000-0004-0000-0300-000023000000}"/>
    <hyperlink ref="G38" r:id="rId37" xr:uid="{00000000-0004-0000-0300-000024000000}"/>
    <hyperlink ref="G39" r:id="rId38" xr:uid="{00000000-0004-0000-0300-000025000000}"/>
    <hyperlink ref="G40" r:id="rId39" xr:uid="{00000000-0004-0000-0300-000026000000}"/>
    <hyperlink ref="G41" r:id="rId40" xr:uid="{00000000-0004-0000-0300-000027000000}"/>
    <hyperlink ref="G42" r:id="rId41" xr:uid="{00000000-0004-0000-0300-000028000000}"/>
    <hyperlink ref="G43" r:id="rId42" xr:uid="{00000000-0004-0000-0300-000029000000}"/>
    <hyperlink ref="G44" r:id="rId43" xr:uid="{00000000-0004-0000-0300-00002A000000}"/>
    <hyperlink ref="G45" r:id="rId44" xr:uid="{00000000-0004-0000-0300-00002B000000}"/>
    <hyperlink ref="G46" r:id="rId45" xr:uid="{00000000-0004-0000-0300-00002C000000}"/>
    <hyperlink ref="G47" r:id="rId46" xr:uid="{00000000-0004-0000-0300-00002D000000}"/>
    <hyperlink ref="G48" r:id="rId47" xr:uid="{00000000-0004-0000-0300-00002E000000}"/>
    <hyperlink ref="G49" r:id="rId48" xr:uid="{00000000-0004-0000-0300-00002F000000}"/>
    <hyperlink ref="G50" r:id="rId49" xr:uid="{00000000-0004-0000-0300-000030000000}"/>
    <hyperlink ref="G51" r:id="rId50" xr:uid="{00000000-0004-0000-0300-000031000000}"/>
    <hyperlink ref="G52" r:id="rId51" xr:uid="{00000000-0004-0000-0300-000032000000}"/>
    <hyperlink ref="G53" r:id="rId52" xr:uid="{00000000-0004-0000-0300-000033000000}"/>
    <hyperlink ref="G54" r:id="rId53" xr:uid="{00000000-0004-0000-0300-000034000000}"/>
    <hyperlink ref="G55" r:id="rId54" xr:uid="{00000000-0004-0000-0300-000035000000}"/>
    <hyperlink ref="G56" r:id="rId55" xr:uid="{00000000-0004-0000-0300-000036000000}"/>
    <hyperlink ref="G57" r:id="rId56" xr:uid="{00000000-0004-0000-0300-000037000000}"/>
    <hyperlink ref="G58" r:id="rId57" xr:uid="{00000000-0004-0000-0300-000038000000}"/>
    <hyperlink ref="G59" r:id="rId58" xr:uid="{00000000-0004-0000-0300-000039000000}"/>
    <hyperlink ref="G60" r:id="rId59" xr:uid="{00000000-0004-0000-0300-00003A000000}"/>
    <hyperlink ref="G61" r:id="rId60" xr:uid="{00000000-0004-0000-0300-00003B000000}"/>
    <hyperlink ref="G62" r:id="rId61" xr:uid="{00000000-0004-0000-0300-00003C000000}"/>
    <hyperlink ref="G63" r:id="rId62" xr:uid="{00000000-0004-0000-0300-00003D000000}"/>
    <hyperlink ref="G64" r:id="rId63" xr:uid="{00000000-0004-0000-0300-00003E000000}"/>
    <hyperlink ref="G65" r:id="rId64" xr:uid="{00000000-0004-0000-0300-00003F000000}"/>
    <hyperlink ref="G66" r:id="rId65" xr:uid="{00000000-0004-0000-0300-000040000000}"/>
    <hyperlink ref="G67" r:id="rId66" xr:uid="{00000000-0004-0000-0300-000041000000}"/>
    <hyperlink ref="G68" r:id="rId67" xr:uid="{00000000-0004-0000-0300-000042000000}"/>
    <hyperlink ref="G69" r:id="rId68" xr:uid="{00000000-0004-0000-0300-000043000000}"/>
    <hyperlink ref="G70" r:id="rId69" xr:uid="{00000000-0004-0000-0300-000044000000}"/>
    <hyperlink ref="G71" r:id="rId70" xr:uid="{00000000-0004-0000-0300-000045000000}"/>
    <hyperlink ref="G72" r:id="rId71" xr:uid="{00000000-0004-0000-0300-000046000000}"/>
    <hyperlink ref="G73" r:id="rId72" xr:uid="{00000000-0004-0000-0300-000047000000}"/>
    <hyperlink ref="G74" r:id="rId73" xr:uid="{00000000-0004-0000-0300-000048000000}"/>
    <hyperlink ref="G75" r:id="rId74" xr:uid="{00000000-0004-0000-0300-000049000000}"/>
    <hyperlink ref="G76" r:id="rId75" xr:uid="{00000000-0004-0000-0300-00004A000000}"/>
    <hyperlink ref="G77" r:id="rId76" xr:uid="{00000000-0004-0000-0300-00004B000000}"/>
    <hyperlink ref="G78" r:id="rId77" xr:uid="{00000000-0004-0000-0300-00004C000000}"/>
    <hyperlink ref="G79" r:id="rId78" xr:uid="{00000000-0004-0000-0300-00004D000000}"/>
    <hyperlink ref="G80" r:id="rId79" xr:uid="{00000000-0004-0000-0300-00004E000000}"/>
    <hyperlink ref="G81" r:id="rId80" xr:uid="{00000000-0004-0000-0300-00004F000000}"/>
    <hyperlink ref="G82" r:id="rId81" xr:uid="{00000000-0004-0000-0300-000050000000}"/>
    <hyperlink ref="G83" r:id="rId82" xr:uid="{00000000-0004-0000-0300-000051000000}"/>
    <hyperlink ref="G84" r:id="rId83" xr:uid="{00000000-0004-0000-0300-000052000000}"/>
    <hyperlink ref="G85" r:id="rId84" xr:uid="{00000000-0004-0000-0300-000053000000}"/>
    <hyperlink ref="G86" r:id="rId85" xr:uid="{00000000-0004-0000-0300-000054000000}"/>
    <hyperlink ref="G87" r:id="rId86" xr:uid="{00000000-0004-0000-0300-000055000000}"/>
    <hyperlink ref="G88" r:id="rId87" xr:uid="{00000000-0004-0000-0300-000056000000}"/>
    <hyperlink ref="G89" r:id="rId88" xr:uid="{00000000-0004-0000-0300-000057000000}"/>
    <hyperlink ref="G90" r:id="rId89" xr:uid="{00000000-0004-0000-0300-000058000000}"/>
    <hyperlink ref="G91" r:id="rId90" xr:uid="{00000000-0004-0000-0300-000059000000}"/>
    <hyperlink ref="G92" r:id="rId91" xr:uid="{00000000-0004-0000-0300-00005A000000}"/>
    <hyperlink ref="G93" r:id="rId92" xr:uid="{00000000-0004-0000-0300-00005B000000}"/>
    <hyperlink ref="G94" r:id="rId93" xr:uid="{00000000-0004-0000-0300-00005C000000}"/>
    <hyperlink ref="G95" r:id="rId94" xr:uid="{00000000-0004-0000-0300-00005D000000}"/>
    <hyperlink ref="G96" r:id="rId95" xr:uid="{00000000-0004-0000-0300-00005E000000}"/>
    <hyperlink ref="G97" r:id="rId96" xr:uid="{00000000-0004-0000-0300-00005F000000}"/>
    <hyperlink ref="G98" r:id="rId97" xr:uid="{00000000-0004-0000-0300-000060000000}"/>
    <hyperlink ref="G99" r:id="rId98" xr:uid="{00000000-0004-0000-0300-000061000000}"/>
    <hyperlink ref="G100" r:id="rId99" xr:uid="{00000000-0004-0000-0300-000062000000}"/>
    <hyperlink ref="G101" r:id="rId100" xr:uid="{00000000-0004-0000-0300-000063000000}"/>
    <hyperlink ref="G102" r:id="rId101" xr:uid="{00000000-0004-0000-0300-000064000000}"/>
    <hyperlink ref="G103" r:id="rId102" xr:uid="{00000000-0004-0000-0300-000065000000}"/>
    <hyperlink ref="G104" r:id="rId103" xr:uid="{00000000-0004-0000-0300-000066000000}"/>
    <hyperlink ref="G105" r:id="rId104" xr:uid="{00000000-0004-0000-0300-000067000000}"/>
    <hyperlink ref="G106" r:id="rId105" xr:uid="{00000000-0004-0000-0300-000068000000}"/>
    <hyperlink ref="G107" r:id="rId106" xr:uid="{00000000-0004-0000-0300-000069000000}"/>
    <hyperlink ref="G108" r:id="rId107" xr:uid="{00000000-0004-0000-0300-00006A000000}"/>
    <hyperlink ref="G109" r:id="rId108" xr:uid="{00000000-0004-0000-0300-00006B000000}"/>
    <hyperlink ref="G110" r:id="rId109" xr:uid="{00000000-0004-0000-0300-00006C000000}"/>
    <hyperlink ref="G111" r:id="rId110" xr:uid="{00000000-0004-0000-0300-00006D000000}"/>
    <hyperlink ref="G112" r:id="rId111" xr:uid="{00000000-0004-0000-0300-00006E000000}"/>
    <hyperlink ref="G113" r:id="rId112" xr:uid="{00000000-0004-0000-0300-00006F000000}"/>
    <hyperlink ref="G114" r:id="rId113" xr:uid="{00000000-0004-0000-0300-000070000000}"/>
    <hyperlink ref="G115" r:id="rId114" xr:uid="{00000000-0004-0000-0300-000071000000}"/>
    <hyperlink ref="G116" r:id="rId115" xr:uid="{00000000-0004-0000-0300-000072000000}"/>
    <hyperlink ref="G117" r:id="rId116" xr:uid="{00000000-0004-0000-0300-000073000000}"/>
    <hyperlink ref="G118" r:id="rId117" xr:uid="{00000000-0004-0000-0300-000074000000}"/>
    <hyperlink ref="G119" r:id="rId118" xr:uid="{00000000-0004-0000-0300-000075000000}"/>
    <hyperlink ref="G120" r:id="rId119" xr:uid="{00000000-0004-0000-0300-000076000000}"/>
    <hyperlink ref="G121" r:id="rId120" xr:uid="{00000000-0004-0000-0300-000077000000}"/>
    <hyperlink ref="G122" r:id="rId121" xr:uid="{00000000-0004-0000-0300-000078000000}"/>
    <hyperlink ref="G123" r:id="rId122" xr:uid="{00000000-0004-0000-0300-000079000000}"/>
    <hyperlink ref="G124" r:id="rId123" xr:uid="{00000000-0004-0000-0300-00007A000000}"/>
    <hyperlink ref="G125" r:id="rId124" xr:uid="{00000000-0004-0000-0300-00007B000000}"/>
    <hyperlink ref="G126" r:id="rId125" xr:uid="{00000000-0004-0000-0300-00007C000000}"/>
    <hyperlink ref="G127" r:id="rId126" xr:uid="{00000000-0004-0000-0300-00007D000000}"/>
    <hyperlink ref="G128" r:id="rId127" xr:uid="{00000000-0004-0000-0300-00007E000000}"/>
    <hyperlink ref="G129" r:id="rId128" xr:uid="{00000000-0004-0000-0300-00007F000000}"/>
    <hyperlink ref="G130" r:id="rId129" xr:uid="{00000000-0004-0000-0300-000080000000}"/>
    <hyperlink ref="G131" r:id="rId130" xr:uid="{00000000-0004-0000-0300-000081000000}"/>
    <hyperlink ref="G132" r:id="rId131" xr:uid="{00000000-0004-0000-0300-000082000000}"/>
    <hyperlink ref="G133" r:id="rId132" xr:uid="{00000000-0004-0000-0300-000083000000}"/>
    <hyperlink ref="G134" r:id="rId133" xr:uid="{00000000-0004-0000-0300-000084000000}"/>
    <hyperlink ref="G135" r:id="rId134" xr:uid="{00000000-0004-0000-0300-000085000000}"/>
    <hyperlink ref="G136" r:id="rId135" xr:uid="{00000000-0004-0000-0300-000086000000}"/>
    <hyperlink ref="G137" r:id="rId136" xr:uid="{00000000-0004-0000-0300-000087000000}"/>
    <hyperlink ref="G138" r:id="rId137" xr:uid="{00000000-0004-0000-0300-000088000000}"/>
    <hyperlink ref="G139" r:id="rId138" xr:uid="{00000000-0004-0000-0300-000089000000}"/>
    <hyperlink ref="G140" r:id="rId139" xr:uid="{00000000-0004-0000-0300-00008A000000}"/>
    <hyperlink ref="G141" r:id="rId140" xr:uid="{00000000-0004-0000-0300-00008B000000}"/>
    <hyperlink ref="G142" r:id="rId141" xr:uid="{00000000-0004-0000-0300-00008C000000}"/>
    <hyperlink ref="G143" r:id="rId142" xr:uid="{00000000-0004-0000-0300-00008D000000}"/>
    <hyperlink ref="G144" r:id="rId143" xr:uid="{00000000-0004-0000-0300-00008E000000}"/>
    <hyperlink ref="G145" r:id="rId144" xr:uid="{00000000-0004-0000-0300-00008F000000}"/>
    <hyperlink ref="G146" r:id="rId145" xr:uid="{00000000-0004-0000-0300-000090000000}"/>
    <hyperlink ref="G147" r:id="rId146" xr:uid="{00000000-0004-0000-0300-000091000000}"/>
    <hyperlink ref="G148" r:id="rId147" xr:uid="{00000000-0004-0000-0300-000092000000}"/>
    <hyperlink ref="G149" r:id="rId148" xr:uid="{00000000-0004-0000-0300-000093000000}"/>
    <hyperlink ref="G150" r:id="rId149" xr:uid="{00000000-0004-0000-0300-000094000000}"/>
    <hyperlink ref="G151" r:id="rId150" xr:uid="{00000000-0004-0000-0300-000095000000}"/>
    <hyperlink ref="G152" r:id="rId151" xr:uid="{00000000-0004-0000-0300-000096000000}"/>
    <hyperlink ref="G153" r:id="rId152" xr:uid="{00000000-0004-0000-0300-000097000000}"/>
    <hyperlink ref="G154" r:id="rId153" xr:uid="{00000000-0004-0000-0300-000098000000}"/>
    <hyperlink ref="G155" r:id="rId154" xr:uid="{00000000-0004-0000-0300-000099000000}"/>
    <hyperlink ref="G156" r:id="rId155" xr:uid="{00000000-0004-0000-0300-00009A000000}"/>
    <hyperlink ref="G157" r:id="rId156" xr:uid="{00000000-0004-0000-0300-00009B000000}"/>
    <hyperlink ref="G158" r:id="rId157" xr:uid="{00000000-0004-0000-0300-00009C000000}"/>
    <hyperlink ref="G159" r:id="rId158" xr:uid="{00000000-0004-0000-0300-00009D000000}"/>
    <hyperlink ref="G160" r:id="rId159" xr:uid="{00000000-0004-0000-0300-00009E000000}"/>
    <hyperlink ref="G161" r:id="rId160" xr:uid="{00000000-0004-0000-0300-00009F000000}"/>
    <hyperlink ref="G162" r:id="rId161" xr:uid="{00000000-0004-0000-0300-0000A0000000}"/>
    <hyperlink ref="G163" r:id="rId162" xr:uid="{00000000-0004-0000-0300-0000A1000000}"/>
    <hyperlink ref="G164" r:id="rId163" xr:uid="{00000000-0004-0000-0300-0000A2000000}"/>
    <hyperlink ref="G165" r:id="rId164" xr:uid="{00000000-0004-0000-0300-0000A3000000}"/>
    <hyperlink ref="G166" r:id="rId165" xr:uid="{00000000-0004-0000-0300-0000A4000000}"/>
    <hyperlink ref="G167" r:id="rId166" xr:uid="{00000000-0004-0000-0300-0000A5000000}"/>
    <hyperlink ref="G168" r:id="rId167" xr:uid="{00000000-0004-0000-0300-0000A6000000}"/>
    <hyperlink ref="G169" r:id="rId168" xr:uid="{00000000-0004-0000-0300-0000A7000000}"/>
    <hyperlink ref="G170" r:id="rId169" xr:uid="{00000000-0004-0000-0300-0000A8000000}"/>
    <hyperlink ref="G171" r:id="rId170" xr:uid="{00000000-0004-0000-0300-0000A9000000}"/>
    <hyperlink ref="G172" r:id="rId171" xr:uid="{00000000-0004-0000-0300-0000AA000000}"/>
    <hyperlink ref="G173" r:id="rId172" xr:uid="{00000000-0004-0000-0300-0000AB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997"/>
  <sheetViews>
    <sheetView workbookViewId="0">
      <pane xSplit="2" ySplit="1" topLeftCell="C2" activePane="bottomRight" state="frozen"/>
      <selection pane="topRight" activeCell="C1" sqref="C1"/>
      <selection pane="bottomLeft" activeCell="A2" sqref="A2"/>
      <selection pane="bottomRight" activeCell="J1" sqref="J1"/>
    </sheetView>
  </sheetViews>
  <sheetFormatPr defaultColWidth="12.6640625" defaultRowHeight="15.75" customHeight="1"/>
  <cols>
    <col min="1" max="1" width="10.21875" customWidth="1"/>
    <col min="2" max="2" width="13.77734375" customWidth="1"/>
    <col min="3" max="3" width="50.33203125" customWidth="1"/>
    <col min="10" max="10" width="50.88671875" customWidth="1"/>
  </cols>
  <sheetData>
    <row r="1" spans="1:10">
      <c r="A1" s="2" t="s">
        <v>1070</v>
      </c>
      <c r="B1" s="2" t="s">
        <v>1</v>
      </c>
      <c r="C1" s="1" t="s">
        <v>1904</v>
      </c>
      <c r="D1" s="1" t="s">
        <v>1905</v>
      </c>
      <c r="E1" s="1" t="s">
        <v>1906</v>
      </c>
      <c r="F1" s="1" t="s">
        <v>1907</v>
      </c>
      <c r="G1" s="1" t="s">
        <v>1908</v>
      </c>
      <c r="H1" s="50" t="s">
        <v>10</v>
      </c>
      <c r="I1" s="50" t="s">
        <v>11</v>
      </c>
      <c r="J1" s="1" t="s">
        <v>1909</v>
      </c>
    </row>
    <row r="2" spans="1:10">
      <c r="A2" s="7">
        <v>1</v>
      </c>
      <c r="B2" s="8" t="str">
        <f>VLOOKUP(A2,vaccines!A:B,2)</f>
        <v>BCG_Microgen</v>
      </c>
      <c r="C2" s="28" t="s">
        <v>1910</v>
      </c>
      <c r="D2" s="12">
        <v>45461</v>
      </c>
      <c r="E2" s="7"/>
      <c r="F2" s="7"/>
      <c r="G2" s="15" t="s">
        <v>1079</v>
      </c>
      <c r="H2" s="11">
        <v>44712</v>
      </c>
      <c r="I2" s="52">
        <v>45517</v>
      </c>
      <c r="J2" s="28" t="s">
        <v>1911</v>
      </c>
    </row>
    <row r="3" spans="1:10">
      <c r="A3" s="7">
        <v>2</v>
      </c>
      <c r="B3" s="8" t="str">
        <f>VLOOKUP(A3,vaccines!A:B,2)</f>
        <v>BCG_M_Microgen</v>
      </c>
      <c r="C3" s="28" t="s">
        <v>1912</v>
      </c>
      <c r="D3" s="12">
        <v>45461</v>
      </c>
      <c r="E3" s="7"/>
      <c r="F3" s="7"/>
      <c r="G3" s="15" t="s">
        <v>1082</v>
      </c>
      <c r="H3" s="11">
        <f t="shared" ref="H3:H50" si="0">H2</f>
        <v>44712</v>
      </c>
      <c r="I3" s="52">
        <v>45517</v>
      </c>
      <c r="J3" s="28" t="s">
        <v>1913</v>
      </c>
    </row>
    <row r="4" spans="1:10">
      <c r="A4" s="7">
        <v>3</v>
      </c>
      <c r="B4" s="8" t="str">
        <f>VLOOKUP(A4,vaccines!A:B,2)</f>
        <v>BCG_Gamaleya</v>
      </c>
      <c r="C4" s="28" t="s">
        <v>1914</v>
      </c>
      <c r="D4" s="12">
        <v>45769</v>
      </c>
      <c r="E4" s="7">
        <v>1</v>
      </c>
      <c r="F4" s="7">
        <v>0</v>
      </c>
      <c r="G4" s="15" t="s">
        <v>1085</v>
      </c>
      <c r="H4" s="11">
        <f t="shared" si="0"/>
        <v>44712</v>
      </c>
      <c r="I4" s="52">
        <v>45801</v>
      </c>
      <c r="J4" s="28" t="s">
        <v>1915</v>
      </c>
    </row>
    <row r="5" spans="1:10">
      <c r="A5" s="7">
        <v>4</v>
      </c>
      <c r="B5" s="8" t="str">
        <f>VLOOKUP(A5,vaccines!A:B,2)</f>
        <v>BCG_M_Gamaleya</v>
      </c>
      <c r="C5" s="28" t="s">
        <v>1916</v>
      </c>
      <c r="D5" s="12">
        <v>45771</v>
      </c>
      <c r="E5" s="7">
        <v>1</v>
      </c>
      <c r="F5" s="7">
        <v>0</v>
      </c>
      <c r="G5" s="15" t="s">
        <v>1088</v>
      </c>
      <c r="H5" s="11">
        <f t="shared" si="0"/>
        <v>44712</v>
      </c>
      <c r="I5" s="52">
        <v>45818</v>
      </c>
      <c r="J5" s="28" t="s">
        <v>1917</v>
      </c>
    </row>
    <row r="6" spans="1:10">
      <c r="A6" s="7">
        <v>5</v>
      </c>
      <c r="B6" s="8" t="str">
        <f>VLOOKUP(A6,vaccines!A:B,2)</f>
        <v>Infanrix</v>
      </c>
      <c r="C6" s="10" t="s">
        <v>1918</v>
      </c>
      <c r="D6" s="12">
        <v>44211</v>
      </c>
      <c r="E6" s="7"/>
      <c r="F6" s="7"/>
      <c r="G6" s="15" t="s">
        <v>1091</v>
      </c>
      <c r="H6" s="11">
        <f t="shared" si="0"/>
        <v>44712</v>
      </c>
      <c r="I6" s="52">
        <v>45481</v>
      </c>
      <c r="J6" s="10" t="s">
        <v>1919</v>
      </c>
    </row>
    <row r="7" spans="1:10">
      <c r="A7" s="7">
        <v>6</v>
      </c>
      <c r="B7" s="8" t="str">
        <f>VLOOKUP(A7,vaccines!A:B,2)</f>
        <v>AKDS_Microgen</v>
      </c>
      <c r="C7" s="28" t="s">
        <v>1920</v>
      </c>
      <c r="D7" s="52">
        <v>45415</v>
      </c>
      <c r="E7" s="7"/>
      <c r="F7" s="7"/>
      <c r="G7" s="15" t="s">
        <v>1094</v>
      </c>
      <c r="H7" s="53">
        <f t="shared" si="0"/>
        <v>44712</v>
      </c>
      <c r="I7" s="52">
        <v>45461</v>
      </c>
      <c r="J7" s="28" t="s">
        <v>1921</v>
      </c>
    </row>
    <row r="8" spans="1:10">
      <c r="A8" s="7">
        <v>7</v>
      </c>
      <c r="B8" s="8" t="str">
        <f>VLOOKUP(A8,vaccines!A:B,2)</f>
        <v>AKDS_Biomed</v>
      </c>
      <c r="C8" s="10" t="s">
        <v>1922</v>
      </c>
      <c r="D8" s="53">
        <v>41388</v>
      </c>
      <c r="E8" s="7">
        <v>1</v>
      </c>
      <c r="F8" s="7">
        <v>0</v>
      </c>
      <c r="G8" s="19" t="s">
        <v>1097</v>
      </c>
      <c r="H8" s="53">
        <f t="shared" si="0"/>
        <v>44712</v>
      </c>
      <c r="I8" s="53">
        <v>44904</v>
      </c>
      <c r="J8" s="10" t="s">
        <v>1923</v>
      </c>
    </row>
    <row r="9" spans="1:10">
      <c r="A9" s="7">
        <v>8</v>
      </c>
      <c r="B9" s="8" t="str">
        <f>VLOOKUP(A9,vaccines!A:B,2)</f>
        <v>Bubo_kok</v>
      </c>
      <c r="C9" s="10" t="s">
        <v>1924</v>
      </c>
      <c r="D9" s="53">
        <v>40395</v>
      </c>
      <c r="E9" s="7">
        <v>1</v>
      </c>
      <c r="F9" s="7">
        <v>0</v>
      </c>
      <c r="G9" s="19" t="s">
        <v>1100</v>
      </c>
      <c r="H9" s="53">
        <f t="shared" si="0"/>
        <v>44712</v>
      </c>
      <c r="I9" s="53">
        <v>44910</v>
      </c>
      <c r="J9" s="10" t="s">
        <v>1925</v>
      </c>
    </row>
    <row r="10" spans="1:10">
      <c r="A10" s="7">
        <v>9</v>
      </c>
      <c r="B10" s="8" t="str">
        <f>VLOOKUP(A10,vaccines!A:B,2)</f>
        <v>Pentaxim</v>
      </c>
      <c r="C10" s="28" t="s">
        <v>1926</v>
      </c>
      <c r="D10" s="12">
        <v>45980</v>
      </c>
      <c r="E10" s="54">
        <v>1</v>
      </c>
      <c r="F10" s="54">
        <v>0</v>
      </c>
      <c r="G10" s="15" t="s">
        <v>1104</v>
      </c>
      <c r="H10" s="11">
        <f t="shared" si="0"/>
        <v>44712</v>
      </c>
      <c r="I10" s="52">
        <v>46204</v>
      </c>
      <c r="J10" s="28" t="s">
        <v>1927</v>
      </c>
    </row>
    <row r="11" spans="1:10">
      <c r="A11" s="7">
        <v>10</v>
      </c>
      <c r="B11" s="8" t="str">
        <f>VLOOKUP(A11,vaccines!A:B,2)</f>
        <v>Infanrix_Hexa</v>
      </c>
      <c r="C11" s="28" t="s">
        <v>1928</v>
      </c>
      <c r="D11" s="12">
        <v>45953</v>
      </c>
      <c r="E11" s="54">
        <v>1</v>
      </c>
      <c r="F11" s="54">
        <v>0</v>
      </c>
      <c r="G11" s="27" t="s">
        <v>1108</v>
      </c>
      <c r="H11" s="11">
        <f t="shared" si="0"/>
        <v>44712</v>
      </c>
      <c r="I11" s="52">
        <v>46000</v>
      </c>
      <c r="J11" s="28" t="s">
        <v>1929</v>
      </c>
    </row>
    <row r="12" spans="1:10">
      <c r="A12" s="7">
        <v>11</v>
      </c>
      <c r="B12" s="8" t="str">
        <f>VLOOKUP(A12,vaccines!A:B,2)</f>
        <v>Bubo_M</v>
      </c>
      <c r="C12" s="28" t="s">
        <v>1930</v>
      </c>
      <c r="D12" s="12">
        <v>46136</v>
      </c>
      <c r="E12" s="7">
        <v>1</v>
      </c>
      <c r="F12" s="7">
        <v>0</v>
      </c>
      <c r="G12" s="15" t="s">
        <v>1111</v>
      </c>
      <c r="H12" s="11">
        <f t="shared" si="0"/>
        <v>44712</v>
      </c>
      <c r="I12" s="52">
        <v>46188</v>
      </c>
      <c r="J12" s="28" t="s">
        <v>1931</v>
      </c>
    </row>
    <row r="13" spans="1:10">
      <c r="A13" s="7">
        <v>12</v>
      </c>
      <c r="B13" s="8" t="str">
        <f>VLOOKUP(A13,vaccines!A:B,2)</f>
        <v>AD_M_Microgen</v>
      </c>
      <c r="C13" s="28" t="s">
        <v>1932</v>
      </c>
      <c r="D13" s="12">
        <v>45482</v>
      </c>
      <c r="E13" s="7"/>
      <c r="F13" s="7"/>
      <c r="G13" s="15" t="s">
        <v>1114</v>
      </c>
      <c r="H13" s="11">
        <f t="shared" si="0"/>
        <v>44712</v>
      </c>
      <c r="I13" s="52">
        <v>45518</v>
      </c>
      <c r="J13" s="28" t="s">
        <v>1933</v>
      </c>
    </row>
    <row r="14" spans="1:10">
      <c r="A14" s="7">
        <v>13</v>
      </c>
      <c r="B14" s="8" t="str">
        <f>VLOOKUP(A14,vaccines!A:B,2)</f>
        <v>ADS_Microgen</v>
      </c>
      <c r="C14" s="28" t="s">
        <v>1934</v>
      </c>
      <c r="D14" s="12">
        <v>45488</v>
      </c>
      <c r="E14" s="7"/>
      <c r="F14" s="7"/>
      <c r="G14" s="15" t="s">
        <v>1117</v>
      </c>
      <c r="H14" s="11">
        <f t="shared" si="0"/>
        <v>44712</v>
      </c>
      <c r="I14" s="52">
        <v>45518</v>
      </c>
      <c r="J14" s="28" t="s">
        <v>1935</v>
      </c>
    </row>
    <row r="15" spans="1:10">
      <c r="A15" s="7">
        <v>14</v>
      </c>
      <c r="B15" s="8" t="str">
        <f>VLOOKUP(A15,vaccines!A:B,2)</f>
        <v>ADS_M_Microgen</v>
      </c>
      <c r="C15" s="28" t="s">
        <v>1936</v>
      </c>
      <c r="D15" s="12">
        <v>45623</v>
      </c>
      <c r="E15" s="54">
        <v>1</v>
      </c>
      <c r="F15" s="54">
        <v>0</v>
      </c>
      <c r="G15" s="15" t="s">
        <v>1121</v>
      </c>
      <c r="H15" s="11">
        <f t="shared" si="0"/>
        <v>44712</v>
      </c>
      <c r="I15" s="52">
        <v>45861</v>
      </c>
      <c r="J15" s="28" t="s">
        <v>1937</v>
      </c>
    </row>
    <row r="16" spans="1:10">
      <c r="A16" s="7">
        <v>15</v>
      </c>
      <c r="B16" s="8" t="str">
        <f>VLOOKUP(A16,vaccines!A:B,2)</f>
        <v>ADS_M_Biomed</v>
      </c>
      <c r="C16" s="10" t="s">
        <v>1938</v>
      </c>
      <c r="D16" s="53">
        <v>41046</v>
      </c>
      <c r="E16" s="7">
        <v>1</v>
      </c>
      <c r="F16" s="7">
        <v>0</v>
      </c>
      <c r="G16" s="19" t="s">
        <v>1124</v>
      </c>
      <c r="H16" s="53">
        <f t="shared" si="0"/>
        <v>44712</v>
      </c>
      <c r="I16" s="53">
        <v>44914</v>
      </c>
      <c r="J16" s="10" t="s">
        <v>1939</v>
      </c>
    </row>
    <row r="17" spans="1:10">
      <c r="A17" s="7">
        <v>16</v>
      </c>
      <c r="B17" s="8" t="str">
        <f>VLOOKUP(A17,vaccines!A:B,2)</f>
        <v>Adacel</v>
      </c>
      <c r="C17" s="28" t="s">
        <v>1940</v>
      </c>
      <c r="D17" s="12">
        <v>45456</v>
      </c>
      <c r="E17" s="7"/>
      <c r="F17" s="7"/>
      <c r="G17" s="9" t="s">
        <v>1127</v>
      </c>
      <c r="H17" s="11">
        <f t="shared" si="0"/>
        <v>44712</v>
      </c>
      <c r="I17" s="52">
        <v>45589</v>
      </c>
      <c r="J17" s="28" t="s">
        <v>1941</v>
      </c>
    </row>
    <row r="18" spans="1:10">
      <c r="A18" s="7">
        <v>17</v>
      </c>
      <c r="B18" s="8" t="str">
        <f>VLOOKUP(A18,vaccines!A:B,2)</f>
        <v>Algavac_M</v>
      </c>
      <c r="C18" s="10" t="s">
        <v>1942</v>
      </c>
      <c r="D18" s="52">
        <v>45225</v>
      </c>
      <c r="E18" s="54">
        <v>3</v>
      </c>
      <c r="F18" s="54">
        <v>4</v>
      </c>
      <c r="G18" s="15" t="s">
        <v>1943</v>
      </c>
      <c r="H18" s="53">
        <f t="shared" si="0"/>
        <v>44712</v>
      </c>
      <c r="I18" s="52">
        <v>45715</v>
      </c>
      <c r="J18" s="10" t="s">
        <v>1944</v>
      </c>
    </row>
    <row r="19" spans="1:10">
      <c r="A19" s="7">
        <v>18</v>
      </c>
      <c r="B19" s="8" t="str">
        <f>VLOOKUP(A19,vaccines!A:B,2)</f>
        <v>Algavac</v>
      </c>
      <c r="C19" s="28" t="s">
        <v>1945</v>
      </c>
      <c r="D19" s="12">
        <v>46111</v>
      </c>
      <c r="E19" s="7">
        <v>1</v>
      </c>
      <c r="F19" s="7">
        <v>0</v>
      </c>
      <c r="G19" s="15" t="s">
        <v>1133</v>
      </c>
      <c r="H19" s="11">
        <f t="shared" si="0"/>
        <v>44712</v>
      </c>
      <c r="I19" s="52">
        <v>46188</v>
      </c>
      <c r="J19" s="28" t="s">
        <v>1946</v>
      </c>
    </row>
    <row r="20" spans="1:10">
      <c r="A20" s="7">
        <v>19</v>
      </c>
      <c r="B20" s="8" t="str">
        <f>VLOOKUP(A20,vaccines!A:B,2)</f>
        <v>Havrix_720</v>
      </c>
      <c r="C20" s="28" t="s">
        <v>1947</v>
      </c>
      <c r="D20" s="12">
        <v>45490</v>
      </c>
      <c r="E20" s="7"/>
      <c r="F20" s="7"/>
      <c r="G20" s="15" t="s">
        <v>1136</v>
      </c>
      <c r="H20" s="11">
        <f t="shared" si="0"/>
        <v>44712</v>
      </c>
      <c r="I20" s="52">
        <v>45558</v>
      </c>
      <c r="J20" s="28" t="s">
        <v>1948</v>
      </c>
    </row>
    <row r="21" spans="1:10">
      <c r="A21" s="7">
        <v>20</v>
      </c>
      <c r="B21" s="8" t="str">
        <f>VLOOKUP(A21,vaccines!A:B,2)</f>
        <v>Havrix_1440</v>
      </c>
      <c r="C21" s="28" t="s">
        <v>1949</v>
      </c>
      <c r="D21" s="12">
        <v>45490</v>
      </c>
      <c r="E21" s="7"/>
      <c r="F21" s="7"/>
      <c r="G21" s="15" t="s">
        <v>1136</v>
      </c>
      <c r="H21" s="11">
        <f t="shared" si="0"/>
        <v>44712</v>
      </c>
      <c r="I21" s="52">
        <v>45558</v>
      </c>
      <c r="J21" s="28" t="s">
        <v>1950</v>
      </c>
    </row>
    <row r="22" spans="1:10">
      <c r="A22" s="7">
        <v>21</v>
      </c>
      <c r="B22" s="8" t="str">
        <f>VLOOKUP(A22,vaccines!A:B,2)</f>
        <v>Avaxim_80</v>
      </c>
      <c r="C22" s="10" t="s">
        <v>1951</v>
      </c>
      <c r="D22" s="53">
        <v>43500</v>
      </c>
      <c r="E22" s="7">
        <v>3</v>
      </c>
      <c r="F22" s="7">
        <v>2</v>
      </c>
      <c r="G22" s="19" t="s">
        <v>1141</v>
      </c>
      <c r="H22" s="53">
        <f t="shared" si="0"/>
        <v>44712</v>
      </c>
      <c r="I22" s="53">
        <v>45079</v>
      </c>
      <c r="J22" s="10" t="s">
        <v>1952</v>
      </c>
    </row>
    <row r="23" spans="1:10">
      <c r="A23" s="7">
        <v>22</v>
      </c>
      <c r="B23" s="8" t="str">
        <f>VLOOKUP(A23,vaccines!A:B,2)</f>
        <v>Avaxim_160</v>
      </c>
      <c r="C23" s="10" t="s">
        <v>1953</v>
      </c>
      <c r="D23" s="53">
        <v>42131</v>
      </c>
      <c r="E23" s="7">
        <v>1</v>
      </c>
      <c r="F23" s="7">
        <v>0</v>
      </c>
      <c r="G23" s="19" t="s">
        <v>1144</v>
      </c>
      <c r="H23" s="53">
        <f t="shared" si="0"/>
        <v>44712</v>
      </c>
      <c r="I23" s="53">
        <v>45079</v>
      </c>
      <c r="J23" s="10" t="s">
        <v>1954</v>
      </c>
    </row>
    <row r="24" spans="1:10">
      <c r="A24" s="7">
        <v>23</v>
      </c>
      <c r="B24" s="8" t="str">
        <f>VLOOKUP(A24,vaccines!A:B,2)</f>
        <v>Regevac_0_5</v>
      </c>
      <c r="C24" s="28" t="s">
        <v>1955</v>
      </c>
      <c r="D24" s="12">
        <v>45216</v>
      </c>
      <c r="E24" s="54">
        <v>1</v>
      </c>
      <c r="F24" s="54">
        <v>0</v>
      </c>
      <c r="G24" s="15" t="s">
        <v>1147</v>
      </c>
      <c r="H24" s="11">
        <f t="shared" si="0"/>
        <v>44712</v>
      </c>
      <c r="I24" s="52">
        <v>45988</v>
      </c>
      <c r="J24" s="28" t="s">
        <v>1956</v>
      </c>
    </row>
    <row r="25" spans="1:10">
      <c r="A25" s="7">
        <v>24</v>
      </c>
      <c r="B25" s="8" t="str">
        <f>VLOOKUP(A25,vaccines!A:B,2)</f>
        <v>HepB_Combiotech_0_5</v>
      </c>
      <c r="C25" s="28" t="s">
        <v>1957</v>
      </c>
      <c r="D25" s="12">
        <v>46056</v>
      </c>
      <c r="E25" s="7">
        <v>1</v>
      </c>
      <c r="F25" s="7">
        <v>0</v>
      </c>
      <c r="G25" s="15" t="s">
        <v>1150</v>
      </c>
      <c r="H25" s="11">
        <f t="shared" si="0"/>
        <v>44712</v>
      </c>
      <c r="I25" s="52">
        <v>46130</v>
      </c>
      <c r="J25" s="28" t="s">
        <v>1958</v>
      </c>
    </row>
    <row r="26" spans="1:10">
      <c r="A26" s="7">
        <v>25</v>
      </c>
      <c r="B26" s="8" t="str">
        <f>VLOOKUP(A26,vaccines!A:B,2)</f>
        <v>Euvax_B_0_5</v>
      </c>
      <c r="C26" s="10" t="s">
        <v>1959</v>
      </c>
      <c r="D26" s="53">
        <v>42410</v>
      </c>
      <c r="E26" s="7">
        <v>2</v>
      </c>
      <c r="F26" s="7">
        <v>1</v>
      </c>
      <c r="G26" s="19" t="s">
        <v>1153</v>
      </c>
      <c r="H26" s="53">
        <f t="shared" si="0"/>
        <v>44712</v>
      </c>
      <c r="I26" s="53">
        <v>44916</v>
      </c>
      <c r="J26" s="10" t="s">
        <v>1960</v>
      </c>
    </row>
    <row r="27" spans="1:10">
      <c r="A27" s="7">
        <v>26</v>
      </c>
      <c r="B27" s="8" t="str">
        <f>VLOOKUP(A27,vaccines!A:B,2)</f>
        <v>Euvax_B_1_0</v>
      </c>
      <c r="C27" s="10" t="s">
        <v>1959</v>
      </c>
      <c r="D27" s="53">
        <v>42410</v>
      </c>
      <c r="E27" s="7">
        <v>2</v>
      </c>
      <c r="F27" s="7">
        <v>1</v>
      </c>
      <c r="G27" s="19" t="s">
        <v>1153</v>
      </c>
      <c r="H27" s="53">
        <f t="shared" si="0"/>
        <v>44712</v>
      </c>
      <c r="I27" s="53">
        <v>44916</v>
      </c>
      <c r="J27" s="10" t="s">
        <v>1960</v>
      </c>
    </row>
    <row r="28" spans="1:10">
      <c r="A28" s="7">
        <v>27</v>
      </c>
      <c r="B28" s="8" t="str">
        <f>VLOOKUP(A28,vaccines!A:B,2)</f>
        <v>Cervarix</v>
      </c>
      <c r="C28" s="28" t="s">
        <v>1961</v>
      </c>
      <c r="D28" s="12">
        <v>45513</v>
      </c>
      <c r="E28" s="7"/>
      <c r="F28" s="7"/>
      <c r="G28" s="15" t="s">
        <v>1158</v>
      </c>
      <c r="H28" s="11">
        <f t="shared" si="0"/>
        <v>44712</v>
      </c>
      <c r="I28" s="52">
        <v>45589</v>
      </c>
      <c r="J28" s="28" t="s">
        <v>1962</v>
      </c>
    </row>
    <row r="29" spans="1:10">
      <c r="A29" s="7">
        <v>28</v>
      </c>
      <c r="B29" s="8" t="str">
        <f>VLOOKUP(A29,vaccines!A:B,2)</f>
        <v>Gardasil_4</v>
      </c>
      <c r="C29" s="28" t="s">
        <v>1963</v>
      </c>
      <c r="D29" s="12">
        <v>45386</v>
      </c>
      <c r="E29" s="7"/>
      <c r="F29" s="7"/>
      <c r="G29" s="15" t="s">
        <v>1161</v>
      </c>
      <c r="H29" s="11">
        <f t="shared" si="0"/>
        <v>44712</v>
      </c>
      <c r="I29" s="52">
        <v>45483</v>
      </c>
      <c r="J29" s="28" t="s">
        <v>1964</v>
      </c>
    </row>
    <row r="30" spans="1:10">
      <c r="A30" s="7">
        <v>29</v>
      </c>
      <c r="B30" s="8" t="str">
        <f>VLOOKUP(A30,vaccines!A:B,2)</f>
        <v>Sputnik</v>
      </c>
      <c r="C30" s="28" t="s">
        <v>1965</v>
      </c>
      <c r="D30" s="12">
        <v>45839</v>
      </c>
      <c r="E30" s="7">
        <v>1</v>
      </c>
      <c r="F30" s="7">
        <v>0</v>
      </c>
      <c r="G30" s="15" t="s">
        <v>1164</v>
      </c>
      <c r="H30" s="11">
        <f t="shared" si="0"/>
        <v>44712</v>
      </c>
      <c r="I30" s="52">
        <v>45923</v>
      </c>
      <c r="J30" s="28" t="s">
        <v>1966</v>
      </c>
    </row>
    <row r="31" spans="1:10">
      <c r="A31" s="7">
        <v>30</v>
      </c>
      <c r="B31" s="8" t="str">
        <f>VLOOKUP(A31,vaccines!A:B,2)</f>
        <v>Sputnik_Lyo</v>
      </c>
      <c r="C31" s="10" t="s">
        <v>1967</v>
      </c>
      <c r="D31" s="53">
        <v>44068</v>
      </c>
      <c r="E31" s="7">
        <v>1</v>
      </c>
      <c r="F31" s="7">
        <v>0</v>
      </c>
      <c r="G31" s="19" t="s">
        <v>1167</v>
      </c>
      <c r="H31" s="53">
        <f t="shared" si="0"/>
        <v>44712</v>
      </c>
      <c r="I31" s="53">
        <v>45078</v>
      </c>
      <c r="J31" s="10" t="s">
        <v>1968</v>
      </c>
    </row>
    <row r="32" spans="1:10">
      <c r="A32" s="7">
        <v>31</v>
      </c>
      <c r="B32" s="8" t="str">
        <f>VLOOKUP(A32,vaccines!A:B,2)</f>
        <v>EpiVacCorona</v>
      </c>
      <c r="C32" s="10" t="s">
        <v>1969</v>
      </c>
      <c r="D32" s="53">
        <v>44909</v>
      </c>
      <c r="E32" s="7">
        <v>1</v>
      </c>
      <c r="F32" s="7">
        <v>0</v>
      </c>
      <c r="G32" s="19" t="s">
        <v>1170</v>
      </c>
      <c r="H32" s="53">
        <f t="shared" si="0"/>
        <v>44712</v>
      </c>
      <c r="I32" s="53">
        <v>45078</v>
      </c>
      <c r="J32" s="10" t="s">
        <v>1970</v>
      </c>
    </row>
    <row r="33" spans="1:10">
      <c r="A33" s="7">
        <v>32</v>
      </c>
      <c r="B33" s="8" t="str">
        <f>VLOOKUP(A33,vaccines!A:B,2)</f>
        <v>Grippol_Microgen</v>
      </c>
      <c r="C33" s="10" t="s">
        <v>1971</v>
      </c>
      <c r="D33" s="53">
        <v>41411</v>
      </c>
      <c r="E33" s="7">
        <v>1</v>
      </c>
      <c r="F33" s="7">
        <v>0</v>
      </c>
      <c r="G33" s="19" t="s">
        <v>228</v>
      </c>
      <c r="H33" s="53">
        <f t="shared" si="0"/>
        <v>44712</v>
      </c>
      <c r="I33" s="53">
        <v>45079</v>
      </c>
      <c r="J33" s="10" t="s">
        <v>1972</v>
      </c>
    </row>
    <row r="34" spans="1:10">
      <c r="A34" s="7">
        <v>33</v>
      </c>
      <c r="B34" s="8" t="str">
        <f>VLOOKUP(A34,vaccines!A:B,2)</f>
        <v>Grippol_Petrovax</v>
      </c>
      <c r="C34" s="10" t="s">
        <v>1973</v>
      </c>
      <c r="D34" s="53">
        <v>40634</v>
      </c>
      <c r="E34" s="7">
        <v>1</v>
      </c>
      <c r="F34" s="7">
        <v>0</v>
      </c>
      <c r="G34" s="19" t="s">
        <v>1176</v>
      </c>
      <c r="H34" s="53">
        <f t="shared" si="0"/>
        <v>44712</v>
      </c>
      <c r="I34" s="53">
        <v>45079</v>
      </c>
      <c r="J34" s="10" t="s">
        <v>1974</v>
      </c>
    </row>
    <row r="35" spans="1:10">
      <c r="A35" s="7">
        <v>34</v>
      </c>
      <c r="B35" s="8" t="str">
        <f>VLOOKUP(A35,vaccines!A:B,2)</f>
        <v>Grippol_plus_0_5</v>
      </c>
      <c r="C35" s="28" t="s">
        <v>1975</v>
      </c>
      <c r="D35" s="12">
        <v>45182</v>
      </c>
      <c r="E35" s="7"/>
      <c r="F35" s="7"/>
      <c r="G35" s="15" t="s">
        <v>1179</v>
      </c>
      <c r="H35" s="11">
        <f t="shared" si="0"/>
        <v>44712</v>
      </c>
      <c r="I35" s="52">
        <v>45483</v>
      </c>
      <c r="J35" s="28" t="s">
        <v>1976</v>
      </c>
    </row>
    <row r="36" spans="1:10">
      <c r="A36" s="7">
        <v>35</v>
      </c>
      <c r="B36" s="8" t="str">
        <f>VLOOKUP(A36,vaccines!A:B,2)</f>
        <v>Sovigripp</v>
      </c>
      <c r="C36" s="28" t="s">
        <v>1977</v>
      </c>
      <c r="D36" s="12">
        <v>45580</v>
      </c>
      <c r="E36" s="7"/>
      <c r="F36" s="7"/>
      <c r="G36" s="9" t="s">
        <v>1182</v>
      </c>
      <c r="H36" s="11">
        <f t="shared" si="0"/>
        <v>44712</v>
      </c>
      <c r="I36" s="52">
        <v>45622</v>
      </c>
      <c r="J36" s="28" t="s">
        <v>1978</v>
      </c>
    </row>
    <row r="37" spans="1:10">
      <c r="A37" s="7">
        <v>36</v>
      </c>
      <c r="B37" s="8" t="str">
        <f>VLOOKUP(A37,vaccines!A:B,2)</f>
        <v>Ultrix</v>
      </c>
      <c r="C37" s="28" t="s">
        <v>1979</v>
      </c>
      <c r="D37" s="12">
        <v>45211</v>
      </c>
      <c r="E37" s="7"/>
      <c r="F37" s="7"/>
      <c r="G37" s="15" t="s">
        <v>1185</v>
      </c>
      <c r="H37" s="11">
        <f t="shared" si="0"/>
        <v>44712</v>
      </c>
      <c r="I37" s="52">
        <v>45483</v>
      </c>
      <c r="J37" s="28" t="s">
        <v>1980</v>
      </c>
    </row>
    <row r="38" spans="1:10">
      <c r="A38" s="7">
        <v>37</v>
      </c>
      <c r="B38" s="8" t="str">
        <f>VLOOKUP(A38,vaccines!A:B,2)</f>
        <v>Flu_M</v>
      </c>
      <c r="C38" s="28" t="s">
        <v>1981</v>
      </c>
      <c r="D38" s="12">
        <v>46035</v>
      </c>
      <c r="E38" s="54">
        <v>1</v>
      </c>
      <c r="F38" s="54">
        <v>0</v>
      </c>
      <c r="G38" s="15" t="s">
        <v>1188</v>
      </c>
      <c r="H38" s="11">
        <f t="shared" si="0"/>
        <v>44712</v>
      </c>
      <c r="I38" s="52">
        <v>46130</v>
      </c>
      <c r="J38" s="28" t="s">
        <v>1982</v>
      </c>
    </row>
    <row r="39" spans="1:10">
      <c r="A39" s="7">
        <v>38</v>
      </c>
      <c r="B39" s="8" t="str">
        <f>VLOOKUP(A39,vaccines!A:B,2)</f>
        <v>Vaxigrip</v>
      </c>
      <c r="C39" s="10" t="s">
        <v>1983</v>
      </c>
      <c r="D39" s="53">
        <v>43886</v>
      </c>
      <c r="E39" s="7">
        <v>2</v>
      </c>
      <c r="F39" s="7">
        <v>1</v>
      </c>
      <c r="G39" s="19" t="s">
        <v>1191</v>
      </c>
      <c r="H39" s="53">
        <f t="shared" si="0"/>
        <v>44712</v>
      </c>
      <c r="I39" s="53">
        <v>45078</v>
      </c>
      <c r="J39" s="10" t="s">
        <v>1984</v>
      </c>
    </row>
    <row r="40" spans="1:10">
      <c r="A40" s="7">
        <v>39</v>
      </c>
      <c r="B40" s="8" t="str">
        <f>VLOOKUP(A40,vaccines!A:B,2)</f>
        <v>Influvac</v>
      </c>
      <c r="C40" s="65" t="s">
        <v>1985</v>
      </c>
      <c r="D40" s="12">
        <v>46066</v>
      </c>
      <c r="E40" s="7">
        <v>1</v>
      </c>
      <c r="F40" s="7">
        <v>0</v>
      </c>
      <c r="G40" s="15" t="s">
        <v>1194</v>
      </c>
      <c r="H40" s="11">
        <f t="shared" si="0"/>
        <v>44712</v>
      </c>
      <c r="I40" s="52">
        <v>46130</v>
      </c>
      <c r="J40" s="65" t="s">
        <v>1986</v>
      </c>
    </row>
    <row r="41" spans="1:10">
      <c r="A41" s="7">
        <v>40</v>
      </c>
      <c r="B41" s="8" t="str">
        <f>VLOOKUP(A41,vaccines!A:B,2)</f>
        <v>Ultrix_quadri</v>
      </c>
      <c r="C41" s="28" t="s">
        <v>1987</v>
      </c>
      <c r="D41" s="12">
        <v>45524</v>
      </c>
      <c r="E41" s="7"/>
      <c r="F41" s="7"/>
      <c r="G41" s="9" t="s">
        <v>1197</v>
      </c>
      <c r="H41" s="11">
        <f t="shared" si="0"/>
        <v>44712</v>
      </c>
      <c r="I41" s="52">
        <v>45589</v>
      </c>
      <c r="J41" s="28" t="s">
        <v>1988</v>
      </c>
    </row>
    <row r="42" spans="1:10">
      <c r="A42" s="7">
        <v>41</v>
      </c>
      <c r="B42" s="8" t="str">
        <f>VLOOKUP(A42,vaccines!A:B,2)</f>
        <v>Grippol_quadrivalent</v>
      </c>
      <c r="C42" s="28" t="s">
        <v>1989</v>
      </c>
      <c r="D42" s="12">
        <v>45727</v>
      </c>
      <c r="E42" s="54">
        <v>1</v>
      </c>
      <c r="F42" s="54">
        <v>0</v>
      </c>
      <c r="G42" s="15" t="s">
        <v>1200</v>
      </c>
      <c r="H42" s="11">
        <f t="shared" si="0"/>
        <v>44712</v>
      </c>
      <c r="I42" s="52">
        <v>45818</v>
      </c>
      <c r="J42" s="28" t="s">
        <v>1990</v>
      </c>
    </row>
    <row r="43" spans="1:10">
      <c r="A43" s="7">
        <v>42</v>
      </c>
      <c r="B43" s="8" t="str">
        <f>VLOOKUP(A43,vaccines!A:B,2)</f>
        <v>measles_Microgen</v>
      </c>
      <c r="C43" s="28" t="s">
        <v>1991</v>
      </c>
      <c r="D43" s="12">
        <v>45404</v>
      </c>
      <c r="E43" s="7"/>
      <c r="F43" s="7"/>
      <c r="G43" s="15" t="s">
        <v>1203</v>
      </c>
      <c r="H43" s="11">
        <f t="shared" si="0"/>
        <v>44712</v>
      </c>
      <c r="I43" s="12">
        <v>45483</v>
      </c>
      <c r="J43" s="28" t="s">
        <v>1992</v>
      </c>
    </row>
    <row r="44" spans="1:10">
      <c r="A44" s="7">
        <v>43</v>
      </c>
      <c r="B44" s="8" t="str">
        <f>VLOOKUP(A44,vaccines!A:B,2)</f>
        <v>measles_Serum_India</v>
      </c>
      <c r="C44" s="28" t="s">
        <v>1993</v>
      </c>
      <c r="D44" s="12">
        <v>45981</v>
      </c>
      <c r="E44" s="7">
        <v>1</v>
      </c>
      <c r="F44" s="7">
        <v>0</v>
      </c>
      <c r="G44" s="15" t="s">
        <v>1206</v>
      </c>
      <c r="H44" s="11">
        <f t="shared" si="0"/>
        <v>44712</v>
      </c>
      <c r="I44" s="57">
        <v>46053</v>
      </c>
      <c r="J44" s="28" t="s">
        <v>1994</v>
      </c>
    </row>
    <row r="45" spans="1:10">
      <c r="A45" s="7">
        <v>44</v>
      </c>
      <c r="B45" s="8" t="str">
        <f>VLOOKUP(A45,vaccines!A:B,2)</f>
        <v>measles_Vector</v>
      </c>
      <c r="C45" s="10" t="s">
        <v>1995</v>
      </c>
      <c r="D45" s="66">
        <v>39421</v>
      </c>
      <c r="E45" s="7">
        <v>1</v>
      </c>
      <c r="F45" s="7">
        <v>0</v>
      </c>
      <c r="G45" s="19" t="s">
        <v>1209</v>
      </c>
      <c r="H45" s="53">
        <f t="shared" si="0"/>
        <v>44712</v>
      </c>
      <c r="I45" s="58"/>
      <c r="J45" s="10" t="s">
        <v>1996</v>
      </c>
    </row>
    <row r="46" spans="1:10">
      <c r="A46" s="7">
        <v>45</v>
      </c>
      <c r="B46" s="8" t="str">
        <f>VLOOKUP(A46,vaccines!A:B,2)</f>
        <v>measles_mumps_Microgen</v>
      </c>
      <c r="C46" s="28" t="s">
        <v>1997</v>
      </c>
      <c r="D46" s="12">
        <v>45460</v>
      </c>
      <c r="E46" s="7"/>
      <c r="F46" s="7"/>
      <c r="G46" s="9" t="s">
        <v>1212</v>
      </c>
      <c r="H46" s="11">
        <f t="shared" si="0"/>
        <v>44712</v>
      </c>
      <c r="I46" s="52">
        <v>45589</v>
      </c>
      <c r="J46" s="28" t="s">
        <v>1998</v>
      </c>
    </row>
    <row r="47" spans="1:10">
      <c r="A47" s="7">
        <v>46</v>
      </c>
      <c r="B47" s="8" t="str">
        <f>VLOOKUP(A47,vaccines!A:B,2)</f>
        <v>Vactrivir</v>
      </c>
      <c r="C47" s="28" t="s">
        <v>1999</v>
      </c>
      <c r="D47" s="12">
        <v>45817</v>
      </c>
      <c r="E47" s="54">
        <v>1</v>
      </c>
      <c r="F47" s="54">
        <v>0</v>
      </c>
      <c r="G47" s="15" t="s">
        <v>1215</v>
      </c>
      <c r="H47" s="11">
        <f t="shared" si="0"/>
        <v>44712</v>
      </c>
      <c r="I47" s="52">
        <v>45830</v>
      </c>
      <c r="J47" s="28" t="s">
        <v>2000</v>
      </c>
    </row>
    <row r="48" spans="1:10">
      <c r="A48" s="7">
        <v>47</v>
      </c>
      <c r="B48" s="8" t="str">
        <f>VLOOKUP(A48,vaccines!A:B,2)</f>
        <v>MMR_II</v>
      </c>
      <c r="C48" s="10" t="s">
        <v>2001</v>
      </c>
      <c r="D48" s="66">
        <v>44228</v>
      </c>
      <c r="E48" s="7">
        <v>6</v>
      </c>
      <c r="F48" s="7">
        <v>6</v>
      </c>
      <c r="G48" s="19" t="s">
        <v>2002</v>
      </c>
      <c r="H48" s="53">
        <f t="shared" si="0"/>
        <v>44712</v>
      </c>
      <c r="I48" s="53">
        <v>44715</v>
      </c>
      <c r="J48" s="10" t="s">
        <v>2003</v>
      </c>
    </row>
    <row r="49" spans="1:10">
      <c r="A49" s="7">
        <v>48</v>
      </c>
      <c r="B49" s="8" t="str">
        <f>VLOOKUP(A49,vaccines!A:B,2)</f>
        <v>MenA_Microgen</v>
      </c>
      <c r="C49" s="28" t="s">
        <v>2004</v>
      </c>
      <c r="D49" s="11">
        <v>45414</v>
      </c>
      <c r="E49" s="8"/>
      <c r="F49" s="8"/>
      <c r="G49" s="19" t="s">
        <v>1221</v>
      </c>
      <c r="H49" s="11">
        <f t="shared" si="0"/>
        <v>44712</v>
      </c>
      <c r="I49" s="11">
        <v>45460</v>
      </c>
      <c r="J49" s="28" t="s">
        <v>2005</v>
      </c>
    </row>
    <row r="50" spans="1:10">
      <c r="A50" s="7">
        <v>49</v>
      </c>
      <c r="B50" s="8" t="str">
        <f>VLOOKUP(A50,vaccines!A:B,2)</f>
        <v>MeningoVac_A_C</v>
      </c>
      <c r="C50" s="28" t="s">
        <v>2006</v>
      </c>
      <c r="D50" s="52">
        <v>45414</v>
      </c>
      <c r="E50" s="7"/>
      <c r="F50" s="7"/>
      <c r="G50" s="15" t="s">
        <v>1674</v>
      </c>
      <c r="H50" s="53">
        <f t="shared" si="0"/>
        <v>44712</v>
      </c>
      <c r="I50" s="52">
        <v>45460</v>
      </c>
      <c r="J50" s="28" t="s">
        <v>2007</v>
      </c>
    </row>
    <row r="51" spans="1:10">
      <c r="A51" s="7">
        <v>50</v>
      </c>
      <c r="B51" s="8" t="str">
        <f>VLOOKUP(A51,vaccines!A:B,2)</f>
        <v>Menactra</v>
      </c>
      <c r="C51" s="28" t="s">
        <v>2008</v>
      </c>
      <c r="D51" s="12">
        <v>45188</v>
      </c>
      <c r="E51" s="7"/>
      <c r="F51" s="7"/>
      <c r="G51" s="27" t="s">
        <v>1226</v>
      </c>
      <c r="H51" s="11">
        <v>44712</v>
      </c>
      <c r="I51" s="52">
        <v>45483</v>
      </c>
      <c r="J51" s="28" t="s">
        <v>2009</v>
      </c>
    </row>
    <row r="52" spans="1:10">
      <c r="A52" s="7">
        <v>51</v>
      </c>
      <c r="B52" s="8" t="str">
        <f>VLOOKUP(A52,vaccines!A:B,2)</f>
        <v>mumps_Microgen</v>
      </c>
      <c r="C52" s="28" t="s">
        <v>2010</v>
      </c>
      <c r="D52" s="12">
        <v>45454</v>
      </c>
      <c r="E52" s="7"/>
      <c r="F52" s="7"/>
      <c r="G52" s="9" t="s">
        <v>1229</v>
      </c>
      <c r="H52" s="11">
        <f t="shared" ref="H52:H77" si="1">H51</f>
        <v>44712</v>
      </c>
      <c r="I52" s="52">
        <v>45589</v>
      </c>
      <c r="J52" s="28" t="s">
        <v>2011</v>
      </c>
    </row>
    <row r="53" spans="1:10">
      <c r="A53" s="7">
        <v>52</v>
      </c>
      <c r="B53" s="8" t="str">
        <f>VLOOKUP(A53,vaccines!A:B,2)</f>
        <v>Prevenar_13</v>
      </c>
      <c r="C53" s="28" t="s">
        <v>2012</v>
      </c>
      <c r="D53" s="12">
        <v>45267</v>
      </c>
      <c r="E53" s="7"/>
      <c r="F53" s="7"/>
      <c r="G53" s="27" t="s">
        <v>1232</v>
      </c>
      <c r="H53" s="11">
        <f t="shared" si="1"/>
        <v>44712</v>
      </c>
      <c r="I53" s="52">
        <v>45481</v>
      </c>
      <c r="J53" s="28" t="s">
        <v>2013</v>
      </c>
    </row>
    <row r="54" spans="1:10">
      <c r="A54" s="7">
        <v>53</v>
      </c>
      <c r="B54" s="8" t="str">
        <f>VLOOKUP(A54,vaccines!A:B,2)</f>
        <v>Synflorix</v>
      </c>
      <c r="C54" s="10" t="s">
        <v>2014</v>
      </c>
      <c r="D54" s="53">
        <v>43605</v>
      </c>
      <c r="E54" s="7">
        <v>1</v>
      </c>
      <c r="F54" s="7">
        <v>0</v>
      </c>
      <c r="G54" s="19" t="s">
        <v>1235</v>
      </c>
      <c r="H54" s="53">
        <f t="shared" si="1"/>
        <v>44712</v>
      </c>
      <c r="I54" s="53">
        <v>44722</v>
      </c>
      <c r="J54" s="10" t="s">
        <v>2015</v>
      </c>
    </row>
    <row r="55" spans="1:10">
      <c r="A55" s="7">
        <v>54</v>
      </c>
      <c r="B55" s="8" t="str">
        <f>VLOOKUP(A55,vaccines!A:B,2)</f>
        <v>Pneumovax_23</v>
      </c>
      <c r="C55" s="28" t="s">
        <v>2016</v>
      </c>
      <c r="D55" s="12">
        <v>45051</v>
      </c>
      <c r="E55" s="7"/>
      <c r="F55" s="7"/>
      <c r="G55" s="27" t="s">
        <v>1238</v>
      </c>
      <c r="H55" s="11">
        <f t="shared" si="1"/>
        <v>44712</v>
      </c>
      <c r="I55" s="52">
        <v>45489</v>
      </c>
      <c r="J55" s="28" t="s">
        <v>2017</v>
      </c>
    </row>
    <row r="56" spans="1:10">
      <c r="A56" s="7">
        <v>55</v>
      </c>
      <c r="B56" s="8" t="str">
        <f>VLOOKUP(A56,vaccines!A:B,2)</f>
        <v>MonoVac_Polio</v>
      </c>
      <c r="C56" s="10" t="s">
        <v>2018</v>
      </c>
      <c r="D56" s="53">
        <v>44266</v>
      </c>
      <c r="E56" s="7">
        <v>1</v>
      </c>
      <c r="F56" s="7">
        <v>0</v>
      </c>
      <c r="G56" s="19" t="s">
        <v>1241</v>
      </c>
      <c r="H56" s="53">
        <f t="shared" si="1"/>
        <v>44712</v>
      </c>
      <c r="I56" s="53">
        <v>44742</v>
      </c>
      <c r="J56" s="10" t="s">
        <v>2019</v>
      </c>
    </row>
    <row r="57" spans="1:10">
      <c r="A57" s="7">
        <v>56</v>
      </c>
      <c r="B57" s="8" t="str">
        <f>VLOOKUP(A57,vaccines!A:B,2)</f>
        <v>BiVac_Polio</v>
      </c>
      <c r="C57" s="28" t="s">
        <v>2020</v>
      </c>
      <c r="D57" s="12">
        <v>45736</v>
      </c>
      <c r="E57" s="7">
        <v>1</v>
      </c>
      <c r="F57" s="7">
        <v>0</v>
      </c>
      <c r="G57" s="15" t="s">
        <v>1244</v>
      </c>
      <c r="H57" s="11">
        <f t="shared" si="1"/>
        <v>44712</v>
      </c>
      <c r="I57" s="52">
        <v>45988</v>
      </c>
      <c r="J57" s="28" t="s">
        <v>2021</v>
      </c>
    </row>
    <row r="58" spans="1:10">
      <c r="A58" s="7">
        <v>57</v>
      </c>
      <c r="B58" s="8" t="str">
        <f>VLOOKUP(A58,vaccines!A:B,2)</f>
        <v>Polymilex</v>
      </c>
      <c r="C58" s="28" t="s">
        <v>2022</v>
      </c>
      <c r="D58" s="12">
        <v>45623</v>
      </c>
      <c r="E58" s="7">
        <v>1</v>
      </c>
      <c r="F58" s="7">
        <v>0</v>
      </c>
      <c r="G58" s="15" t="s">
        <v>1247</v>
      </c>
      <c r="H58" s="11">
        <f t="shared" si="1"/>
        <v>44712</v>
      </c>
      <c r="I58" s="52">
        <v>45715</v>
      </c>
      <c r="J58" s="28" t="s">
        <v>2023</v>
      </c>
    </row>
    <row r="59" spans="1:10">
      <c r="A59" s="7">
        <v>58</v>
      </c>
      <c r="B59" s="8" t="str">
        <f>VLOOKUP(A59,vaccines!A:B,2)</f>
        <v>COCAV</v>
      </c>
      <c r="C59" s="28" t="s">
        <v>2024</v>
      </c>
      <c r="D59" s="12">
        <v>45631</v>
      </c>
      <c r="E59" s="7"/>
      <c r="F59" s="7"/>
      <c r="G59" s="15" t="s">
        <v>1249</v>
      </c>
      <c r="H59" s="11">
        <f t="shared" si="1"/>
        <v>44712</v>
      </c>
      <c r="I59" s="52">
        <v>45678</v>
      </c>
      <c r="J59" s="28" t="s">
        <v>2025</v>
      </c>
    </row>
    <row r="60" spans="1:10">
      <c r="A60" s="7">
        <v>59</v>
      </c>
      <c r="B60" s="8" t="str">
        <f>VLOOKUP(A60,vaccines!A:B,2)</f>
        <v>rabies_Chumakov</v>
      </c>
      <c r="C60" s="10" t="s">
        <v>2026</v>
      </c>
      <c r="D60" s="53">
        <v>44862</v>
      </c>
      <c r="E60" s="7">
        <v>1</v>
      </c>
      <c r="F60" s="7">
        <v>0</v>
      </c>
      <c r="G60" s="19" t="s">
        <v>1250</v>
      </c>
      <c r="H60" s="53">
        <f t="shared" si="1"/>
        <v>44712</v>
      </c>
      <c r="I60" s="53">
        <v>45034</v>
      </c>
      <c r="J60" s="10" t="s">
        <v>2027</v>
      </c>
    </row>
    <row r="61" spans="1:10">
      <c r="A61" s="7">
        <v>60</v>
      </c>
      <c r="B61" s="8" t="str">
        <f>VLOOKUP(A61,vaccines!A:B,2)</f>
        <v>Rabivac_Vnukovo_32</v>
      </c>
      <c r="C61" s="10" t="s">
        <v>2028</v>
      </c>
      <c r="D61" s="53">
        <v>40925</v>
      </c>
      <c r="E61" s="7">
        <v>1</v>
      </c>
      <c r="F61" s="7">
        <v>0</v>
      </c>
      <c r="G61" s="19" t="s">
        <v>1251</v>
      </c>
      <c r="H61" s="53">
        <f t="shared" si="1"/>
        <v>44712</v>
      </c>
      <c r="I61" s="53">
        <v>44748</v>
      </c>
      <c r="J61" s="10" t="s">
        <v>2029</v>
      </c>
    </row>
    <row r="62" spans="1:10">
      <c r="A62" s="7">
        <v>61</v>
      </c>
      <c r="B62" s="8" t="str">
        <f>VLOOKUP(A62,vaccines!A:B,2)</f>
        <v>RotaTeq</v>
      </c>
      <c r="C62" s="10" t="s">
        <v>2030</v>
      </c>
      <c r="D62" s="53">
        <v>43010</v>
      </c>
      <c r="E62" s="7">
        <v>1</v>
      </c>
      <c r="F62" s="7">
        <v>0</v>
      </c>
      <c r="G62" s="19" t="s">
        <v>1253</v>
      </c>
      <c r="H62" s="53">
        <f t="shared" si="1"/>
        <v>44712</v>
      </c>
      <c r="I62" s="53">
        <v>44787</v>
      </c>
      <c r="J62" s="10" t="s">
        <v>2031</v>
      </c>
    </row>
    <row r="63" spans="1:10">
      <c r="A63" s="7">
        <v>62</v>
      </c>
      <c r="B63" s="8" t="str">
        <f>VLOOKUP(A63,vaccines!A:B,2)</f>
        <v>rubella_Microgen</v>
      </c>
      <c r="C63" s="28" t="s">
        <v>2032</v>
      </c>
      <c r="D63" s="12">
        <v>45531</v>
      </c>
      <c r="E63" s="7"/>
      <c r="F63" s="7"/>
      <c r="G63" s="9" t="s">
        <v>1256</v>
      </c>
      <c r="H63" s="11">
        <f t="shared" si="1"/>
        <v>44712</v>
      </c>
      <c r="I63" s="52">
        <v>45589</v>
      </c>
      <c r="J63" s="28" t="s">
        <v>2033</v>
      </c>
    </row>
    <row r="64" spans="1:10">
      <c r="A64" s="7">
        <v>63</v>
      </c>
      <c r="B64" s="8" t="str">
        <f>VLOOKUP(A64,vaccines!A:B,2)</f>
        <v>rubella_Serum</v>
      </c>
      <c r="C64" s="10" t="s">
        <v>2034</v>
      </c>
      <c r="D64" s="53">
        <v>40142</v>
      </c>
      <c r="E64" s="7">
        <v>1</v>
      </c>
      <c r="F64" s="7">
        <v>0</v>
      </c>
      <c r="G64" s="19" t="s">
        <v>1259</v>
      </c>
      <c r="H64" s="53">
        <f t="shared" si="1"/>
        <v>44712</v>
      </c>
      <c r="I64" s="53">
        <v>45079</v>
      </c>
      <c r="J64" s="10" t="s">
        <v>2035</v>
      </c>
    </row>
    <row r="65" spans="1:10">
      <c r="A65" s="7">
        <v>64</v>
      </c>
      <c r="B65" s="8" t="str">
        <f>VLOOKUP(A65,vaccines!A:B,2)</f>
        <v>AS_Microgen</v>
      </c>
      <c r="C65" s="10" t="s">
        <v>2036</v>
      </c>
      <c r="D65" s="12">
        <v>45607</v>
      </c>
      <c r="E65" s="54">
        <v>1</v>
      </c>
      <c r="F65" s="54">
        <v>0</v>
      </c>
      <c r="G65" s="15" t="s">
        <v>1262</v>
      </c>
      <c r="H65" s="11">
        <f t="shared" si="1"/>
        <v>44712</v>
      </c>
      <c r="I65" s="52">
        <v>46053</v>
      </c>
      <c r="J65" s="10" t="s">
        <v>2037</v>
      </c>
    </row>
    <row r="66" spans="1:10">
      <c r="A66" s="7">
        <v>65</v>
      </c>
      <c r="B66" s="8" t="str">
        <f>VLOOKUP(A66,vaccines!A:B,2)</f>
        <v>AS_Biomed</v>
      </c>
      <c r="C66" s="10" t="s">
        <v>2038</v>
      </c>
      <c r="D66" s="53">
        <v>41047</v>
      </c>
      <c r="E66" s="7">
        <v>1</v>
      </c>
      <c r="F66" s="7">
        <v>0</v>
      </c>
      <c r="G66" s="19" t="s">
        <v>1265</v>
      </c>
      <c r="H66" s="53">
        <f t="shared" si="1"/>
        <v>44712</v>
      </c>
      <c r="I66" s="53">
        <v>44750</v>
      </c>
      <c r="J66" s="10" t="s">
        <v>2039</v>
      </c>
    </row>
    <row r="67" spans="1:10">
      <c r="A67" s="7">
        <v>66</v>
      </c>
      <c r="B67" s="8" t="str">
        <f>VLOOKUP(A67,vaccines!A:B,2)</f>
        <v>Vaqta_25</v>
      </c>
      <c r="C67" s="10" t="s">
        <v>2040</v>
      </c>
      <c r="D67" s="53">
        <v>41780</v>
      </c>
      <c r="E67" s="7">
        <v>1</v>
      </c>
      <c r="F67" s="7">
        <v>0</v>
      </c>
      <c r="G67" s="19" t="s">
        <v>1268</v>
      </c>
      <c r="H67" s="53">
        <f t="shared" si="1"/>
        <v>44712</v>
      </c>
      <c r="I67" s="53">
        <v>45079</v>
      </c>
      <c r="J67" s="10" t="s">
        <v>2041</v>
      </c>
    </row>
    <row r="68" spans="1:10">
      <c r="A68" s="7">
        <v>67</v>
      </c>
      <c r="B68" s="8" t="str">
        <f>VLOOKUP(A68,vaccines!A:B,2)</f>
        <v>Vaqta_50</v>
      </c>
      <c r="C68" s="10" t="s">
        <v>2042</v>
      </c>
      <c r="D68" s="53">
        <v>41780</v>
      </c>
      <c r="E68" s="7">
        <v>1</v>
      </c>
      <c r="F68" s="7">
        <v>0</v>
      </c>
      <c r="G68" s="19" t="s">
        <v>1268</v>
      </c>
      <c r="H68" s="53">
        <f t="shared" si="1"/>
        <v>44712</v>
      </c>
      <c r="I68" s="53">
        <v>45079</v>
      </c>
      <c r="J68" s="10" t="s">
        <v>2043</v>
      </c>
    </row>
    <row r="69" spans="1:10">
      <c r="A69" s="7">
        <v>68</v>
      </c>
      <c r="B69" s="8" t="str">
        <f>VLOOKUP(A69,vaccines!A:B,2)</f>
        <v>Klesh_E_Vac_0_5</v>
      </c>
      <c r="C69" s="28" t="s">
        <v>2044</v>
      </c>
      <c r="D69" s="12">
        <v>45904</v>
      </c>
      <c r="E69" s="54">
        <v>1</v>
      </c>
      <c r="F69" s="54">
        <v>0</v>
      </c>
      <c r="G69" s="15" t="s">
        <v>1273</v>
      </c>
      <c r="H69" s="11">
        <f t="shared" si="1"/>
        <v>44712</v>
      </c>
      <c r="I69" s="52">
        <v>45988</v>
      </c>
      <c r="J69" s="28" t="s">
        <v>2045</v>
      </c>
    </row>
    <row r="70" spans="1:10">
      <c r="A70" s="7">
        <v>69</v>
      </c>
      <c r="B70" s="8" t="str">
        <f>VLOOKUP(A70,vaccines!A:B,2)</f>
        <v>Klesh_E_Vac_0_25</v>
      </c>
      <c r="C70" s="28" t="s">
        <v>2044</v>
      </c>
      <c r="D70" s="12">
        <v>45904</v>
      </c>
      <c r="E70" s="54">
        <v>1</v>
      </c>
      <c r="F70" s="54">
        <v>0</v>
      </c>
      <c r="G70" s="15" t="s">
        <v>1273</v>
      </c>
      <c r="H70" s="11">
        <f t="shared" si="1"/>
        <v>44712</v>
      </c>
      <c r="I70" s="52">
        <v>45988</v>
      </c>
      <c r="J70" s="28" t="s">
        <v>2045</v>
      </c>
    </row>
    <row r="71" spans="1:10">
      <c r="A71" s="7">
        <v>70</v>
      </c>
      <c r="B71" s="8" t="str">
        <f>VLOOKUP(A71,vaccines!A:B,2)</f>
        <v>EnceVir_0_5</v>
      </c>
      <c r="C71" s="28" t="s">
        <v>2046</v>
      </c>
      <c r="D71" s="12">
        <v>45510</v>
      </c>
      <c r="E71" s="7"/>
      <c r="F71" s="7"/>
      <c r="G71" s="9" t="s">
        <v>1278</v>
      </c>
      <c r="H71" s="11">
        <f t="shared" si="1"/>
        <v>44712</v>
      </c>
      <c r="I71" s="52">
        <v>45589</v>
      </c>
      <c r="J71" s="28" t="s">
        <v>2047</v>
      </c>
    </row>
    <row r="72" spans="1:10">
      <c r="A72" s="7">
        <v>71</v>
      </c>
      <c r="B72" s="8" t="str">
        <f>VLOOKUP(A72,vaccines!A:B,2)</f>
        <v>EnceVir_Neo_kids</v>
      </c>
      <c r="C72" s="28" t="s">
        <v>2048</v>
      </c>
      <c r="D72" s="12">
        <v>45520</v>
      </c>
      <c r="E72" s="7"/>
      <c r="F72" s="7"/>
      <c r="G72" s="9" t="s">
        <v>1281</v>
      </c>
      <c r="H72" s="11">
        <f t="shared" si="1"/>
        <v>44712</v>
      </c>
      <c r="I72" s="52">
        <v>45589</v>
      </c>
      <c r="J72" s="28" t="s">
        <v>2049</v>
      </c>
    </row>
    <row r="73" spans="1:10">
      <c r="A73" s="7">
        <v>72</v>
      </c>
      <c r="B73" s="8" t="str">
        <f>VLOOKUP(A73,vaccines!A:B,2)</f>
        <v>TBE_Chumakov_lyo</v>
      </c>
      <c r="C73" s="28" t="s">
        <v>2050</v>
      </c>
      <c r="D73" s="12">
        <v>45727</v>
      </c>
      <c r="E73" s="7">
        <v>1</v>
      </c>
      <c r="F73" s="7">
        <v>0</v>
      </c>
      <c r="G73" s="15" t="s">
        <v>1284</v>
      </c>
      <c r="H73" s="11">
        <f t="shared" si="1"/>
        <v>44712</v>
      </c>
      <c r="I73" s="52">
        <v>45750</v>
      </c>
      <c r="J73" s="28" t="s">
        <v>2051</v>
      </c>
    </row>
    <row r="74" spans="1:10">
      <c r="A74" s="7">
        <v>73</v>
      </c>
      <c r="B74" s="8" t="str">
        <f>VLOOKUP(A74,vaccines!A:B,2)</f>
        <v>Varilrix</v>
      </c>
      <c r="C74" s="28" t="s">
        <v>2052</v>
      </c>
      <c r="D74" s="12">
        <v>45439</v>
      </c>
      <c r="E74" s="54">
        <v>1</v>
      </c>
      <c r="F74" s="54">
        <v>0</v>
      </c>
      <c r="G74" s="15" t="s">
        <v>1287</v>
      </c>
      <c r="H74" s="11">
        <f t="shared" si="1"/>
        <v>44712</v>
      </c>
      <c r="I74" s="59">
        <v>45830</v>
      </c>
      <c r="J74" s="28" t="s">
        <v>2053</v>
      </c>
    </row>
    <row r="75" spans="1:10">
      <c r="A75" s="7">
        <v>74</v>
      </c>
      <c r="B75" s="8" t="str">
        <f>VLOOKUP(A75,vaccines!A:B,2)</f>
        <v>YF_Chumakov_lyo</v>
      </c>
      <c r="C75" s="10" t="s">
        <v>2054</v>
      </c>
      <c r="D75" s="53">
        <v>44540</v>
      </c>
      <c r="E75" s="7">
        <v>1</v>
      </c>
      <c r="F75" s="7">
        <v>0</v>
      </c>
      <c r="G75" s="19" t="s">
        <v>1290</v>
      </c>
      <c r="H75" s="53">
        <f t="shared" si="1"/>
        <v>44712</v>
      </c>
      <c r="I75" s="53" t="s">
        <v>1291</v>
      </c>
      <c r="J75" s="10" t="s">
        <v>2055</v>
      </c>
    </row>
    <row r="76" spans="1:10">
      <c r="A76" s="7">
        <v>75</v>
      </c>
      <c r="B76" s="8" t="str">
        <f>VLOOKUP(A76,vaccines!A:B,2)</f>
        <v>tularemia_Microgen</v>
      </c>
      <c r="C76" s="28" t="s">
        <v>2056</v>
      </c>
      <c r="D76" s="12">
        <v>45562</v>
      </c>
      <c r="E76" s="7"/>
      <c r="F76" s="7"/>
      <c r="G76" s="15" t="s">
        <v>1294</v>
      </c>
      <c r="H76" s="11">
        <f t="shared" si="1"/>
        <v>44712</v>
      </c>
      <c r="I76" s="52">
        <v>45589</v>
      </c>
      <c r="J76" s="28" t="s">
        <v>2057</v>
      </c>
    </row>
    <row r="77" spans="1:10">
      <c r="A77" s="7">
        <v>76</v>
      </c>
      <c r="B77" s="8" t="str">
        <f>VLOOKUP(A77,vaccines!A:B,2)</f>
        <v>plague_molecular_lyo_RPN</v>
      </c>
      <c r="C77" s="10" t="s">
        <v>2058</v>
      </c>
      <c r="D77" s="66">
        <v>43209</v>
      </c>
      <c r="E77" s="7">
        <v>1</v>
      </c>
      <c r="F77" s="7">
        <v>0</v>
      </c>
      <c r="G77" s="19" t="s">
        <v>1297</v>
      </c>
      <c r="H77" s="53">
        <f t="shared" si="1"/>
        <v>44712</v>
      </c>
      <c r="I77" s="53" t="s">
        <v>1298</v>
      </c>
      <c r="J77" s="10" t="s">
        <v>2059</v>
      </c>
    </row>
    <row r="78" spans="1:10">
      <c r="A78" s="7">
        <v>77</v>
      </c>
      <c r="B78" s="8" t="str">
        <f>VLOOKUP(A78,vaccines!A:B,2)</f>
        <v>plague_live_lyo_48_NII_Minoborony</v>
      </c>
      <c r="C78" s="10" t="s">
        <v>2060</v>
      </c>
      <c r="D78" s="66">
        <v>40675</v>
      </c>
      <c r="E78" s="7">
        <v>1</v>
      </c>
      <c r="F78" s="7">
        <v>0</v>
      </c>
      <c r="G78" s="19" t="s">
        <v>1301</v>
      </c>
      <c r="H78" s="53">
        <f>contraindications_text!H78</f>
        <v>44712</v>
      </c>
      <c r="I78" s="53" t="s">
        <v>1298</v>
      </c>
      <c r="J78" s="10" t="s">
        <v>2061</v>
      </c>
    </row>
    <row r="79" spans="1:10">
      <c r="A79" s="7">
        <v>78</v>
      </c>
      <c r="B79" s="8" t="str">
        <f>VLOOKUP(A79,vaccines!A:B,2)</f>
        <v>plague_live_tablets_48_NII_Minoborony</v>
      </c>
      <c r="C79" s="10" t="s">
        <v>2062</v>
      </c>
      <c r="D79" s="66">
        <v>40126</v>
      </c>
      <c r="E79" s="7">
        <v>1</v>
      </c>
      <c r="F79" s="7">
        <v>0</v>
      </c>
      <c r="G79" s="19" t="s">
        <v>1304</v>
      </c>
      <c r="H79" s="53">
        <f t="shared" ref="H79:H106" si="2">H78</f>
        <v>44712</v>
      </c>
      <c r="I79" s="53" t="s">
        <v>1298</v>
      </c>
      <c r="J79" s="10" t="s">
        <v>2063</v>
      </c>
    </row>
    <row r="80" spans="1:10">
      <c r="A80" s="7">
        <v>79</v>
      </c>
      <c r="B80" s="8" t="str">
        <f>VLOOKUP(A80,vaccines!A:B,2)</f>
        <v>plague_live_lyo_RPN</v>
      </c>
      <c r="C80" s="10" t="s">
        <v>2064</v>
      </c>
      <c r="D80" s="53">
        <v>44158</v>
      </c>
      <c r="E80" s="7">
        <v>1</v>
      </c>
      <c r="F80" s="7">
        <v>0</v>
      </c>
      <c r="G80" s="19" t="s">
        <v>1307</v>
      </c>
      <c r="H80" s="53">
        <f t="shared" si="2"/>
        <v>44712</v>
      </c>
      <c r="I80" s="53" t="s">
        <v>1298</v>
      </c>
      <c r="J80" s="10" t="s">
        <v>2065</v>
      </c>
    </row>
    <row r="81" spans="1:10">
      <c r="A81" s="7">
        <v>80</v>
      </c>
      <c r="B81" s="8" t="str">
        <f>VLOOKUP(A81,vaccines!A:B,2)</f>
        <v>brucellosis_therapeutic_48_NII_Minoborony</v>
      </c>
      <c r="C81" s="10" t="s">
        <v>2066</v>
      </c>
      <c r="D81" s="53">
        <v>40263</v>
      </c>
      <c r="E81" s="7">
        <v>1</v>
      </c>
      <c r="F81" s="7">
        <v>0</v>
      </c>
      <c r="G81" s="19" t="s">
        <v>1310</v>
      </c>
      <c r="H81" s="53">
        <f t="shared" si="2"/>
        <v>44712</v>
      </c>
      <c r="I81" s="53" t="s">
        <v>1298</v>
      </c>
      <c r="J81" s="10" t="s">
        <v>2067</v>
      </c>
    </row>
    <row r="82" spans="1:10">
      <c r="A82" s="7">
        <v>81</v>
      </c>
      <c r="B82" s="8" t="str">
        <f>VLOOKUP(A82,vaccines!A:B,2)</f>
        <v>brucellosis_prophylactic_Microgen</v>
      </c>
      <c r="C82" s="28" t="s">
        <v>2068</v>
      </c>
      <c r="D82" s="12">
        <v>45743</v>
      </c>
      <c r="E82" s="7">
        <v>1</v>
      </c>
      <c r="F82" s="7">
        <v>0</v>
      </c>
      <c r="G82" s="15" t="s">
        <v>1313</v>
      </c>
      <c r="H82" s="11">
        <f t="shared" si="2"/>
        <v>44712</v>
      </c>
      <c r="I82" s="52">
        <v>45798</v>
      </c>
      <c r="J82" s="28" t="s">
        <v>2069</v>
      </c>
    </row>
    <row r="83" spans="1:10">
      <c r="A83" s="7">
        <v>82</v>
      </c>
      <c r="B83" s="8" t="str">
        <f>VLOOKUP(A83,vaccines!A:B,2)</f>
        <v>anthrax_live_48_NII_Minoborony</v>
      </c>
      <c r="C83" s="10" t="s">
        <v>2070</v>
      </c>
      <c r="D83" s="53">
        <v>43754</v>
      </c>
      <c r="E83" s="7">
        <v>1</v>
      </c>
      <c r="F83" s="7">
        <v>0</v>
      </c>
      <c r="G83" s="19" t="s">
        <v>1316</v>
      </c>
      <c r="H83" s="53">
        <f t="shared" si="2"/>
        <v>44712</v>
      </c>
      <c r="I83" s="53" t="s">
        <v>1291</v>
      </c>
      <c r="J83" s="10" t="s">
        <v>2071</v>
      </c>
    </row>
    <row r="84" spans="1:10">
      <c r="A84" s="7">
        <v>83</v>
      </c>
      <c r="B84" s="8" t="str">
        <f>VLOOKUP(A84,vaccines!A:B,2)</f>
        <v>anthrax_combined_48_NII_Minoborony</v>
      </c>
      <c r="C84" s="10" t="s">
        <v>2072</v>
      </c>
      <c r="D84" s="53">
        <v>39773</v>
      </c>
      <c r="E84" s="7">
        <v>1</v>
      </c>
      <c r="F84" s="7">
        <v>0</v>
      </c>
      <c r="G84" s="19" t="s">
        <v>1319</v>
      </c>
      <c r="H84" s="53">
        <f t="shared" si="2"/>
        <v>44712</v>
      </c>
      <c r="I84" s="53" t="s">
        <v>1291</v>
      </c>
      <c r="J84" s="10" t="s">
        <v>2073</v>
      </c>
    </row>
    <row r="85" spans="1:10">
      <c r="A85" s="7">
        <v>84</v>
      </c>
      <c r="B85" s="8" t="str">
        <f>VLOOKUP(A85,vaccines!A:B,2)</f>
        <v>Rabipur</v>
      </c>
      <c r="C85" s="10" t="s">
        <v>2074</v>
      </c>
      <c r="D85" s="53">
        <v>42996</v>
      </c>
      <c r="E85" s="7">
        <v>1</v>
      </c>
      <c r="F85" s="7">
        <v>0</v>
      </c>
      <c r="G85" s="19" t="s">
        <v>1321</v>
      </c>
      <c r="H85" s="53">
        <f t="shared" si="2"/>
        <v>44712</v>
      </c>
      <c r="I85" s="53" t="s">
        <v>1291</v>
      </c>
      <c r="J85" s="10" t="s">
        <v>2075</v>
      </c>
    </row>
    <row r="86" spans="1:10">
      <c r="A86" s="7">
        <v>85</v>
      </c>
      <c r="B86" s="8" t="str">
        <f>VLOOKUP(A86,vaccines!A:B,2)</f>
        <v>leptospirosis_Rostov_NII</v>
      </c>
      <c r="C86" s="10" t="s">
        <v>2076</v>
      </c>
      <c r="D86" s="53">
        <v>43881</v>
      </c>
      <c r="E86" s="7">
        <v>1</v>
      </c>
      <c r="F86" s="7">
        <v>0</v>
      </c>
      <c r="G86" s="19" t="s">
        <v>1323</v>
      </c>
      <c r="H86" s="53">
        <f t="shared" si="2"/>
        <v>44712</v>
      </c>
      <c r="I86" s="53" t="s">
        <v>1324</v>
      </c>
      <c r="J86" s="10" t="s">
        <v>2077</v>
      </c>
    </row>
    <row r="87" spans="1:10">
      <c r="A87" s="7">
        <v>86</v>
      </c>
      <c r="B87" s="8" t="str">
        <f>VLOOKUP(A87,vaccines!A:B,2)</f>
        <v>Q_fever_M_44_Microgen</v>
      </c>
      <c r="C87" s="28" t="s">
        <v>2078</v>
      </c>
      <c r="D87" s="12">
        <v>45691</v>
      </c>
      <c r="E87" s="54">
        <v>1</v>
      </c>
      <c r="F87" s="54">
        <v>0</v>
      </c>
      <c r="G87" s="15" t="s">
        <v>1327</v>
      </c>
      <c r="H87" s="11">
        <f t="shared" si="2"/>
        <v>44712</v>
      </c>
      <c r="I87" s="52">
        <v>45716</v>
      </c>
      <c r="J87" s="28" t="s">
        <v>2079</v>
      </c>
    </row>
    <row r="88" spans="1:10">
      <c r="A88" s="7">
        <v>87</v>
      </c>
      <c r="B88" s="8" t="str">
        <f>VLOOKUP(A88,vaccines!A:B,2)</f>
        <v>cholera_NII_Microb</v>
      </c>
      <c r="C88" s="10" t="s">
        <v>2080</v>
      </c>
      <c r="D88" s="53">
        <v>44705</v>
      </c>
      <c r="E88" s="7">
        <v>1</v>
      </c>
      <c r="F88" s="7">
        <v>0</v>
      </c>
      <c r="G88" s="19" t="s">
        <v>1330</v>
      </c>
      <c r="H88" s="53">
        <f t="shared" si="2"/>
        <v>44712</v>
      </c>
      <c r="I88" s="53" t="s">
        <v>1324</v>
      </c>
      <c r="J88" s="10" t="s">
        <v>2081</v>
      </c>
    </row>
    <row r="89" spans="1:10">
      <c r="A89" s="7">
        <v>88</v>
      </c>
      <c r="B89" s="8" t="str">
        <f>VLOOKUP(A89,vaccines!A:B,2)</f>
        <v>Vianvac</v>
      </c>
      <c r="C89" s="28" t="s">
        <v>2082</v>
      </c>
      <c r="D89" s="12">
        <v>46036</v>
      </c>
      <c r="E89" s="7">
        <v>1</v>
      </c>
      <c r="F89" s="7">
        <v>0</v>
      </c>
      <c r="G89" s="15" t="s">
        <v>1333</v>
      </c>
      <c r="H89" s="11">
        <f t="shared" si="2"/>
        <v>44712</v>
      </c>
      <c r="I89" s="52">
        <v>46130</v>
      </c>
      <c r="J89" s="28" t="s">
        <v>2083</v>
      </c>
    </row>
    <row r="90" spans="1:10">
      <c r="A90" s="7">
        <v>89</v>
      </c>
      <c r="B90" s="8" t="str">
        <f>VLOOKUP(A90,vaccines!A:B,2)</f>
        <v>Typhivac</v>
      </c>
      <c r="C90" s="10" t="s">
        <v>2084</v>
      </c>
      <c r="D90" s="53">
        <v>42762</v>
      </c>
      <c r="E90" s="7">
        <v>1</v>
      </c>
      <c r="F90" s="7">
        <v>0</v>
      </c>
      <c r="G90" s="19" t="s">
        <v>1336</v>
      </c>
      <c r="H90" s="53">
        <f t="shared" si="2"/>
        <v>44712</v>
      </c>
      <c r="I90" s="7" t="s">
        <v>1324</v>
      </c>
      <c r="J90" s="10" t="s">
        <v>2085</v>
      </c>
    </row>
    <row r="91" spans="1:10">
      <c r="A91" s="7">
        <v>90</v>
      </c>
      <c r="B91" s="8" t="str">
        <f>VLOOKUP(A91,vaccines!A:B,2)</f>
        <v>Shigellvac</v>
      </c>
      <c r="C91" s="28" t="s">
        <v>2086</v>
      </c>
      <c r="D91" s="12">
        <v>46015</v>
      </c>
      <c r="E91" s="7">
        <v>1</v>
      </c>
      <c r="F91" s="7">
        <v>0</v>
      </c>
      <c r="G91" s="15" t="s">
        <v>1339</v>
      </c>
      <c r="H91" s="11">
        <f t="shared" si="2"/>
        <v>44712</v>
      </c>
      <c r="I91" s="52">
        <v>46130</v>
      </c>
      <c r="J91" s="28" t="s">
        <v>2087</v>
      </c>
    </row>
    <row r="92" spans="1:10">
      <c r="A92" s="7">
        <v>91</v>
      </c>
      <c r="B92" s="8" t="str">
        <f>VLOOKUP(A92,vaccines!A:B,2)</f>
        <v>CoviVac</v>
      </c>
      <c r="C92" s="10" t="s">
        <v>2088</v>
      </c>
      <c r="D92" s="53">
        <v>44859</v>
      </c>
      <c r="E92" s="7">
        <v>1</v>
      </c>
      <c r="F92" s="7">
        <v>0</v>
      </c>
      <c r="G92" s="19" t="s">
        <v>1341</v>
      </c>
      <c r="H92" s="53">
        <f t="shared" si="2"/>
        <v>44712</v>
      </c>
      <c r="I92" s="53">
        <v>44903</v>
      </c>
      <c r="J92" s="10" t="s">
        <v>2089</v>
      </c>
    </row>
    <row r="93" spans="1:10">
      <c r="A93" s="7">
        <v>92</v>
      </c>
      <c r="B93" s="8" t="str">
        <f>VLOOKUP(A93,vaccines!A:B,2)</f>
        <v>Sputnik_light</v>
      </c>
      <c r="C93" s="28" t="s">
        <v>2090</v>
      </c>
      <c r="D93" s="12">
        <v>45810</v>
      </c>
      <c r="E93" s="7">
        <v>1</v>
      </c>
      <c r="F93" s="54">
        <v>0</v>
      </c>
      <c r="G93" s="15" t="s">
        <v>1343</v>
      </c>
      <c r="H93" s="11">
        <f t="shared" si="2"/>
        <v>44712</v>
      </c>
      <c r="I93" s="52">
        <v>45830</v>
      </c>
      <c r="J93" s="28" t="s">
        <v>2091</v>
      </c>
    </row>
    <row r="94" spans="1:10">
      <c r="A94" s="7">
        <v>93</v>
      </c>
      <c r="B94" s="8" t="str">
        <f>VLOOKUP(A94,vaccines!A:B,2)</f>
        <v>Sputnik_M</v>
      </c>
      <c r="C94" s="10" t="s">
        <v>2092</v>
      </c>
      <c r="D94" s="66">
        <v>44655</v>
      </c>
      <c r="E94" s="7">
        <v>2</v>
      </c>
      <c r="F94" s="7">
        <v>2</v>
      </c>
      <c r="G94" s="19" t="s">
        <v>2093</v>
      </c>
      <c r="H94" s="53">
        <f t="shared" si="2"/>
        <v>44712</v>
      </c>
      <c r="I94" s="53" t="s">
        <v>1347</v>
      </c>
      <c r="J94" s="10" t="s">
        <v>2094</v>
      </c>
    </row>
    <row r="95" spans="1:10">
      <c r="A95" s="7">
        <v>94</v>
      </c>
      <c r="B95" s="8" t="str">
        <f>VLOOKUP(A95,vaccines!A:B,2)</f>
        <v>Convacel</v>
      </c>
      <c r="C95" s="28" t="s">
        <v>2095</v>
      </c>
      <c r="D95" s="12">
        <v>46009</v>
      </c>
      <c r="E95" s="54">
        <v>1</v>
      </c>
      <c r="F95" s="54">
        <v>0</v>
      </c>
      <c r="G95" s="15" t="s">
        <v>1350</v>
      </c>
      <c r="H95" s="11">
        <f t="shared" si="2"/>
        <v>44712</v>
      </c>
      <c r="I95" s="52">
        <v>46053</v>
      </c>
      <c r="J95" s="28" t="s">
        <v>2096</v>
      </c>
    </row>
    <row r="96" spans="1:10">
      <c r="A96" s="7">
        <v>95</v>
      </c>
      <c r="B96" s="8" t="str">
        <f>VLOOKUP(A96,vaccines!A:B,2)</f>
        <v>Aurora</v>
      </c>
      <c r="C96" s="67" t="s">
        <v>2097</v>
      </c>
      <c r="D96" s="53">
        <v>44697</v>
      </c>
      <c r="E96" s="7">
        <v>2</v>
      </c>
      <c r="F96" s="7">
        <v>4</v>
      </c>
      <c r="G96" s="19" t="s">
        <v>1353</v>
      </c>
      <c r="H96" s="53">
        <f t="shared" si="2"/>
        <v>44712</v>
      </c>
      <c r="I96" s="53">
        <v>44904</v>
      </c>
      <c r="J96" s="67" t="s">
        <v>2098</v>
      </c>
    </row>
    <row r="97" spans="1:10">
      <c r="A97" s="7">
        <v>96</v>
      </c>
      <c r="B97" s="8" t="str">
        <f>VLOOKUP(A97,vaccines!A:B,2)</f>
        <v>Rota_V_Aid</v>
      </c>
      <c r="C97" s="28" t="s">
        <v>2099</v>
      </c>
      <c r="D97" s="12">
        <v>45594</v>
      </c>
      <c r="E97" s="7"/>
      <c r="F97" s="7"/>
      <c r="G97" s="15" t="s">
        <v>1356</v>
      </c>
      <c r="H97" s="11">
        <f t="shared" si="2"/>
        <v>44712</v>
      </c>
      <c r="I97" s="12">
        <v>45629</v>
      </c>
      <c r="J97" s="28" t="s">
        <v>2100</v>
      </c>
    </row>
    <row r="98" spans="1:10">
      <c r="A98" s="7">
        <v>97</v>
      </c>
      <c r="B98" s="8" t="str">
        <f>VLOOKUP(A98,vaccines!A:B,2)</f>
        <v>Hib_Rostov</v>
      </c>
      <c r="C98" s="10" t="s">
        <v>2101</v>
      </c>
      <c r="D98" s="53">
        <v>42577</v>
      </c>
      <c r="E98" s="7">
        <v>1</v>
      </c>
      <c r="F98" s="7">
        <v>0</v>
      </c>
      <c r="G98" s="19" t="s">
        <v>1359</v>
      </c>
      <c r="H98" s="53">
        <f t="shared" si="2"/>
        <v>44712</v>
      </c>
      <c r="I98" s="53">
        <v>44904</v>
      </c>
      <c r="J98" s="10" t="s">
        <v>2102</v>
      </c>
    </row>
    <row r="99" spans="1:10">
      <c r="A99" s="7">
        <v>98</v>
      </c>
      <c r="B99" s="8" t="str">
        <f>VLOOKUP(A99,vaccines!A:B,2)</f>
        <v>HepB_Combiotech_1_0</v>
      </c>
      <c r="C99" s="28" t="s">
        <v>1957</v>
      </c>
      <c r="D99" s="12">
        <v>46056</v>
      </c>
      <c r="E99" s="7">
        <v>1</v>
      </c>
      <c r="F99" s="7">
        <v>0</v>
      </c>
      <c r="G99" s="15" t="s">
        <v>1150</v>
      </c>
      <c r="H99" s="11">
        <f t="shared" si="2"/>
        <v>44712</v>
      </c>
      <c r="I99" s="52">
        <v>46130</v>
      </c>
      <c r="J99" s="28" t="s">
        <v>1958</v>
      </c>
    </row>
    <row r="100" spans="1:10">
      <c r="A100" s="7">
        <v>99</v>
      </c>
      <c r="B100" s="8" t="str">
        <f>VLOOKUP(A100,vaccines!A:B,2)</f>
        <v>Regevac_1_0</v>
      </c>
      <c r="C100" s="28" t="s">
        <v>2103</v>
      </c>
      <c r="D100" s="12">
        <v>45216</v>
      </c>
      <c r="E100" s="54">
        <v>1</v>
      </c>
      <c r="F100" s="54">
        <v>0</v>
      </c>
      <c r="G100" s="15" t="s">
        <v>1147</v>
      </c>
      <c r="H100" s="11">
        <f t="shared" si="2"/>
        <v>44712</v>
      </c>
      <c r="I100" s="52">
        <v>45988</v>
      </c>
      <c r="J100" s="28" t="s">
        <v>2104</v>
      </c>
    </row>
    <row r="101" spans="1:10">
      <c r="A101" s="7">
        <v>100</v>
      </c>
      <c r="B101" s="8" t="str">
        <f>VLOOKUP(A101,vaccines!A:B,2)</f>
        <v>Priorix_Tetra</v>
      </c>
      <c r="C101" s="28" t="s">
        <v>2105</v>
      </c>
      <c r="D101" s="12">
        <v>45453</v>
      </c>
      <c r="E101" s="7"/>
      <c r="F101" s="7"/>
      <c r="G101" s="15" t="s">
        <v>1366</v>
      </c>
      <c r="H101" s="11">
        <f t="shared" si="2"/>
        <v>44712</v>
      </c>
      <c r="I101" s="52">
        <v>45510</v>
      </c>
      <c r="J101" s="28" t="s">
        <v>2106</v>
      </c>
    </row>
    <row r="102" spans="1:10">
      <c r="A102" s="7">
        <v>101</v>
      </c>
      <c r="B102" s="8" t="str">
        <f>VLOOKUP(A102,vaccines!A:B,2)</f>
        <v>Menveo</v>
      </c>
      <c r="C102" s="10" t="s">
        <v>2107</v>
      </c>
      <c r="D102" s="53">
        <v>42958</v>
      </c>
      <c r="E102" s="7">
        <v>1</v>
      </c>
      <c r="F102" s="7">
        <v>0</v>
      </c>
      <c r="G102" s="19" t="s">
        <v>1369</v>
      </c>
      <c r="H102" s="53">
        <f t="shared" si="2"/>
        <v>44712</v>
      </c>
      <c r="I102" s="53">
        <v>45079</v>
      </c>
      <c r="J102" s="10" t="s">
        <v>2108</v>
      </c>
    </row>
    <row r="103" spans="1:10">
      <c r="A103" s="7">
        <v>102</v>
      </c>
      <c r="B103" s="8" t="str">
        <f>VLOOKUP(A103,vaccines!A:B,2)</f>
        <v>Sputnik_intranasal</v>
      </c>
      <c r="C103" s="10" t="s">
        <v>2109</v>
      </c>
      <c r="D103" s="53">
        <v>44651</v>
      </c>
      <c r="E103" s="7">
        <v>1</v>
      </c>
      <c r="F103" s="7">
        <v>0</v>
      </c>
      <c r="G103" s="19" t="s">
        <v>1372</v>
      </c>
      <c r="H103" s="53">
        <f t="shared" si="2"/>
        <v>44712</v>
      </c>
      <c r="I103" s="53">
        <v>44904</v>
      </c>
      <c r="J103" s="10" t="s">
        <v>2110</v>
      </c>
    </row>
    <row r="104" spans="1:10">
      <c r="A104" s="7">
        <v>103</v>
      </c>
      <c r="B104" s="8" t="str">
        <f>VLOOKUP(A104,vaccines!A:B,2)</f>
        <v>Grippol_plus_0_25</v>
      </c>
      <c r="C104" s="28" t="s">
        <v>2111</v>
      </c>
      <c r="D104" s="12">
        <v>45182</v>
      </c>
      <c r="E104" s="7"/>
      <c r="F104" s="7"/>
      <c r="G104" s="15" t="s">
        <v>1179</v>
      </c>
      <c r="H104" s="11">
        <f t="shared" si="2"/>
        <v>44712</v>
      </c>
      <c r="I104" s="52">
        <v>45483</v>
      </c>
      <c r="J104" s="28" t="s">
        <v>2112</v>
      </c>
    </row>
    <row r="105" spans="1:10">
      <c r="A105" s="7">
        <v>104</v>
      </c>
      <c r="B105" s="8" t="str">
        <f>VLOOKUP(A105,vaccines!A:B,2)</f>
        <v>Flu_M_Tetra</v>
      </c>
      <c r="C105" s="28" t="s">
        <v>2113</v>
      </c>
      <c r="D105" s="12">
        <v>45741</v>
      </c>
      <c r="E105" s="54">
        <v>1</v>
      </c>
      <c r="F105" s="54">
        <v>0</v>
      </c>
      <c r="G105" s="15" t="s">
        <v>1377</v>
      </c>
      <c r="H105" s="11">
        <f t="shared" si="2"/>
        <v>44712</v>
      </c>
      <c r="I105" s="52">
        <v>45798</v>
      </c>
      <c r="J105" s="28" t="s">
        <v>2114</v>
      </c>
    </row>
    <row r="106" spans="1:10">
      <c r="A106" s="7">
        <v>105</v>
      </c>
      <c r="B106" s="8" t="str">
        <f>VLOOKUP(A106,vaccines!A:B,2)</f>
        <v>Vaxigrip_Tetra</v>
      </c>
      <c r="C106" s="28" t="s">
        <v>2115</v>
      </c>
      <c r="D106" s="12">
        <v>45300</v>
      </c>
      <c r="E106" s="7"/>
      <c r="F106" s="7"/>
      <c r="G106" s="15" t="s">
        <v>1380</v>
      </c>
      <c r="H106" s="11">
        <f t="shared" si="2"/>
        <v>44712</v>
      </c>
      <c r="I106" s="52">
        <v>45489</v>
      </c>
      <c r="J106" s="28" t="s">
        <v>2116</v>
      </c>
    </row>
    <row r="107" spans="1:10">
      <c r="A107" s="7">
        <v>106</v>
      </c>
      <c r="B107" s="8" t="str">
        <f>VLOOKUP(A107,vaccines!A:B,2)</f>
        <v>Ocavax</v>
      </c>
      <c r="C107" s="10" t="s">
        <v>2117</v>
      </c>
      <c r="D107" s="53">
        <v>40233</v>
      </c>
      <c r="E107" s="7">
        <v>1</v>
      </c>
      <c r="F107" s="7">
        <v>0</v>
      </c>
      <c r="G107" s="19" t="s">
        <v>1383</v>
      </c>
      <c r="H107" s="53">
        <v>44902</v>
      </c>
      <c r="I107" s="53">
        <v>45079</v>
      </c>
      <c r="J107" s="10" t="s">
        <v>2118</v>
      </c>
    </row>
    <row r="108" spans="1:10">
      <c r="A108" s="7">
        <v>107</v>
      </c>
      <c r="B108" s="8" t="str">
        <f>VLOOKUP(A108,vaccines!A:B,2)</f>
        <v>Pneumo_23</v>
      </c>
      <c r="C108" s="10" t="s">
        <v>2119</v>
      </c>
      <c r="D108" s="53">
        <v>41688</v>
      </c>
      <c r="E108" s="7">
        <v>1</v>
      </c>
      <c r="F108" s="7">
        <v>0</v>
      </c>
      <c r="G108" s="19" t="s">
        <v>1386</v>
      </c>
      <c r="H108" s="53">
        <v>44902</v>
      </c>
      <c r="I108" s="53">
        <v>45079</v>
      </c>
      <c r="J108" s="10" t="s">
        <v>2120</v>
      </c>
    </row>
    <row r="109" spans="1:10">
      <c r="A109" s="7">
        <v>108</v>
      </c>
      <c r="B109" s="8" t="str">
        <f>VLOOKUP(A109,vaccines!A:B,2)</f>
        <v>Varivax</v>
      </c>
      <c r="C109" s="28" t="s">
        <v>2121</v>
      </c>
      <c r="D109" s="12">
        <v>45126</v>
      </c>
      <c r="E109" s="7"/>
      <c r="F109" s="7"/>
      <c r="G109" s="15" t="s">
        <v>1389</v>
      </c>
      <c r="H109" s="11">
        <v>44902</v>
      </c>
      <c r="I109" s="57">
        <v>45489</v>
      </c>
      <c r="J109" s="28" t="s">
        <v>2122</v>
      </c>
    </row>
    <row r="110" spans="1:10">
      <c r="A110" s="7">
        <v>109</v>
      </c>
      <c r="B110" s="8" t="str">
        <f>VLOOKUP(A110,vaccines!A:B,2)</f>
        <v>Pneumotex</v>
      </c>
      <c r="C110" s="28" t="s">
        <v>2123</v>
      </c>
      <c r="D110" s="12">
        <v>45777</v>
      </c>
      <c r="E110" s="7">
        <v>1</v>
      </c>
      <c r="F110" s="7">
        <v>0</v>
      </c>
      <c r="G110" s="15" t="s">
        <v>1392</v>
      </c>
      <c r="H110" s="11">
        <v>45063</v>
      </c>
      <c r="I110" s="57">
        <v>45818</v>
      </c>
      <c r="J110" s="28" t="s">
        <v>2124</v>
      </c>
    </row>
    <row r="111" spans="1:10">
      <c r="A111" s="7">
        <v>110</v>
      </c>
      <c r="B111" s="8" t="str">
        <f>VLOOKUP(A111,vaccines!A:B,2)</f>
        <v>Priorix</v>
      </c>
      <c r="C111" s="10" t="s">
        <v>2125</v>
      </c>
      <c r="D111" s="66">
        <v>43388</v>
      </c>
      <c r="E111" s="7">
        <v>5</v>
      </c>
      <c r="F111" s="7">
        <v>6</v>
      </c>
      <c r="G111" s="19" t="s">
        <v>2126</v>
      </c>
      <c r="H111" s="53">
        <v>45079</v>
      </c>
      <c r="I111" s="58"/>
      <c r="J111" s="10" t="s">
        <v>2127</v>
      </c>
    </row>
    <row r="112" spans="1:10">
      <c r="A112" s="7">
        <v>111</v>
      </c>
      <c r="B112" s="8" t="str">
        <f>VLOOKUP(A112,vaccines!A:B,2)</f>
        <v>MenQuadfi</v>
      </c>
      <c r="C112" s="28" t="s">
        <v>2128</v>
      </c>
      <c r="D112" s="12">
        <v>45932</v>
      </c>
      <c r="E112" s="54">
        <v>1</v>
      </c>
      <c r="F112" s="54">
        <v>0</v>
      </c>
      <c r="G112" s="15" t="s">
        <v>1398</v>
      </c>
      <c r="H112" s="11">
        <v>45083</v>
      </c>
      <c r="I112" s="57">
        <v>46072</v>
      </c>
      <c r="J112" s="28" t="s">
        <v>2129</v>
      </c>
    </row>
    <row r="113" spans="1:10">
      <c r="A113" s="7">
        <v>112</v>
      </c>
      <c r="B113" s="8" t="str">
        <f>VLOOKUP(A113,vaccines!A:B,2)</f>
        <v>Bexsero</v>
      </c>
      <c r="C113" s="28" t="s">
        <v>2130</v>
      </c>
      <c r="D113" s="12">
        <v>45391</v>
      </c>
      <c r="E113" s="7"/>
      <c r="F113" s="7"/>
      <c r="G113" s="15" t="s">
        <v>1401</v>
      </c>
      <c r="H113" s="11">
        <v>45083</v>
      </c>
      <c r="I113" s="57">
        <v>45489</v>
      </c>
      <c r="J113" s="28" t="s">
        <v>2131</v>
      </c>
    </row>
    <row r="114" spans="1:10">
      <c r="A114" s="7">
        <v>113</v>
      </c>
      <c r="B114" s="8" t="str">
        <f>VLOOKUP(A114,vaccines!A:B,2)</f>
        <v>Sputnik_D</v>
      </c>
      <c r="C114" s="10" t="s">
        <v>2132</v>
      </c>
      <c r="D114" s="53">
        <v>45030</v>
      </c>
      <c r="E114" s="7">
        <v>1</v>
      </c>
      <c r="F114" s="7">
        <v>0</v>
      </c>
      <c r="G114" s="19" t="s">
        <v>1404</v>
      </c>
      <c r="H114" s="53">
        <v>45083</v>
      </c>
      <c r="I114" s="58"/>
      <c r="J114" s="10" t="s">
        <v>2133</v>
      </c>
    </row>
    <row r="115" spans="1:10">
      <c r="A115" s="7">
        <v>114</v>
      </c>
      <c r="B115" s="8" t="str">
        <f>VLOOKUP(A115,vaccines!A:B,2)</f>
        <v>Encepur_0_25</v>
      </c>
      <c r="C115" s="10" t="s">
        <v>2134</v>
      </c>
      <c r="D115" s="53">
        <v>40252</v>
      </c>
      <c r="E115" s="7">
        <v>1</v>
      </c>
      <c r="F115" s="7">
        <v>0</v>
      </c>
      <c r="G115" s="19" t="s">
        <v>1407</v>
      </c>
      <c r="H115" s="53">
        <v>45083</v>
      </c>
      <c r="I115" s="58"/>
      <c r="J115" s="10" t="s">
        <v>2135</v>
      </c>
    </row>
    <row r="116" spans="1:10">
      <c r="A116" s="7">
        <v>115</v>
      </c>
      <c r="B116" s="8" t="str">
        <f>VLOOKUP(A116,vaccines!A:B,2)</f>
        <v>Encepur_0_5</v>
      </c>
      <c r="C116" s="10" t="s">
        <v>2136</v>
      </c>
      <c r="D116" s="53">
        <v>39878</v>
      </c>
      <c r="E116" s="7">
        <v>1</v>
      </c>
      <c r="F116" s="7">
        <v>0</v>
      </c>
      <c r="G116" s="19" t="s">
        <v>1410</v>
      </c>
      <c r="H116" s="53">
        <v>45083</v>
      </c>
      <c r="I116" s="58"/>
      <c r="J116" s="10" t="s">
        <v>2137</v>
      </c>
    </row>
    <row r="117" spans="1:10">
      <c r="A117" s="7">
        <v>116</v>
      </c>
      <c r="B117" s="8" t="str">
        <f>VLOOKUP(A117,vaccines!A:B,2)</f>
        <v>Poliovaccine</v>
      </c>
      <c r="C117" s="10" t="s">
        <v>2138</v>
      </c>
      <c r="D117" s="52">
        <v>45107</v>
      </c>
      <c r="E117" s="54">
        <v>3</v>
      </c>
      <c r="F117" s="54">
        <v>2</v>
      </c>
      <c r="G117" s="15" t="s">
        <v>2139</v>
      </c>
      <c r="H117" s="53">
        <v>45083</v>
      </c>
      <c r="I117" s="57">
        <v>45715</v>
      </c>
      <c r="J117" s="10" t="s">
        <v>2140</v>
      </c>
    </row>
    <row r="118" spans="1:10">
      <c r="A118" s="7">
        <v>117</v>
      </c>
      <c r="B118" s="8" t="str">
        <f>VLOOKUP(A118,vaccines!A:B,2)</f>
        <v>Act_Hib</v>
      </c>
      <c r="C118" s="10" t="s">
        <v>2141</v>
      </c>
      <c r="D118" s="53">
        <v>42948</v>
      </c>
      <c r="E118" s="7">
        <v>2</v>
      </c>
      <c r="F118" s="7">
        <v>3</v>
      </c>
      <c r="G118" s="19" t="s">
        <v>2142</v>
      </c>
      <c r="H118" s="53">
        <v>45084</v>
      </c>
      <c r="I118" s="58"/>
      <c r="J118" s="10" t="s">
        <v>2143</v>
      </c>
    </row>
    <row r="119" spans="1:10">
      <c r="A119" s="7">
        <v>118</v>
      </c>
      <c r="B119" s="8" t="str">
        <f>VLOOKUP(A119,vaccines!A:B,2)</f>
        <v>Hiberix</v>
      </c>
      <c r="C119" s="10" t="s">
        <v>2144</v>
      </c>
      <c r="D119" s="53">
        <v>43796</v>
      </c>
      <c r="E119" s="7">
        <v>5</v>
      </c>
      <c r="F119" s="7">
        <v>7</v>
      </c>
      <c r="G119" s="19" t="s">
        <v>2145</v>
      </c>
      <c r="H119" s="53">
        <v>45085</v>
      </c>
      <c r="I119" s="58"/>
      <c r="J119" s="10" t="s">
        <v>2146</v>
      </c>
    </row>
    <row r="120" spans="1:10">
      <c r="A120" s="7">
        <v>119</v>
      </c>
      <c r="B120" s="8" t="str">
        <f>VLOOKUP(A120,vaccines!A:B,2)</f>
        <v>FSME_Immun_Junior</v>
      </c>
      <c r="C120" s="10" t="s">
        <v>2147</v>
      </c>
      <c r="D120" s="53">
        <v>43115</v>
      </c>
      <c r="E120" s="7">
        <v>1</v>
      </c>
      <c r="F120" s="7">
        <v>0</v>
      </c>
      <c r="G120" s="19" t="s">
        <v>1420</v>
      </c>
      <c r="H120" s="53">
        <v>45085</v>
      </c>
      <c r="I120" s="58"/>
      <c r="J120" s="10" t="s">
        <v>2148</v>
      </c>
    </row>
    <row r="121" spans="1:10">
      <c r="A121" s="7">
        <v>120</v>
      </c>
      <c r="B121" s="8" t="str">
        <f>VLOOKUP(A121,vaccines!A:B,2)</f>
        <v>FSME_Immun</v>
      </c>
      <c r="C121" s="10" t="s">
        <v>2149</v>
      </c>
      <c r="D121" s="53">
        <v>44169</v>
      </c>
      <c r="E121" s="7">
        <v>1</v>
      </c>
      <c r="F121" s="7">
        <v>0</v>
      </c>
      <c r="G121" s="19" t="s">
        <v>1423</v>
      </c>
      <c r="H121" s="53">
        <v>45085</v>
      </c>
      <c r="I121" s="58"/>
      <c r="J121" s="10" t="s">
        <v>2150</v>
      </c>
    </row>
    <row r="122" spans="1:10">
      <c r="A122" s="7">
        <v>121</v>
      </c>
      <c r="B122" s="8" t="str">
        <f>VLOOKUP(A122,vaccines!A:B,2)</f>
        <v>SciBiVac</v>
      </c>
      <c r="C122" s="10" t="s">
        <v>2151</v>
      </c>
      <c r="D122" s="53">
        <v>44762</v>
      </c>
      <c r="E122" s="7">
        <v>1</v>
      </c>
      <c r="F122" s="7">
        <v>0</v>
      </c>
      <c r="G122" s="19" t="s">
        <v>1426</v>
      </c>
      <c r="H122" s="53">
        <v>45085</v>
      </c>
      <c r="I122" s="58"/>
      <c r="J122" s="10" t="s">
        <v>2152</v>
      </c>
    </row>
    <row r="123" spans="1:10">
      <c r="A123" s="7">
        <v>122</v>
      </c>
      <c r="B123" s="8" t="str">
        <f>VLOOKUP(A123,vaccines!A:B,2)</f>
        <v>Pentavaccina</v>
      </c>
      <c r="C123" s="28" t="s">
        <v>2153</v>
      </c>
      <c r="D123" s="52">
        <v>45320</v>
      </c>
      <c r="E123" s="7"/>
      <c r="F123" s="7"/>
      <c r="G123" s="15" t="s">
        <v>1429</v>
      </c>
      <c r="H123" s="53">
        <v>45105</v>
      </c>
      <c r="I123" s="57">
        <v>45460</v>
      </c>
      <c r="J123" s="28" t="s">
        <v>2154</v>
      </c>
    </row>
    <row r="124" spans="1:10">
      <c r="A124" s="29">
        <v>123</v>
      </c>
      <c r="B124" s="8" t="str">
        <f>VLOOKUP(A124,vaccines!A:B,2)</f>
        <v>Vitagerpavac</v>
      </c>
      <c r="C124" s="47" t="s">
        <v>2155</v>
      </c>
      <c r="D124" s="60">
        <v>41438</v>
      </c>
      <c r="E124" s="29">
        <v>3</v>
      </c>
      <c r="F124" s="29">
        <v>2</v>
      </c>
      <c r="G124" s="33" t="s">
        <v>2156</v>
      </c>
      <c r="H124" s="60">
        <v>45169</v>
      </c>
      <c r="J124" s="47" t="s">
        <v>2157</v>
      </c>
    </row>
    <row r="125" spans="1:10">
      <c r="A125" s="29">
        <v>124</v>
      </c>
      <c r="B125" s="8" t="str">
        <f>VLOOKUP(A125,vaccines!A:B,2)</f>
        <v>Shingrix</v>
      </c>
      <c r="C125" s="47" t="s">
        <v>2158</v>
      </c>
      <c r="D125" s="40">
        <v>45440</v>
      </c>
      <c r="G125" s="33" t="s">
        <v>1435</v>
      </c>
      <c r="H125" s="40">
        <v>45377</v>
      </c>
      <c r="I125" s="40">
        <v>45589</v>
      </c>
      <c r="J125" s="47" t="s">
        <v>2159</v>
      </c>
    </row>
    <row r="126" spans="1:10">
      <c r="A126" s="29">
        <v>125</v>
      </c>
      <c r="B126" s="8" t="str">
        <f>VLOOKUP(A126,vaccines!A:B,2)</f>
        <v>Trivaid</v>
      </c>
      <c r="C126" s="47" t="s">
        <v>2160</v>
      </c>
      <c r="D126" s="12">
        <v>45996</v>
      </c>
      <c r="E126" s="54">
        <v>1</v>
      </c>
      <c r="F126" s="54">
        <v>0</v>
      </c>
      <c r="G126" s="15" t="s">
        <v>1438</v>
      </c>
      <c r="H126" s="11">
        <v>45436</v>
      </c>
      <c r="I126" s="40">
        <v>46053</v>
      </c>
      <c r="J126" s="47" t="s">
        <v>2161</v>
      </c>
    </row>
    <row r="127" spans="1:10">
      <c r="A127" s="29">
        <v>126</v>
      </c>
      <c r="B127" s="8" t="str">
        <f>VLOOKUP(A127,vaccines!A:B,2)</f>
        <v>BabyHib</v>
      </c>
      <c r="C127" s="47" t="s">
        <v>2162</v>
      </c>
      <c r="D127" s="12">
        <v>45938</v>
      </c>
      <c r="E127" s="7">
        <v>1</v>
      </c>
      <c r="F127" s="7">
        <v>0</v>
      </c>
      <c r="G127" s="15" t="s">
        <v>1441</v>
      </c>
      <c r="H127" s="11">
        <v>45436</v>
      </c>
      <c r="I127" s="40">
        <v>45988</v>
      </c>
      <c r="J127" s="47" t="s">
        <v>2163</v>
      </c>
    </row>
    <row r="128" spans="1:10">
      <c r="A128" s="29">
        <v>127</v>
      </c>
      <c r="B128" s="8" t="str">
        <f>VLOOKUP(A128,vaccines!A:B,2)</f>
        <v>AD_M_Biomed</v>
      </c>
      <c r="C128" s="47" t="s">
        <v>2164</v>
      </c>
      <c r="D128" s="60">
        <v>41046</v>
      </c>
      <c r="E128" s="29">
        <v>1</v>
      </c>
      <c r="F128" s="29">
        <v>0</v>
      </c>
      <c r="G128" s="33" t="s">
        <v>1444</v>
      </c>
      <c r="H128" s="12">
        <v>45461</v>
      </c>
      <c r="J128" s="47" t="s">
        <v>2165</v>
      </c>
    </row>
    <row r="129" spans="1:10">
      <c r="A129" s="29">
        <v>128</v>
      </c>
      <c r="B129" s="8" t="str">
        <f>VLOOKUP(A129,vaccines!A:B,2)</f>
        <v>AS_D_Microgen</v>
      </c>
      <c r="C129" s="47" t="s">
        <v>2166</v>
      </c>
      <c r="D129" s="40">
        <v>45266</v>
      </c>
      <c r="G129" s="34" t="s">
        <v>1447</v>
      </c>
      <c r="H129" s="12">
        <v>45461</v>
      </c>
      <c r="J129" s="47" t="s">
        <v>2167</v>
      </c>
    </row>
    <row r="130" spans="1:10">
      <c r="A130" s="29">
        <v>129</v>
      </c>
      <c r="B130" s="8" t="str">
        <f>VLOOKUP(A130,vaccines!A:B,2)</f>
        <v>Variola</v>
      </c>
      <c r="C130" s="47" t="s">
        <v>2168</v>
      </c>
      <c r="D130" s="40">
        <v>45252</v>
      </c>
      <c r="G130" s="33" t="s">
        <v>1450</v>
      </c>
      <c r="H130" s="12">
        <v>45461</v>
      </c>
      <c r="J130" s="47" t="s">
        <v>2169</v>
      </c>
    </row>
    <row r="131" spans="1:10">
      <c r="A131" s="29">
        <v>130</v>
      </c>
      <c r="B131" s="8" t="str">
        <f>VLOOKUP(A131,vaccines!A:B,2)</f>
        <v>AKDS_HepB_Microgen</v>
      </c>
      <c r="C131" s="47" t="s">
        <v>2170</v>
      </c>
      <c r="D131" s="40">
        <v>45135</v>
      </c>
      <c r="G131" s="33" t="s">
        <v>1453</v>
      </c>
      <c r="H131" s="40">
        <v>45464</v>
      </c>
      <c r="J131" s="47" t="s">
        <v>2171</v>
      </c>
    </row>
    <row r="132" spans="1:10">
      <c r="A132" s="29">
        <v>131</v>
      </c>
      <c r="B132" s="8" t="str">
        <f>VLOOKUP(A132,vaccines!A:B,2)</f>
        <v>Rickettsia</v>
      </c>
      <c r="C132" s="47" t="s">
        <v>2172</v>
      </c>
      <c r="D132" s="40">
        <v>45107</v>
      </c>
      <c r="G132" s="33" t="s">
        <v>1456</v>
      </c>
      <c r="H132" s="40">
        <v>45464</v>
      </c>
      <c r="J132" s="47" t="s">
        <v>2173</v>
      </c>
    </row>
    <row r="133" spans="1:10">
      <c r="A133" s="29">
        <v>132</v>
      </c>
      <c r="B133" s="8" t="str">
        <f>VLOOKUP(A133,vaccines!A:B,2)</f>
        <v>OspaVir</v>
      </c>
      <c r="C133" s="47" t="s">
        <v>2174</v>
      </c>
      <c r="D133" s="40">
        <v>45077</v>
      </c>
      <c r="G133" s="33" t="s">
        <v>1459</v>
      </c>
      <c r="H133" s="40">
        <v>45464</v>
      </c>
      <c r="J133" s="47" t="s">
        <v>2175</v>
      </c>
    </row>
    <row r="134" spans="1:10">
      <c r="A134" s="29">
        <v>133</v>
      </c>
      <c r="B134" s="8" t="str">
        <f>VLOOKUP(A134,vaccines!A:B,2)</f>
        <v>Gonovaccina_therapeutic</v>
      </c>
      <c r="C134" s="47" t="s">
        <v>2176</v>
      </c>
      <c r="D134" s="40">
        <v>44942</v>
      </c>
      <c r="G134" s="33" t="s">
        <v>1462</v>
      </c>
      <c r="H134" s="40">
        <v>45464</v>
      </c>
      <c r="J134" s="47" t="s">
        <v>2177</v>
      </c>
    </row>
    <row r="135" spans="1:10">
      <c r="A135" s="29">
        <v>134</v>
      </c>
      <c r="B135" s="8" t="str">
        <f>VLOOKUP(A135,vaccines!A:B,2)</f>
        <v>OrtopoxVac</v>
      </c>
      <c r="C135" s="47" t="s">
        <v>2178</v>
      </c>
      <c r="D135" s="11">
        <v>45147</v>
      </c>
      <c r="E135" s="8"/>
      <c r="F135" s="8"/>
      <c r="G135" s="19" t="s">
        <v>1465</v>
      </c>
      <c r="H135" s="11">
        <v>45465</v>
      </c>
      <c r="J135" s="47" t="s">
        <v>2179</v>
      </c>
    </row>
    <row r="136" spans="1:10">
      <c r="A136" s="29">
        <v>135</v>
      </c>
      <c r="B136" s="8" t="str">
        <f>VLOOKUP(A136,vaccines!A:B,2)</f>
        <v>FlexVac</v>
      </c>
      <c r="C136" s="47" t="s">
        <v>2086</v>
      </c>
      <c r="D136" s="40">
        <v>46126</v>
      </c>
      <c r="E136" s="29">
        <v>1</v>
      </c>
      <c r="F136" s="29">
        <v>0</v>
      </c>
      <c r="G136" s="33" t="s">
        <v>1468</v>
      </c>
      <c r="H136" s="11">
        <v>45465</v>
      </c>
      <c r="I136" s="40">
        <v>46188</v>
      </c>
      <c r="J136" s="47" t="s">
        <v>2087</v>
      </c>
    </row>
    <row r="137" spans="1:10">
      <c r="A137" s="29">
        <v>136</v>
      </c>
      <c r="B137" s="8" t="str">
        <f>VLOOKUP(A137,vaccines!A:B,2)</f>
        <v>SinSaVac</v>
      </c>
      <c r="C137" s="47" t="s">
        <v>2180</v>
      </c>
      <c r="D137" s="40">
        <v>44537</v>
      </c>
      <c r="E137" s="29">
        <v>1</v>
      </c>
      <c r="F137" s="29">
        <v>0</v>
      </c>
      <c r="G137" s="33" t="s">
        <v>1471</v>
      </c>
      <c r="H137" s="11">
        <v>45465</v>
      </c>
      <c r="J137" s="47" t="s">
        <v>2181</v>
      </c>
    </row>
    <row r="138" spans="1:10">
      <c r="A138" s="29">
        <v>138</v>
      </c>
      <c r="B138" s="8" t="str">
        <f>VLOOKUP(A138,vaccines!A:B,2)</f>
        <v>EpiVacEbola</v>
      </c>
      <c r="C138" s="47" t="s">
        <v>2182</v>
      </c>
      <c r="D138" s="40">
        <v>43185</v>
      </c>
      <c r="E138" s="29">
        <v>1</v>
      </c>
      <c r="F138" s="29">
        <v>0</v>
      </c>
      <c r="G138" s="33" t="s">
        <v>1474</v>
      </c>
      <c r="H138" s="40">
        <v>45465</v>
      </c>
      <c r="J138" s="47" t="s">
        <v>2183</v>
      </c>
    </row>
    <row r="139" spans="1:10">
      <c r="A139" s="29">
        <v>139</v>
      </c>
      <c r="B139" s="8" t="str">
        <f>VLOOKUP(A139,vaccines!A:B,2)</f>
        <v>GamEvac_Combi</v>
      </c>
      <c r="C139" s="47" t="s">
        <v>2184</v>
      </c>
      <c r="D139" s="40">
        <v>46099</v>
      </c>
      <c r="E139" s="29">
        <v>1</v>
      </c>
      <c r="F139" s="29">
        <v>0</v>
      </c>
      <c r="G139" s="33" t="s">
        <v>1477</v>
      </c>
      <c r="H139" s="40">
        <v>46131</v>
      </c>
      <c r="J139" s="47" t="s">
        <v>2185</v>
      </c>
    </row>
    <row r="140" spans="1:10">
      <c r="A140" s="29">
        <v>141</v>
      </c>
      <c r="B140" s="8" t="str">
        <f>VLOOKUP(A140,vaccines!A:B,2)</f>
        <v>Staphylococcus_therapeutic_Biomed</v>
      </c>
      <c r="C140" s="47" t="s">
        <v>2186</v>
      </c>
      <c r="D140" s="40">
        <v>43388</v>
      </c>
      <c r="E140" s="29">
        <v>1</v>
      </c>
      <c r="F140" s="29">
        <v>0</v>
      </c>
      <c r="G140" s="34" t="s">
        <v>1480</v>
      </c>
      <c r="H140" s="40">
        <v>45465</v>
      </c>
      <c r="J140" s="47" t="s">
        <v>2187</v>
      </c>
    </row>
    <row r="141" spans="1:10">
      <c r="A141" s="29">
        <v>142</v>
      </c>
      <c r="B141" s="8" t="str">
        <f>VLOOKUP(A141,vaccines!A:B,2)</f>
        <v>Pseudovac</v>
      </c>
      <c r="C141" s="47" t="s">
        <v>2188</v>
      </c>
      <c r="D141" s="40">
        <v>42809</v>
      </c>
      <c r="E141" s="29">
        <v>1</v>
      </c>
      <c r="F141" s="29">
        <v>0</v>
      </c>
      <c r="G141" s="34" t="s">
        <v>1483</v>
      </c>
      <c r="H141" s="40">
        <v>45466</v>
      </c>
      <c r="J141" s="47" t="s">
        <v>2189</v>
      </c>
    </row>
    <row r="142" spans="1:10">
      <c r="A142" s="29">
        <v>143</v>
      </c>
      <c r="B142" s="8" t="str">
        <f>VLOOKUP(A142,vaccines!A:B,2)</f>
        <v>SPSA_therapeutic</v>
      </c>
      <c r="C142" s="47" t="s">
        <v>2190</v>
      </c>
      <c r="D142" s="40">
        <v>40819</v>
      </c>
      <c r="E142" s="29">
        <v>1</v>
      </c>
      <c r="F142" s="29">
        <v>0</v>
      </c>
      <c r="G142" s="33" t="s">
        <v>1486</v>
      </c>
      <c r="H142" s="40">
        <v>45466</v>
      </c>
      <c r="J142" s="47" t="s">
        <v>2191</v>
      </c>
    </row>
    <row r="143" spans="1:10">
      <c r="A143" s="29">
        <v>144</v>
      </c>
      <c r="B143" s="8" t="str">
        <f>VLOOKUP(A143,vaccines!A:B,2)</f>
        <v>HepB_Serum_India_0_5</v>
      </c>
      <c r="C143" s="47" t="s">
        <v>2192</v>
      </c>
      <c r="D143" s="40">
        <v>45981</v>
      </c>
      <c r="E143" s="29">
        <v>1</v>
      </c>
      <c r="F143" s="29">
        <v>0</v>
      </c>
      <c r="G143" s="33" t="s">
        <v>1489</v>
      </c>
      <c r="H143" s="40">
        <v>45466</v>
      </c>
      <c r="I143" s="60">
        <v>46053</v>
      </c>
      <c r="J143" s="47" t="s">
        <v>2193</v>
      </c>
    </row>
    <row r="144" spans="1:10">
      <c r="A144" s="29">
        <v>145</v>
      </c>
      <c r="B144" s="8" t="str">
        <f>VLOOKUP(A144,vaccines!A:B,2)</f>
        <v>Polio_1_2_3</v>
      </c>
      <c r="C144" s="47" t="s">
        <v>2194</v>
      </c>
      <c r="D144" s="40">
        <v>45275</v>
      </c>
      <c r="E144" s="29">
        <v>1</v>
      </c>
      <c r="F144" s="29">
        <v>0</v>
      </c>
      <c r="G144" s="33" t="s">
        <v>1492</v>
      </c>
      <c r="H144" s="40">
        <v>45466</v>
      </c>
      <c r="J144" s="47" t="s">
        <v>2195</v>
      </c>
    </row>
    <row r="145" spans="1:10">
      <c r="A145" s="29">
        <v>146</v>
      </c>
      <c r="B145" s="8" t="str">
        <f>VLOOKUP(A145,vaccines!A:B,2)</f>
        <v>TEOVac_chew_tablets</v>
      </c>
      <c r="C145" s="47" t="s">
        <v>2196</v>
      </c>
      <c r="D145" s="40">
        <v>40396</v>
      </c>
      <c r="E145" s="29">
        <v>1</v>
      </c>
      <c r="F145" s="29">
        <v>0</v>
      </c>
      <c r="G145" s="33" t="s">
        <v>1495</v>
      </c>
      <c r="H145" s="40">
        <v>45467</v>
      </c>
      <c r="J145" s="47" t="s">
        <v>2197</v>
      </c>
    </row>
    <row r="146" spans="1:10">
      <c r="A146" s="29">
        <v>147</v>
      </c>
      <c r="B146" s="8" t="str">
        <f>VLOOKUP(A146,vaccines!A:B,2)</f>
        <v>TEOVac_tablets</v>
      </c>
      <c r="C146" s="47" t="s">
        <v>2196</v>
      </c>
      <c r="D146" s="40">
        <v>40392</v>
      </c>
      <c r="E146" s="29">
        <v>1</v>
      </c>
      <c r="F146" s="29">
        <v>0</v>
      </c>
      <c r="G146" s="33" t="s">
        <v>1497</v>
      </c>
      <c r="H146" s="40">
        <v>45467</v>
      </c>
      <c r="J146" s="47" t="s">
        <v>2197</v>
      </c>
    </row>
    <row r="147" spans="1:10">
      <c r="A147" s="29">
        <v>148</v>
      </c>
      <c r="B147" s="8" t="str">
        <f>VLOOKUP(A147,vaccines!A:B,2)</f>
        <v>Uro_BCG_therapeutic</v>
      </c>
      <c r="C147" s="47" t="s">
        <v>2198</v>
      </c>
      <c r="D147" s="40">
        <v>42947</v>
      </c>
      <c r="E147" s="29">
        <v>1</v>
      </c>
      <c r="F147" s="29">
        <v>0</v>
      </c>
      <c r="G147" s="33" t="s">
        <v>1499</v>
      </c>
      <c r="H147" s="40">
        <v>45494</v>
      </c>
      <c r="J147" s="47" t="s">
        <v>2199</v>
      </c>
    </row>
    <row r="148" spans="1:10">
      <c r="A148" s="29">
        <v>149</v>
      </c>
      <c r="B148" s="8" t="str">
        <f>VLOOKUP(A148,vaccines!A:B,2)</f>
        <v>Flu_Microgen</v>
      </c>
      <c r="C148" s="47" t="s">
        <v>2200</v>
      </c>
      <c r="D148" s="40">
        <v>40940</v>
      </c>
      <c r="E148" s="29">
        <v>1</v>
      </c>
      <c r="F148" s="29">
        <v>0</v>
      </c>
      <c r="G148" s="33" t="s">
        <v>1502</v>
      </c>
      <c r="H148" s="40">
        <v>45494</v>
      </c>
      <c r="J148" s="47" t="s">
        <v>2201</v>
      </c>
    </row>
    <row r="149" spans="1:10">
      <c r="A149" s="29">
        <v>150</v>
      </c>
      <c r="B149" s="8" t="str">
        <f>VLOOKUP(A149,vaccines!A:B,2)</f>
        <v>MonoGrippol_plus</v>
      </c>
      <c r="C149" s="47" t="s">
        <v>2202</v>
      </c>
      <c r="D149" s="40">
        <v>42719</v>
      </c>
      <c r="E149" s="29">
        <v>1</v>
      </c>
      <c r="F149" s="29">
        <v>0</v>
      </c>
      <c r="G149" s="33" t="s">
        <v>1505</v>
      </c>
      <c r="H149" s="40">
        <v>45494</v>
      </c>
      <c r="J149" s="47" t="s">
        <v>2203</v>
      </c>
    </row>
    <row r="150" spans="1:10">
      <c r="A150" s="29">
        <v>151</v>
      </c>
      <c r="B150" s="8" t="str">
        <f>VLOOKUP(A150,vaccines!A:B,2)</f>
        <v>MonoGrippol_Neo</v>
      </c>
      <c r="C150" s="47" t="s">
        <v>2204</v>
      </c>
      <c r="D150" s="40">
        <v>40102</v>
      </c>
      <c r="E150" s="29">
        <v>1</v>
      </c>
      <c r="F150" s="29">
        <v>0</v>
      </c>
      <c r="G150" s="33" t="s">
        <v>1508</v>
      </c>
      <c r="H150" s="40">
        <v>45494</v>
      </c>
      <c r="J150" s="47" t="s">
        <v>2205</v>
      </c>
    </row>
    <row r="151" spans="1:10">
      <c r="A151" s="29">
        <v>152</v>
      </c>
      <c r="B151" s="8" t="str">
        <f>VLOOKUP(A151,vaccines!A:B,2)</f>
        <v>MonoGrippol</v>
      </c>
      <c r="C151" s="47" t="s">
        <v>2204</v>
      </c>
      <c r="D151" s="40">
        <v>40102</v>
      </c>
      <c r="E151" s="29">
        <v>1</v>
      </c>
      <c r="F151" s="29">
        <v>0</v>
      </c>
      <c r="G151" s="33" t="s">
        <v>1510</v>
      </c>
      <c r="H151" s="40">
        <v>45494</v>
      </c>
      <c r="J151" s="47" t="s">
        <v>2205</v>
      </c>
    </row>
    <row r="152" spans="1:10">
      <c r="A152" s="29">
        <v>153</v>
      </c>
      <c r="B152" s="8" t="str">
        <f>VLOOKUP(A152,vaccines!A:B,2)</f>
        <v>Influvir</v>
      </c>
      <c r="C152" s="47" t="s">
        <v>2206</v>
      </c>
      <c r="D152" s="40">
        <v>45681</v>
      </c>
      <c r="E152" s="29">
        <v>1</v>
      </c>
      <c r="F152" s="29">
        <v>0</v>
      </c>
      <c r="G152" s="34" t="s">
        <v>1512</v>
      </c>
      <c r="H152" s="40">
        <v>45494</v>
      </c>
      <c r="I152" s="40">
        <v>45717</v>
      </c>
      <c r="J152" s="47" t="s">
        <v>2207</v>
      </c>
    </row>
    <row r="153" spans="1:10">
      <c r="A153" s="29">
        <v>154</v>
      </c>
      <c r="B153" s="8" t="str">
        <f>VLOOKUP(A153,vaccines!A:B,2)</f>
        <v>Pandeflu</v>
      </c>
      <c r="C153" s="47" t="s">
        <v>2208</v>
      </c>
      <c r="D153" s="40">
        <v>45719</v>
      </c>
      <c r="E153" s="29">
        <v>1</v>
      </c>
      <c r="F153" s="29">
        <v>0</v>
      </c>
      <c r="G153" s="34" t="s">
        <v>1515</v>
      </c>
      <c r="H153" s="40">
        <v>45494</v>
      </c>
      <c r="I153" s="40">
        <v>45750</v>
      </c>
      <c r="J153" s="47" t="s">
        <v>2209</v>
      </c>
    </row>
    <row r="154" spans="1:10">
      <c r="A154" s="29">
        <v>155</v>
      </c>
      <c r="B154" s="8" t="str">
        <f>VLOOKUP(A154,vaccines!A:B,2)</f>
        <v>Grippol_Neo</v>
      </c>
      <c r="C154" s="47" t="s">
        <v>2210</v>
      </c>
      <c r="D154" s="40">
        <v>40274</v>
      </c>
      <c r="E154" s="29">
        <v>1</v>
      </c>
      <c r="F154" s="29">
        <v>0</v>
      </c>
      <c r="G154" s="34" t="s">
        <v>1518</v>
      </c>
      <c r="H154" s="40">
        <v>45494</v>
      </c>
      <c r="J154" s="47" t="s">
        <v>2211</v>
      </c>
    </row>
    <row r="155" spans="1:10">
      <c r="A155" s="29">
        <v>156</v>
      </c>
      <c r="B155" s="8" t="str">
        <f>VLOOKUP(A155,vaccines!A:B,2)</f>
        <v>Ultravac</v>
      </c>
      <c r="C155" s="47" t="s">
        <v>2212</v>
      </c>
      <c r="D155" s="40">
        <v>45569</v>
      </c>
      <c r="G155" s="9" t="s">
        <v>1521</v>
      </c>
      <c r="H155" s="40">
        <v>45494</v>
      </c>
      <c r="I155" s="40">
        <v>45622</v>
      </c>
      <c r="J155" s="47" t="s">
        <v>2213</v>
      </c>
    </row>
    <row r="156" spans="1:10">
      <c r="A156" s="29">
        <v>158</v>
      </c>
      <c r="B156" s="8" t="str">
        <f>VLOOKUP(A156,vaccines!A:B,2)</f>
        <v>Gerpovax_therapeutic</v>
      </c>
      <c r="C156" s="47" t="s">
        <v>2214</v>
      </c>
      <c r="D156" s="40">
        <v>43808</v>
      </c>
      <c r="E156" s="29">
        <v>1</v>
      </c>
      <c r="F156" s="29">
        <v>0</v>
      </c>
      <c r="G156" s="33" t="s">
        <v>1524</v>
      </c>
      <c r="H156" s="40">
        <v>45496</v>
      </c>
      <c r="J156" s="47" t="s">
        <v>2215</v>
      </c>
    </row>
    <row r="157" spans="1:10">
      <c r="A157" s="29">
        <v>159</v>
      </c>
      <c r="B157" s="8" t="str">
        <f>VLOOKUP(A157,vaccines!A:B,2)</f>
        <v>Ultragrivac</v>
      </c>
      <c r="C157" s="47" t="s">
        <v>2216</v>
      </c>
      <c r="D157" s="40">
        <v>45775</v>
      </c>
      <c r="E157" s="29">
        <v>1</v>
      </c>
      <c r="F157" s="29">
        <v>0</v>
      </c>
      <c r="G157" s="34" t="s">
        <v>1527</v>
      </c>
      <c r="H157" s="40">
        <v>45496</v>
      </c>
      <c r="I157" s="40">
        <v>45818</v>
      </c>
      <c r="J157" s="47" t="s">
        <v>2217</v>
      </c>
    </row>
    <row r="158" spans="1:10">
      <c r="A158" s="29">
        <v>160</v>
      </c>
      <c r="B158" s="8" t="str">
        <f>VLOOKUP(A158,vaccines!A:B,2)</f>
        <v>OrniFlu</v>
      </c>
      <c r="C158" s="47" t="s">
        <v>2218</v>
      </c>
      <c r="D158" s="40">
        <v>45720</v>
      </c>
      <c r="E158" s="29">
        <v>1</v>
      </c>
      <c r="F158" s="29">
        <v>0</v>
      </c>
      <c r="G158" s="34" t="s">
        <v>1530</v>
      </c>
      <c r="H158" s="40">
        <v>45496</v>
      </c>
      <c r="I158" s="40">
        <v>45750</v>
      </c>
      <c r="J158" s="47" t="s">
        <v>2219</v>
      </c>
    </row>
    <row r="159" spans="1:10">
      <c r="A159" s="29">
        <v>161</v>
      </c>
      <c r="B159" s="8" t="str">
        <f>VLOOKUP(A159,vaccines!A:B,2)</f>
        <v>rubella_Croatia</v>
      </c>
      <c r="C159" s="47" t="s">
        <v>2220</v>
      </c>
      <c r="D159" s="40">
        <v>37712</v>
      </c>
      <c r="E159" s="29">
        <v>1</v>
      </c>
      <c r="F159" s="29">
        <v>0</v>
      </c>
      <c r="G159" s="34" t="s">
        <v>1533</v>
      </c>
      <c r="H159" s="40">
        <v>45496</v>
      </c>
      <c r="J159" s="47" t="s">
        <v>2221</v>
      </c>
    </row>
    <row r="160" spans="1:10">
      <c r="A160" s="29">
        <v>162</v>
      </c>
      <c r="B160" s="8" t="str">
        <f>VLOOKUP(A160,vaccines!A:B,2)</f>
        <v>Tetraanatoxin</v>
      </c>
      <c r="C160" s="47" t="s">
        <v>2222</v>
      </c>
      <c r="D160" s="40">
        <v>45546</v>
      </c>
      <c r="G160" s="9" t="s">
        <v>1536</v>
      </c>
      <c r="H160" s="40">
        <v>45497</v>
      </c>
      <c r="I160" s="40">
        <v>45581</v>
      </c>
      <c r="J160" s="47" t="s">
        <v>2223</v>
      </c>
    </row>
    <row r="161" spans="1:10">
      <c r="A161" s="29">
        <v>163</v>
      </c>
      <c r="B161" s="8" t="str">
        <f>VLOOKUP(A161,vaccines!A:B,2)</f>
        <v>Staphylococcus_Gamaleya</v>
      </c>
      <c r="C161" s="47" t="s">
        <v>2224</v>
      </c>
      <c r="D161" s="40">
        <v>45799</v>
      </c>
      <c r="E161" s="29">
        <v>1</v>
      </c>
      <c r="F161" s="29">
        <v>0</v>
      </c>
      <c r="G161" s="34" t="s">
        <v>1539</v>
      </c>
      <c r="H161" s="40">
        <v>45497</v>
      </c>
      <c r="I161" s="60">
        <v>45830</v>
      </c>
      <c r="J161" s="47" t="s">
        <v>2225</v>
      </c>
    </row>
    <row r="162" spans="1:10">
      <c r="A162" s="29">
        <v>164</v>
      </c>
      <c r="B162" s="8" t="str">
        <f>VLOOKUP(A162,vaccines!A:B,2)</f>
        <v>Staphylococcus_therapeutic_Gamaleya</v>
      </c>
      <c r="C162" s="47" t="s">
        <v>2226</v>
      </c>
      <c r="D162" s="40">
        <v>45799</v>
      </c>
      <c r="E162" s="29">
        <v>1</v>
      </c>
      <c r="F162" s="29">
        <v>0</v>
      </c>
      <c r="G162" s="34" t="s">
        <v>1542</v>
      </c>
      <c r="H162" s="40">
        <v>45497</v>
      </c>
      <c r="I162" s="40">
        <v>45830</v>
      </c>
      <c r="J162" s="47" t="s">
        <v>2227</v>
      </c>
    </row>
    <row r="163" spans="1:10">
      <c r="A163" s="29">
        <v>165</v>
      </c>
      <c r="B163" s="8" t="str">
        <f>VLOOKUP(A163,vaccines!A:B,2)</f>
        <v>Imuron_vac_therapeutic</v>
      </c>
      <c r="C163" s="47" t="s">
        <v>2228</v>
      </c>
      <c r="D163" s="40">
        <v>45811</v>
      </c>
      <c r="E163" s="29">
        <v>1</v>
      </c>
      <c r="F163" s="29">
        <v>0</v>
      </c>
      <c r="G163" s="34" t="s">
        <v>1545</v>
      </c>
      <c r="H163" s="40">
        <v>45497</v>
      </c>
      <c r="I163" s="40">
        <v>45861</v>
      </c>
      <c r="J163" s="47" t="s">
        <v>2229</v>
      </c>
    </row>
    <row r="164" spans="1:10">
      <c r="A164" s="29">
        <v>166</v>
      </c>
      <c r="B164" s="8" t="str">
        <f>VLOOKUP(A164,vaccines!A:B,2)</f>
        <v>HepB_Serum_India_1_0</v>
      </c>
      <c r="C164" s="47" t="s">
        <v>2192</v>
      </c>
      <c r="D164" s="40">
        <v>45981</v>
      </c>
      <c r="E164" s="29">
        <v>1</v>
      </c>
      <c r="F164" s="29">
        <v>0</v>
      </c>
      <c r="G164" s="33" t="s">
        <v>1489</v>
      </c>
      <c r="H164" s="40">
        <v>45466</v>
      </c>
      <c r="I164" s="60">
        <v>46053</v>
      </c>
      <c r="J164" s="47" t="s">
        <v>2230</v>
      </c>
    </row>
    <row r="165" spans="1:10">
      <c r="A165" s="29">
        <v>167</v>
      </c>
      <c r="B165" s="8" t="str">
        <f>VLOOKUP(A165,vaccines!A:B,2)</f>
        <v>Hexaxim</v>
      </c>
      <c r="C165" s="47" t="s">
        <v>2231</v>
      </c>
      <c r="D165" s="40">
        <v>45504</v>
      </c>
      <c r="G165" s="9" t="s">
        <v>1550</v>
      </c>
      <c r="H165" s="40">
        <v>45558</v>
      </c>
      <c r="J165" s="47" t="s">
        <v>2232</v>
      </c>
    </row>
    <row r="166" spans="1:10">
      <c r="A166" s="29">
        <v>168</v>
      </c>
      <c r="B166" s="8" t="str">
        <f>VLOOKUP(A166,vaccines!A:B,2)</f>
        <v>Gam_VLP_multivac</v>
      </c>
      <c r="C166" s="47" t="s">
        <v>2233</v>
      </c>
      <c r="D166" s="40">
        <v>45632</v>
      </c>
      <c r="E166" s="29">
        <v>1</v>
      </c>
      <c r="F166" s="29">
        <v>0</v>
      </c>
      <c r="G166" s="25" t="s">
        <v>1553</v>
      </c>
      <c r="H166" s="40">
        <v>45678</v>
      </c>
      <c r="J166" s="47" t="s">
        <v>2234</v>
      </c>
    </row>
    <row r="167" spans="1:10">
      <c r="A167" s="29">
        <v>169</v>
      </c>
      <c r="B167" s="8" t="str">
        <f>VLOOKUP(A167,vaccines!A:B,2)</f>
        <v>Gam_VLP_multivac_nasal</v>
      </c>
      <c r="C167" s="47" t="s">
        <v>2235</v>
      </c>
      <c r="D167" s="40">
        <v>45737</v>
      </c>
      <c r="E167" s="29">
        <v>1</v>
      </c>
      <c r="F167" s="29">
        <v>0</v>
      </c>
      <c r="G167" s="33" t="s">
        <v>1555</v>
      </c>
      <c r="H167" s="40">
        <v>45742</v>
      </c>
      <c r="J167" s="47" t="s">
        <v>2236</v>
      </c>
    </row>
    <row r="168" spans="1:10">
      <c r="A168" s="29">
        <v>170</v>
      </c>
      <c r="B168" s="8" t="str">
        <f>VLOOKUP(A168,vaccines!A:B,2)</f>
        <v>Cegardex</v>
      </c>
      <c r="C168" s="47" t="s">
        <v>2237</v>
      </c>
      <c r="D168" s="40">
        <v>45721</v>
      </c>
      <c r="E168" s="29">
        <v>1</v>
      </c>
      <c r="F168" s="29">
        <v>0</v>
      </c>
      <c r="G168" s="33" t="s">
        <v>1557</v>
      </c>
      <c r="H168" s="40">
        <v>45742</v>
      </c>
      <c r="J168" s="47" t="s">
        <v>2238</v>
      </c>
    </row>
    <row r="169" spans="1:10">
      <c r="A169" s="29">
        <v>171</v>
      </c>
      <c r="B169" s="8" t="str">
        <f>VLOOKUP(A169,vaccines!A:B,2)</f>
        <v>Menvaid</v>
      </c>
      <c r="C169" s="47" t="s">
        <v>2239</v>
      </c>
      <c r="D169" s="40">
        <v>45740</v>
      </c>
      <c r="E169" s="29">
        <v>1</v>
      </c>
      <c r="F169" s="29">
        <v>0</v>
      </c>
      <c r="G169" s="33" t="s">
        <v>1560</v>
      </c>
      <c r="H169" s="40">
        <v>45755</v>
      </c>
      <c r="J169" s="47" t="s">
        <v>2240</v>
      </c>
    </row>
    <row r="170" spans="1:10">
      <c r="A170" s="29">
        <v>172</v>
      </c>
      <c r="B170" s="8" t="str">
        <f>VLOOKUP(A170,vaccines!A:B,2)</f>
        <v>ChiroRab</v>
      </c>
      <c r="C170" s="28" t="s">
        <v>2241</v>
      </c>
      <c r="D170" s="53">
        <v>42996</v>
      </c>
      <c r="E170" s="7">
        <v>1</v>
      </c>
      <c r="F170" s="7">
        <v>0</v>
      </c>
      <c r="G170" s="19" t="s">
        <v>1321</v>
      </c>
      <c r="H170" s="52">
        <v>45818</v>
      </c>
      <c r="I170" s="53"/>
      <c r="J170" s="28" t="s">
        <v>2242</v>
      </c>
    </row>
    <row r="171" spans="1:10">
      <c r="A171" s="29">
        <v>173</v>
      </c>
      <c r="B171" s="8" t="str">
        <f>VLOOKUP(A171,vaccines!A:B,2)</f>
        <v>Prevenar_20</v>
      </c>
      <c r="C171" s="47" t="s">
        <v>2243</v>
      </c>
      <c r="D171" s="40">
        <v>45835</v>
      </c>
      <c r="E171" s="29">
        <v>1</v>
      </c>
      <c r="F171" s="29">
        <v>0</v>
      </c>
      <c r="G171" s="33" t="s">
        <v>1564</v>
      </c>
      <c r="H171" s="40">
        <v>45861</v>
      </c>
      <c r="J171" s="47" t="s">
        <v>2244</v>
      </c>
    </row>
    <row r="172" spans="1:10">
      <c r="A172" s="29">
        <v>174</v>
      </c>
      <c r="B172" s="8" t="str">
        <f>VLOOKUP(A172,vaccines!A:B,2)</f>
        <v>aAKDS_M</v>
      </c>
      <c r="C172" s="47" t="s">
        <v>2245</v>
      </c>
      <c r="D172" s="40">
        <v>46104</v>
      </c>
      <c r="E172" s="29">
        <v>1</v>
      </c>
      <c r="F172" s="29">
        <v>0</v>
      </c>
      <c r="G172" s="33" t="s">
        <v>1567</v>
      </c>
      <c r="H172" s="40">
        <v>46131</v>
      </c>
      <c r="J172" s="47" t="s">
        <v>2246</v>
      </c>
    </row>
    <row r="173" spans="1:10">
      <c r="A173" s="29">
        <v>175</v>
      </c>
      <c r="B173" s="8" t="str">
        <f>VLOOKUP(A173,vaccines!A:B,2)</f>
        <v>Nimenrix</v>
      </c>
      <c r="C173" s="47" t="s">
        <v>2247</v>
      </c>
      <c r="D173" s="40">
        <v>46111</v>
      </c>
      <c r="E173" s="29">
        <v>1</v>
      </c>
      <c r="F173" s="29">
        <v>0</v>
      </c>
      <c r="G173" s="33" t="s">
        <v>1570</v>
      </c>
      <c r="H173" s="40">
        <v>46131</v>
      </c>
      <c r="J173" s="47" t="s">
        <v>2248</v>
      </c>
    </row>
    <row r="174" spans="1:10">
      <c r="C174" s="6"/>
      <c r="J174" s="6"/>
    </row>
    <row r="175" spans="1:10">
      <c r="C175" s="6"/>
      <c r="J175" s="6"/>
    </row>
    <row r="176" spans="1:10">
      <c r="C176" s="6"/>
      <c r="J176" s="6"/>
    </row>
    <row r="177" spans="3:10">
      <c r="C177" s="6"/>
      <c r="J177" s="6"/>
    </row>
    <row r="178" spans="3:10">
      <c r="C178" s="6"/>
      <c r="J178" s="6"/>
    </row>
    <row r="179" spans="3:10">
      <c r="C179" s="6"/>
      <c r="J179" s="6"/>
    </row>
    <row r="180" spans="3:10">
      <c r="C180" s="6"/>
      <c r="J180" s="6"/>
    </row>
    <row r="181" spans="3:10">
      <c r="C181" s="6"/>
      <c r="J181" s="6"/>
    </row>
    <row r="182" spans="3:10">
      <c r="C182" s="6"/>
      <c r="J182" s="6"/>
    </row>
    <row r="183" spans="3:10">
      <c r="C183" s="6"/>
      <c r="J183" s="6"/>
    </row>
    <row r="184" spans="3:10">
      <c r="C184" s="6"/>
      <c r="J184" s="6"/>
    </row>
    <row r="185" spans="3:10">
      <c r="C185" s="6"/>
      <c r="J185" s="6"/>
    </row>
    <row r="186" spans="3:10">
      <c r="C186" s="6"/>
      <c r="J186" s="6"/>
    </row>
    <row r="187" spans="3:10">
      <c r="C187" s="6"/>
      <c r="J187" s="6"/>
    </row>
    <row r="188" spans="3:10">
      <c r="C188" s="6"/>
      <c r="J188" s="6"/>
    </row>
    <row r="189" spans="3:10">
      <c r="C189" s="6"/>
      <c r="J189" s="6"/>
    </row>
    <row r="190" spans="3:10">
      <c r="C190" s="6"/>
      <c r="J190" s="6"/>
    </row>
    <row r="191" spans="3:10">
      <c r="C191" s="6"/>
      <c r="J191" s="6"/>
    </row>
    <row r="192" spans="3:10">
      <c r="C192" s="6"/>
      <c r="J192" s="6"/>
    </row>
    <row r="193" spans="3:10">
      <c r="C193" s="6"/>
      <c r="J193" s="6"/>
    </row>
    <row r="194" spans="3:10">
      <c r="C194" s="6"/>
      <c r="J194" s="6"/>
    </row>
    <row r="195" spans="3:10">
      <c r="C195" s="6"/>
      <c r="J195" s="6"/>
    </row>
    <row r="196" spans="3:10">
      <c r="C196" s="6"/>
      <c r="J196" s="6"/>
    </row>
    <row r="197" spans="3:10">
      <c r="C197" s="6"/>
      <c r="J197" s="6"/>
    </row>
    <row r="198" spans="3:10">
      <c r="C198" s="6"/>
      <c r="J198" s="6"/>
    </row>
    <row r="199" spans="3:10">
      <c r="C199" s="6"/>
      <c r="J199" s="6"/>
    </row>
    <row r="200" spans="3:10">
      <c r="C200" s="6"/>
      <c r="J200" s="6"/>
    </row>
    <row r="201" spans="3:10">
      <c r="C201" s="6"/>
      <c r="J201" s="6"/>
    </row>
    <row r="202" spans="3:10">
      <c r="C202" s="6"/>
      <c r="J202" s="6"/>
    </row>
    <row r="203" spans="3:10">
      <c r="C203" s="6"/>
      <c r="J203" s="6"/>
    </row>
    <row r="204" spans="3:10">
      <c r="C204" s="6"/>
      <c r="J204" s="6"/>
    </row>
    <row r="205" spans="3:10">
      <c r="C205" s="6"/>
      <c r="J205" s="6"/>
    </row>
    <row r="206" spans="3:10">
      <c r="C206" s="6"/>
      <c r="J206" s="6"/>
    </row>
    <row r="207" spans="3:10">
      <c r="C207" s="6"/>
      <c r="J207" s="6"/>
    </row>
    <row r="208" spans="3:10">
      <c r="C208" s="6"/>
      <c r="J208" s="6"/>
    </row>
    <row r="209" spans="3:10">
      <c r="C209" s="6"/>
      <c r="J209" s="6"/>
    </row>
    <row r="210" spans="3:10">
      <c r="C210" s="6"/>
      <c r="J210" s="6"/>
    </row>
    <row r="211" spans="3:10">
      <c r="C211" s="6"/>
      <c r="J211" s="6"/>
    </row>
    <row r="212" spans="3:10">
      <c r="C212" s="6"/>
      <c r="J212" s="6"/>
    </row>
    <row r="213" spans="3:10">
      <c r="C213" s="6"/>
      <c r="J213" s="6"/>
    </row>
    <row r="214" spans="3:10">
      <c r="C214" s="6"/>
      <c r="J214" s="6"/>
    </row>
    <row r="215" spans="3:10">
      <c r="C215" s="6"/>
      <c r="J215" s="6"/>
    </row>
    <row r="216" spans="3:10">
      <c r="C216" s="6"/>
      <c r="J216" s="6"/>
    </row>
    <row r="217" spans="3:10">
      <c r="C217" s="6"/>
      <c r="J217" s="6"/>
    </row>
    <row r="218" spans="3:10">
      <c r="C218" s="6"/>
      <c r="J218" s="6"/>
    </row>
    <row r="219" spans="3:10">
      <c r="C219" s="6"/>
      <c r="J219" s="6"/>
    </row>
    <row r="220" spans="3:10">
      <c r="C220" s="6"/>
      <c r="J220" s="6"/>
    </row>
    <row r="221" spans="3:10">
      <c r="C221" s="6"/>
      <c r="J221" s="6"/>
    </row>
    <row r="222" spans="3:10">
      <c r="C222" s="6"/>
      <c r="J222" s="6"/>
    </row>
    <row r="223" spans="3:10">
      <c r="C223" s="6"/>
      <c r="J223" s="6"/>
    </row>
    <row r="224" spans="3:10">
      <c r="C224" s="6"/>
      <c r="J224" s="6"/>
    </row>
    <row r="225" spans="3:10">
      <c r="C225" s="6"/>
      <c r="J225" s="6"/>
    </row>
    <row r="226" spans="3:10">
      <c r="C226" s="6"/>
      <c r="J226" s="6"/>
    </row>
    <row r="227" spans="3:10">
      <c r="C227" s="6"/>
      <c r="J227" s="6"/>
    </row>
    <row r="228" spans="3:10">
      <c r="C228" s="6"/>
      <c r="J228" s="6"/>
    </row>
    <row r="229" spans="3:10">
      <c r="C229" s="6"/>
      <c r="J229" s="6"/>
    </row>
    <row r="230" spans="3:10">
      <c r="C230" s="6"/>
      <c r="J230" s="6"/>
    </row>
    <row r="231" spans="3:10">
      <c r="C231" s="6"/>
      <c r="J231" s="6"/>
    </row>
    <row r="232" spans="3:10">
      <c r="C232" s="6"/>
      <c r="J232" s="6"/>
    </row>
    <row r="233" spans="3:10">
      <c r="C233" s="6"/>
      <c r="J233" s="6"/>
    </row>
    <row r="234" spans="3:10">
      <c r="C234" s="6"/>
      <c r="J234" s="6"/>
    </row>
    <row r="235" spans="3:10">
      <c r="C235" s="6"/>
      <c r="J235" s="6"/>
    </row>
    <row r="236" spans="3:10">
      <c r="C236" s="6"/>
      <c r="J236" s="6"/>
    </row>
    <row r="237" spans="3:10">
      <c r="C237" s="6"/>
      <c r="J237" s="6"/>
    </row>
    <row r="238" spans="3:10">
      <c r="C238" s="6"/>
      <c r="J238" s="6"/>
    </row>
    <row r="239" spans="3:10">
      <c r="C239" s="6"/>
      <c r="J239" s="6"/>
    </row>
    <row r="240" spans="3:10">
      <c r="C240" s="6"/>
      <c r="J240" s="6"/>
    </row>
    <row r="241" spans="3:10">
      <c r="C241" s="6"/>
      <c r="J241" s="6"/>
    </row>
    <row r="242" spans="3:10">
      <c r="C242" s="6"/>
      <c r="J242" s="6"/>
    </row>
    <row r="243" spans="3:10">
      <c r="C243" s="6"/>
      <c r="J243" s="6"/>
    </row>
    <row r="244" spans="3:10">
      <c r="C244" s="6"/>
      <c r="J244" s="6"/>
    </row>
    <row r="245" spans="3:10">
      <c r="C245" s="6"/>
      <c r="J245" s="6"/>
    </row>
    <row r="246" spans="3:10">
      <c r="C246" s="6"/>
      <c r="J246" s="6"/>
    </row>
    <row r="247" spans="3:10">
      <c r="C247" s="6"/>
      <c r="J247" s="6"/>
    </row>
    <row r="248" spans="3:10">
      <c r="C248" s="6"/>
      <c r="J248" s="6"/>
    </row>
    <row r="249" spans="3:10">
      <c r="C249" s="6"/>
      <c r="J249" s="6"/>
    </row>
    <row r="250" spans="3:10">
      <c r="C250" s="6"/>
      <c r="J250" s="6"/>
    </row>
    <row r="251" spans="3:10">
      <c r="C251" s="6"/>
      <c r="J251" s="6"/>
    </row>
    <row r="252" spans="3:10">
      <c r="C252" s="6"/>
      <c r="J252" s="6"/>
    </row>
    <row r="253" spans="3:10">
      <c r="C253" s="6"/>
      <c r="J253" s="6"/>
    </row>
    <row r="254" spans="3:10">
      <c r="C254" s="6"/>
      <c r="J254" s="6"/>
    </row>
    <row r="255" spans="3:10">
      <c r="C255" s="6"/>
      <c r="J255" s="6"/>
    </row>
    <row r="256" spans="3:10">
      <c r="C256" s="6"/>
      <c r="J256" s="6"/>
    </row>
    <row r="257" spans="3:10">
      <c r="C257" s="6"/>
      <c r="J257" s="6"/>
    </row>
    <row r="258" spans="3:10">
      <c r="C258" s="6"/>
      <c r="J258" s="6"/>
    </row>
    <row r="259" spans="3:10">
      <c r="C259" s="6"/>
      <c r="J259" s="6"/>
    </row>
    <row r="260" spans="3:10">
      <c r="C260" s="6"/>
      <c r="J260" s="6"/>
    </row>
    <row r="261" spans="3:10">
      <c r="C261" s="6"/>
      <c r="J261" s="6"/>
    </row>
    <row r="262" spans="3:10">
      <c r="C262" s="6"/>
      <c r="J262" s="6"/>
    </row>
    <row r="263" spans="3:10">
      <c r="C263" s="6"/>
      <c r="J263" s="6"/>
    </row>
    <row r="264" spans="3:10">
      <c r="C264" s="6"/>
      <c r="J264" s="6"/>
    </row>
    <row r="265" spans="3:10">
      <c r="C265" s="6"/>
      <c r="J265" s="6"/>
    </row>
    <row r="266" spans="3:10">
      <c r="C266" s="6"/>
      <c r="J266" s="6"/>
    </row>
    <row r="267" spans="3:10">
      <c r="C267" s="6"/>
      <c r="J267" s="6"/>
    </row>
    <row r="268" spans="3:10">
      <c r="C268" s="6"/>
      <c r="J268" s="6"/>
    </row>
    <row r="269" spans="3:10">
      <c r="C269" s="6"/>
      <c r="J269" s="6"/>
    </row>
    <row r="270" spans="3:10">
      <c r="C270" s="6"/>
      <c r="J270" s="6"/>
    </row>
    <row r="271" spans="3:10">
      <c r="C271" s="6"/>
      <c r="J271" s="6"/>
    </row>
    <row r="272" spans="3:10">
      <c r="C272" s="6"/>
      <c r="J272" s="6"/>
    </row>
    <row r="273" spans="3:10">
      <c r="C273" s="6"/>
      <c r="J273" s="6"/>
    </row>
    <row r="274" spans="3:10">
      <c r="C274" s="6"/>
      <c r="J274" s="6"/>
    </row>
    <row r="275" spans="3:10">
      <c r="C275" s="6"/>
      <c r="J275" s="6"/>
    </row>
    <row r="276" spans="3:10">
      <c r="C276" s="6"/>
      <c r="J276" s="6"/>
    </row>
    <row r="277" spans="3:10">
      <c r="C277" s="6"/>
      <c r="J277" s="6"/>
    </row>
    <row r="278" spans="3:10">
      <c r="C278" s="6"/>
      <c r="J278" s="6"/>
    </row>
    <row r="279" spans="3:10">
      <c r="C279" s="6"/>
      <c r="J279" s="6"/>
    </row>
    <row r="280" spans="3:10">
      <c r="C280" s="6"/>
      <c r="J280" s="6"/>
    </row>
    <row r="281" spans="3:10">
      <c r="C281" s="6"/>
      <c r="J281" s="6"/>
    </row>
    <row r="282" spans="3:10">
      <c r="C282" s="6"/>
      <c r="J282" s="6"/>
    </row>
    <row r="283" spans="3:10">
      <c r="C283" s="6"/>
      <c r="J283" s="6"/>
    </row>
    <row r="284" spans="3:10">
      <c r="C284" s="6"/>
      <c r="J284" s="6"/>
    </row>
    <row r="285" spans="3:10">
      <c r="C285" s="6"/>
      <c r="J285" s="6"/>
    </row>
    <row r="286" spans="3:10">
      <c r="C286" s="6"/>
      <c r="J286" s="6"/>
    </row>
    <row r="287" spans="3:10">
      <c r="C287" s="6"/>
      <c r="J287" s="6"/>
    </row>
    <row r="288" spans="3:10">
      <c r="C288" s="6"/>
      <c r="J288" s="6"/>
    </row>
    <row r="289" spans="3:10">
      <c r="C289" s="6"/>
      <c r="J289" s="6"/>
    </row>
    <row r="290" spans="3:10">
      <c r="C290" s="6"/>
      <c r="J290" s="6"/>
    </row>
    <row r="291" spans="3:10">
      <c r="C291" s="6"/>
      <c r="J291" s="6"/>
    </row>
    <row r="292" spans="3:10">
      <c r="C292" s="6"/>
      <c r="J292" s="6"/>
    </row>
    <row r="293" spans="3:10">
      <c r="C293" s="6"/>
      <c r="J293" s="6"/>
    </row>
    <row r="294" spans="3:10">
      <c r="C294" s="6"/>
      <c r="J294" s="6"/>
    </row>
    <row r="295" spans="3:10">
      <c r="C295" s="6"/>
      <c r="J295" s="6"/>
    </row>
    <row r="296" spans="3:10">
      <c r="C296" s="6"/>
      <c r="J296" s="6"/>
    </row>
    <row r="297" spans="3:10">
      <c r="C297" s="6"/>
      <c r="J297" s="6"/>
    </row>
    <row r="298" spans="3:10">
      <c r="C298" s="6"/>
      <c r="J298" s="6"/>
    </row>
    <row r="299" spans="3:10">
      <c r="C299" s="6"/>
      <c r="J299" s="6"/>
    </row>
    <row r="300" spans="3:10">
      <c r="C300" s="6"/>
      <c r="J300" s="6"/>
    </row>
    <row r="301" spans="3:10">
      <c r="C301" s="6"/>
      <c r="J301" s="6"/>
    </row>
    <row r="302" spans="3:10">
      <c r="C302" s="6"/>
      <c r="J302" s="6"/>
    </row>
    <row r="303" spans="3:10">
      <c r="C303" s="6"/>
      <c r="J303" s="6"/>
    </row>
    <row r="304" spans="3:10">
      <c r="C304" s="6"/>
      <c r="J304" s="6"/>
    </row>
    <row r="305" spans="3:10">
      <c r="C305" s="6"/>
      <c r="J305" s="6"/>
    </row>
    <row r="306" spans="3:10">
      <c r="C306" s="6"/>
      <c r="J306" s="6"/>
    </row>
    <row r="307" spans="3:10">
      <c r="C307" s="6"/>
      <c r="J307" s="6"/>
    </row>
    <row r="308" spans="3:10">
      <c r="C308" s="6"/>
      <c r="J308" s="6"/>
    </row>
    <row r="309" spans="3:10">
      <c r="C309" s="6"/>
      <c r="J309" s="6"/>
    </row>
    <row r="310" spans="3:10">
      <c r="C310" s="6"/>
      <c r="J310" s="6"/>
    </row>
    <row r="311" spans="3:10">
      <c r="C311" s="6"/>
      <c r="J311" s="6"/>
    </row>
    <row r="312" spans="3:10">
      <c r="C312" s="6"/>
      <c r="J312" s="6"/>
    </row>
    <row r="313" spans="3:10">
      <c r="C313" s="6"/>
      <c r="J313" s="6"/>
    </row>
    <row r="314" spans="3:10">
      <c r="C314" s="6"/>
      <c r="J314" s="6"/>
    </row>
    <row r="315" spans="3:10">
      <c r="C315" s="6"/>
      <c r="J315" s="6"/>
    </row>
    <row r="316" spans="3:10">
      <c r="C316" s="6"/>
      <c r="J316" s="6"/>
    </row>
    <row r="317" spans="3:10">
      <c r="C317" s="6"/>
      <c r="J317" s="6"/>
    </row>
    <row r="318" spans="3:10">
      <c r="C318" s="6"/>
      <c r="J318" s="6"/>
    </row>
    <row r="319" spans="3:10">
      <c r="C319" s="6"/>
      <c r="J319" s="6"/>
    </row>
    <row r="320" spans="3:10">
      <c r="C320" s="6"/>
      <c r="J320" s="6"/>
    </row>
    <row r="321" spans="3:10">
      <c r="C321" s="6"/>
      <c r="J321" s="6"/>
    </row>
    <row r="322" spans="3:10">
      <c r="C322" s="6"/>
      <c r="J322" s="6"/>
    </row>
    <row r="323" spans="3:10">
      <c r="C323" s="6"/>
      <c r="J323" s="6"/>
    </row>
    <row r="324" spans="3:10">
      <c r="C324" s="6"/>
      <c r="J324" s="6"/>
    </row>
    <row r="325" spans="3:10">
      <c r="C325" s="6"/>
      <c r="J325" s="6"/>
    </row>
    <row r="326" spans="3:10">
      <c r="C326" s="6"/>
      <c r="J326" s="6"/>
    </row>
    <row r="327" spans="3:10">
      <c r="C327" s="6"/>
      <c r="J327" s="6"/>
    </row>
    <row r="328" spans="3:10">
      <c r="C328" s="6"/>
      <c r="J328" s="6"/>
    </row>
    <row r="329" spans="3:10">
      <c r="C329" s="6"/>
      <c r="J329" s="6"/>
    </row>
    <row r="330" spans="3:10">
      <c r="C330" s="6"/>
      <c r="J330" s="6"/>
    </row>
    <row r="331" spans="3:10">
      <c r="C331" s="6"/>
      <c r="J331" s="6"/>
    </row>
    <row r="332" spans="3:10">
      <c r="C332" s="6"/>
      <c r="J332" s="6"/>
    </row>
    <row r="333" spans="3:10">
      <c r="C333" s="6"/>
      <c r="J333" s="6"/>
    </row>
    <row r="334" spans="3:10">
      <c r="C334" s="6"/>
      <c r="J334" s="6"/>
    </row>
    <row r="335" spans="3:10">
      <c r="C335" s="6"/>
      <c r="J335" s="6"/>
    </row>
    <row r="336" spans="3:10">
      <c r="C336" s="6"/>
      <c r="J336" s="6"/>
    </row>
    <row r="337" spans="3:10">
      <c r="C337" s="6"/>
      <c r="J337" s="6"/>
    </row>
    <row r="338" spans="3:10">
      <c r="C338" s="6"/>
      <c r="J338" s="6"/>
    </row>
    <row r="339" spans="3:10">
      <c r="C339" s="6"/>
      <c r="J339" s="6"/>
    </row>
    <row r="340" spans="3:10">
      <c r="C340" s="6"/>
      <c r="J340" s="6"/>
    </row>
    <row r="341" spans="3:10">
      <c r="C341" s="6"/>
      <c r="J341" s="6"/>
    </row>
    <row r="342" spans="3:10">
      <c r="C342" s="6"/>
      <c r="J342" s="6"/>
    </row>
    <row r="343" spans="3:10">
      <c r="C343" s="6"/>
      <c r="J343" s="6"/>
    </row>
    <row r="344" spans="3:10">
      <c r="C344" s="6"/>
      <c r="J344" s="6"/>
    </row>
    <row r="345" spans="3:10">
      <c r="C345" s="6"/>
      <c r="J345" s="6"/>
    </row>
    <row r="346" spans="3:10">
      <c r="C346" s="6"/>
      <c r="J346" s="6"/>
    </row>
    <row r="347" spans="3:10">
      <c r="C347" s="6"/>
      <c r="J347" s="6"/>
    </row>
    <row r="348" spans="3:10">
      <c r="C348" s="6"/>
      <c r="J348" s="6"/>
    </row>
    <row r="349" spans="3:10">
      <c r="C349" s="6"/>
      <c r="J349" s="6"/>
    </row>
    <row r="350" spans="3:10">
      <c r="C350" s="6"/>
      <c r="J350" s="6"/>
    </row>
    <row r="351" spans="3:10">
      <c r="C351" s="6"/>
      <c r="J351" s="6"/>
    </row>
    <row r="352" spans="3:10">
      <c r="C352" s="6"/>
      <c r="J352" s="6"/>
    </row>
    <row r="353" spans="3:10">
      <c r="C353" s="6"/>
      <c r="J353" s="6"/>
    </row>
    <row r="354" spans="3:10">
      <c r="C354" s="6"/>
      <c r="J354" s="6"/>
    </row>
    <row r="355" spans="3:10">
      <c r="C355" s="6"/>
      <c r="J355" s="6"/>
    </row>
    <row r="356" spans="3:10">
      <c r="C356" s="6"/>
      <c r="J356" s="6"/>
    </row>
    <row r="357" spans="3:10">
      <c r="C357" s="6"/>
      <c r="J357" s="6"/>
    </row>
    <row r="358" spans="3:10">
      <c r="C358" s="6"/>
      <c r="J358" s="6"/>
    </row>
    <row r="359" spans="3:10">
      <c r="C359" s="6"/>
      <c r="J359" s="6"/>
    </row>
    <row r="360" spans="3:10">
      <c r="C360" s="6"/>
      <c r="J360" s="6"/>
    </row>
    <row r="361" spans="3:10">
      <c r="C361" s="6"/>
      <c r="J361" s="6"/>
    </row>
    <row r="362" spans="3:10">
      <c r="C362" s="6"/>
      <c r="J362" s="6"/>
    </row>
    <row r="363" spans="3:10">
      <c r="C363" s="6"/>
      <c r="J363" s="6"/>
    </row>
    <row r="364" spans="3:10">
      <c r="C364" s="6"/>
      <c r="J364" s="6"/>
    </row>
    <row r="365" spans="3:10">
      <c r="C365" s="6"/>
      <c r="J365" s="6"/>
    </row>
    <row r="366" spans="3:10">
      <c r="C366" s="6"/>
      <c r="J366" s="6"/>
    </row>
    <row r="367" spans="3:10">
      <c r="C367" s="6"/>
      <c r="J367" s="6"/>
    </row>
    <row r="368" spans="3:10">
      <c r="C368" s="6"/>
      <c r="J368" s="6"/>
    </row>
    <row r="369" spans="3:10">
      <c r="C369" s="6"/>
      <c r="J369" s="6"/>
    </row>
    <row r="370" spans="3:10">
      <c r="C370" s="6"/>
      <c r="J370" s="6"/>
    </row>
    <row r="371" spans="3:10">
      <c r="C371" s="6"/>
      <c r="J371" s="6"/>
    </row>
    <row r="372" spans="3:10">
      <c r="C372" s="6"/>
      <c r="J372" s="6"/>
    </row>
    <row r="373" spans="3:10">
      <c r="C373" s="6"/>
      <c r="J373" s="6"/>
    </row>
    <row r="374" spans="3:10">
      <c r="C374" s="6"/>
      <c r="J374" s="6"/>
    </row>
    <row r="375" spans="3:10">
      <c r="C375" s="6"/>
      <c r="J375" s="6"/>
    </row>
    <row r="376" spans="3:10">
      <c r="C376" s="6"/>
      <c r="J376" s="6"/>
    </row>
    <row r="377" spans="3:10">
      <c r="C377" s="6"/>
      <c r="J377" s="6"/>
    </row>
    <row r="378" spans="3:10">
      <c r="C378" s="6"/>
      <c r="J378" s="6"/>
    </row>
    <row r="379" spans="3:10">
      <c r="C379" s="6"/>
      <c r="J379" s="6"/>
    </row>
    <row r="380" spans="3:10">
      <c r="C380" s="6"/>
      <c r="J380" s="6"/>
    </row>
    <row r="381" spans="3:10">
      <c r="C381" s="6"/>
      <c r="J381" s="6"/>
    </row>
    <row r="382" spans="3:10">
      <c r="C382" s="6"/>
      <c r="J382" s="6"/>
    </row>
    <row r="383" spans="3:10">
      <c r="C383" s="6"/>
      <c r="J383" s="6"/>
    </row>
    <row r="384" spans="3:10">
      <c r="C384" s="6"/>
      <c r="J384" s="6"/>
    </row>
    <row r="385" spans="3:10">
      <c r="C385" s="6"/>
      <c r="J385" s="6"/>
    </row>
    <row r="386" spans="3:10">
      <c r="C386" s="6"/>
      <c r="J386" s="6"/>
    </row>
    <row r="387" spans="3:10">
      <c r="C387" s="6"/>
      <c r="J387" s="6"/>
    </row>
    <row r="388" spans="3:10">
      <c r="C388" s="6"/>
      <c r="J388" s="6"/>
    </row>
    <row r="389" spans="3:10">
      <c r="C389" s="6"/>
      <c r="J389" s="6"/>
    </row>
    <row r="390" spans="3:10">
      <c r="C390" s="6"/>
      <c r="J390" s="6"/>
    </row>
    <row r="391" spans="3:10">
      <c r="C391" s="6"/>
      <c r="J391" s="6"/>
    </row>
    <row r="392" spans="3:10">
      <c r="C392" s="6"/>
      <c r="J392" s="6"/>
    </row>
    <row r="393" spans="3:10">
      <c r="C393" s="6"/>
      <c r="J393" s="6"/>
    </row>
    <row r="394" spans="3:10">
      <c r="C394" s="6"/>
      <c r="J394" s="6"/>
    </row>
    <row r="395" spans="3:10">
      <c r="C395" s="6"/>
      <c r="J395" s="6"/>
    </row>
    <row r="396" spans="3:10">
      <c r="C396" s="6"/>
      <c r="J396" s="6"/>
    </row>
    <row r="397" spans="3:10">
      <c r="C397" s="6"/>
      <c r="J397" s="6"/>
    </row>
    <row r="398" spans="3:10">
      <c r="C398" s="6"/>
      <c r="J398" s="6"/>
    </row>
    <row r="399" spans="3:10">
      <c r="C399" s="6"/>
      <c r="J399" s="6"/>
    </row>
    <row r="400" spans="3:10">
      <c r="C400" s="6"/>
      <c r="J400" s="6"/>
    </row>
    <row r="401" spans="3:10">
      <c r="C401" s="6"/>
      <c r="J401" s="6"/>
    </row>
    <row r="402" spans="3:10">
      <c r="C402" s="6"/>
      <c r="J402" s="6"/>
    </row>
    <row r="403" spans="3:10">
      <c r="C403" s="6"/>
      <c r="J403" s="6"/>
    </row>
    <row r="404" spans="3:10">
      <c r="C404" s="6"/>
      <c r="J404" s="6"/>
    </row>
    <row r="405" spans="3:10">
      <c r="C405" s="6"/>
      <c r="J405" s="6"/>
    </row>
    <row r="406" spans="3:10">
      <c r="C406" s="6"/>
      <c r="J406" s="6"/>
    </row>
    <row r="407" spans="3:10">
      <c r="C407" s="6"/>
      <c r="J407" s="6"/>
    </row>
    <row r="408" spans="3:10">
      <c r="C408" s="6"/>
      <c r="J408" s="6"/>
    </row>
    <row r="409" spans="3:10">
      <c r="C409" s="6"/>
      <c r="J409" s="6"/>
    </row>
    <row r="410" spans="3:10">
      <c r="C410" s="6"/>
      <c r="J410" s="6"/>
    </row>
    <row r="411" spans="3:10">
      <c r="C411" s="6"/>
      <c r="J411" s="6"/>
    </row>
    <row r="412" spans="3:10">
      <c r="C412" s="6"/>
      <c r="J412" s="6"/>
    </row>
    <row r="413" spans="3:10">
      <c r="C413" s="6"/>
      <c r="J413" s="6"/>
    </row>
    <row r="414" spans="3:10">
      <c r="C414" s="6"/>
      <c r="J414" s="6"/>
    </row>
    <row r="415" spans="3:10">
      <c r="C415" s="6"/>
      <c r="J415" s="6"/>
    </row>
    <row r="416" spans="3:10">
      <c r="C416" s="6"/>
      <c r="J416" s="6"/>
    </row>
    <row r="417" spans="3:10">
      <c r="C417" s="6"/>
      <c r="J417" s="6"/>
    </row>
    <row r="418" spans="3:10">
      <c r="C418" s="6"/>
      <c r="J418" s="6"/>
    </row>
    <row r="419" spans="3:10">
      <c r="C419" s="6"/>
      <c r="J419" s="6"/>
    </row>
    <row r="420" spans="3:10">
      <c r="C420" s="6"/>
      <c r="J420" s="6"/>
    </row>
    <row r="421" spans="3:10">
      <c r="C421" s="6"/>
      <c r="J421" s="6"/>
    </row>
    <row r="422" spans="3:10">
      <c r="C422" s="6"/>
      <c r="J422" s="6"/>
    </row>
    <row r="423" spans="3:10">
      <c r="C423" s="6"/>
      <c r="J423" s="6"/>
    </row>
    <row r="424" spans="3:10">
      <c r="C424" s="6"/>
      <c r="J424" s="6"/>
    </row>
    <row r="425" spans="3:10">
      <c r="C425" s="6"/>
      <c r="J425" s="6"/>
    </row>
    <row r="426" spans="3:10">
      <c r="C426" s="6"/>
      <c r="J426" s="6"/>
    </row>
    <row r="427" spans="3:10">
      <c r="C427" s="6"/>
      <c r="J427" s="6"/>
    </row>
    <row r="428" spans="3:10">
      <c r="C428" s="6"/>
      <c r="J428" s="6"/>
    </row>
    <row r="429" spans="3:10">
      <c r="C429" s="6"/>
      <c r="J429" s="6"/>
    </row>
    <row r="430" spans="3:10">
      <c r="C430" s="6"/>
      <c r="J430" s="6"/>
    </row>
    <row r="431" spans="3:10">
      <c r="C431" s="6"/>
      <c r="J431" s="6"/>
    </row>
    <row r="432" spans="3:10">
      <c r="C432" s="6"/>
      <c r="J432" s="6"/>
    </row>
    <row r="433" spans="3:10">
      <c r="C433" s="6"/>
      <c r="J433" s="6"/>
    </row>
    <row r="434" spans="3:10">
      <c r="C434" s="6"/>
      <c r="J434" s="6"/>
    </row>
    <row r="435" spans="3:10">
      <c r="C435" s="6"/>
      <c r="J435" s="6"/>
    </row>
    <row r="436" spans="3:10">
      <c r="C436" s="6"/>
      <c r="J436" s="6"/>
    </row>
    <row r="437" spans="3:10">
      <c r="C437" s="6"/>
      <c r="J437" s="6"/>
    </row>
    <row r="438" spans="3:10">
      <c r="C438" s="6"/>
      <c r="J438" s="6"/>
    </row>
    <row r="439" spans="3:10">
      <c r="C439" s="6"/>
      <c r="J439" s="6"/>
    </row>
    <row r="440" spans="3:10">
      <c r="C440" s="6"/>
      <c r="J440" s="6"/>
    </row>
    <row r="441" spans="3:10">
      <c r="C441" s="6"/>
      <c r="J441" s="6"/>
    </row>
    <row r="442" spans="3:10">
      <c r="C442" s="6"/>
      <c r="J442" s="6"/>
    </row>
    <row r="443" spans="3:10">
      <c r="C443" s="6"/>
      <c r="J443" s="6"/>
    </row>
    <row r="444" spans="3:10">
      <c r="C444" s="6"/>
      <c r="J444" s="6"/>
    </row>
    <row r="445" spans="3:10">
      <c r="C445" s="6"/>
      <c r="J445" s="6"/>
    </row>
    <row r="446" spans="3:10">
      <c r="C446" s="6"/>
      <c r="J446" s="6"/>
    </row>
    <row r="447" spans="3:10">
      <c r="C447" s="6"/>
      <c r="J447" s="6"/>
    </row>
    <row r="448" spans="3:10">
      <c r="C448" s="6"/>
      <c r="J448" s="6"/>
    </row>
    <row r="449" spans="3:10">
      <c r="C449" s="6"/>
      <c r="J449" s="6"/>
    </row>
    <row r="450" spans="3:10">
      <c r="C450" s="6"/>
      <c r="J450" s="6"/>
    </row>
    <row r="451" spans="3:10">
      <c r="C451" s="6"/>
      <c r="J451" s="6"/>
    </row>
    <row r="452" spans="3:10">
      <c r="C452" s="6"/>
      <c r="J452" s="6"/>
    </row>
    <row r="453" spans="3:10">
      <c r="C453" s="6"/>
      <c r="J453" s="6"/>
    </row>
    <row r="454" spans="3:10">
      <c r="C454" s="6"/>
      <c r="J454" s="6"/>
    </row>
    <row r="455" spans="3:10">
      <c r="C455" s="6"/>
      <c r="J455" s="6"/>
    </row>
    <row r="456" spans="3:10">
      <c r="C456" s="6"/>
      <c r="J456" s="6"/>
    </row>
    <row r="457" spans="3:10">
      <c r="C457" s="6"/>
      <c r="J457" s="6"/>
    </row>
    <row r="458" spans="3:10">
      <c r="C458" s="6"/>
      <c r="J458" s="6"/>
    </row>
    <row r="459" spans="3:10">
      <c r="C459" s="6"/>
      <c r="J459" s="6"/>
    </row>
    <row r="460" spans="3:10">
      <c r="C460" s="6"/>
      <c r="J460" s="6"/>
    </row>
    <row r="461" spans="3:10">
      <c r="C461" s="6"/>
      <c r="J461" s="6"/>
    </row>
    <row r="462" spans="3:10">
      <c r="C462" s="6"/>
      <c r="J462" s="6"/>
    </row>
    <row r="463" spans="3:10">
      <c r="C463" s="6"/>
      <c r="J463" s="6"/>
    </row>
    <row r="464" spans="3:10">
      <c r="C464" s="6"/>
      <c r="J464" s="6"/>
    </row>
    <row r="465" spans="3:10">
      <c r="C465" s="6"/>
      <c r="J465" s="6"/>
    </row>
    <row r="466" spans="3:10">
      <c r="C466" s="6"/>
      <c r="J466" s="6"/>
    </row>
    <row r="467" spans="3:10">
      <c r="C467" s="6"/>
      <c r="J467" s="6"/>
    </row>
    <row r="468" spans="3:10">
      <c r="C468" s="6"/>
      <c r="J468" s="6"/>
    </row>
    <row r="469" spans="3:10">
      <c r="C469" s="6"/>
      <c r="J469" s="6"/>
    </row>
    <row r="470" spans="3:10">
      <c r="C470" s="6"/>
      <c r="J470" s="6"/>
    </row>
    <row r="471" spans="3:10">
      <c r="C471" s="6"/>
      <c r="J471" s="6"/>
    </row>
    <row r="472" spans="3:10">
      <c r="C472" s="6"/>
      <c r="J472" s="6"/>
    </row>
    <row r="473" spans="3:10">
      <c r="C473" s="6"/>
      <c r="J473" s="6"/>
    </row>
    <row r="474" spans="3:10">
      <c r="C474" s="6"/>
      <c r="J474" s="6"/>
    </row>
    <row r="475" spans="3:10">
      <c r="C475" s="6"/>
      <c r="J475" s="6"/>
    </row>
    <row r="476" spans="3:10">
      <c r="C476" s="6"/>
      <c r="J476" s="6"/>
    </row>
    <row r="477" spans="3:10">
      <c r="C477" s="6"/>
      <c r="J477" s="6"/>
    </row>
    <row r="478" spans="3:10">
      <c r="C478" s="6"/>
      <c r="J478" s="6"/>
    </row>
    <row r="479" spans="3:10">
      <c r="C479" s="6"/>
      <c r="J479" s="6"/>
    </row>
    <row r="480" spans="3:10">
      <c r="C480" s="6"/>
      <c r="J480" s="6"/>
    </row>
    <row r="481" spans="3:10">
      <c r="C481" s="6"/>
      <c r="J481" s="6"/>
    </row>
    <row r="482" spans="3:10">
      <c r="C482" s="6"/>
      <c r="J482" s="6"/>
    </row>
    <row r="483" spans="3:10">
      <c r="C483" s="6"/>
      <c r="J483" s="6"/>
    </row>
    <row r="484" spans="3:10">
      <c r="C484" s="6"/>
      <c r="J484" s="6"/>
    </row>
    <row r="485" spans="3:10">
      <c r="C485" s="6"/>
      <c r="J485" s="6"/>
    </row>
    <row r="486" spans="3:10">
      <c r="C486" s="6"/>
      <c r="J486" s="6"/>
    </row>
    <row r="487" spans="3:10">
      <c r="C487" s="6"/>
      <c r="J487" s="6"/>
    </row>
    <row r="488" spans="3:10">
      <c r="C488" s="6"/>
      <c r="J488" s="6"/>
    </row>
    <row r="489" spans="3:10">
      <c r="C489" s="6"/>
      <c r="J489" s="6"/>
    </row>
    <row r="490" spans="3:10">
      <c r="C490" s="6"/>
      <c r="J490" s="6"/>
    </row>
    <row r="491" spans="3:10">
      <c r="C491" s="6"/>
      <c r="J491" s="6"/>
    </row>
    <row r="492" spans="3:10">
      <c r="C492" s="6"/>
      <c r="J492" s="6"/>
    </row>
    <row r="493" spans="3:10">
      <c r="C493" s="6"/>
      <c r="J493" s="6"/>
    </row>
    <row r="494" spans="3:10">
      <c r="C494" s="6"/>
      <c r="J494" s="6"/>
    </row>
    <row r="495" spans="3:10">
      <c r="C495" s="6"/>
      <c r="J495" s="6"/>
    </row>
    <row r="496" spans="3:10">
      <c r="C496" s="6"/>
      <c r="J496" s="6"/>
    </row>
    <row r="497" spans="3:10">
      <c r="C497" s="6"/>
      <c r="J497" s="6"/>
    </row>
    <row r="498" spans="3:10">
      <c r="C498" s="6"/>
      <c r="J498" s="6"/>
    </row>
    <row r="499" spans="3:10">
      <c r="C499" s="6"/>
      <c r="J499" s="6"/>
    </row>
    <row r="500" spans="3:10">
      <c r="C500" s="6"/>
      <c r="J500" s="6"/>
    </row>
    <row r="501" spans="3:10">
      <c r="C501" s="6"/>
      <c r="J501" s="6"/>
    </row>
    <row r="502" spans="3:10">
      <c r="C502" s="6"/>
      <c r="J502" s="6"/>
    </row>
    <row r="503" spans="3:10">
      <c r="C503" s="6"/>
      <c r="J503" s="6"/>
    </row>
    <row r="504" spans="3:10">
      <c r="C504" s="6"/>
      <c r="J504" s="6"/>
    </row>
    <row r="505" spans="3:10">
      <c r="C505" s="6"/>
      <c r="J505" s="6"/>
    </row>
    <row r="506" spans="3:10">
      <c r="C506" s="6"/>
      <c r="J506" s="6"/>
    </row>
    <row r="507" spans="3:10">
      <c r="C507" s="6"/>
      <c r="J507" s="6"/>
    </row>
    <row r="508" spans="3:10">
      <c r="C508" s="6"/>
      <c r="J508" s="6"/>
    </row>
    <row r="509" spans="3:10">
      <c r="C509" s="6"/>
      <c r="J509" s="6"/>
    </row>
    <row r="510" spans="3:10">
      <c r="C510" s="6"/>
      <c r="J510" s="6"/>
    </row>
    <row r="511" spans="3:10">
      <c r="C511" s="6"/>
      <c r="J511" s="6"/>
    </row>
    <row r="512" spans="3:10">
      <c r="C512" s="6"/>
      <c r="J512" s="6"/>
    </row>
    <row r="513" spans="3:10">
      <c r="C513" s="6"/>
      <c r="J513" s="6"/>
    </row>
    <row r="514" spans="3:10">
      <c r="C514" s="6"/>
      <c r="J514" s="6"/>
    </row>
    <row r="515" spans="3:10">
      <c r="C515" s="6"/>
      <c r="J515" s="6"/>
    </row>
    <row r="516" spans="3:10">
      <c r="C516" s="6"/>
      <c r="J516" s="6"/>
    </row>
    <row r="517" spans="3:10">
      <c r="C517" s="6"/>
      <c r="J517" s="6"/>
    </row>
    <row r="518" spans="3:10">
      <c r="C518" s="6"/>
      <c r="J518" s="6"/>
    </row>
    <row r="519" spans="3:10">
      <c r="C519" s="6"/>
      <c r="J519" s="6"/>
    </row>
    <row r="520" spans="3:10">
      <c r="C520" s="6"/>
      <c r="J520" s="6"/>
    </row>
    <row r="521" spans="3:10">
      <c r="C521" s="6"/>
      <c r="J521" s="6"/>
    </row>
    <row r="522" spans="3:10">
      <c r="C522" s="6"/>
      <c r="J522" s="6"/>
    </row>
    <row r="523" spans="3:10">
      <c r="C523" s="6"/>
      <c r="J523" s="6"/>
    </row>
    <row r="524" spans="3:10">
      <c r="C524" s="6"/>
      <c r="J524" s="6"/>
    </row>
    <row r="525" spans="3:10">
      <c r="C525" s="6"/>
      <c r="J525" s="6"/>
    </row>
    <row r="526" spans="3:10">
      <c r="C526" s="6"/>
      <c r="J526" s="6"/>
    </row>
    <row r="527" spans="3:10">
      <c r="C527" s="6"/>
      <c r="J527" s="6"/>
    </row>
    <row r="528" spans="3:10">
      <c r="C528" s="6"/>
      <c r="J528" s="6"/>
    </row>
    <row r="529" spans="3:10">
      <c r="C529" s="6"/>
      <c r="J529" s="6"/>
    </row>
    <row r="530" spans="3:10">
      <c r="C530" s="6"/>
      <c r="J530" s="6"/>
    </row>
    <row r="531" spans="3:10">
      <c r="C531" s="6"/>
      <c r="J531" s="6"/>
    </row>
    <row r="532" spans="3:10">
      <c r="C532" s="6"/>
      <c r="J532" s="6"/>
    </row>
    <row r="533" spans="3:10">
      <c r="C533" s="6"/>
      <c r="J533" s="6"/>
    </row>
    <row r="534" spans="3:10">
      <c r="C534" s="6"/>
      <c r="J534" s="6"/>
    </row>
    <row r="535" spans="3:10">
      <c r="C535" s="6"/>
      <c r="J535" s="6"/>
    </row>
    <row r="536" spans="3:10">
      <c r="C536" s="6"/>
      <c r="J536" s="6"/>
    </row>
    <row r="537" spans="3:10">
      <c r="C537" s="6"/>
      <c r="J537" s="6"/>
    </row>
    <row r="538" spans="3:10">
      <c r="C538" s="6"/>
      <c r="J538" s="6"/>
    </row>
    <row r="539" spans="3:10">
      <c r="C539" s="6"/>
      <c r="J539" s="6"/>
    </row>
    <row r="540" spans="3:10">
      <c r="C540" s="6"/>
      <c r="J540" s="6"/>
    </row>
    <row r="541" spans="3:10">
      <c r="C541" s="6"/>
      <c r="J541" s="6"/>
    </row>
    <row r="542" spans="3:10">
      <c r="C542" s="6"/>
      <c r="J542" s="6"/>
    </row>
    <row r="543" spans="3:10">
      <c r="C543" s="6"/>
      <c r="J543" s="6"/>
    </row>
    <row r="544" spans="3:10">
      <c r="C544" s="6"/>
      <c r="J544" s="6"/>
    </row>
    <row r="545" spans="3:10">
      <c r="C545" s="6"/>
      <c r="J545" s="6"/>
    </row>
    <row r="546" spans="3:10">
      <c r="C546" s="6"/>
      <c r="J546" s="6"/>
    </row>
    <row r="547" spans="3:10">
      <c r="C547" s="6"/>
      <c r="J547" s="6"/>
    </row>
    <row r="548" spans="3:10">
      <c r="C548" s="6"/>
      <c r="J548" s="6"/>
    </row>
    <row r="549" spans="3:10">
      <c r="C549" s="6"/>
      <c r="J549" s="6"/>
    </row>
    <row r="550" spans="3:10">
      <c r="C550" s="6"/>
      <c r="J550" s="6"/>
    </row>
    <row r="551" spans="3:10">
      <c r="C551" s="6"/>
      <c r="J551" s="6"/>
    </row>
    <row r="552" spans="3:10">
      <c r="C552" s="6"/>
      <c r="J552" s="6"/>
    </row>
    <row r="553" spans="3:10">
      <c r="C553" s="6"/>
      <c r="J553" s="6"/>
    </row>
    <row r="554" spans="3:10">
      <c r="C554" s="6"/>
      <c r="J554" s="6"/>
    </row>
    <row r="555" spans="3:10">
      <c r="C555" s="6"/>
      <c r="J555" s="6"/>
    </row>
    <row r="556" spans="3:10">
      <c r="C556" s="6"/>
      <c r="J556" s="6"/>
    </row>
    <row r="557" spans="3:10">
      <c r="C557" s="6"/>
      <c r="J557" s="6"/>
    </row>
    <row r="558" spans="3:10">
      <c r="C558" s="6"/>
      <c r="J558" s="6"/>
    </row>
    <row r="559" spans="3:10">
      <c r="C559" s="6"/>
      <c r="J559" s="6"/>
    </row>
    <row r="560" spans="3:10">
      <c r="C560" s="6"/>
      <c r="J560" s="6"/>
    </row>
    <row r="561" spans="3:10">
      <c r="C561" s="6"/>
      <c r="J561" s="6"/>
    </row>
    <row r="562" spans="3:10">
      <c r="C562" s="6"/>
      <c r="J562" s="6"/>
    </row>
    <row r="563" spans="3:10">
      <c r="C563" s="6"/>
      <c r="J563" s="6"/>
    </row>
    <row r="564" spans="3:10">
      <c r="C564" s="6"/>
      <c r="J564" s="6"/>
    </row>
    <row r="565" spans="3:10">
      <c r="C565" s="6"/>
      <c r="J565" s="6"/>
    </row>
    <row r="566" spans="3:10">
      <c r="C566" s="6"/>
      <c r="J566" s="6"/>
    </row>
    <row r="567" spans="3:10">
      <c r="C567" s="6"/>
      <c r="J567" s="6"/>
    </row>
    <row r="568" spans="3:10">
      <c r="C568" s="6"/>
      <c r="J568" s="6"/>
    </row>
    <row r="569" spans="3:10">
      <c r="C569" s="6"/>
      <c r="J569" s="6"/>
    </row>
    <row r="570" spans="3:10">
      <c r="C570" s="6"/>
      <c r="J570" s="6"/>
    </row>
    <row r="571" spans="3:10">
      <c r="C571" s="6"/>
      <c r="J571" s="6"/>
    </row>
    <row r="572" spans="3:10">
      <c r="C572" s="6"/>
      <c r="J572" s="6"/>
    </row>
    <row r="573" spans="3:10">
      <c r="C573" s="6"/>
      <c r="J573" s="6"/>
    </row>
    <row r="574" spans="3:10">
      <c r="C574" s="6"/>
      <c r="J574" s="6"/>
    </row>
    <row r="575" spans="3:10">
      <c r="C575" s="6"/>
      <c r="J575" s="6"/>
    </row>
    <row r="576" spans="3:10">
      <c r="C576" s="6"/>
      <c r="J576" s="6"/>
    </row>
    <row r="577" spans="3:10">
      <c r="C577" s="6"/>
      <c r="J577" s="6"/>
    </row>
    <row r="578" spans="3:10">
      <c r="C578" s="6"/>
      <c r="J578" s="6"/>
    </row>
    <row r="579" spans="3:10">
      <c r="C579" s="6"/>
      <c r="J579" s="6"/>
    </row>
    <row r="580" spans="3:10">
      <c r="C580" s="6"/>
      <c r="J580" s="6"/>
    </row>
    <row r="581" spans="3:10">
      <c r="C581" s="6"/>
      <c r="J581" s="6"/>
    </row>
    <row r="582" spans="3:10">
      <c r="C582" s="6"/>
      <c r="J582" s="6"/>
    </row>
    <row r="583" spans="3:10">
      <c r="C583" s="6"/>
      <c r="J583" s="6"/>
    </row>
    <row r="584" spans="3:10">
      <c r="C584" s="6"/>
      <c r="J584" s="6"/>
    </row>
    <row r="585" spans="3:10">
      <c r="C585" s="6"/>
      <c r="J585" s="6"/>
    </row>
    <row r="586" spans="3:10">
      <c r="C586" s="6"/>
      <c r="J586" s="6"/>
    </row>
    <row r="587" spans="3:10">
      <c r="C587" s="6"/>
      <c r="J587" s="6"/>
    </row>
    <row r="588" spans="3:10">
      <c r="C588" s="6"/>
      <c r="J588" s="6"/>
    </row>
    <row r="589" spans="3:10">
      <c r="C589" s="6"/>
      <c r="J589" s="6"/>
    </row>
    <row r="590" spans="3:10">
      <c r="C590" s="6"/>
      <c r="J590" s="6"/>
    </row>
    <row r="591" spans="3:10">
      <c r="C591" s="6"/>
      <c r="J591" s="6"/>
    </row>
    <row r="592" spans="3:10">
      <c r="C592" s="6"/>
      <c r="J592" s="6"/>
    </row>
    <row r="593" spans="3:10">
      <c r="C593" s="6"/>
      <c r="J593" s="6"/>
    </row>
    <row r="594" spans="3:10">
      <c r="C594" s="6"/>
      <c r="J594" s="6"/>
    </row>
    <row r="595" spans="3:10">
      <c r="C595" s="6"/>
      <c r="J595" s="6"/>
    </row>
    <row r="596" spans="3:10">
      <c r="C596" s="6"/>
      <c r="J596" s="6"/>
    </row>
    <row r="597" spans="3:10">
      <c r="C597" s="6"/>
      <c r="J597" s="6"/>
    </row>
    <row r="598" spans="3:10">
      <c r="C598" s="6"/>
      <c r="J598" s="6"/>
    </row>
    <row r="599" spans="3:10">
      <c r="C599" s="6"/>
      <c r="J599" s="6"/>
    </row>
    <row r="600" spans="3:10">
      <c r="C600" s="6"/>
      <c r="J600" s="6"/>
    </row>
    <row r="601" spans="3:10">
      <c r="C601" s="6"/>
      <c r="J601" s="6"/>
    </row>
    <row r="602" spans="3:10">
      <c r="C602" s="6"/>
      <c r="J602" s="6"/>
    </row>
    <row r="603" spans="3:10">
      <c r="C603" s="6"/>
      <c r="J603" s="6"/>
    </row>
    <row r="604" spans="3:10">
      <c r="C604" s="6"/>
      <c r="J604" s="6"/>
    </row>
    <row r="605" spans="3:10">
      <c r="C605" s="6"/>
      <c r="J605" s="6"/>
    </row>
    <row r="606" spans="3:10">
      <c r="C606" s="6"/>
      <c r="J606" s="6"/>
    </row>
    <row r="607" spans="3:10">
      <c r="C607" s="6"/>
      <c r="J607" s="6"/>
    </row>
    <row r="608" spans="3:10">
      <c r="C608" s="6"/>
      <c r="J608" s="6"/>
    </row>
    <row r="609" spans="3:10">
      <c r="C609" s="6"/>
      <c r="J609" s="6"/>
    </row>
    <row r="610" spans="3:10">
      <c r="C610" s="6"/>
      <c r="J610" s="6"/>
    </row>
    <row r="611" spans="3:10">
      <c r="C611" s="6"/>
      <c r="J611" s="6"/>
    </row>
    <row r="612" spans="3:10">
      <c r="C612" s="6"/>
      <c r="J612" s="6"/>
    </row>
    <row r="613" spans="3:10">
      <c r="C613" s="6"/>
      <c r="J613" s="6"/>
    </row>
    <row r="614" spans="3:10">
      <c r="C614" s="6"/>
      <c r="J614" s="6"/>
    </row>
    <row r="615" spans="3:10">
      <c r="C615" s="6"/>
      <c r="J615" s="6"/>
    </row>
    <row r="616" spans="3:10">
      <c r="C616" s="6"/>
      <c r="J616" s="6"/>
    </row>
    <row r="617" spans="3:10">
      <c r="C617" s="6"/>
      <c r="J617" s="6"/>
    </row>
    <row r="618" spans="3:10">
      <c r="C618" s="6"/>
      <c r="J618" s="6"/>
    </row>
    <row r="619" spans="3:10">
      <c r="C619" s="6"/>
      <c r="J619" s="6"/>
    </row>
    <row r="620" spans="3:10">
      <c r="C620" s="6"/>
      <c r="J620" s="6"/>
    </row>
    <row r="621" spans="3:10">
      <c r="C621" s="6"/>
      <c r="J621" s="6"/>
    </row>
    <row r="622" spans="3:10">
      <c r="C622" s="6"/>
      <c r="J622" s="6"/>
    </row>
    <row r="623" spans="3:10">
      <c r="C623" s="6"/>
      <c r="J623" s="6"/>
    </row>
    <row r="624" spans="3:10">
      <c r="C624" s="6"/>
      <c r="J624" s="6"/>
    </row>
    <row r="625" spans="3:10">
      <c r="C625" s="6"/>
      <c r="J625" s="6"/>
    </row>
    <row r="626" spans="3:10">
      <c r="C626" s="6"/>
      <c r="J626" s="6"/>
    </row>
    <row r="627" spans="3:10">
      <c r="C627" s="6"/>
      <c r="J627" s="6"/>
    </row>
    <row r="628" spans="3:10">
      <c r="C628" s="6"/>
      <c r="J628" s="6"/>
    </row>
    <row r="629" spans="3:10">
      <c r="C629" s="6"/>
      <c r="J629" s="6"/>
    </row>
    <row r="630" spans="3:10">
      <c r="C630" s="6"/>
      <c r="J630" s="6"/>
    </row>
    <row r="631" spans="3:10">
      <c r="C631" s="6"/>
      <c r="J631" s="6"/>
    </row>
    <row r="632" spans="3:10">
      <c r="C632" s="6"/>
      <c r="J632" s="6"/>
    </row>
    <row r="633" spans="3:10">
      <c r="C633" s="6"/>
      <c r="J633" s="6"/>
    </row>
    <row r="634" spans="3:10">
      <c r="C634" s="6"/>
      <c r="J634" s="6"/>
    </row>
    <row r="635" spans="3:10">
      <c r="C635" s="6"/>
      <c r="J635" s="6"/>
    </row>
    <row r="636" spans="3:10">
      <c r="C636" s="6"/>
      <c r="J636" s="6"/>
    </row>
    <row r="637" spans="3:10">
      <c r="C637" s="6"/>
      <c r="J637" s="6"/>
    </row>
    <row r="638" spans="3:10">
      <c r="C638" s="6"/>
      <c r="J638" s="6"/>
    </row>
    <row r="639" spans="3:10">
      <c r="C639" s="6"/>
      <c r="J639" s="6"/>
    </row>
    <row r="640" spans="3:10">
      <c r="C640" s="6"/>
      <c r="J640" s="6"/>
    </row>
    <row r="641" spans="3:10">
      <c r="C641" s="6"/>
      <c r="J641" s="6"/>
    </row>
    <row r="642" spans="3:10">
      <c r="C642" s="6"/>
      <c r="J642" s="6"/>
    </row>
    <row r="643" spans="3:10">
      <c r="C643" s="6"/>
      <c r="J643" s="6"/>
    </row>
    <row r="644" spans="3:10">
      <c r="C644" s="6"/>
      <c r="J644" s="6"/>
    </row>
    <row r="645" spans="3:10">
      <c r="C645" s="6"/>
      <c r="J645" s="6"/>
    </row>
    <row r="646" spans="3:10">
      <c r="C646" s="6"/>
      <c r="J646" s="6"/>
    </row>
    <row r="647" spans="3:10">
      <c r="C647" s="6"/>
      <c r="J647" s="6"/>
    </row>
    <row r="648" spans="3:10">
      <c r="C648" s="6"/>
      <c r="J648" s="6"/>
    </row>
    <row r="649" spans="3:10">
      <c r="C649" s="6"/>
      <c r="J649" s="6"/>
    </row>
    <row r="650" spans="3:10">
      <c r="C650" s="6"/>
      <c r="J650" s="6"/>
    </row>
    <row r="651" spans="3:10">
      <c r="C651" s="6"/>
      <c r="J651" s="6"/>
    </row>
    <row r="652" spans="3:10">
      <c r="C652" s="6"/>
      <c r="J652" s="6"/>
    </row>
    <row r="653" spans="3:10">
      <c r="C653" s="6"/>
      <c r="J653" s="6"/>
    </row>
    <row r="654" spans="3:10">
      <c r="C654" s="6"/>
      <c r="J654" s="6"/>
    </row>
    <row r="655" spans="3:10">
      <c r="C655" s="6"/>
      <c r="J655" s="6"/>
    </row>
    <row r="656" spans="3:10">
      <c r="C656" s="6"/>
      <c r="J656" s="6"/>
    </row>
    <row r="657" spans="3:10">
      <c r="C657" s="6"/>
      <c r="J657" s="6"/>
    </row>
    <row r="658" spans="3:10">
      <c r="C658" s="6"/>
      <c r="J658" s="6"/>
    </row>
    <row r="659" spans="3:10">
      <c r="C659" s="6"/>
      <c r="J659" s="6"/>
    </row>
    <row r="660" spans="3:10">
      <c r="C660" s="6"/>
      <c r="J660" s="6"/>
    </row>
    <row r="661" spans="3:10">
      <c r="C661" s="6"/>
      <c r="J661" s="6"/>
    </row>
    <row r="662" spans="3:10">
      <c r="C662" s="6"/>
      <c r="J662" s="6"/>
    </row>
    <row r="663" spans="3:10">
      <c r="C663" s="6"/>
      <c r="J663" s="6"/>
    </row>
    <row r="664" spans="3:10">
      <c r="C664" s="6"/>
      <c r="J664" s="6"/>
    </row>
    <row r="665" spans="3:10">
      <c r="C665" s="6"/>
      <c r="J665" s="6"/>
    </row>
    <row r="666" spans="3:10">
      <c r="C666" s="6"/>
      <c r="J666" s="6"/>
    </row>
    <row r="667" spans="3:10">
      <c r="C667" s="6"/>
      <c r="J667" s="6"/>
    </row>
    <row r="668" spans="3:10">
      <c r="C668" s="6"/>
      <c r="J668" s="6"/>
    </row>
    <row r="669" spans="3:10">
      <c r="C669" s="6"/>
      <c r="J669" s="6"/>
    </row>
    <row r="670" spans="3:10">
      <c r="C670" s="6"/>
      <c r="J670" s="6"/>
    </row>
    <row r="671" spans="3:10">
      <c r="C671" s="6"/>
      <c r="J671" s="6"/>
    </row>
    <row r="672" spans="3:10">
      <c r="C672" s="6"/>
      <c r="J672" s="6"/>
    </row>
    <row r="673" spans="3:10">
      <c r="C673" s="6"/>
      <c r="J673" s="6"/>
    </row>
    <row r="674" spans="3:10">
      <c r="C674" s="6"/>
      <c r="J674" s="6"/>
    </row>
    <row r="675" spans="3:10">
      <c r="C675" s="6"/>
      <c r="J675" s="6"/>
    </row>
    <row r="676" spans="3:10">
      <c r="C676" s="6"/>
      <c r="J676" s="6"/>
    </row>
    <row r="677" spans="3:10">
      <c r="C677" s="6"/>
      <c r="J677" s="6"/>
    </row>
    <row r="678" spans="3:10">
      <c r="C678" s="6"/>
      <c r="J678" s="6"/>
    </row>
    <row r="679" spans="3:10">
      <c r="C679" s="6"/>
      <c r="J679" s="6"/>
    </row>
    <row r="680" spans="3:10">
      <c r="C680" s="6"/>
      <c r="J680" s="6"/>
    </row>
    <row r="681" spans="3:10">
      <c r="C681" s="6"/>
      <c r="J681" s="6"/>
    </row>
    <row r="682" spans="3:10">
      <c r="C682" s="6"/>
      <c r="J682" s="6"/>
    </row>
    <row r="683" spans="3:10">
      <c r="C683" s="6"/>
      <c r="J683" s="6"/>
    </row>
    <row r="684" spans="3:10">
      <c r="C684" s="6"/>
      <c r="J684" s="6"/>
    </row>
    <row r="685" spans="3:10">
      <c r="C685" s="6"/>
      <c r="J685" s="6"/>
    </row>
    <row r="686" spans="3:10">
      <c r="C686" s="6"/>
      <c r="J686" s="6"/>
    </row>
    <row r="687" spans="3:10">
      <c r="C687" s="6"/>
      <c r="J687" s="6"/>
    </row>
    <row r="688" spans="3:10">
      <c r="C688" s="6"/>
      <c r="J688" s="6"/>
    </row>
    <row r="689" spans="3:10">
      <c r="C689" s="6"/>
      <c r="J689" s="6"/>
    </row>
    <row r="690" spans="3:10">
      <c r="C690" s="6"/>
      <c r="J690" s="6"/>
    </row>
    <row r="691" spans="3:10">
      <c r="C691" s="6"/>
      <c r="J691" s="6"/>
    </row>
    <row r="692" spans="3:10">
      <c r="C692" s="6"/>
      <c r="J692" s="6"/>
    </row>
    <row r="693" spans="3:10">
      <c r="C693" s="6"/>
      <c r="J693" s="6"/>
    </row>
    <row r="694" spans="3:10">
      <c r="C694" s="6"/>
      <c r="J694" s="6"/>
    </row>
    <row r="695" spans="3:10">
      <c r="C695" s="6"/>
      <c r="J695" s="6"/>
    </row>
    <row r="696" spans="3:10">
      <c r="C696" s="6"/>
      <c r="J696" s="6"/>
    </row>
    <row r="697" spans="3:10">
      <c r="C697" s="6"/>
      <c r="J697" s="6"/>
    </row>
    <row r="698" spans="3:10">
      <c r="C698" s="6"/>
      <c r="J698" s="6"/>
    </row>
    <row r="699" spans="3:10">
      <c r="C699" s="6"/>
      <c r="J699" s="6"/>
    </row>
    <row r="700" spans="3:10">
      <c r="C700" s="6"/>
      <c r="J700" s="6"/>
    </row>
    <row r="701" spans="3:10">
      <c r="C701" s="6"/>
      <c r="J701" s="6"/>
    </row>
    <row r="702" spans="3:10">
      <c r="C702" s="6"/>
      <c r="J702" s="6"/>
    </row>
    <row r="703" spans="3:10">
      <c r="C703" s="6"/>
      <c r="J703" s="6"/>
    </row>
    <row r="704" spans="3:10">
      <c r="C704" s="6"/>
      <c r="J704" s="6"/>
    </row>
    <row r="705" spans="3:10">
      <c r="C705" s="6"/>
      <c r="J705" s="6"/>
    </row>
    <row r="706" spans="3:10">
      <c r="C706" s="6"/>
      <c r="J706" s="6"/>
    </row>
    <row r="707" spans="3:10">
      <c r="C707" s="6"/>
      <c r="J707" s="6"/>
    </row>
    <row r="708" spans="3:10">
      <c r="C708" s="6"/>
      <c r="J708" s="6"/>
    </row>
    <row r="709" spans="3:10">
      <c r="C709" s="6"/>
      <c r="J709" s="6"/>
    </row>
    <row r="710" spans="3:10">
      <c r="C710" s="6"/>
      <c r="J710" s="6"/>
    </row>
    <row r="711" spans="3:10">
      <c r="C711" s="6"/>
      <c r="J711" s="6"/>
    </row>
    <row r="712" spans="3:10">
      <c r="C712" s="6"/>
      <c r="J712" s="6"/>
    </row>
    <row r="713" spans="3:10">
      <c r="C713" s="6"/>
      <c r="J713" s="6"/>
    </row>
    <row r="714" spans="3:10">
      <c r="C714" s="6"/>
      <c r="J714" s="6"/>
    </row>
    <row r="715" spans="3:10">
      <c r="C715" s="6"/>
      <c r="J715" s="6"/>
    </row>
    <row r="716" spans="3:10">
      <c r="C716" s="6"/>
      <c r="J716" s="6"/>
    </row>
    <row r="717" spans="3:10">
      <c r="C717" s="6"/>
      <c r="J717" s="6"/>
    </row>
    <row r="718" spans="3:10">
      <c r="C718" s="6"/>
      <c r="J718" s="6"/>
    </row>
    <row r="719" spans="3:10">
      <c r="C719" s="6"/>
      <c r="J719" s="6"/>
    </row>
    <row r="720" spans="3:10">
      <c r="C720" s="6"/>
      <c r="J720" s="6"/>
    </row>
    <row r="721" spans="3:10">
      <c r="C721" s="6"/>
      <c r="J721" s="6"/>
    </row>
    <row r="722" spans="3:10">
      <c r="C722" s="6"/>
      <c r="J722" s="6"/>
    </row>
    <row r="723" spans="3:10">
      <c r="C723" s="6"/>
      <c r="J723" s="6"/>
    </row>
    <row r="724" spans="3:10">
      <c r="C724" s="6"/>
      <c r="J724" s="6"/>
    </row>
    <row r="725" spans="3:10">
      <c r="C725" s="6"/>
      <c r="J725" s="6"/>
    </row>
    <row r="726" spans="3:10">
      <c r="C726" s="6"/>
      <c r="J726" s="6"/>
    </row>
    <row r="727" spans="3:10">
      <c r="C727" s="6"/>
      <c r="J727" s="6"/>
    </row>
    <row r="728" spans="3:10">
      <c r="C728" s="6"/>
      <c r="J728" s="6"/>
    </row>
    <row r="729" spans="3:10">
      <c r="C729" s="6"/>
      <c r="J729" s="6"/>
    </row>
    <row r="730" spans="3:10">
      <c r="C730" s="6"/>
      <c r="J730" s="6"/>
    </row>
    <row r="731" spans="3:10">
      <c r="C731" s="6"/>
      <c r="J731" s="6"/>
    </row>
    <row r="732" spans="3:10">
      <c r="C732" s="6"/>
      <c r="J732" s="6"/>
    </row>
    <row r="733" spans="3:10">
      <c r="C733" s="6"/>
      <c r="J733" s="6"/>
    </row>
    <row r="734" spans="3:10">
      <c r="C734" s="6"/>
      <c r="J734" s="6"/>
    </row>
    <row r="735" spans="3:10">
      <c r="C735" s="6"/>
      <c r="J735" s="6"/>
    </row>
    <row r="736" spans="3:10">
      <c r="C736" s="6"/>
      <c r="J736" s="6"/>
    </row>
    <row r="737" spans="3:10">
      <c r="C737" s="6"/>
      <c r="J737" s="6"/>
    </row>
    <row r="738" spans="3:10">
      <c r="C738" s="6"/>
      <c r="J738" s="6"/>
    </row>
    <row r="739" spans="3:10">
      <c r="C739" s="6"/>
      <c r="J739" s="6"/>
    </row>
    <row r="740" spans="3:10">
      <c r="C740" s="6"/>
      <c r="J740" s="6"/>
    </row>
    <row r="741" spans="3:10">
      <c r="C741" s="6"/>
      <c r="J741" s="6"/>
    </row>
    <row r="742" spans="3:10">
      <c r="C742" s="6"/>
      <c r="J742" s="6"/>
    </row>
    <row r="743" spans="3:10">
      <c r="C743" s="6"/>
      <c r="J743" s="6"/>
    </row>
    <row r="744" spans="3:10">
      <c r="C744" s="6"/>
      <c r="J744" s="6"/>
    </row>
    <row r="745" spans="3:10">
      <c r="C745" s="6"/>
      <c r="J745" s="6"/>
    </row>
    <row r="746" spans="3:10">
      <c r="C746" s="6"/>
      <c r="J746" s="6"/>
    </row>
    <row r="747" spans="3:10">
      <c r="C747" s="6"/>
      <c r="J747" s="6"/>
    </row>
    <row r="748" spans="3:10">
      <c r="C748" s="6"/>
      <c r="J748" s="6"/>
    </row>
    <row r="749" spans="3:10">
      <c r="C749" s="6"/>
      <c r="J749" s="6"/>
    </row>
    <row r="750" spans="3:10">
      <c r="C750" s="6"/>
      <c r="J750" s="6"/>
    </row>
    <row r="751" spans="3:10">
      <c r="C751" s="6"/>
      <c r="J751" s="6"/>
    </row>
    <row r="752" spans="3:10">
      <c r="C752" s="6"/>
      <c r="J752" s="6"/>
    </row>
    <row r="753" spans="3:10">
      <c r="C753" s="6"/>
      <c r="J753" s="6"/>
    </row>
    <row r="754" spans="3:10">
      <c r="C754" s="6"/>
      <c r="J754" s="6"/>
    </row>
    <row r="755" spans="3:10">
      <c r="C755" s="6"/>
      <c r="J755" s="6"/>
    </row>
    <row r="756" spans="3:10">
      <c r="C756" s="6"/>
      <c r="J756" s="6"/>
    </row>
    <row r="757" spans="3:10">
      <c r="C757" s="6"/>
      <c r="J757" s="6"/>
    </row>
    <row r="758" spans="3:10">
      <c r="C758" s="6"/>
      <c r="J758" s="6"/>
    </row>
    <row r="759" spans="3:10">
      <c r="C759" s="6"/>
      <c r="J759" s="6"/>
    </row>
    <row r="760" spans="3:10">
      <c r="C760" s="6"/>
      <c r="J760" s="6"/>
    </row>
    <row r="761" spans="3:10">
      <c r="C761" s="6"/>
      <c r="J761" s="6"/>
    </row>
    <row r="762" spans="3:10">
      <c r="C762" s="6"/>
      <c r="J762" s="6"/>
    </row>
    <row r="763" spans="3:10">
      <c r="C763" s="6"/>
      <c r="J763" s="6"/>
    </row>
    <row r="764" spans="3:10">
      <c r="C764" s="6"/>
      <c r="J764" s="6"/>
    </row>
    <row r="765" spans="3:10">
      <c r="C765" s="6"/>
      <c r="J765" s="6"/>
    </row>
    <row r="766" spans="3:10">
      <c r="C766" s="6"/>
      <c r="J766" s="6"/>
    </row>
    <row r="767" spans="3:10">
      <c r="C767" s="6"/>
      <c r="J767" s="6"/>
    </row>
    <row r="768" spans="3:10">
      <c r="C768" s="6"/>
      <c r="J768" s="6"/>
    </row>
    <row r="769" spans="3:10">
      <c r="C769" s="6"/>
      <c r="J769" s="6"/>
    </row>
    <row r="770" spans="3:10">
      <c r="C770" s="6"/>
      <c r="J770" s="6"/>
    </row>
    <row r="771" spans="3:10">
      <c r="C771" s="6"/>
      <c r="J771" s="6"/>
    </row>
    <row r="772" spans="3:10">
      <c r="C772" s="6"/>
      <c r="J772" s="6"/>
    </row>
    <row r="773" spans="3:10">
      <c r="C773" s="6"/>
      <c r="J773" s="6"/>
    </row>
    <row r="774" spans="3:10">
      <c r="C774" s="6"/>
      <c r="J774" s="6"/>
    </row>
    <row r="775" spans="3:10">
      <c r="C775" s="6"/>
      <c r="J775" s="6"/>
    </row>
    <row r="776" spans="3:10">
      <c r="C776" s="6"/>
      <c r="J776" s="6"/>
    </row>
    <row r="777" spans="3:10">
      <c r="C777" s="6"/>
      <c r="J777" s="6"/>
    </row>
    <row r="778" spans="3:10">
      <c r="C778" s="6"/>
      <c r="J778" s="6"/>
    </row>
    <row r="779" spans="3:10">
      <c r="C779" s="6"/>
      <c r="J779" s="6"/>
    </row>
    <row r="780" spans="3:10">
      <c r="C780" s="6"/>
      <c r="J780" s="6"/>
    </row>
    <row r="781" spans="3:10">
      <c r="C781" s="6"/>
      <c r="J781" s="6"/>
    </row>
    <row r="782" spans="3:10">
      <c r="C782" s="6"/>
      <c r="J782" s="6"/>
    </row>
    <row r="783" spans="3:10">
      <c r="C783" s="6"/>
      <c r="J783" s="6"/>
    </row>
    <row r="784" spans="3:10">
      <c r="C784" s="6"/>
      <c r="J784" s="6"/>
    </row>
    <row r="785" spans="3:10">
      <c r="C785" s="6"/>
      <c r="J785" s="6"/>
    </row>
    <row r="786" spans="3:10">
      <c r="C786" s="6"/>
      <c r="J786" s="6"/>
    </row>
    <row r="787" spans="3:10">
      <c r="C787" s="6"/>
      <c r="J787" s="6"/>
    </row>
    <row r="788" spans="3:10">
      <c r="C788" s="6"/>
      <c r="J788" s="6"/>
    </row>
    <row r="789" spans="3:10">
      <c r="C789" s="6"/>
      <c r="J789" s="6"/>
    </row>
    <row r="790" spans="3:10">
      <c r="C790" s="6"/>
      <c r="J790" s="6"/>
    </row>
    <row r="791" spans="3:10">
      <c r="C791" s="6"/>
      <c r="J791" s="6"/>
    </row>
    <row r="792" spans="3:10">
      <c r="C792" s="6"/>
      <c r="J792" s="6"/>
    </row>
    <row r="793" spans="3:10">
      <c r="C793" s="6"/>
      <c r="J793" s="6"/>
    </row>
    <row r="794" spans="3:10">
      <c r="C794" s="6"/>
      <c r="J794" s="6"/>
    </row>
    <row r="795" spans="3:10">
      <c r="C795" s="6"/>
      <c r="J795" s="6"/>
    </row>
    <row r="796" spans="3:10">
      <c r="C796" s="6"/>
      <c r="J796" s="6"/>
    </row>
    <row r="797" spans="3:10">
      <c r="C797" s="6"/>
      <c r="J797" s="6"/>
    </row>
    <row r="798" spans="3:10">
      <c r="C798" s="6"/>
      <c r="J798" s="6"/>
    </row>
    <row r="799" spans="3:10">
      <c r="C799" s="6"/>
      <c r="J799" s="6"/>
    </row>
    <row r="800" spans="3:10">
      <c r="C800" s="6"/>
      <c r="J800" s="6"/>
    </row>
    <row r="801" spans="3:10">
      <c r="C801" s="6"/>
      <c r="J801" s="6"/>
    </row>
    <row r="802" spans="3:10">
      <c r="C802" s="6"/>
      <c r="J802" s="6"/>
    </row>
    <row r="803" spans="3:10">
      <c r="C803" s="6"/>
      <c r="J803" s="6"/>
    </row>
    <row r="804" spans="3:10">
      <c r="C804" s="6"/>
      <c r="J804" s="6"/>
    </row>
    <row r="805" spans="3:10">
      <c r="C805" s="6"/>
      <c r="J805" s="6"/>
    </row>
    <row r="806" spans="3:10">
      <c r="C806" s="6"/>
      <c r="J806" s="6"/>
    </row>
    <row r="807" spans="3:10">
      <c r="C807" s="6"/>
      <c r="J807" s="6"/>
    </row>
    <row r="808" spans="3:10">
      <c r="C808" s="6"/>
      <c r="J808" s="6"/>
    </row>
    <row r="809" spans="3:10">
      <c r="C809" s="6"/>
      <c r="J809" s="6"/>
    </row>
    <row r="810" spans="3:10">
      <c r="C810" s="6"/>
      <c r="J810" s="6"/>
    </row>
    <row r="811" spans="3:10">
      <c r="C811" s="6"/>
      <c r="J811" s="6"/>
    </row>
    <row r="812" spans="3:10">
      <c r="C812" s="6"/>
      <c r="J812" s="6"/>
    </row>
    <row r="813" spans="3:10">
      <c r="C813" s="6"/>
      <c r="J813" s="6"/>
    </row>
    <row r="814" spans="3:10">
      <c r="C814" s="6"/>
      <c r="J814" s="6"/>
    </row>
    <row r="815" spans="3:10">
      <c r="C815" s="6"/>
      <c r="J815" s="6"/>
    </row>
    <row r="816" spans="3:10">
      <c r="C816" s="6"/>
      <c r="J816" s="6"/>
    </row>
    <row r="817" spans="3:10">
      <c r="C817" s="6"/>
      <c r="J817" s="6"/>
    </row>
    <row r="818" spans="3:10">
      <c r="C818" s="6"/>
      <c r="J818" s="6"/>
    </row>
    <row r="819" spans="3:10">
      <c r="C819" s="6"/>
      <c r="J819" s="6"/>
    </row>
    <row r="820" spans="3:10">
      <c r="C820" s="6"/>
      <c r="J820" s="6"/>
    </row>
    <row r="821" spans="3:10">
      <c r="C821" s="6"/>
      <c r="J821" s="6"/>
    </row>
    <row r="822" spans="3:10">
      <c r="C822" s="6"/>
      <c r="J822" s="6"/>
    </row>
    <row r="823" spans="3:10">
      <c r="C823" s="6"/>
      <c r="J823" s="6"/>
    </row>
    <row r="824" spans="3:10">
      <c r="C824" s="6"/>
      <c r="J824" s="6"/>
    </row>
    <row r="825" spans="3:10">
      <c r="C825" s="6"/>
      <c r="J825" s="6"/>
    </row>
    <row r="826" spans="3:10">
      <c r="C826" s="6"/>
      <c r="J826" s="6"/>
    </row>
    <row r="827" spans="3:10">
      <c r="C827" s="6"/>
      <c r="J827" s="6"/>
    </row>
    <row r="828" spans="3:10">
      <c r="C828" s="6"/>
      <c r="J828" s="6"/>
    </row>
    <row r="829" spans="3:10">
      <c r="C829" s="6"/>
      <c r="J829" s="6"/>
    </row>
    <row r="830" spans="3:10">
      <c r="C830" s="6"/>
      <c r="J830" s="6"/>
    </row>
    <row r="831" spans="3:10">
      <c r="C831" s="6"/>
      <c r="J831" s="6"/>
    </row>
    <row r="832" spans="3:10">
      <c r="C832" s="6"/>
      <c r="J832" s="6"/>
    </row>
    <row r="833" spans="3:10">
      <c r="C833" s="6"/>
      <c r="J833" s="6"/>
    </row>
    <row r="834" spans="3:10">
      <c r="C834" s="6"/>
      <c r="J834" s="6"/>
    </row>
    <row r="835" spans="3:10">
      <c r="C835" s="6"/>
      <c r="J835" s="6"/>
    </row>
    <row r="836" spans="3:10">
      <c r="C836" s="6"/>
      <c r="J836" s="6"/>
    </row>
    <row r="837" spans="3:10">
      <c r="C837" s="6"/>
      <c r="J837" s="6"/>
    </row>
    <row r="838" spans="3:10">
      <c r="C838" s="6"/>
      <c r="J838" s="6"/>
    </row>
    <row r="839" spans="3:10">
      <c r="C839" s="6"/>
      <c r="J839" s="6"/>
    </row>
    <row r="840" spans="3:10">
      <c r="C840" s="6"/>
      <c r="J840" s="6"/>
    </row>
    <row r="841" spans="3:10">
      <c r="C841" s="6"/>
      <c r="J841" s="6"/>
    </row>
    <row r="842" spans="3:10">
      <c r="C842" s="6"/>
      <c r="J842" s="6"/>
    </row>
    <row r="843" spans="3:10">
      <c r="C843" s="6"/>
      <c r="J843" s="6"/>
    </row>
    <row r="844" spans="3:10">
      <c r="C844" s="6"/>
      <c r="J844" s="6"/>
    </row>
    <row r="845" spans="3:10">
      <c r="C845" s="6"/>
      <c r="J845" s="6"/>
    </row>
    <row r="846" spans="3:10">
      <c r="C846" s="6"/>
      <c r="J846" s="6"/>
    </row>
    <row r="847" spans="3:10">
      <c r="C847" s="6"/>
      <c r="J847" s="6"/>
    </row>
    <row r="848" spans="3:10">
      <c r="C848" s="6"/>
      <c r="J848" s="6"/>
    </row>
    <row r="849" spans="3:10">
      <c r="C849" s="6"/>
      <c r="J849" s="6"/>
    </row>
    <row r="850" spans="3:10">
      <c r="C850" s="6"/>
      <c r="J850" s="6"/>
    </row>
    <row r="851" spans="3:10">
      <c r="C851" s="6"/>
      <c r="J851" s="6"/>
    </row>
    <row r="852" spans="3:10">
      <c r="C852" s="6"/>
      <c r="J852" s="6"/>
    </row>
    <row r="853" spans="3:10">
      <c r="C853" s="6"/>
      <c r="J853" s="6"/>
    </row>
    <row r="854" spans="3:10">
      <c r="C854" s="6"/>
      <c r="J854" s="6"/>
    </row>
    <row r="855" spans="3:10">
      <c r="C855" s="6"/>
      <c r="J855" s="6"/>
    </row>
    <row r="856" spans="3:10">
      <c r="C856" s="6"/>
      <c r="J856" s="6"/>
    </row>
    <row r="857" spans="3:10">
      <c r="C857" s="6"/>
      <c r="J857" s="6"/>
    </row>
    <row r="858" spans="3:10">
      <c r="C858" s="6"/>
      <c r="J858" s="6"/>
    </row>
    <row r="859" spans="3:10">
      <c r="C859" s="6"/>
      <c r="J859" s="6"/>
    </row>
    <row r="860" spans="3:10">
      <c r="C860" s="6"/>
      <c r="J860" s="6"/>
    </row>
    <row r="861" spans="3:10">
      <c r="C861" s="6"/>
      <c r="J861" s="6"/>
    </row>
    <row r="862" spans="3:10">
      <c r="C862" s="6"/>
      <c r="J862" s="6"/>
    </row>
    <row r="863" spans="3:10">
      <c r="C863" s="6"/>
      <c r="J863" s="6"/>
    </row>
    <row r="864" spans="3:10">
      <c r="C864" s="6"/>
      <c r="J864" s="6"/>
    </row>
    <row r="865" spans="3:10">
      <c r="C865" s="6"/>
      <c r="J865" s="6"/>
    </row>
    <row r="866" spans="3:10">
      <c r="C866" s="6"/>
      <c r="J866" s="6"/>
    </row>
    <row r="867" spans="3:10">
      <c r="C867" s="6"/>
      <c r="J867" s="6"/>
    </row>
    <row r="868" spans="3:10">
      <c r="C868" s="6"/>
      <c r="J868" s="6"/>
    </row>
    <row r="869" spans="3:10">
      <c r="C869" s="6"/>
      <c r="J869" s="6"/>
    </row>
    <row r="870" spans="3:10">
      <c r="C870" s="6"/>
      <c r="J870" s="6"/>
    </row>
    <row r="871" spans="3:10">
      <c r="C871" s="6"/>
      <c r="J871" s="6"/>
    </row>
    <row r="872" spans="3:10">
      <c r="C872" s="6"/>
      <c r="J872" s="6"/>
    </row>
    <row r="873" spans="3:10">
      <c r="C873" s="6"/>
      <c r="J873" s="6"/>
    </row>
    <row r="874" spans="3:10">
      <c r="C874" s="6"/>
      <c r="J874" s="6"/>
    </row>
    <row r="875" spans="3:10">
      <c r="C875" s="6"/>
      <c r="J875" s="6"/>
    </row>
    <row r="876" spans="3:10">
      <c r="C876" s="6"/>
      <c r="J876" s="6"/>
    </row>
    <row r="877" spans="3:10">
      <c r="C877" s="6"/>
      <c r="J877" s="6"/>
    </row>
    <row r="878" spans="3:10">
      <c r="C878" s="6"/>
      <c r="J878" s="6"/>
    </row>
    <row r="879" spans="3:10">
      <c r="C879" s="6"/>
      <c r="J879" s="6"/>
    </row>
    <row r="880" spans="3:10">
      <c r="C880" s="6"/>
      <c r="J880" s="6"/>
    </row>
    <row r="881" spans="3:10">
      <c r="C881" s="6"/>
      <c r="J881" s="6"/>
    </row>
    <row r="882" spans="3:10">
      <c r="C882" s="6"/>
      <c r="J882" s="6"/>
    </row>
    <row r="883" spans="3:10">
      <c r="C883" s="6"/>
      <c r="J883" s="6"/>
    </row>
    <row r="884" spans="3:10">
      <c r="C884" s="6"/>
      <c r="J884" s="6"/>
    </row>
    <row r="885" spans="3:10">
      <c r="C885" s="6"/>
      <c r="J885" s="6"/>
    </row>
    <row r="886" spans="3:10">
      <c r="C886" s="6"/>
      <c r="J886" s="6"/>
    </row>
    <row r="887" spans="3:10">
      <c r="C887" s="6"/>
      <c r="J887" s="6"/>
    </row>
    <row r="888" spans="3:10">
      <c r="C888" s="6"/>
      <c r="J888" s="6"/>
    </row>
    <row r="889" spans="3:10">
      <c r="C889" s="6"/>
      <c r="J889" s="6"/>
    </row>
    <row r="890" spans="3:10">
      <c r="C890" s="6"/>
      <c r="J890" s="6"/>
    </row>
    <row r="891" spans="3:10">
      <c r="C891" s="6"/>
      <c r="J891" s="6"/>
    </row>
    <row r="892" spans="3:10">
      <c r="C892" s="6"/>
      <c r="J892" s="6"/>
    </row>
    <row r="893" spans="3:10">
      <c r="C893" s="6"/>
      <c r="J893" s="6"/>
    </row>
    <row r="894" spans="3:10">
      <c r="C894" s="6"/>
      <c r="J894" s="6"/>
    </row>
    <row r="895" spans="3:10">
      <c r="C895" s="6"/>
      <c r="J895" s="6"/>
    </row>
    <row r="896" spans="3:10">
      <c r="C896" s="6"/>
      <c r="J896" s="6"/>
    </row>
    <row r="897" spans="3:10">
      <c r="C897" s="6"/>
      <c r="J897" s="6"/>
    </row>
    <row r="898" spans="3:10">
      <c r="C898" s="6"/>
      <c r="J898" s="6"/>
    </row>
    <row r="899" spans="3:10">
      <c r="C899" s="6"/>
      <c r="J899" s="6"/>
    </row>
    <row r="900" spans="3:10">
      <c r="C900" s="6"/>
      <c r="J900" s="6"/>
    </row>
    <row r="901" spans="3:10">
      <c r="C901" s="6"/>
      <c r="J901" s="6"/>
    </row>
    <row r="902" spans="3:10">
      <c r="C902" s="6"/>
      <c r="J902" s="6"/>
    </row>
    <row r="903" spans="3:10">
      <c r="C903" s="6"/>
      <c r="J903" s="6"/>
    </row>
    <row r="904" spans="3:10">
      <c r="C904" s="6"/>
      <c r="J904" s="6"/>
    </row>
    <row r="905" spans="3:10">
      <c r="C905" s="6"/>
      <c r="J905" s="6"/>
    </row>
    <row r="906" spans="3:10">
      <c r="C906" s="6"/>
      <c r="J906" s="6"/>
    </row>
    <row r="907" spans="3:10">
      <c r="C907" s="6"/>
      <c r="J907" s="6"/>
    </row>
    <row r="908" spans="3:10">
      <c r="C908" s="6"/>
      <c r="J908" s="6"/>
    </row>
    <row r="909" spans="3:10">
      <c r="C909" s="6"/>
      <c r="J909" s="6"/>
    </row>
    <row r="910" spans="3:10">
      <c r="C910" s="6"/>
      <c r="J910" s="6"/>
    </row>
    <row r="911" spans="3:10">
      <c r="C911" s="6"/>
      <c r="J911" s="6"/>
    </row>
    <row r="912" spans="3:10">
      <c r="C912" s="6"/>
      <c r="J912" s="6"/>
    </row>
    <row r="913" spans="3:10">
      <c r="C913" s="6"/>
      <c r="J913" s="6"/>
    </row>
    <row r="914" spans="3:10">
      <c r="C914" s="6"/>
      <c r="J914" s="6"/>
    </row>
    <row r="915" spans="3:10">
      <c r="C915" s="6"/>
      <c r="J915" s="6"/>
    </row>
    <row r="916" spans="3:10">
      <c r="C916" s="6"/>
      <c r="J916" s="6"/>
    </row>
    <row r="917" spans="3:10">
      <c r="C917" s="6"/>
      <c r="J917" s="6"/>
    </row>
    <row r="918" spans="3:10">
      <c r="C918" s="6"/>
      <c r="J918" s="6"/>
    </row>
    <row r="919" spans="3:10">
      <c r="C919" s="6"/>
      <c r="J919" s="6"/>
    </row>
    <row r="920" spans="3:10">
      <c r="C920" s="6"/>
      <c r="J920" s="6"/>
    </row>
    <row r="921" spans="3:10">
      <c r="C921" s="6"/>
      <c r="J921" s="6"/>
    </row>
    <row r="922" spans="3:10">
      <c r="C922" s="6"/>
      <c r="J922" s="6"/>
    </row>
    <row r="923" spans="3:10">
      <c r="C923" s="6"/>
      <c r="J923" s="6"/>
    </row>
    <row r="924" spans="3:10">
      <c r="C924" s="6"/>
      <c r="J924" s="6"/>
    </row>
    <row r="925" spans="3:10">
      <c r="C925" s="6"/>
      <c r="J925" s="6"/>
    </row>
    <row r="926" spans="3:10">
      <c r="C926" s="6"/>
      <c r="J926" s="6"/>
    </row>
    <row r="927" spans="3:10">
      <c r="C927" s="6"/>
      <c r="J927" s="6"/>
    </row>
    <row r="928" spans="3:10">
      <c r="C928" s="6"/>
      <c r="J928" s="6"/>
    </row>
    <row r="929" spans="3:10">
      <c r="C929" s="6"/>
      <c r="J929" s="6"/>
    </row>
    <row r="930" spans="3:10">
      <c r="C930" s="6"/>
      <c r="J930" s="6"/>
    </row>
    <row r="931" spans="3:10">
      <c r="C931" s="6"/>
      <c r="J931" s="6"/>
    </row>
    <row r="932" spans="3:10">
      <c r="C932" s="6"/>
      <c r="J932" s="6"/>
    </row>
    <row r="933" spans="3:10">
      <c r="C933" s="6"/>
      <c r="J933" s="6"/>
    </row>
    <row r="934" spans="3:10">
      <c r="C934" s="6"/>
      <c r="J934" s="6"/>
    </row>
    <row r="935" spans="3:10">
      <c r="C935" s="6"/>
      <c r="J935" s="6"/>
    </row>
    <row r="936" spans="3:10">
      <c r="C936" s="6"/>
      <c r="J936" s="6"/>
    </row>
    <row r="937" spans="3:10">
      <c r="C937" s="6"/>
      <c r="J937" s="6"/>
    </row>
    <row r="938" spans="3:10">
      <c r="C938" s="6"/>
      <c r="J938" s="6"/>
    </row>
    <row r="939" spans="3:10">
      <c r="C939" s="6"/>
      <c r="J939" s="6"/>
    </row>
    <row r="940" spans="3:10">
      <c r="C940" s="6"/>
      <c r="J940" s="6"/>
    </row>
    <row r="941" spans="3:10">
      <c r="C941" s="6"/>
      <c r="J941" s="6"/>
    </row>
    <row r="942" spans="3:10">
      <c r="C942" s="6"/>
      <c r="J942" s="6"/>
    </row>
    <row r="943" spans="3:10">
      <c r="C943" s="6"/>
      <c r="J943" s="6"/>
    </row>
    <row r="944" spans="3:10">
      <c r="C944" s="6"/>
      <c r="J944" s="6"/>
    </row>
    <row r="945" spans="3:10">
      <c r="C945" s="6"/>
      <c r="J945" s="6"/>
    </row>
    <row r="946" spans="3:10">
      <c r="C946" s="6"/>
      <c r="J946" s="6"/>
    </row>
    <row r="947" spans="3:10">
      <c r="C947" s="6"/>
      <c r="J947" s="6"/>
    </row>
    <row r="948" spans="3:10">
      <c r="C948" s="6"/>
      <c r="J948" s="6"/>
    </row>
    <row r="949" spans="3:10">
      <c r="C949" s="6"/>
      <c r="J949" s="6"/>
    </row>
    <row r="950" spans="3:10">
      <c r="C950" s="6"/>
      <c r="J950" s="6"/>
    </row>
    <row r="951" spans="3:10">
      <c r="C951" s="6"/>
      <c r="J951" s="6"/>
    </row>
    <row r="952" spans="3:10">
      <c r="C952" s="6"/>
      <c r="J952" s="6"/>
    </row>
    <row r="953" spans="3:10">
      <c r="C953" s="6"/>
      <c r="J953" s="6"/>
    </row>
    <row r="954" spans="3:10">
      <c r="C954" s="6"/>
      <c r="J954" s="6"/>
    </row>
    <row r="955" spans="3:10">
      <c r="C955" s="6"/>
      <c r="J955" s="6"/>
    </row>
    <row r="956" spans="3:10">
      <c r="C956" s="6"/>
      <c r="J956" s="6"/>
    </row>
    <row r="957" spans="3:10">
      <c r="C957" s="6"/>
      <c r="J957" s="6"/>
    </row>
    <row r="958" spans="3:10">
      <c r="C958" s="6"/>
      <c r="J958" s="6"/>
    </row>
    <row r="959" spans="3:10">
      <c r="C959" s="6"/>
      <c r="J959" s="6"/>
    </row>
    <row r="960" spans="3:10">
      <c r="C960" s="6"/>
      <c r="J960" s="6"/>
    </row>
    <row r="961" spans="3:10">
      <c r="C961" s="6"/>
      <c r="J961" s="6"/>
    </row>
    <row r="962" spans="3:10">
      <c r="C962" s="6"/>
      <c r="J962" s="6"/>
    </row>
    <row r="963" spans="3:10">
      <c r="C963" s="6"/>
      <c r="J963" s="6"/>
    </row>
    <row r="964" spans="3:10">
      <c r="C964" s="6"/>
      <c r="J964" s="6"/>
    </row>
    <row r="965" spans="3:10">
      <c r="C965" s="6"/>
      <c r="J965" s="6"/>
    </row>
    <row r="966" spans="3:10">
      <c r="C966" s="6"/>
      <c r="J966" s="6"/>
    </row>
    <row r="967" spans="3:10">
      <c r="C967" s="6"/>
      <c r="J967" s="6"/>
    </row>
    <row r="968" spans="3:10">
      <c r="C968" s="6"/>
      <c r="J968" s="6"/>
    </row>
    <row r="969" spans="3:10">
      <c r="C969" s="6"/>
      <c r="J969" s="6"/>
    </row>
    <row r="970" spans="3:10">
      <c r="C970" s="6"/>
      <c r="J970" s="6"/>
    </row>
    <row r="971" spans="3:10">
      <c r="C971" s="6"/>
      <c r="J971" s="6"/>
    </row>
    <row r="972" spans="3:10">
      <c r="C972" s="6"/>
      <c r="J972" s="6"/>
    </row>
    <row r="973" spans="3:10">
      <c r="C973" s="6"/>
      <c r="J973" s="6"/>
    </row>
    <row r="974" spans="3:10">
      <c r="C974" s="6"/>
      <c r="J974" s="6"/>
    </row>
    <row r="975" spans="3:10">
      <c r="C975" s="6"/>
      <c r="J975" s="6"/>
    </row>
    <row r="976" spans="3:10">
      <c r="C976" s="6"/>
      <c r="J976" s="6"/>
    </row>
    <row r="977" spans="3:10">
      <c r="C977" s="6"/>
      <c r="J977" s="6"/>
    </row>
    <row r="978" spans="3:10">
      <c r="C978" s="6"/>
      <c r="J978" s="6"/>
    </row>
    <row r="979" spans="3:10">
      <c r="C979" s="6"/>
      <c r="J979" s="6"/>
    </row>
    <row r="980" spans="3:10">
      <c r="C980" s="6"/>
      <c r="J980" s="6"/>
    </row>
    <row r="981" spans="3:10">
      <c r="C981" s="6"/>
      <c r="J981" s="6"/>
    </row>
    <row r="982" spans="3:10">
      <c r="C982" s="6"/>
      <c r="J982" s="6"/>
    </row>
    <row r="983" spans="3:10">
      <c r="C983" s="6"/>
      <c r="J983" s="6"/>
    </row>
    <row r="984" spans="3:10">
      <c r="C984" s="6"/>
      <c r="J984" s="6"/>
    </row>
    <row r="985" spans="3:10">
      <c r="C985" s="6"/>
      <c r="J985" s="6"/>
    </row>
    <row r="986" spans="3:10">
      <c r="C986" s="6"/>
      <c r="J986" s="6"/>
    </row>
    <row r="987" spans="3:10">
      <c r="C987" s="6"/>
      <c r="J987" s="6"/>
    </row>
    <row r="988" spans="3:10">
      <c r="C988" s="6"/>
      <c r="J988" s="6"/>
    </row>
    <row r="989" spans="3:10">
      <c r="C989" s="6"/>
      <c r="J989" s="6"/>
    </row>
    <row r="990" spans="3:10">
      <c r="C990" s="6"/>
      <c r="J990" s="6"/>
    </row>
    <row r="991" spans="3:10">
      <c r="C991" s="6"/>
      <c r="J991" s="6"/>
    </row>
    <row r="992" spans="3:10">
      <c r="C992" s="6"/>
      <c r="J992" s="6"/>
    </row>
    <row r="993" spans="3:10">
      <c r="C993" s="6"/>
      <c r="J993" s="6"/>
    </row>
    <row r="994" spans="3:10">
      <c r="C994" s="6"/>
      <c r="J994" s="6"/>
    </row>
    <row r="995" spans="3:10">
      <c r="C995" s="6"/>
      <c r="J995" s="6"/>
    </row>
    <row r="996" spans="3:10">
      <c r="C996" s="6"/>
      <c r="J996" s="6"/>
    </row>
    <row r="997" spans="3:10">
      <c r="C997" s="6"/>
      <c r="J997" s="6"/>
    </row>
  </sheetData>
  <dataValidations count="2">
    <dataValidation type="custom" allowBlank="1" showDropDown="1" showErrorMessage="1" sqref="D2:D27 D29:D96 D98:D106 D108:D123 D170" xr:uid="{00000000-0002-0000-0400-000000000000}">
      <formula1>OR(NOT(ISERROR(DATEVALUE(D2))), AND(ISNUMBER(D2), LEFT(CELL("format", D2))="D"))</formula1>
    </dataValidation>
    <dataValidation type="decimal" allowBlank="1" showDropDown="1" showErrorMessage="1" sqref="E2:E6 E8:E22 E24:E27 E29:E32 E35:E44 E46:E47 E49:E53 E57:E74 E76 E82 E87 E89 E91:E93 E95:E96 E98:E110 E112:E123" xr:uid="{00000000-0002-0000-0400-000001000000}">
      <formula1>1</formula1>
      <formula2>15</formula2>
    </dataValidation>
  </dataValidations>
  <hyperlinks>
    <hyperlink ref="G2" r:id="rId1" xr:uid="{00000000-0004-0000-0400-000000000000}"/>
    <hyperlink ref="G3" r:id="rId2" xr:uid="{00000000-0004-0000-0400-000001000000}"/>
    <hyperlink ref="G4" r:id="rId3" xr:uid="{00000000-0004-0000-0400-000002000000}"/>
    <hyperlink ref="G5" r:id="rId4" xr:uid="{00000000-0004-0000-0400-000003000000}"/>
    <hyperlink ref="G6" r:id="rId5" xr:uid="{00000000-0004-0000-0400-000004000000}"/>
    <hyperlink ref="G7" r:id="rId6" xr:uid="{00000000-0004-0000-0400-000005000000}"/>
    <hyperlink ref="G8" r:id="rId7" xr:uid="{00000000-0004-0000-0400-000006000000}"/>
    <hyperlink ref="G9" r:id="rId8" xr:uid="{00000000-0004-0000-0400-000007000000}"/>
    <hyperlink ref="G10" r:id="rId9" xr:uid="{00000000-0004-0000-0400-000008000000}"/>
    <hyperlink ref="G11" r:id="rId10" xr:uid="{00000000-0004-0000-0400-000009000000}"/>
    <hyperlink ref="G12" r:id="rId11" xr:uid="{00000000-0004-0000-0400-00000A000000}"/>
    <hyperlink ref="G13" r:id="rId12" xr:uid="{00000000-0004-0000-0400-00000B000000}"/>
    <hyperlink ref="G14" r:id="rId13" xr:uid="{00000000-0004-0000-0400-00000C000000}"/>
    <hyperlink ref="G15" r:id="rId14" xr:uid="{00000000-0004-0000-0400-00000D000000}"/>
    <hyperlink ref="G16" r:id="rId15" xr:uid="{00000000-0004-0000-0400-00000E000000}"/>
    <hyperlink ref="G17" r:id="rId16" xr:uid="{00000000-0004-0000-0400-00000F000000}"/>
    <hyperlink ref="G18" r:id="rId17" xr:uid="{00000000-0004-0000-0400-000010000000}"/>
    <hyperlink ref="G19" r:id="rId18" xr:uid="{00000000-0004-0000-0400-000011000000}"/>
    <hyperlink ref="G20" r:id="rId19" xr:uid="{00000000-0004-0000-0400-000012000000}"/>
    <hyperlink ref="G21" r:id="rId20" xr:uid="{00000000-0004-0000-0400-000013000000}"/>
    <hyperlink ref="G22" r:id="rId21" xr:uid="{00000000-0004-0000-0400-000014000000}"/>
    <hyperlink ref="G23" r:id="rId22" xr:uid="{00000000-0004-0000-0400-000015000000}"/>
    <hyperlink ref="G24" r:id="rId23" xr:uid="{00000000-0004-0000-0400-000016000000}"/>
    <hyperlink ref="G25" r:id="rId24" xr:uid="{00000000-0004-0000-0400-000017000000}"/>
    <hyperlink ref="G26" r:id="rId25" xr:uid="{00000000-0004-0000-0400-000018000000}"/>
    <hyperlink ref="G27" r:id="rId26" xr:uid="{00000000-0004-0000-0400-000019000000}"/>
    <hyperlink ref="G28" r:id="rId27" xr:uid="{00000000-0004-0000-0400-00001A000000}"/>
    <hyperlink ref="G29" r:id="rId28" xr:uid="{00000000-0004-0000-0400-00001B000000}"/>
    <hyperlink ref="G30" r:id="rId29" xr:uid="{00000000-0004-0000-0400-00001C000000}"/>
    <hyperlink ref="G31" r:id="rId30" xr:uid="{00000000-0004-0000-0400-00001D000000}"/>
    <hyperlink ref="G32" r:id="rId31" xr:uid="{00000000-0004-0000-0400-00001E000000}"/>
    <hyperlink ref="G33" r:id="rId32" xr:uid="{00000000-0004-0000-0400-00001F000000}"/>
    <hyperlink ref="G34" r:id="rId33" xr:uid="{00000000-0004-0000-0400-000020000000}"/>
    <hyperlink ref="G35" r:id="rId34" xr:uid="{00000000-0004-0000-0400-000021000000}"/>
    <hyperlink ref="G36" r:id="rId35" xr:uid="{00000000-0004-0000-0400-000022000000}"/>
    <hyperlink ref="G37" r:id="rId36" xr:uid="{00000000-0004-0000-0400-000023000000}"/>
    <hyperlink ref="G38" r:id="rId37" xr:uid="{00000000-0004-0000-0400-000024000000}"/>
    <hyperlink ref="G39" r:id="rId38" xr:uid="{00000000-0004-0000-0400-000025000000}"/>
    <hyperlink ref="G40" r:id="rId39" xr:uid="{00000000-0004-0000-0400-000026000000}"/>
    <hyperlink ref="G41" r:id="rId40" xr:uid="{00000000-0004-0000-0400-000027000000}"/>
    <hyperlink ref="G42" r:id="rId41" xr:uid="{00000000-0004-0000-0400-000028000000}"/>
    <hyperlink ref="G43" r:id="rId42" xr:uid="{00000000-0004-0000-0400-000029000000}"/>
    <hyperlink ref="G44" r:id="rId43" xr:uid="{00000000-0004-0000-0400-00002A000000}"/>
    <hyperlink ref="G45" r:id="rId44" xr:uid="{00000000-0004-0000-0400-00002B000000}"/>
    <hyperlink ref="G46" r:id="rId45" xr:uid="{00000000-0004-0000-0400-00002C000000}"/>
    <hyperlink ref="G47" r:id="rId46" xr:uid="{00000000-0004-0000-0400-00002D000000}"/>
    <hyperlink ref="G48" r:id="rId47" xr:uid="{00000000-0004-0000-0400-00002E000000}"/>
    <hyperlink ref="G49" r:id="rId48" xr:uid="{00000000-0004-0000-0400-00002F000000}"/>
    <hyperlink ref="G50" r:id="rId49" xr:uid="{00000000-0004-0000-0400-000030000000}"/>
    <hyperlink ref="G51" r:id="rId50" xr:uid="{00000000-0004-0000-0400-000031000000}"/>
    <hyperlink ref="G52" r:id="rId51" xr:uid="{00000000-0004-0000-0400-000032000000}"/>
    <hyperlink ref="G53" r:id="rId52" xr:uid="{00000000-0004-0000-0400-000033000000}"/>
    <hyperlink ref="G54" r:id="rId53" xr:uid="{00000000-0004-0000-0400-000034000000}"/>
    <hyperlink ref="G55" r:id="rId54" xr:uid="{00000000-0004-0000-0400-000035000000}"/>
    <hyperlink ref="G56" r:id="rId55" xr:uid="{00000000-0004-0000-0400-000036000000}"/>
    <hyperlink ref="G57" r:id="rId56" xr:uid="{00000000-0004-0000-0400-000037000000}"/>
    <hyperlink ref="G58" r:id="rId57" xr:uid="{00000000-0004-0000-0400-000038000000}"/>
    <hyperlink ref="G59" r:id="rId58" xr:uid="{00000000-0004-0000-0400-000039000000}"/>
    <hyperlink ref="G60" r:id="rId59" xr:uid="{00000000-0004-0000-0400-00003A000000}"/>
    <hyperlink ref="G61" r:id="rId60" xr:uid="{00000000-0004-0000-0400-00003B000000}"/>
    <hyperlink ref="G62" r:id="rId61" xr:uid="{00000000-0004-0000-0400-00003C000000}"/>
    <hyperlink ref="G63" r:id="rId62" xr:uid="{00000000-0004-0000-0400-00003D000000}"/>
    <hyperlink ref="G64" r:id="rId63" xr:uid="{00000000-0004-0000-0400-00003E000000}"/>
    <hyperlink ref="G65" r:id="rId64" xr:uid="{00000000-0004-0000-0400-00003F000000}"/>
    <hyperlink ref="G66" r:id="rId65" xr:uid="{00000000-0004-0000-0400-000040000000}"/>
    <hyperlink ref="G67" r:id="rId66" xr:uid="{00000000-0004-0000-0400-000041000000}"/>
    <hyperlink ref="G68" r:id="rId67" xr:uid="{00000000-0004-0000-0400-000042000000}"/>
    <hyperlink ref="G69" r:id="rId68" xr:uid="{00000000-0004-0000-0400-000043000000}"/>
    <hyperlink ref="G70" r:id="rId69" xr:uid="{00000000-0004-0000-0400-000044000000}"/>
    <hyperlink ref="G71" r:id="rId70" xr:uid="{00000000-0004-0000-0400-000045000000}"/>
    <hyperlink ref="G72" r:id="rId71" xr:uid="{00000000-0004-0000-0400-000046000000}"/>
    <hyperlink ref="G73" r:id="rId72" xr:uid="{00000000-0004-0000-0400-000047000000}"/>
    <hyperlink ref="G74" r:id="rId73" xr:uid="{00000000-0004-0000-0400-000048000000}"/>
    <hyperlink ref="G75" r:id="rId74" xr:uid="{00000000-0004-0000-0400-000049000000}"/>
    <hyperlink ref="G76" r:id="rId75" xr:uid="{00000000-0004-0000-0400-00004A000000}"/>
    <hyperlink ref="G77" r:id="rId76" xr:uid="{00000000-0004-0000-0400-00004B000000}"/>
    <hyperlink ref="G78" r:id="rId77" xr:uid="{00000000-0004-0000-0400-00004C000000}"/>
    <hyperlink ref="G79" r:id="rId78" xr:uid="{00000000-0004-0000-0400-00004D000000}"/>
    <hyperlink ref="G80" r:id="rId79" xr:uid="{00000000-0004-0000-0400-00004E000000}"/>
    <hyperlink ref="G81" r:id="rId80" xr:uid="{00000000-0004-0000-0400-00004F000000}"/>
    <hyperlink ref="G82" r:id="rId81" xr:uid="{00000000-0004-0000-0400-000050000000}"/>
    <hyperlink ref="G83" r:id="rId82" xr:uid="{00000000-0004-0000-0400-000051000000}"/>
    <hyperlink ref="G84" r:id="rId83" xr:uid="{00000000-0004-0000-0400-000052000000}"/>
    <hyperlink ref="G85" r:id="rId84" xr:uid="{00000000-0004-0000-0400-000053000000}"/>
    <hyperlink ref="G86" r:id="rId85" xr:uid="{00000000-0004-0000-0400-000054000000}"/>
    <hyperlink ref="G87" r:id="rId86" xr:uid="{00000000-0004-0000-0400-000055000000}"/>
    <hyperlink ref="G88" r:id="rId87" xr:uid="{00000000-0004-0000-0400-000056000000}"/>
    <hyperlink ref="G89" r:id="rId88" xr:uid="{00000000-0004-0000-0400-000057000000}"/>
    <hyperlink ref="G90" r:id="rId89" xr:uid="{00000000-0004-0000-0400-000058000000}"/>
    <hyperlink ref="G91" r:id="rId90" xr:uid="{00000000-0004-0000-0400-000059000000}"/>
    <hyperlink ref="G92" r:id="rId91" xr:uid="{00000000-0004-0000-0400-00005A000000}"/>
    <hyperlink ref="G93" r:id="rId92" xr:uid="{00000000-0004-0000-0400-00005B000000}"/>
    <hyperlink ref="G94" r:id="rId93" xr:uid="{00000000-0004-0000-0400-00005C000000}"/>
    <hyperlink ref="G95" r:id="rId94" xr:uid="{00000000-0004-0000-0400-00005D000000}"/>
    <hyperlink ref="G96" r:id="rId95" xr:uid="{00000000-0004-0000-0400-00005E000000}"/>
    <hyperlink ref="G97" r:id="rId96" xr:uid="{00000000-0004-0000-0400-00005F000000}"/>
    <hyperlink ref="G98" r:id="rId97" xr:uid="{00000000-0004-0000-0400-000060000000}"/>
    <hyperlink ref="G99" r:id="rId98" xr:uid="{00000000-0004-0000-0400-000061000000}"/>
    <hyperlink ref="G100" r:id="rId99" xr:uid="{00000000-0004-0000-0400-000062000000}"/>
    <hyperlink ref="G101" r:id="rId100" xr:uid="{00000000-0004-0000-0400-000063000000}"/>
    <hyperlink ref="G102" r:id="rId101" xr:uid="{00000000-0004-0000-0400-000064000000}"/>
    <hyperlink ref="G103" r:id="rId102" xr:uid="{00000000-0004-0000-0400-000065000000}"/>
    <hyperlink ref="G104" r:id="rId103" xr:uid="{00000000-0004-0000-0400-000066000000}"/>
    <hyperlink ref="G105" r:id="rId104" xr:uid="{00000000-0004-0000-0400-000067000000}"/>
    <hyperlink ref="G106" r:id="rId105" xr:uid="{00000000-0004-0000-0400-000068000000}"/>
    <hyperlink ref="G107" r:id="rId106" xr:uid="{00000000-0004-0000-0400-000069000000}"/>
    <hyperlink ref="G108" r:id="rId107" xr:uid="{00000000-0004-0000-0400-00006A000000}"/>
    <hyperlink ref="G109" r:id="rId108" xr:uid="{00000000-0004-0000-0400-00006B000000}"/>
    <hyperlink ref="G110" r:id="rId109" xr:uid="{00000000-0004-0000-0400-00006C000000}"/>
    <hyperlink ref="G111" r:id="rId110" xr:uid="{00000000-0004-0000-0400-00006D000000}"/>
    <hyperlink ref="G112" r:id="rId111" xr:uid="{00000000-0004-0000-0400-00006E000000}"/>
    <hyperlink ref="G113" r:id="rId112" xr:uid="{00000000-0004-0000-0400-00006F000000}"/>
    <hyperlink ref="G114" r:id="rId113" xr:uid="{00000000-0004-0000-0400-000070000000}"/>
    <hyperlink ref="G115" r:id="rId114" xr:uid="{00000000-0004-0000-0400-000071000000}"/>
    <hyperlink ref="G116" r:id="rId115" xr:uid="{00000000-0004-0000-0400-000072000000}"/>
    <hyperlink ref="G117" r:id="rId116" xr:uid="{00000000-0004-0000-0400-000073000000}"/>
    <hyperlink ref="G118" r:id="rId117" xr:uid="{00000000-0004-0000-0400-000074000000}"/>
    <hyperlink ref="G119" r:id="rId118" xr:uid="{00000000-0004-0000-0400-000075000000}"/>
    <hyperlink ref="G120" r:id="rId119" xr:uid="{00000000-0004-0000-0400-000076000000}"/>
    <hyperlink ref="G121" r:id="rId120" xr:uid="{00000000-0004-0000-0400-000077000000}"/>
    <hyperlink ref="G122" r:id="rId121" xr:uid="{00000000-0004-0000-0400-000078000000}"/>
    <hyperlink ref="G123" r:id="rId122" xr:uid="{00000000-0004-0000-0400-000079000000}"/>
    <hyperlink ref="G124" r:id="rId123" xr:uid="{00000000-0004-0000-0400-00007A000000}"/>
    <hyperlink ref="G125" r:id="rId124" xr:uid="{00000000-0004-0000-0400-00007B000000}"/>
    <hyperlink ref="G126" r:id="rId125" xr:uid="{00000000-0004-0000-0400-00007C000000}"/>
    <hyperlink ref="G127" r:id="rId126" xr:uid="{00000000-0004-0000-0400-00007D000000}"/>
    <hyperlink ref="G128" r:id="rId127" xr:uid="{00000000-0004-0000-0400-00007E000000}"/>
    <hyperlink ref="G129" r:id="rId128" xr:uid="{00000000-0004-0000-0400-00007F000000}"/>
    <hyperlink ref="G130" r:id="rId129" xr:uid="{00000000-0004-0000-0400-000080000000}"/>
    <hyperlink ref="G131" r:id="rId130" xr:uid="{00000000-0004-0000-0400-000081000000}"/>
    <hyperlink ref="G132" r:id="rId131" xr:uid="{00000000-0004-0000-0400-000082000000}"/>
    <hyperlink ref="G133" r:id="rId132" xr:uid="{00000000-0004-0000-0400-000083000000}"/>
    <hyperlink ref="G134" r:id="rId133" xr:uid="{00000000-0004-0000-0400-000084000000}"/>
    <hyperlink ref="G135" r:id="rId134" xr:uid="{00000000-0004-0000-0400-000085000000}"/>
    <hyperlink ref="G136" r:id="rId135" xr:uid="{00000000-0004-0000-0400-000086000000}"/>
    <hyperlink ref="G137" r:id="rId136" xr:uid="{00000000-0004-0000-0400-000087000000}"/>
    <hyperlink ref="G138" r:id="rId137" xr:uid="{00000000-0004-0000-0400-000088000000}"/>
    <hyperlink ref="G139" r:id="rId138" xr:uid="{00000000-0004-0000-0400-000089000000}"/>
    <hyperlink ref="G140" r:id="rId139" xr:uid="{00000000-0004-0000-0400-00008A000000}"/>
    <hyperlink ref="G141" r:id="rId140" xr:uid="{00000000-0004-0000-0400-00008B000000}"/>
    <hyperlink ref="G142" r:id="rId141" xr:uid="{00000000-0004-0000-0400-00008C000000}"/>
    <hyperlink ref="G143" r:id="rId142" xr:uid="{00000000-0004-0000-0400-00008D000000}"/>
    <hyperlink ref="G144" r:id="rId143" xr:uid="{00000000-0004-0000-0400-00008E000000}"/>
    <hyperlink ref="G145" r:id="rId144" xr:uid="{00000000-0004-0000-0400-00008F000000}"/>
    <hyperlink ref="G146" r:id="rId145" xr:uid="{00000000-0004-0000-0400-000090000000}"/>
    <hyperlink ref="G147" r:id="rId146" xr:uid="{00000000-0004-0000-0400-000091000000}"/>
    <hyperlink ref="G148" r:id="rId147" xr:uid="{00000000-0004-0000-0400-000092000000}"/>
    <hyperlink ref="G149" r:id="rId148" xr:uid="{00000000-0004-0000-0400-000093000000}"/>
    <hyperlink ref="G150" r:id="rId149" xr:uid="{00000000-0004-0000-0400-000094000000}"/>
    <hyperlink ref="G151" r:id="rId150" xr:uid="{00000000-0004-0000-0400-000095000000}"/>
    <hyperlink ref="G152" r:id="rId151" xr:uid="{00000000-0004-0000-0400-000096000000}"/>
    <hyperlink ref="G153" r:id="rId152" xr:uid="{00000000-0004-0000-0400-000097000000}"/>
    <hyperlink ref="G154" r:id="rId153" xr:uid="{00000000-0004-0000-0400-000098000000}"/>
    <hyperlink ref="G155" r:id="rId154" xr:uid="{00000000-0004-0000-0400-000099000000}"/>
    <hyperlink ref="G156" r:id="rId155" xr:uid="{00000000-0004-0000-0400-00009A000000}"/>
    <hyperlink ref="G157" r:id="rId156" xr:uid="{00000000-0004-0000-0400-00009B000000}"/>
    <hyperlink ref="G158" r:id="rId157" xr:uid="{00000000-0004-0000-0400-00009C000000}"/>
    <hyperlink ref="G159" r:id="rId158" xr:uid="{00000000-0004-0000-0400-00009D000000}"/>
    <hyperlink ref="G160" r:id="rId159" xr:uid="{00000000-0004-0000-0400-00009E000000}"/>
    <hyperlink ref="G161" r:id="rId160" xr:uid="{00000000-0004-0000-0400-00009F000000}"/>
    <hyperlink ref="G162" r:id="rId161" xr:uid="{00000000-0004-0000-0400-0000A0000000}"/>
    <hyperlink ref="G163" r:id="rId162" xr:uid="{00000000-0004-0000-0400-0000A1000000}"/>
    <hyperlink ref="G164" r:id="rId163" xr:uid="{00000000-0004-0000-0400-0000A2000000}"/>
    <hyperlink ref="G165" r:id="rId164" xr:uid="{00000000-0004-0000-0400-0000A3000000}"/>
    <hyperlink ref="G166" r:id="rId165" xr:uid="{00000000-0004-0000-0400-0000A4000000}"/>
    <hyperlink ref="G167" r:id="rId166" xr:uid="{00000000-0004-0000-0400-0000A5000000}"/>
    <hyperlink ref="G168" r:id="rId167" xr:uid="{00000000-0004-0000-0400-0000A6000000}"/>
    <hyperlink ref="G169" r:id="rId168" xr:uid="{00000000-0004-0000-0400-0000A7000000}"/>
    <hyperlink ref="G170" r:id="rId169" xr:uid="{00000000-0004-0000-0400-0000A8000000}"/>
    <hyperlink ref="G171" r:id="rId170" xr:uid="{00000000-0004-0000-0400-0000A9000000}"/>
    <hyperlink ref="G172" r:id="rId171" xr:uid="{00000000-0004-0000-0400-0000AA000000}"/>
    <hyperlink ref="G173" r:id="rId172" xr:uid="{00000000-0004-0000-0400-0000AB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1036"/>
  <sheetViews>
    <sheetView workbookViewId="0">
      <pane ySplit="1" topLeftCell="A2" activePane="bottomLeft" state="frozen"/>
      <selection pane="bottomLeft" activeCell="I13" sqref="I13"/>
    </sheetView>
  </sheetViews>
  <sheetFormatPr defaultColWidth="12.6640625" defaultRowHeight="15.75" customHeight="1"/>
  <cols>
    <col min="1" max="1" width="10.33203125" customWidth="1"/>
    <col min="2" max="2" width="25.33203125" customWidth="1"/>
    <col min="3" max="3" width="7.44140625" customWidth="1"/>
    <col min="5" max="5" width="7.77734375" customWidth="1"/>
    <col min="7" max="7" width="8.77734375" customWidth="1"/>
    <col min="9" max="9" width="42.44140625" customWidth="1"/>
  </cols>
  <sheetData>
    <row r="1" spans="1:11">
      <c r="A1" s="68" t="s">
        <v>2249</v>
      </c>
      <c r="B1" s="68" t="s">
        <v>2250</v>
      </c>
      <c r="C1" s="68" t="s">
        <v>2251</v>
      </c>
      <c r="D1" s="68" t="s">
        <v>2252</v>
      </c>
      <c r="E1" s="68" t="s">
        <v>2253</v>
      </c>
      <c r="F1" s="68" t="s">
        <v>2254</v>
      </c>
      <c r="G1" s="68" t="s">
        <v>2255</v>
      </c>
      <c r="H1" s="68" t="s">
        <v>2256</v>
      </c>
      <c r="I1" s="2" t="s">
        <v>2257</v>
      </c>
      <c r="J1" s="3" t="s">
        <v>10</v>
      </c>
      <c r="K1" s="50" t="s">
        <v>11</v>
      </c>
    </row>
    <row r="2" spans="1:11">
      <c r="A2" s="7">
        <v>1</v>
      </c>
      <c r="B2" s="8" t="str">
        <f>VLOOKUP(A2,vaccines!A:B,2)</f>
        <v>BCG_Microgen</v>
      </c>
      <c r="C2" s="7">
        <v>1</v>
      </c>
      <c r="D2" s="8" t="str">
        <f>VLOOKUP(C2,ages_from_list!A:C,3)</f>
        <v>0 дней</v>
      </c>
      <c r="E2" s="7">
        <v>15</v>
      </c>
      <c r="F2" s="8" t="str">
        <f>VLOOKUP(E2,ages_through_list!A:C,3)</f>
        <v>7 лет</v>
      </c>
      <c r="G2" s="7">
        <v>10</v>
      </c>
      <c r="H2" s="30" t="str">
        <f>VLOOKUP(G2,routes_of_administration_list!A:B,2)</f>
        <v>внутрикожно на границе верхней и средней трети левого плеча</v>
      </c>
      <c r="I2" s="8"/>
      <c r="J2" s="11">
        <v>44712</v>
      </c>
      <c r="K2" s="58"/>
    </row>
    <row r="3" spans="1:11">
      <c r="A3" s="7">
        <v>2</v>
      </c>
      <c r="B3" s="8" t="str">
        <f>VLOOKUP(A3,vaccines!A:B,2)</f>
        <v>BCG_M_Microgen</v>
      </c>
      <c r="C3" s="7">
        <v>1</v>
      </c>
      <c r="D3" s="8" t="str">
        <f>VLOOKUP(C3,ages_from_list!A:C,3)</f>
        <v>0 дней</v>
      </c>
      <c r="E3" s="7">
        <v>15</v>
      </c>
      <c r="F3" s="8" t="str">
        <f>VLOOKUP(E3,ages_through_list!A:C,3)</f>
        <v>7 лет</v>
      </c>
      <c r="G3" s="7">
        <v>10</v>
      </c>
      <c r="H3" s="30" t="str">
        <f>VLOOKUP(G3,routes_of_administration_list!A:B,2)</f>
        <v>внутрикожно на границе верхней и средней трети левого плеча</v>
      </c>
      <c r="I3" s="8"/>
      <c r="J3" s="11">
        <v>44712</v>
      </c>
      <c r="K3" s="58"/>
    </row>
    <row r="4" spans="1:11">
      <c r="A4" s="7">
        <v>3</v>
      </c>
      <c r="B4" s="8" t="str">
        <f>VLOOKUP(A4,vaccines!A:B,2)</f>
        <v>BCG_Gamaleya</v>
      </c>
      <c r="C4" s="7">
        <v>1</v>
      </c>
      <c r="D4" s="8" t="str">
        <f>VLOOKUP(C4,ages_from_list!A:C,3)</f>
        <v>0 дней</v>
      </c>
      <c r="E4" s="7">
        <v>15</v>
      </c>
      <c r="F4" s="8" t="str">
        <f>VLOOKUP(E4,ages_through_list!A:C,3)</f>
        <v>7 лет</v>
      </c>
      <c r="G4" s="7">
        <v>10</v>
      </c>
      <c r="H4" s="30" t="str">
        <f>VLOOKUP(G4,routes_of_administration_list!A:B,2)</f>
        <v>внутрикожно на границе верхней и средней трети левого плеча</v>
      </c>
      <c r="I4" s="8"/>
      <c r="J4" s="11">
        <v>44712</v>
      </c>
      <c r="K4" s="58"/>
    </row>
    <row r="5" spans="1:11">
      <c r="A5" s="7">
        <v>4</v>
      </c>
      <c r="B5" s="8" t="str">
        <f>VLOOKUP(A5,vaccines!A:B,2)</f>
        <v>BCG_M_Gamaleya</v>
      </c>
      <c r="C5" s="7">
        <v>1</v>
      </c>
      <c r="D5" s="8" t="str">
        <f>VLOOKUP(C5,ages_from_list!A:C,3)</f>
        <v>0 дней</v>
      </c>
      <c r="E5" s="7">
        <v>15</v>
      </c>
      <c r="F5" s="8" t="str">
        <f>VLOOKUP(E5,ages_through_list!A:C,3)</f>
        <v>7 лет</v>
      </c>
      <c r="G5" s="7">
        <v>10</v>
      </c>
      <c r="H5" s="30" t="str">
        <f>VLOOKUP(G5,routes_of_administration_list!A:B,2)</f>
        <v>внутрикожно на границе верхней и средней трети левого плеча</v>
      </c>
      <c r="I5" s="8"/>
      <c r="J5" s="11">
        <v>44712</v>
      </c>
      <c r="K5" s="58"/>
    </row>
    <row r="6" spans="1:11">
      <c r="A6" s="7">
        <v>5</v>
      </c>
      <c r="B6" s="8" t="str">
        <f>VLOOKUP(A6,vaccines!A:B,2)</f>
        <v>Infanrix</v>
      </c>
      <c r="C6" s="7">
        <v>3</v>
      </c>
      <c r="D6" s="8" t="str">
        <f>VLOOKUP(C6,ages_from_list!A:C,3)</f>
        <v>2 месяцев</v>
      </c>
      <c r="E6" s="7">
        <v>15</v>
      </c>
      <c r="F6" s="8" t="str">
        <f>VLOOKUP(E6,ages_through_list!A:C,3)</f>
        <v>7 лет</v>
      </c>
      <c r="G6" s="7">
        <v>1</v>
      </c>
      <c r="H6" s="30" t="str">
        <f>VLOOKUP(G6,routes_of_administration_list!A:B,2)</f>
        <v>внутримышечно в передненаружную область бедра</v>
      </c>
      <c r="I6" s="8"/>
      <c r="J6" s="11">
        <v>44712</v>
      </c>
      <c r="K6" s="53">
        <v>44904</v>
      </c>
    </row>
    <row r="7" spans="1:11">
      <c r="A7" s="7">
        <v>6</v>
      </c>
      <c r="B7" s="8" t="str">
        <f>VLOOKUP(A7,vaccines!A:B,2)</f>
        <v>AKDS_Microgen</v>
      </c>
      <c r="C7" s="7">
        <v>4</v>
      </c>
      <c r="D7" s="8" t="str">
        <f>VLOOKUP(C7,ages_from_list!A:C,3)</f>
        <v>3 месяцев</v>
      </c>
      <c r="E7" s="7">
        <v>3</v>
      </c>
      <c r="F7" s="8" t="str">
        <f>VLOOKUP(E7,ages_through_list!A:C,3)</f>
        <v>3 лет 11 месяцев</v>
      </c>
      <c r="G7" s="7">
        <v>1</v>
      </c>
      <c r="H7" s="30" t="str">
        <f>VLOOKUP(G7,routes_of_administration_list!A:B,2)</f>
        <v>внутримышечно в передненаружную область бедра</v>
      </c>
      <c r="I7" s="8"/>
      <c r="J7" s="11">
        <v>44712</v>
      </c>
      <c r="K7" s="58"/>
    </row>
    <row r="8" spans="1:11">
      <c r="A8" s="54">
        <v>6</v>
      </c>
      <c r="B8" s="8" t="str">
        <f>VLOOKUP(A8,vaccines!A:B,2)</f>
        <v>AKDS_Microgen</v>
      </c>
      <c r="C8" s="54">
        <v>10</v>
      </c>
      <c r="D8" s="8" t="str">
        <f>VLOOKUP(C8,ages_from_list!A:C,3)</f>
        <v>36 месяцев (3 лет)</v>
      </c>
      <c r="E8" s="54">
        <v>3</v>
      </c>
      <c r="F8" s="8" t="str">
        <f>VLOOKUP(E8,ages_through_list!A:C,3)</f>
        <v>3 лет 11 месяцев</v>
      </c>
      <c r="G8" s="54">
        <v>4</v>
      </c>
      <c r="H8" s="30" t="str">
        <f>VLOOKUP(G8,routes_of_administration_list!A:B,2)</f>
        <v>внутримышечно в дельтовидную мышцу</v>
      </c>
      <c r="I8" s="8"/>
      <c r="J8" s="12">
        <v>45461</v>
      </c>
      <c r="K8" s="58"/>
    </row>
    <row r="9" spans="1:11">
      <c r="A9" s="7">
        <v>7</v>
      </c>
      <c r="B9" s="8" t="str">
        <f>VLOOKUP(A9,vaccines!A:B,2)</f>
        <v>AKDS_Biomed</v>
      </c>
      <c r="C9" s="7">
        <v>4</v>
      </c>
      <c r="D9" s="8" t="str">
        <f>VLOOKUP(C9,ages_from_list!A:C,3)</f>
        <v>3 месяцев</v>
      </c>
      <c r="E9" s="7">
        <v>3</v>
      </c>
      <c r="F9" s="8" t="str">
        <f>VLOOKUP(E9,ages_through_list!A:C,3)</f>
        <v>3 лет 11 месяцев</v>
      </c>
      <c r="G9" s="7">
        <v>1</v>
      </c>
      <c r="H9" s="30" t="str">
        <f>VLOOKUP(G9,routes_of_administration_list!A:B,2)</f>
        <v>внутримышечно в передненаружную область бедра</v>
      </c>
      <c r="I9" s="8"/>
      <c r="J9" s="11">
        <v>44712</v>
      </c>
      <c r="K9" s="58"/>
    </row>
    <row r="10" spans="1:11">
      <c r="A10" s="7">
        <v>8</v>
      </c>
      <c r="B10" s="8" t="str">
        <f>VLOOKUP(A10,vaccines!A:B,2)</f>
        <v>Bubo_kok</v>
      </c>
      <c r="C10" s="7">
        <v>1</v>
      </c>
      <c r="D10" s="8" t="str">
        <f>VLOOKUP(C10,ages_from_list!A:C,3)</f>
        <v>0 дней</v>
      </c>
      <c r="E10" s="7">
        <v>3</v>
      </c>
      <c r="F10" s="8" t="str">
        <f>VLOOKUP(E10,ages_through_list!A:C,3)</f>
        <v>3 лет 11 месяцев</v>
      </c>
      <c r="G10" s="7">
        <v>1</v>
      </c>
      <c r="H10" s="30" t="str">
        <f>VLOOKUP(G10,routes_of_administration_list!A:B,2)</f>
        <v>внутримышечно в передненаружную область бедра</v>
      </c>
      <c r="I10" s="8"/>
      <c r="J10" s="11">
        <v>44712</v>
      </c>
      <c r="K10" s="58"/>
    </row>
    <row r="11" spans="1:11">
      <c r="A11" s="7">
        <v>9</v>
      </c>
      <c r="B11" s="8" t="str">
        <f>VLOOKUP(A11,vaccines!A:B,2)</f>
        <v>Pentaxim</v>
      </c>
      <c r="C11" s="7">
        <v>3</v>
      </c>
      <c r="D11" s="8" t="str">
        <f>VLOOKUP(C11,ages_from_list!A:C,3)</f>
        <v>2 месяцев</v>
      </c>
      <c r="E11" s="7">
        <v>14</v>
      </c>
      <c r="F11" s="8" t="str">
        <f>VLOOKUP(E11,ages_through_list!A:C,3)</f>
        <v>24 месяцев (2 лет)</v>
      </c>
      <c r="G11" s="7">
        <v>1</v>
      </c>
      <c r="H11" s="30" t="str">
        <f>VLOOKUP(G11,routes_of_administration_list!A:B,2)</f>
        <v>внутримышечно в передненаружную область бедра</v>
      </c>
      <c r="I11" s="8"/>
      <c r="J11" s="11">
        <v>44712</v>
      </c>
      <c r="K11" s="58"/>
    </row>
    <row r="12" spans="1:11">
      <c r="A12" s="7">
        <v>9</v>
      </c>
      <c r="B12" s="8" t="str">
        <f>VLOOKUP(A12,vaccines!A:B,2)</f>
        <v>Pentaxim</v>
      </c>
      <c r="C12" s="7">
        <v>19</v>
      </c>
      <c r="D12" s="8" t="str">
        <f>VLOOKUP(C12,ages_from_list!A:C,3)</f>
        <v>25 месяцев (2 лет 1 месяца)</v>
      </c>
      <c r="E12" s="7">
        <v>3</v>
      </c>
      <c r="F12" s="8" t="str">
        <f>VLOOKUP(E12,ages_through_list!A:C,3)</f>
        <v>3 лет 11 месяцев</v>
      </c>
      <c r="G12" s="7">
        <v>4</v>
      </c>
      <c r="H12" s="30" t="str">
        <f>VLOOKUP(G12,routes_of_administration_list!A:B,2)</f>
        <v>внутримышечно в дельтовидную мышцу</v>
      </c>
      <c r="I12" s="8"/>
      <c r="J12" s="11">
        <v>44712</v>
      </c>
      <c r="K12" s="58"/>
    </row>
    <row r="13" spans="1:11">
      <c r="A13" s="7">
        <v>9</v>
      </c>
      <c r="B13" s="8" t="str">
        <f>VLOOKUP(A13,vaccines!A:B,2)</f>
        <v>Pentaxim</v>
      </c>
      <c r="C13" s="7">
        <v>11</v>
      </c>
      <c r="D13" s="8" t="str">
        <f>VLOOKUP(C13,ages_from_list!A:C,3)</f>
        <v>4 лет</v>
      </c>
      <c r="E13" s="7">
        <v>4</v>
      </c>
      <c r="F13" s="8" t="str">
        <f>VLOOKUP(E13,ages_through_list!A:C,3)</f>
        <v>5 лет</v>
      </c>
      <c r="G13" s="7">
        <v>5</v>
      </c>
      <c r="H13" s="30" t="str">
        <f>VLOOKUP(G13,routes_of_administration_list!A:B,2)</f>
        <v>внутримышечно в дельтовидную мышцу</v>
      </c>
      <c r="I13" s="8"/>
      <c r="J13" s="11">
        <v>44712</v>
      </c>
      <c r="K13" s="58"/>
    </row>
    <row r="14" spans="1:11">
      <c r="A14" s="7">
        <v>10</v>
      </c>
      <c r="B14" s="8" t="str">
        <f>VLOOKUP(A14,vaccines!A:B,2)</f>
        <v>Infanrix_Hexa</v>
      </c>
      <c r="C14" s="7">
        <v>3</v>
      </c>
      <c r="D14" s="8" t="str">
        <f>VLOOKUP(C14,ages_from_list!A:C,3)</f>
        <v>2 месяцев</v>
      </c>
      <c r="E14" s="54">
        <v>14</v>
      </c>
      <c r="F14" s="8" t="str">
        <f>VLOOKUP(E14,ages_through_list!A:C,3)</f>
        <v>24 месяцев (2 лет)</v>
      </c>
      <c r="G14" s="7">
        <v>1</v>
      </c>
      <c r="H14" s="30" t="str">
        <f>VLOOKUP(G14,routes_of_administration_list!A:B,2)</f>
        <v>внутримышечно в передненаружную область бедра</v>
      </c>
      <c r="I14" s="8"/>
      <c r="J14" s="11">
        <v>44712</v>
      </c>
      <c r="K14" s="12">
        <v>46000</v>
      </c>
    </row>
    <row r="15" spans="1:11">
      <c r="A15" s="7">
        <v>10</v>
      </c>
      <c r="B15" s="8" t="str">
        <f>VLOOKUP(A15,vaccines!A:B,2)</f>
        <v>Infanrix_Hexa</v>
      </c>
      <c r="C15" s="54">
        <v>25</v>
      </c>
      <c r="D15" s="8" t="str">
        <f>VLOOKUP(C15,ages_from_list!A:C,3)</f>
        <v>15 месяцев</v>
      </c>
      <c r="E15" s="54">
        <v>14</v>
      </c>
      <c r="F15" s="8" t="str">
        <f>VLOOKUP(E15,ages_through_list!A:C,3)</f>
        <v>24 месяцев (2 лет)</v>
      </c>
      <c r="G15" s="54">
        <v>5</v>
      </c>
      <c r="H15" s="30" t="str">
        <f>VLOOKUP(G15,routes_of_administration_list!A:B,2)</f>
        <v>внутримышечно в дельтовидную мышцу</v>
      </c>
      <c r="I15" s="8"/>
      <c r="J15" s="12">
        <v>46000</v>
      </c>
      <c r="K15" s="52"/>
    </row>
    <row r="16" spans="1:11">
      <c r="A16" s="7">
        <v>11</v>
      </c>
      <c r="B16" s="8" t="str">
        <f>VLOOKUP(A16,vaccines!A:B,2)</f>
        <v>Bubo_M</v>
      </c>
      <c r="C16" s="7">
        <v>12</v>
      </c>
      <c r="D16" s="8" t="str">
        <f>VLOOKUP(C16,ages_from_list!A:C,3)</f>
        <v>6 лет</v>
      </c>
      <c r="E16" s="7">
        <v>13</v>
      </c>
      <c r="F16" s="8" t="str">
        <f>VLOOKUP(E16,ages_through_list!A:C,3)</f>
        <v>∞</v>
      </c>
      <c r="G16" s="7">
        <v>3</v>
      </c>
      <c r="H16" s="30" t="str">
        <f>VLOOKUP(G16,routes_of_administration_list!A:B,2)</f>
        <v>внутримышечно в дельтовидную мышцу</v>
      </c>
      <c r="I16" s="8"/>
      <c r="J16" s="11">
        <v>44712</v>
      </c>
      <c r="K16" s="58"/>
    </row>
    <row r="17" spans="1:11">
      <c r="A17" s="7">
        <v>12</v>
      </c>
      <c r="B17" s="8" t="str">
        <f>VLOOKUP(A17,vaccines!A:B,2)</f>
        <v>AD_M_Microgen</v>
      </c>
      <c r="C17" s="7">
        <v>12</v>
      </c>
      <c r="D17" s="8" t="str">
        <f>VLOOKUP(C17,ages_from_list!A:C,3)</f>
        <v>6 лет</v>
      </c>
      <c r="E17" s="7">
        <v>15</v>
      </c>
      <c r="F17" s="8" t="str">
        <f>VLOOKUP(E17,ages_through_list!A:C,3)</f>
        <v>7 лет</v>
      </c>
      <c r="G17" s="7">
        <v>1</v>
      </c>
      <c r="H17" s="30" t="str">
        <f>VLOOKUP(G17,routes_of_administration_list!A:B,2)</f>
        <v>внутримышечно в передненаружную область бедра</v>
      </c>
      <c r="I17" s="1" t="s">
        <v>2258</v>
      </c>
      <c r="J17" s="11">
        <v>44712</v>
      </c>
      <c r="K17" s="58"/>
    </row>
    <row r="18" spans="1:11">
      <c r="A18" s="7">
        <v>12</v>
      </c>
      <c r="B18" s="8" t="str">
        <f>VLOOKUP(A18,vaccines!A:B,2)</f>
        <v>AD_M_Microgen</v>
      </c>
      <c r="C18" s="7">
        <v>20</v>
      </c>
      <c r="D18" s="8" t="str">
        <f>VLOOKUP(C18,ages_from_list!A:C,3)</f>
        <v>8 лет</v>
      </c>
      <c r="E18" s="7">
        <v>13</v>
      </c>
      <c r="F18" s="8" t="str">
        <f>VLOOKUP(E18,ages_through_list!A:C,3)</f>
        <v>∞</v>
      </c>
      <c r="G18" s="7">
        <v>8</v>
      </c>
      <c r="H18" s="30" t="str">
        <f>VLOOKUP(G18,routes_of_administration_list!A:B,2)</f>
        <v>подкожно в подлопаточную область</v>
      </c>
      <c r="I18" s="8"/>
      <c r="J18" s="11">
        <v>44712</v>
      </c>
      <c r="K18" s="58"/>
    </row>
    <row r="19" spans="1:11">
      <c r="A19" s="7">
        <v>13</v>
      </c>
      <c r="B19" s="8" t="str">
        <f>VLOOKUP(A19,vaccines!A:B,2)</f>
        <v>ADS_Microgen</v>
      </c>
      <c r="C19" s="7">
        <v>4</v>
      </c>
      <c r="D19" s="8" t="str">
        <f>VLOOKUP(C19,ages_from_list!A:C,3)</f>
        <v>3 месяцев</v>
      </c>
      <c r="E19" s="7">
        <v>4</v>
      </c>
      <c r="F19" s="8" t="str">
        <f>VLOOKUP(E19,ages_through_list!A:C,3)</f>
        <v>5 лет</v>
      </c>
      <c r="G19" s="7">
        <v>1</v>
      </c>
      <c r="H19" s="30" t="str">
        <f>VLOOKUP(G19,routes_of_administration_list!A:B,2)</f>
        <v>внутримышечно в передненаружную область бедра</v>
      </c>
      <c r="I19" s="8"/>
      <c r="J19" s="11">
        <v>44712</v>
      </c>
      <c r="K19" s="58"/>
    </row>
    <row r="20" spans="1:11">
      <c r="A20" s="7">
        <v>14</v>
      </c>
      <c r="B20" s="8" t="str">
        <f>VLOOKUP(A20,vaccines!A:B,2)</f>
        <v>ADS_M_Microgen</v>
      </c>
      <c r="C20" s="54">
        <v>5</v>
      </c>
      <c r="D20" s="8" t="str">
        <f>VLOOKUP(C20,ages_from_list!A:C,3)</f>
        <v>6 месяцев</v>
      </c>
      <c r="E20" s="7">
        <v>15</v>
      </c>
      <c r="F20" s="8" t="str">
        <f>VLOOKUP(E20,ages_through_list!A:C,3)</f>
        <v>7 лет</v>
      </c>
      <c r="G20" s="7">
        <v>1</v>
      </c>
      <c r="H20" s="30" t="str">
        <f>VLOOKUP(G20,routes_of_administration_list!A:B,2)</f>
        <v>внутримышечно в передненаружную область бедра</v>
      </c>
      <c r="I20" s="2"/>
      <c r="J20" s="11">
        <v>44712</v>
      </c>
      <c r="K20" s="57">
        <v>45518</v>
      </c>
    </row>
    <row r="21" spans="1:11">
      <c r="A21" s="7">
        <v>14</v>
      </c>
      <c r="B21" s="8" t="str">
        <f>VLOOKUP(A21,vaccines!A:B,2)</f>
        <v>ADS_M_Microgen</v>
      </c>
      <c r="C21" s="7">
        <v>20</v>
      </c>
      <c r="D21" s="8" t="str">
        <f>VLOOKUP(C21,ages_from_list!A:C,3)</f>
        <v>8 лет</v>
      </c>
      <c r="E21" s="7">
        <v>13</v>
      </c>
      <c r="F21" s="8" t="str">
        <f>VLOOKUP(E21,ages_through_list!A:C,3)</f>
        <v>∞</v>
      </c>
      <c r="G21" s="7">
        <v>8</v>
      </c>
      <c r="H21" s="30" t="str">
        <f>VLOOKUP(G21,routes_of_administration_list!A:B,2)</f>
        <v>подкожно в подлопаточную область</v>
      </c>
      <c r="I21" s="8"/>
      <c r="J21" s="11">
        <v>44712</v>
      </c>
      <c r="K21" s="58"/>
    </row>
    <row r="22" spans="1:11">
      <c r="A22" s="7">
        <v>15</v>
      </c>
      <c r="B22" s="8" t="str">
        <f>VLOOKUP(A22,vaccines!A:B,2)</f>
        <v>ADS_M_Biomed</v>
      </c>
      <c r="C22" s="7">
        <v>12</v>
      </c>
      <c r="D22" s="8" t="str">
        <f>VLOOKUP(C22,ages_from_list!A:C,3)</f>
        <v>6 лет</v>
      </c>
      <c r="E22" s="7">
        <v>15</v>
      </c>
      <c r="F22" s="8" t="str">
        <f>VLOOKUP(E22,ages_through_list!A:C,3)</f>
        <v>7 лет</v>
      </c>
      <c r="G22" s="7">
        <v>1</v>
      </c>
      <c r="H22" s="30" t="str">
        <f>VLOOKUP(G22,routes_of_administration_list!A:B,2)</f>
        <v>внутримышечно в передненаружную область бедра</v>
      </c>
      <c r="I22" s="1" t="s">
        <v>2259</v>
      </c>
      <c r="J22" s="11">
        <v>44712</v>
      </c>
      <c r="K22" s="58"/>
    </row>
    <row r="23" spans="1:11">
      <c r="A23" s="7">
        <v>15</v>
      </c>
      <c r="B23" s="8" t="str">
        <f>VLOOKUP(A23,vaccines!A:B,2)</f>
        <v>ADS_M_Biomed</v>
      </c>
      <c r="C23" s="7">
        <v>20</v>
      </c>
      <c r="D23" s="8" t="str">
        <f>VLOOKUP(C23,ages_from_list!A:C,3)</f>
        <v>8 лет</v>
      </c>
      <c r="E23" s="7">
        <v>13</v>
      </c>
      <c r="F23" s="8" t="str">
        <f>VLOOKUP(E23,ages_through_list!A:C,3)</f>
        <v>∞</v>
      </c>
      <c r="G23" s="7">
        <v>8</v>
      </c>
      <c r="H23" s="30" t="str">
        <f>VLOOKUP(G23,routes_of_administration_list!A:B,2)</f>
        <v>подкожно в подлопаточную область</v>
      </c>
      <c r="I23" s="8"/>
      <c r="J23" s="11">
        <v>44712</v>
      </c>
      <c r="K23" s="58"/>
    </row>
    <row r="24" spans="1:11">
      <c r="A24" s="7">
        <v>16</v>
      </c>
      <c r="B24" s="8" t="str">
        <f>VLOOKUP(A24,vaccines!A:B,2)</f>
        <v>Adacel</v>
      </c>
      <c r="C24" s="7">
        <v>11</v>
      </c>
      <c r="D24" s="8" t="str">
        <f>VLOOKUP(C24,ages_from_list!A:C,3)</f>
        <v>4 лет</v>
      </c>
      <c r="E24" s="7">
        <v>4</v>
      </c>
      <c r="F24" s="8" t="str">
        <f>VLOOKUP(E24,ages_through_list!A:C,3)</f>
        <v>5 лет</v>
      </c>
      <c r="G24" s="7">
        <v>5</v>
      </c>
      <c r="H24" s="30" t="str">
        <f>VLOOKUP(G24,routes_of_administration_list!A:B,2)</f>
        <v>внутримышечно в дельтовидную мышцу</v>
      </c>
      <c r="I24" s="8"/>
      <c r="J24" s="11">
        <v>44712</v>
      </c>
      <c r="K24" s="58"/>
    </row>
    <row r="25" spans="1:11">
      <c r="A25" s="7">
        <v>16</v>
      </c>
      <c r="B25" s="8" t="str">
        <f>VLOOKUP(A25,vaccines!A:B,2)</f>
        <v>Adacel</v>
      </c>
      <c r="C25" s="7">
        <v>12</v>
      </c>
      <c r="D25" s="8" t="str">
        <f>VLOOKUP(C25,ages_from_list!A:C,3)</f>
        <v>6 лет</v>
      </c>
      <c r="E25" s="54">
        <v>13</v>
      </c>
      <c r="F25" s="8" t="str">
        <f>VLOOKUP(E25,ages_through_list!A:C,3)</f>
        <v>∞</v>
      </c>
      <c r="G25" s="7">
        <v>3</v>
      </c>
      <c r="H25" s="30" t="str">
        <f>VLOOKUP(G25,routes_of_administration_list!A:B,2)</f>
        <v>внутримышечно в дельтовидную мышцу</v>
      </c>
      <c r="I25" s="8"/>
      <c r="J25" s="11">
        <v>44712</v>
      </c>
      <c r="K25" s="57">
        <v>45240</v>
      </c>
    </row>
    <row r="26" spans="1:11">
      <c r="A26" s="7">
        <v>17</v>
      </c>
      <c r="B26" s="8" t="str">
        <f>VLOOKUP(A26,vaccines!A:B,2)</f>
        <v>Algavac_M</v>
      </c>
      <c r="C26" s="7">
        <v>10</v>
      </c>
      <c r="D26" s="8" t="str">
        <f>VLOOKUP(C26,ages_from_list!A:C,3)</f>
        <v>36 месяцев (3 лет)</v>
      </c>
      <c r="E26" s="7">
        <v>3</v>
      </c>
      <c r="F26" s="8" t="str">
        <f>VLOOKUP(E26,ages_through_list!A:C,3)</f>
        <v>3 лет 11 месяцев</v>
      </c>
      <c r="G26" s="7">
        <v>4</v>
      </c>
      <c r="H26" s="30" t="str">
        <f>VLOOKUP(G26,routes_of_administration_list!A:B,2)</f>
        <v>внутримышечно в дельтовидную мышцу</v>
      </c>
      <c r="I26" s="8"/>
      <c r="J26" s="11">
        <v>44712</v>
      </c>
      <c r="K26" s="58"/>
    </row>
    <row r="27" spans="1:11">
      <c r="A27" s="7">
        <v>17</v>
      </c>
      <c r="B27" s="8" t="str">
        <f>VLOOKUP(A27,vaccines!A:B,2)</f>
        <v>Algavac_M</v>
      </c>
      <c r="C27" s="7">
        <v>11</v>
      </c>
      <c r="D27" s="8" t="str">
        <f>VLOOKUP(C27,ages_from_list!A:C,3)</f>
        <v>4 лет</v>
      </c>
      <c r="E27" s="7">
        <v>4</v>
      </c>
      <c r="F27" s="8" t="str">
        <f>VLOOKUP(E27,ages_through_list!A:C,3)</f>
        <v>5 лет</v>
      </c>
      <c r="G27" s="7">
        <v>5</v>
      </c>
      <c r="H27" s="30" t="str">
        <f>VLOOKUP(G27,routes_of_administration_list!A:B,2)</f>
        <v>внутримышечно в дельтовидную мышцу</v>
      </c>
      <c r="I27" s="8"/>
      <c r="J27" s="11">
        <v>44712</v>
      </c>
      <c r="K27" s="58"/>
    </row>
    <row r="28" spans="1:11">
      <c r="A28" s="7">
        <v>17</v>
      </c>
      <c r="B28" s="8" t="str">
        <f>VLOOKUP(A28,vaccines!A:B,2)</f>
        <v>Algavac_M</v>
      </c>
      <c r="C28" s="7">
        <v>12</v>
      </c>
      <c r="D28" s="8" t="str">
        <f>VLOOKUP(C28,ages_from_list!A:C,3)</f>
        <v>6 лет</v>
      </c>
      <c r="E28" s="7">
        <v>13</v>
      </c>
      <c r="F28" s="8" t="str">
        <f>VLOOKUP(E28,ages_through_list!A:C,3)</f>
        <v>∞</v>
      </c>
      <c r="G28" s="7">
        <v>3</v>
      </c>
      <c r="H28" s="30" t="str">
        <f>VLOOKUP(G28,routes_of_administration_list!A:B,2)</f>
        <v>внутримышечно в дельтовидную мышцу</v>
      </c>
      <c r="I28" s="8"/>
      <c r="J28" s="11">
        <v>44712</v>
      </c>
      <c r="K28" s="58"/>
    </row>
    <row r="29" spans="1:11">
      <c r="A29" s="7">
        <v>18</v>
      </c>
      <c r="B29" s="8" t="str">
        <f>VLOOKUP(A29,vaccines!A:B,2)</f>
        <v>Algavac</v>
      </c>
      <c r="C29" s="7">
        <v>18</v>
      </c>
      <c r="D29" s="8" t="str">
        <f>VLOOKUP(C29,ages_from_list!A:C,3)</f>
        <v>18 лет</v>
      </c>
      <c r="E29" s="7">
        <v>8</v>
      </c>
      <c r="F29" s="8" t="str">
        <f>VLOOKUP(E29,ages_through_list!A:C,3)</f>
        <v>50 лет</v>
      </c>
      <c r="G29" s="7">
        <v>3</v>
      </c>
      <c r="H29" s="30" t="str">
        <f>VLOOKUP(G29,routes_of_administration_list!A:B,2)</f>
        <v>внутримышечно в дельтовидную мышцу</v>
      </c>
      <c r="I29" s="8"/>
      <c r="J29" s="11">
        <v>44712</v>
      </c>
      <c r="K29" s="58"/>
    </row>
    <row r="30" spans="1:11">
      <c r="A30" s="7">
        <v>19</v>
      </c>
      <c r="B30" s="8" t="str">
        <f>VLOOKUP(A30,vaccines!A:B,2)</f>
        <v>Havrix_720</v>
      </c>
      <c r="C30" s="7">
        <v>8</v>
      </c>
      <c r="D30" s="8" t="str">
        <f>VLOOKUP(C30,ages_from_list!A:C,3)</f>
        <v>12 месяцев</v>
      </c>
      <c r="E30" s="54">
        <v>22</v>
      </c>
      <c r="F30" s="8" t="str">
        <f>VLOOKUP(E30,ages_through_list!A:C,3)</f>
        <v>23 месяцев</v>
      </c>
      <c r="G30" s="7">
        <v>1</v>
      </c>
      <c r="H30" s="30" t="str">
        <f>VLOOKUP(G30,routes_of_administration_list!A:B,2)</f>
        <v>внутримышечно в передненаружную область бедра</v>
      </c>
      <c r="I30" s="8"/>
      <c r="J30" s="11">
        <v>44712</v>
      </c>
      <c r="K30" s="57">
        <v>45558</v>
      </c>
    </row>
    <row r="31" spans="1:11">
      <c r="A31" s="7">
        <v>19</v>
      </c>
      <c r="B31" s="8" t="str">
        <f>VLOOKUP(A31,vaccines!A:B,2)</f>
        <v>Havrix_720</v>
      </c>
      <c r="C31" s="54">
        <v>9</v>
      </c>
      <c r="D31" s="8" t="str">
        <f>VLOOKUP(C31,ages_from_list!A:C,3)</f>
        <v>24 месяцев (2 лет)</v>
      </c>
      <c r="E31" s="7">
        <v>3</v>
      </c>
      <c r="F31" s="8" t="str">
        <f>VLOOKUP(E31,ages_through_list!A:C,3)</f>
        <v>3 лет 11 месяцев</v>
      </c>
      <c r="G31" s="7">
        <v>4</v>
      </c>
      <c r="H31" s="30" t="str">
        <f>VLOOKUP(G31,routes_of_administration_list!A:B,2)</f>
        <v>внутримышечно в дельтовидную мышцу</v>
      </c>
      <c r="I31" s="8"/>
      <c r="J31" s="11">
        <v>44712</v>
      </c>
      <c r="K31" s="57">
        <v>45558</v>
      </c>
    </row>
    <row r="32" spans="1:11">
      <c r="A32" s="7">
        <v>19</v>
      </c>
      <c r="B32" s="8" t="str">
        <f>VLOOKUP(A32,vaccines!A:B,2)</f>
        <v>Havrix_720</v>
      </c>
      <c r="C32" s="7">
        <v>11</v>
      </c>
      <c r="D32" s="8" t="str">
        <f>VLOOKUP(C32,ages_from_list!A:C,3)</f>
        <v>4 лет</v>
      </c>
      <c r="E32" s="7">
        <v>4</v>
      </c>
      <c r="F32" s="8" t="str">
        <f>VLOOKUP(E32,ages_through_list!A:C,3)</f>
        <v>5 лет</v>
      </c>
      <c r="G32" s="7">
        <v>5</v>
      </c>
      <c r="H32" s="30" t="str">
        <f>VLOOKUP(G32,routes_of_administration_list!A:B,2)</f>
        <v>внутримышечно в дельтовидную мышцу</v>
      </c>
      <c r="I32" s="8"/>
      <c r="J32" s="11">
        <v>44712</v>
      </c>
      <c r="K32" s="58"/>
    </row>
    <row r="33" spans="1:11">
      <c r="A33" s="7">
        <v>19</v>
      </c>
      <c r="B33" s="8" t="str">
        <f>VLOOKUP(A33,vaccines!A:B,2)</f>
        <v>Havrix_720</v>
      </c>
      <c r="C33" s="7">
        <v>12</v>
      </c>
      <c r="D33" s="8" t="str">
        <f>VLOOKUP(C33,ages_from_list!A:C,3)</f>
        <v>6 лет</v>
      </c>
      <c r="E33" s="7">
        <v>5</v>
      </c>
      <c r="F33" s="8" t="str">
        <f>VLOOKUP(E33,ages_through_list!A:C,3)</f>
        <v>15 лет</v>
      </c>
      <c r="G33" s="7">
        <v>3</v>
      </c>
      <c r="H33" s="30" t="str">
        <f>VLOOKUP(G33,routes_of_administration_list!A:B,2)</f>
        <v>внутримышечно в дельтовидную мышцу</v>
      </c>
      <c r="I33" s="8"/>
      <c r="J33" s="11">
        <v>44712</v>
      </c>
      <c r="K33" s="58"/>
    </row>
    <row r="34" spans="1:11">
      <c r="A34" s="7">
        <v>20</v>
      </c>
      <c r="B34" s="8" t="str">
        <f>VLOOKUP(A34,vaccines!A:B,2)</f>
        <v>Havrix_1440</v>
      </c>
      <c r="C34" s="7">
        <v>17</v>
      </c>
      <c r="D34" s="8" t="str">
        <f>VLOOKUP(C34,ages_from_list!A:C,3)</f>
        <v>16 лет</v>
      </c>
      <c r="E34" s="7">
        <v>13</v>
      </c>
      <c r="F34" s="8" t="str">
        <f>VLOOKUP(E34,ages_through_list!A:C,3)</f>
        <v>∞</v>
      </c>
      <c r="G34" s="7">
        <v>3</v>
      </c>
      <c r="H34" s="30" t="str">
        <f>VLOOKUP(G34,routes_of_administration_list!A:B,2)</f>
        <v>внутримышечно в дельтовидную мышцу</v>
      </c>
      <c r="I34" s="8"/>
      <c r="J34" s="11">
        <v>44712</v>
      </c>
      <c r="K34" s="58"/>
    </row>
    <row r="35" spans="1:11">
      <c r="A35" s="7">
        <v>21</v>
      </c>
      <c r="B35" s="8" t="str">
        <f>VLOOKUP(A35,vaccines!A:B,2)</f>
        <v>Avaxim_80</v>
      </c>
      <c r="C35" s="7">
        <v>8</v>
      </c>
      <c r="D35" s="8" t="str">
        <f>VLOOKUP(C35,ages_from_list!A:C,3)</f>
        <v>12 месяцев</v>
      </c>
      <c r="E35" s="7">
        <v>14</v>
      </c>
      <c r="F35" s="8" t="str">
        <f>VLOOKUP(E35,ages_through_list!A:C,3)</f>
        <v>24 месяцев (2 лет)</v>
      </c>
      <c r="G35" s="7">
        <v>1</v>
      </c>
      <c r="H35" s="30" t="str">
        <f>VLOOKUP(G35,routes_of_administration_list!A:B,2)</f>
        <v>внутримышечно в передненаружную область бедра</v>
      </c>
      <c r="I35" s="8"/>
      <c r="J35" s="11">
        <v>44712</v>
      </c>
      <c r="K35" s="58"/>
    </row>
    <row r="36" spans="1:11">
      <c r="A36" s="7">
        <v>21</v>
      </c>
      <c r="B36" s="8" t="str">
        <f>VLOOKUP(A36,vaccines!A:B,2)</f>
        <v>Avaxim_80</v>
      </c>
      <c r="C36" s="7">
        <v>19</v>
      </c>
      <c r="D36" s="8" t="str">
        <f>VLOOKUP(C36,ages_from_list!A:C,3)</f>
        <v>25 месяцев (2 лет 1 месяца)</v>
      </c>
      <c r="E36" s="7">
        <v>3</v>
      </c>
      <c r="F36" s="8" t="str">
        <f>VLOOKUP(E36,ages_through_list!A:C,3)</f>
        <v>3 лет 11 месяцев</v>
      </c>
      <c r="G36" s="7">
        <v>4</v>
      </c>
      <c r="H36" s="30" t="str">
        <f>VLOOKUP(G36,routes_of_administration_list!A:B,2)</f>
        <v>внутримышечно в дельтовидную мышцу</v>
      </c>
      <c r="I36" s="8"/>
      <c r="J36" s="11">
        <v>44712</v>
      </c>
      <c r="K36" s="58"/>
    </row>
    <row r="37" spans="1:11">
      <c r="A37" s="7">
        <v>21</v>
      </c>
      <c r="B37" s="8" t="str">
        <f>VLOOKUP(A37,vaccines!A:B,2)</f>
        <v>Avaxim_80</v>
      </c>
      <c r="C37" s="7">
        <v>11</v>
      </c>
      <c r="D37" s="8" t="str">
        <f>VLOOKUP(C37,ages_from_list!A:C,3)</f>
        <v>4 лет</v>
      </c>
      <c r="E37" s="7">
        <v>4</v>
      </c>
      <c r="F37" s="8" t="str">
        <f>VLOOKUP(E37,ages_through_list!A:C,3)</f>
        <v>5 лет</v>
      </c>
      <c r="G37" s="7">
        <v>5</v>
      </c>
      <c r="H37" s="30" t="str">
        <f>VLOOKUP(G37,routes_of_administration_list!A:B,2)</f>
        <v>внутримышечно в дельтовидную мышцу</v>
      </c>
      <c r="I37" s="8"/>
      <c r="J37" s="11">
        <v>44712</v>
      </c>
      <c r="K37" s="58"/>
    </row>
    <row r="38" spans="1:11">
      <c r="A38" s="7">
        <v>21</v>
      </c>
      <c r="B38" s="8" t="str">
        <f>VLOOKUP(A38,vaccines!A:B,2)</f>
        <v>Avaxim_80</v>
      </c>
      <c r="C38" s="7">
        <v>12</v>
      </c>
      <c r="D38" s="8" t="str">
        <f>VLOOKUP(C38,ages_from_list!A:C,3)</f>
        <v>6 лет</v>
      </c>
      <c r="E38" s="7">
        <v>5</v>
      </c>
      <c r="F38" s="8" t="str">
        <f>VLOOKUP(E38,ages_through_list!A:C,3)</f>
        <v>15 лет</v>
      </c>
      <c r="G38" s="7">
        <v>3</v>
      </c>
      <c r="H38" s="30" t="str">
        <f>VLOOKUP(G38,routes_of_administration_list!A:B,2)</f>
        <v>внутримышечно в дельтовидную мышцу</v>
      </c>
      <c r="I38" s="8"/>
      <c r="J38" s="11">
        <v>44712</v>
      </c>
      <c r="K38" s="58"/>
    </row>
    <row r="39" spans="1:11">
      <c r="A39" s="7">
        <v>22</v>
      </c>
      <c r="B39" s="8" t="str">
        <f>VLOOKUP(A39,vaccines!A:B,2)</f>
        <v>Avaxim_160</v>
      </c>
      <c r="C39" s="7">
        <v>17</v>
      </c>
      <c r="D39" s="8" t="str">
        <f>VLOOKUP(C39,ages_from_list!A:C,3)</f>
        <v>16 лет</v>
      </c>
      <c r="E39" s="7">
        <v>13</v>
      </c>
      <c r="F39" s="8" t="str">
        <f>VLOOKUP(E39,ages_through_list!A:C,3)</f>
        <v>∞</v>
      </c>
      <c r="G39" s="7">
        <v>3</v>
      </c>
      <c r="H39" s="30" t="str">
        <f>VLOOKUP(G39,routes_of_administration_list!A:B,2)</f>
        <v>внутримышечно в дельтовидную мышцу</v>
      </c>
      <c r="I39" s="8"/>
      <c r="J39" s="11">
        <v>44712</v>
      </c>
      <c r="K39" s="58"/>
    </row>
    <row r="40" spans="1:11">
      <c r="A40" s="7">
        <v>23</v>
      </c>
      <c r="B40" s="8" t="str">
        <f>VLOOKUP(A40,vaccines!A:B,2)</f>
        <v>Regevac_0_5</v>
      </c>
      <c r="C40" s="7">
        <v>1</v>
      </c>
      <c r="D40" s="8" t="str">
        <f>VLOOKUP(C40,ages_from_list!A:C,3)</f>
        <v>0 дней</v>
      </c>
      <c r="E40" s="7">
        <v>14</v>
      </c>
      <c r="F40" s="8" t="str">
        <f>VLOOKUP(E40,ages_through_list!A:C,3)</f>
        <v>24 месяцев (2 лет)</v>
      </c>
      <c r="G40" s="7">
        <v>1</v>
      </c>
      <c r="H40" s="30" t="str">
        <f>VLOOKUP(G40,routes_of_administration_list!A:B,2)</f>
        <v>внутримышечно в передненаружную область бедра</v>
      </c>
      <c r="I40" s="8"/>
      <c r="J40" s="11">
        <v>44712</v>
      </c>
      <c r="K40" s="58"/>
    </row>
    <row r="41" spans="1:11">
      <c r="A41" s="7">
        <v>23</v>
      </c>
      <c r="B41" s="8" t="str">
        <f>VLOOKUP(A41,vaccines!A:B,2)</f>
        <v>Regevac_0_5</v>
      </c>
      <c r="C41" s="7">
        <v>19</v>
      </c>
      <c r="D41" s="8" t="str">
        <f>VLOOKUP(C41,ages_from_list!A:C,3)</f>
        <v>25 месяцев (2 лет 1 месяца)</v>
      </c>
      <c r="E41" s="7">
        <v>3</v>
      </c>
      <c r="F41" s="8" t="str">
        <f>VLOOKUP(E41,ages_through_list!A:C,3)</f>
        <v>3 лет 11 месяцев</v>
      </c>
      <c r="G41" s="7">
        <v>4</v>
      </c>
      <c r="H41" s="30" t="str">
        <f>VLOOKUP(G41,routes_of_administration_list!A:B,2)</f>
        <v>внутримышечно в дельтовидную мышцу</v>
      </c>
      <c r="I41" s="8"/>
      <c r="J41" s="11">
        <v>44712</v>
      </c>
      <c r="K41" s="58"/>
    </row>
    <row r="42" spans="1:11">
      <c r="A42" s="7">
        <v>23</v>
      </c>
      <c r="B42" s="8" t="str">
        <f>VLOOKUP(A42,vaccines!A:B,2)</f>
        <v>Regevac_0_5</v>
      </c>
      <c r="C42" s="7">
        <v>11</v>
      </c>
      <c r="D42" s="8" t="str">
        <f>VLOOKUP(C42,ages_from_list!A:C,3)</f>
        <v>4 лет</v>
      </c>
      <c r="E42" s="7">
        <v>4</v>
      </c>
      <c r="F42" s="8" t="str">
        <f>VLOOKUP(E42,ages_through_list!A:C,3)</f>
        <v>5 лет</v>
      </c>
      <c r="G42" s="7">
        <v>5</v>
      </c>
      <c r="H42" s="30" t="str">
        <f>VLOOKUP(G42,routes_of_administration_list!A:B,2)</f>
        <v>внутримышечно в дельтовидную мышцу</v>
      </c>
      <c r="I42" s="8"/>
      <c r="J42" s="11">
        <v>44712</v>
      </c>
      <c r="K42" s="58"/>
    </row>
    <row r="43" spans="1:11">
      <c r="A43" s="7">
        <v>23</v>
      </c>
      <c r="B43" s="8" t="str">
        <f>VLOOKUP(A43,vaccines!A:B,2)</f>
        <v>Regevac_0_5</v>
      </c>
      <c r="C43" s="7">
        <v>12</v>
      </c>
      <c r="D43" s="8" t="str">
        <f>VLOOKUP(C43,ages_from_list!A:C,3)</f>
        <v>6 лет</v>
      </c>
      <c r="E43" s="7">
        <v>17</v>
      </c>
      <c r="F43" s="8" t="str">
        <f>VLOOKUP(E43,ages_through_list!A:C,3)</f>
        <v>18 лет</v>
      </c>
      <c r="G43" s="7">
        <v>3</v>
      </c>
      <c r="H43" s="30" t="str">
        <f>VLOOKUP(G43,routes_of_administration_list!A:B,2)</f>
        <v>внутримышечно в дельтовидную мышцу</v>
      </c>
      <c r="I43" s="8"/>
      <c r="J43" s="11">
        <v>44712</v>
      </c>
      <c r="K43" s="58"/>
    </row>
    <row r="44" spans="1:11">
      <c r="A44" s="7">
        <v>24</v>
      </c>
      <c r="B44" s="8" t="str">
        <f>VLOOKUP(A44,vaccines!A:B,2)</f>
        <v>HepB_Combiotech_0_5</v>
      </c>
      <c r="C44" s="7">
        <v>1</v>
      </c>
      <c r="D44" s="8" t="str">
        <f>VLOOKUP(C44,ages_from_list!A:C,3)</f>
        <v>0 дней</v>
      </c>
      <c r="E44" s="7">
        <v>16</v>
      </c>
      <c r="F44" s="8" t="str">
        <f>VLOOKUP(E44,ages_through_list!A:C,3)</f>
        <v>18 месяцев</v>
      </c>
      <c r="G44" s="7">
        <v>1</v>
      </c>
      <c r="H44" s="30" t="str">
        <f>VLOOKUP(G44,routes_of_administration_list!A:B,2)</f>
        <v>внутримышечно в передненаружную область бедра</v>
      </c>
      <c r="I44" s="8"/>
      <c r="J44" s="11">
        <v>44712</v>
      </c>
      <c r="K44" s="58"/>
    </row>
    <row r="45" spans="1:11">
      <c r="A45" s="7">
        <v>24</v>
      </c>
      <c r="B45" s="8" t="str">
        <f>VLOOKUP(A45,vaccines!A:B,2)</f>
        <v>HepB_Combiotech_0_5</v>
      </c>
      <c r="C45" s="7">
        <v>21</v>
      </c>
      <c r="D45" s="8" t="str">
        <f>VLOOKUP(C45,ages_from_list!A:C,3)</f>
        <v>1 года 7 месяцев</v>
      </c>
      <c r="E45" s="7">
        <v>3</v>
      </c>
      <c r="F45" s="8" t="str">
        <f>VLOOKUP(E45,ages_through_list!A:C,3)</f>
        <v>3 лет 11 месяцев</v>
      </c>
      <c r="G45" s="7">
        <v>4</v>
      </c>
      <c r="H45" s="30" t="str">
        <f>VLOOKUP(G45,routes_of_administration_list!A:B,2)</f>
        <v>внутримышечно в дельтовидную мышцу</v>
      </c>
      <c r="I45" s="8"/>
      <c r="J45" s="11">
        <v>44712</v>
      </c>
      <c r="K45" s="58"/>
    </row>
    <row r="46" spans="1:11">
      <c r="A46" s="7">
        <v>24</v>
      </c>
      <c r="B46" s="8" t="str">
        <f>VLOOKUP(A46,vaccines!A:B,2)</f>
        <v>HepB_Combiotech_0_5</v>
      </c>
      <c r="C46" s="7">
        <v>11</v>
      </c>
      <c r="D46" s="8" t="str">
        <f>VLOOKUP(C46,ages_from_list!A:C,3)</f>
        <v>4 лет</v>
      </c>
      <c r="E46" s="7">
        <v>4</v>
      </c>
      <c r="F46" s="8" t="str">
        <f>VLOOKUP(E46,ages_through_list!A:C,3)</f>
        <v>5 лет</v>
      </c>
      <c r="G46" s="7">
        <v>5</v>
      </c>
      <c r="H46" s="30" t="str">
        <f>VLOOKUP(G46,routes_of_administration_list!A:B,2)</f>
        <v>внутримышечно в дельтовидную мышцу</v>
      </c>
      <c r="I46" s="8"/>
      <c r="J46" s="11">
        <v>44712</v>
      </c>
      <c r="K46" s="58"/>
    </row>
    <row r="47" spans="1:11">
      <c r="A47" s="7">
        <v>24</v>
      </c>
      <c r="B47" s="8" t="str">
        <f>VLOOKUP(A47,vaccines!A:B,2)</f>
        <v>HepB_Combiotech_0_5</v>
      </c>
      <c r="C47" s="7">
        <v>12</v>
      </c>
      <c r="D47" s="8" t="str">
        <f>VLOOKUP(C47,ages_from_list!A:C,3)</f>
        <v>6 лет</v>
      </c>
      <c r="E47" s="7">
        <v>17</v>
      </c>
      <c r="F47" s="8" t="str">
        <f>VLOOKUP(E47,ages_through_list!A:C,3)</f>
        <v>18 лет</v>
      </c>
      <c r="G47" s="7">
        <v>3</v>
      </c>
      <c r="H47" s="30" t="str">
        <f>VLOOKUP(G47,routes_of_administration_list!A:B,2)</f>
        <v>внутримышечно в дельтовидную мышцу</v>
      </c>
      <c r="I47" s="8"/>
      <c r="J47" s="11">
        <v>44712</v>
      </c>
      <c r="K47" s="58"/>
    </row>
    <row r="48" spans="1:11">
      <c r="A48" s="7">
        <v>25</v>
      </c>
      <c r="B48" s="8" t="str">
        <f>VLOOKUP(A48,vaccines!A:B,2)</f>
        <v>Euvax_B_0_5</v>
      </c>
      <c r="C48" s="7">
        <v>1</v>
      </c>
      <c r="D48" s="8" t="str">
        <f>VLOOKUP(C48,ages_from_list!A:C,3)</f>
        <v>0 дней</v>
      </c>
      <c r="E48" s="7">
        <v>14</v>
      </c>
      <c r="F48" s="8" t="str">
        <f>VLOOKUP(E48,ages_through_list!A:C,3)</f>
        <v>24 месяцев (2 лет)</v>
      </c>
      <c r="G48" s="7">
        <v>1</v>
      </c>
      <c r="H48" s="30" t="str">
        <f>VLOOKUP(G48,routes_of_administration_list!A:B,2)</f>
        <v>внутримышечно в передненаружную область бедра</v>
      </c>
      <c r="I48" s="8"/>
      <c r="J48" s="11">
        <v>44712</v>
      </c>
      <c r="K48" s="58"/>
    </row>
    <row r="49" spans="1:11">
      <c r="A49" s="7">
        <v>25</v>
      </c>
      <c r="B49" s="8" t="str">
        <f>VLOOKUP(A49,vaccines!A:B,2)</f>
        <v>Euvax_B_0_5</v>
      </c>
      <c r="C49" s="7">
        <v>19</v>
      </c>
      <c r="D49" s="8" t="str">
        <f>VLOOKUP(C49,ages_from_list!A:C,3)</f>
        <v>25 месяцев (2 лет 1 месяца)</v>
      </c>
      <c r="E49" s="7">
        <v>3</v>
      </c>
      <c r="F49" s="8" t="str">
        <f>VLOOKUP(E49,ages_through_list!A:C,3)</f>
        <v>3 лет 11 месяцев</v>
      </c>
      <c r="G49" s="7">
        <v>4</v>
      </c>
      <c r="H49" s="30" t="str">
        <f>VLOOKUP(G49,routes_of_administration_list!A:B,2)</f>
        <v>внутримышечно в дельтовидную мышцу</v>
      </c>
      <c r="I49" s="8"/>
      <c r="J49" s="11">
        <v>44712</v>
      </c>
      <c r="K49" s="58"/>
    </row>
    <row r="50" spans="1:11">
      <c r="A50" s="7">
        <v>25</v>
      </c>
      <c r="B50" s="8" t="str">
        <f>VLOOKUP(A50,vaccines!A:B,2)</f>
        <v>Euvax_B_0_5</v>
      </c>
      <c r="C50" s="7">
        <v>11</v>
      </c>
      <c r="D50" s="8" t="str">
        <f>VLOOKUP(C50,ages_from_list!A:C,3)</f>
        <v>4 лет</v>
      </c>
      <c r="E50" s="7">
        <v>4</v>
      </c>
      <c r="F50" s="8" t="str">
        <f>VLOOKUP(E50,ages_through_list!A:C,3)</f>
        <v>5 лет</v>
      </c>
      <c r="G50" s="7">
        <v>5</v>
      </c>
      <c r="H50" s="30" t="str">
        <f>VLOOKUP(G50,routes_of_administration_list!A:B,2)</f>
        <v>внутримышечно в дельтовидную мышцу</v>
      </c>
      <c r="I50" s="8"/>
      <c r="J50" s="11">
        <v>44712</v>
      </c>
      <c r="K50" s="58"/>
    </row>
    <row r="51" spans="1:11">
      <c r="A51" s="7">
        <v>25</v>
      </c>
      <c r="B51" s="8" t="str">
        <f>VLOOKUP(A51,vaccines!A:B,2)</f>
        <v>Euvax_B_0_5</v>
      </c>
      <c r="C51" s="7">
        <v>12</v>
      </c>
      <c r="D51" s="8" t="str">
        <f>VLOOKUP(C51,ages_from_list!A:C,3)</f>
        <v>6 лет</v>
      </c>
      <c r="E51" s="7">
        <v>5</v>
      </c>
      <c r="F51" s="8" t="str">
        <f>VLOOKUP(E51,ages_through_list!A:C,3)</f>
        <v>15 лет</v>
      </c>
      <c r="G51" s="7">
        <v>3</v>
      </c>
      <c r="H51" s="30" t="str">
        <f>VLOOKUP(G51,routes_of_administration_list!A:B,2)</f>
        <v>внутримышечно в дельтовидную мышцу</v>
      </c>
      <c r="I51" s="8"/>
      <c r="J51" s="11">
        <v>44712</v>
      </c>
      <c r="K51" s="58"/>
    </row>
    <row r="52" spans="1:11">
      <c r="A52" s="7">
        <v>26</v>
      </c>
      <c r="B52" s="8" t="str">
        <f>VLOOKUP(A52,vaccines!A:B,2)</f>
        <v>Euvax_B_1_0</v>
      </c>
      <c r="C52" s="7">
        <v>17</v>
      </c>
      <c r="D52" s="8" t="str">
        <f>VLOOKUP(C52,ages_from_list!A:C,3)</f>
        <v>16 лет</v>
      </c>
      <c r="E52" s="7">
        <v>13</v>
      </c>
      <c r="F52" s="8" t="str">
        <f>VLOOKUP(E52,ages_through_list!A:C,3)</f>
        <v>∞</v>
      </c>
      <c r="G52" s="7">
        <v>3</v>
      </c>
      <c r="H52" s="30" t="str">
        <f>VLOOKUP(G52,routes_of_administration_list!A:B,2)</f>
        <v>внутримышечно в дельтовидную мышцу</v>
      </c>
      <c r="I52" s="8"/>
      <c r="J52" s="11">
        <v>44712</v>
      </c>
      <c r="K52" s="58"/>
    </row>
    <row r="53" spans="1:11">
      <c r="A53" s="7">
        <v>27</v>
      </c>
      <c r="B53" s="8" t="str">
        <f>VLOOKUP(A53,vaccines!A:B,2)</f>
        <v>Cervarix</v>
      </c>
      <c r="C53" s="7">
        <v>14</v>
      </c>
      <c r="D53" s="8" t="str">
        <f>VLOOKUP(C53,ages_from_list!A:C,3)</f>
        <v>9 лет</v>
      </c>
      <c r="E53" s="7">
        <v>7</v>
      </c>
      <c r="F53" s="8" t="str">
        <f>VLOOKUP(E53,ages_through_list!A:C,3)</f>
        <v>45 лет</v>
      </c>
      <c r="G53" s="7">
        <v>3</v>
      </c>
      <c r="H53" s="30" t="str">
        <f>VLOOKUP(G53,routes_of_administration_list!A:B,2)</f>
        <v>внутримышечно в дельтовидную мышцу</v>
      </c>
      <c r="I53" s="8"/>
      <c r="J53" s="11">
        <v>44712</v>
      </c>
      <c r="K53" s="58"/>
    </row>
    <row r="54" spans="1:11">
      <c r="A54" s="7">
        <v>28</v>
      </c>
      <c r="B54" s="8" t="str">
        <f>VLOOKUP(A54,vaccines!A:B,2)</f>
        <v>Gardasil_4</v>
      </c>
      <c r="C54" s="7">
        <v>14</v>
      </c>
      <c r="D54" s="8" t="str">
        <f>VLOOKUP(C54,ages_from_list!A:C,3)</f>
        <v>9 лет</v>
      </c>
      <c r="E54" s="7">
        <v>13</v>
      </c>
      <c r="F54" s="8" t="str">
        <f>VLOOKUP(E54,ages_through_list!A:C,3)</f>
        <v>∞</v>
      </c>
      <c r="G54" s="7">
        <v>3</v>
      </c>
      <c r="H54" s="30" t="str">
        <f>VLOOKUP(G54,routes_of_administration_list!A:B,2)</f>
        <v>внутримышечно в дельтовидную мышцу</v>
      </c>
      <c r="I54" s="8"/>
      <c r="J54" s="11">
        <v>44712</v>
      </c>
      <c r="K54" s="58"/>
    </row>
    <row r="55" spans="1:11">
      <c r="A55" s="7">
        <v>28</v>
      </c>
      <c r="B55" s="8" t="str">
        <f>VLOOKUP(A55,vaccines!A:B,2)</f>
        <v>Gardasil_4</v>
      </c>
      <c r="C55" s="7">
        <v>14</v>
      </c>
      <c r="D55" s="8" t="str">
        <f>VLOOKUP(C55,ages_from_list!A:C,3)</f>
        <v>9 лет</v>
      </c>
      <c r="E55" s="7">
        <v>13</v>
      </c>
      <c r="F55" s="8" t="str">
        <f>VLOOKUP(E55,ages_through_list!A:C,3)</f>
        <v>∞</v>
      </c>
      <c r="G55" s="7">
        <v>1</v>
      </c>
      <c r="H55" s="30" t="str">
        <f>VLOOKUP(G55,routes_of_administration_list!A:B,2)</f>
        <v>внутримышечно в передненаружную область бедра</v>
      </c>
      <c r="I55" s="8"/>
      <c r="J55" s="11">
        <v>44712</v>
      </c>
      <c r="K55" s="58"/>
    </row>
    <row r="56" spans="1:11">
      <c r="A56" s="7">
        <v>29</v>
      </c>
      <c r="B56" s="8" t="str">
        <f>VLOOKUP(A56,vaccines!A:B,2)</f>
        <v>Sputnik</v>
      </c>
      <c r="C56" s="7">
        <v>18</v>
      </c>
      <c r="D56" s="8" t="str">
        <f>VLOOKUP(C56,ages_from_list!A:C,3)</f>
        <v>18 лет</v>
      </c>
      <c r="E56" s="7">
        <v>13</v>
      </c>
      <c r="F56" s="8" t="str">
        <f>VLOOKUP(E56,ages_through_list!A:C,3)</f>
        <v>∞</v>
      </c>
      <c r="G56" s="7">
        <v>3</v>
      </c>
      <c r="H56" s="30" t="str">
        <f>VLOOKUP(G56,routes_of_administration_list!A:B,2)</f>
        <v>внутримышечно в дельтовидную мышцу</v>
      </c>
      <c r="I56" s="8"/>
      <c r="J56" s="11">
        <v>44712</v>
      </c>
      <c r="K56" s="58"/>
    </row>
    <row r="57" spans="1:11">
      <c r="A57" s="7">
        <v>29</v>
      </c>
      <c r="B57" s="8" t="str">
        <f>VLOOKUP(A57,vaccines!A:B,2)</f>
        <v>Sputnik</v>
      </c>
      <c r="C57" s="7">
        <v>18</v>
      </c>
      <c r="D57" s="8" t="str">
        <f>VLOOKUP(C57,ages_from_list!A:C,3)</f>
        <v>18 лет</v>
      </c>
      <c r="E57" s="7">
        <v>13</v>
      </c>
      <c r="F57" s="8" t="str">
        <f>VLOOKUP(E57,ages_through_list!A:C,3)</f>
        <v>∞</v>
      </c>
      <c r="G57" s="7">
        <v>1</v>
      </c>
      <c r="H57" s="30" t="str">
        <f>VLOOKUP(G57,routes_of_administration_list!A:B,2)</f>
        <v>внутримышечно в передненаружную область бедра</v>
      </c>
      <c r="I57" s="8"/>
      <c r="J57" s="11">
        <v>44712</v>
      </c>
      <c r="K57" s="58"/>
    </row>
    <row r="58" spans="1:11">
      <c r="A58" s="7">
        <v>29</v>
      </c>
      <c r="B58" s="8" t="str">
        <f>VLOOKUP(A58,vaccines!A:B,2)</f>
        <v>Sputnik</v>
      </c>
      <c r="C58" s="7">
        <v>18</v>
      </c>
      <c r="D58" s="8" t="str">
        <f>VLOOKUP(C58,ages_from_list!A:C,3)</f>
        <v>18 лет</v>
      </c>
      <c r="E58" s="7">
        <v>13</v>
      </c>
      <c r="F58" s="8" t="str">
        <f>VLOOKUP(E58,ages_through_list!A:C,3)</f>
        <v>∞</v>
      </c>
      <c r="G58" s="54">
        <v>14</v>
      </c>
      <c r="H58" s="30" t="str">
        <f>VLOOKUP(G58,routes_of_administration_list!A:B,2)</f>
        <v>интраназально</v>
      </c>
      <c r="I58" s="8"/>
      <c r="J58" s="12">
        <v>45923</v>
      </c>
      <c r="K58" s="58"/>
    </row>
    <row r="59" spans="1:11">
      <c r="A59" s="7">
        <v>30</v>
      </c>
      <c r="B59" s="8" t="str">
        <f>VLOOKUP(A59,vaccines!A:B,2)</f>
        <v>Sputnik_Lyo</v>
      </c>
      <c r="C59" s="7">
        <v>18</v>
      </c>
      <c r="D59" s="8" t="str">
        <f>VLOOKUP(C59,ages_from_list!A:C,3)</f>
        <v>18 лет</v>
      </c>
      <c r="E59" s="7">
        <v>11</v>
      </c>
      <c r="F59" s="8" t="str">
        <f>VLOOKUP(E59,ages_through_list!A:C,3)</f>
        <v>60 лет</v>
      </c>
      <c r="G59" s="7">
        <v>3</v>
      </c>
      <c r="H59" s="30" t="str">
        <f>VLOOKUP(G59,routes_of_administration_list!A:B,2)</f>
        <v>внутримышечно в дельтовидную мышцу</v>
      </c>
      <c r="I59" s="8"/>
      <c r="J59" s="11">
        <v>44712</v>
      </c>
      <c r="K59" s="58"/>
    </row>
    <row r="60" spans="1:11">
      <c r="A60" s="7">
        <v>30</v>
      </c>
      <c r="B60" s="8" t="str">
        <f>VLOOKUP(A60,vaccines!A:B,2)</f>
        <v>Sputnik_Lyo</v>
      </c>
      <c r="C60" s="7">
        <v>18</v>
      </c>
      <c r="D60" s="8" t="str">
        <f>VLOOKUP(C60,ages_from_list!A:C,3)</f>
        <v>18 лет</v>
      </c>
      <c r="E60" s="7">
        <v>11</v>
      </c>
      <c r="F60" s="8" t="str">
        <f>VLOOKUP(E60,ages_through_list!A:C,3)</f>
        <v>60 лет</v>
      </c>
      <c r="G60" s="7">
        <v>1</v>
      </c>
      <c r="H60" s="30" t="str">
        <f>VLOOKUP(G60,routes_of_administration_list!A:B,2)</f>
        <v>внутримышечно в передненаружную область бедра</v>
      </c>
      <c r="I60" s="8"/>
      <c r="J60" s="11">
        <v>45078</v>
      </c>
      <c r="K60" s="58"/>
    </row>
    <row r="61" spans="1:11">
      <c r="A61" s="7">
        <v>31</v>
      </c>
      <c r="B61" s="8" t="str">
        <f>VLOOKUP(A61,vaccines!A:B,2)</f>
        <v>EpiVacCorona</v>
      </c>
      <c r="C61" s="7">
        <v>18</v>
      </c>
      <c r="D61" s="8" t="str">
        <f>VLOOKUP(C61,ages_from_list!A:C,3)</f>
        <v>18 лет</v>
      </c>
      <c r="E61" s="7">
        <v>13</v>
      </c>
      <c r="F61" s="8" t="str">
        <f>VLOOKUP(E61,ages_through_list!A:C,3)</f>
        <v>∞</v>
      </c>
      <c r="G61" s="7">
        <v>3</v>
      </c>
      <c r="H61" s="30" t="str">
        <f>VLOOKUP(G61,routes_of_administration_list!A:B,2)</f>
        <v>внутримышечно в дельтовидную мышцу</v>
      </c>
      <c r="I61" s="8"/>
      <c r="J61" s="11">
        <v>44712</v>
      </c>
      <c r="K61" s="53">
        <v>45078</v>
      </c>
    </row>
    <row r="62" spans="1:11">
      <c r="A62" s="7">
        <v>31</v>
      </c>
      <c r="B62" s="8" t="str">
        <f>VLOOKUP(A62,vaccines!A:B,2)</f>
        <v>EpiVacCorona</v>
      </c>
      <c r="C62" s="7">
        <v>18</v>
      </c>
      <c r="D62" s="8" t="str">
        <f>VLOOKUP(C62,ages_from_list!A:C,3)</f>
        <v>18 лет</v>
      </c>
      <c r="E62" s="7">
        <v>13</v>
      </c>
      <c r="F62" s="8" t="str">
        <f>VLOOKUP(E62,ages_through_list!A:C,3)</f>
        <v>∞</v>
      </c>
      <c r="G62" s="7">
        <v>1</v>
      </c>
      <c r="H62" s="30" t="str">
        <f>VLOOKUP(G62,routes_of_administration_list!A:B,2)</f>
        <v>внутримышечно в передненаружную область бедра</v>
      </c>
      <c r="I62" s="8"/>
      <c r="J62" s="11">
        <v>44712</v>
      </c>
      <c r="K62" s="53">
        <v>45078</v>
      </c>
    </row>
    <row r="63" spans="1:11">
      <c r="A63" s="7">
        <v>32</v>
      </c>
      <c r="B63" s="8" t="str">
        <f>VLOOKUP(A63,vaccines!A:B,2)</f>
        <v>Grippol_Microgen</v>
      </c>
      <c r="C63" s="7">
        <v>5</v>
      </c>
      <c r="D63" s="8" t="str">
        <f>VLOOKUP(C63,ages_from_list!A:C,3)</f>
        <v>6 месяцев</v>
      </c>
      <c r="E63" s="7">
        <v>14</v>
      </c>
      <c r="F63" s="8" t="str">
        <f>VLOOKUP(E63,ages_through_list!A:C,3)</f>
        <v>24 месяцев (2 лет)</v>
      </c>
      <c r="G63" s="7">
        <v>1</v>
      </c>
      <c r="H63" s="30" t="str">
        <f>VLOOKUP(G63,routes_of_administration_list!A:B,2)</f>
        <v>внутримышечно в передненаружную область бедра</v>
      </c>
      <c r="I63" s="8"/>
      <c r="J63" s="11">
        <v>44712</v>
      </c>
      <c r="K63" s="58"/>
    </row>
    <row r="64" spans="1:11">
      <c r="A64" s="7">
        <v>32</v>
      </c>
      <c r="B64" s="8" t="str">
        <f>VLOOKUP(A64,vaccines!A:B,2)</f>
        <v>Grippol_Microgen</v>
      </c>
      <c r="C64" s="7">
        <v>19</v>
      </c>
      <c r="D64" s="8" t="str">
        <f>VLOOKUP(C64,ages_from_list!A:C,3)</f>
        <v>25 месяцев (2 лет 1 месяца)</v>
      </c>
      <c r="E64" s="7">
        <v>3</v>
      </c>
      <c r="F64" s="8" t="str">
        <f>VLOOKUP(E64,ages_through_list!A:C,3)</f>
        <v>3 лет 11 месяцев</v>
      </c>
      <c r="G64" s="7">
        <v>4</v>
      </c>
      <c r="H64" s="30" t="str">
        <f>VLOOKUP(G64,routes_of_administration_list!A:B,2)</f>
        <v>внутримышечно в дельтовидную мышцу</v>
      </c>
      <c r="I64" s="8"/>
      <c r="J64" s="11">
        <v>44712</v>
      </c>
      <c r="K64" s="58"/>
    </row>
    <row r="65" spans="1:11">
      <c r="A65" s="7">
        <v>32</v>
      </c>
      <c r="B65" s="8" t="str">
        <f>VLOOKUP(A65,vaccines!A:B,2)</f>
        <v>Grippol_Microgen</v>
      </c>
      <c r="C65" s="7">
        <v>11</v>
      </c>
      <c r="D65" s="8" t="str">
        <f>VLOOKUP(C65,ages_from_list!A:C,3)</f>
        <v>4 лет</v>
      </c>
      <c r="E65" s="7">
        <v>4</v>
      </c>
      <c r="F65" s="8" t="str">
        <f>VLOOKUP(E65,ages_through_list!A:C,3)</f>
        <v>5 лет</v>
      </c>
      <c r="G65" s="7">
        <v>5</v>
      </c>
      <c r="H65" s="30" t="str">
        <f>VLOOKUP(G65,routes_of_administration_list!A:B,2)</f>
        <v>внутримышечно в дельтовидную мышцу</v>
      </c>
      <c r="I65" s="8"/>
      <c r="J65" s="11">
        <v>44712</v>
      </c>
      <c r="K65" s="58"/>
    </row>
    <row r="66" spans="1:11">
      <c r="A66" s="7">
        <v>32</v>
      </c>
      <c r="B66" s="8" t="str">
        <f>VLOOKUP(A66,vaccines!A:B,2)</f>
        <v>Grippol_Microgen</v>
      </c>
      <c r="C66" s="7">
        <v>12</v>
      </c>
      <c r="D66" s="8" t="str">
        <f>VLOOKUP(C66,ages_from_list!A:C,3)</f>
        <v>6 лет</v>
      </c>
      <c r="E66" s="7">
        <v>13</v>
      </c>
      <c r="F66" s="8" t="str">
        <f>VLOOKUP(E66,ages_through_list!A:C,3)</f>
        <v>∞</v>
      </c>
      <c r="G66" s="7">
        <v>3</v>
      </c>
      <c r="H66" s="30" t="str">
        <f>VLOOKUP(G66,routes_of_administration_list!A:B,2)</f>
        <v>внутримышечно в дельтовидную мышцу</v>
      </c>
      <c r="I66" s="8"/>
      <c r="J66" s="11">
        <v>44712</v>
      </c>
      <c r="K66" s="58"/>
    </row>
    <row r="67" spans="1:11">
      <c r="A67" s="7">
        <v>32</v>
      </c>
      <c r="B67" s="8" t="str">
        <f>VLOOKUP(A67,vaccines!A:B,2)</f>
        <v>Grippol_Microgen</v>
      </c>
      <c r="C67" s="7">
        <v>19</v>
      </c>
      <c r="D67" s="8" t="str">
        <f>VLOOKUP(C67,ages_from_list!A:C,3)</f>
        <v>25 месяцев (2 лет 1 месяца)</v>
      </c>
      <c r="E67" s="7">
        <v>13</v>
      </c>
      <c r="F67" s="8" t="str">
        <f>VLOOKUP(E67,ages_through_list!A:C,3)</f>
        <v>∞</v>
      </c>
      <c r="G67" s="7">
        <v>6</v>
      </c>
      <c r="H67" s="30" t="str">
        <f>VLOOKUP(G67,routes_of_administration_list!A:B,2)</f>
        <v>подкожно в область дельтовидной мышцы</v>
      </c>
      <c r="I67" s="8"/>
      <c r="J67" s="11">
        <v>44712</v>
      </c>
      <c r="K67" s="58"/>
    </row>
    <row r="68" spans="1:11">
      <c r="A68" s="7">
        <v>33</v>
      </c>
      <c r="B68" s="8" t="str">
        <f>VLOOKUP(A68,vaccines!A:B,2)</f>
        <v>Grippol_Petrovax</v>
      </c>
      <c r="C68" s="7">
        <v>5</v>
      </c>
      <c r="D68" s="8" t="str">
        <f>VLOOKUP(C68,ages_from_list!A:C,3)</f>
        <v>6 месяцев</v>
      </c>
      <c r="E68" s="7">
        <v>14</v>
      </c>
      <c r="F68" s="8" t="str">
        <f>VLOOKUP(E68,ages_through_list!A:C,3)</f>
        <v>24 месяцев (2 лет)</v>
      </c>
      <c r="G68" s="7">
        <v>1</v>
      </c>
      <c r="H68" s="30" t="str">
        <f>VLOOKUP(G68,routes_of_administration_list!A:B,2)</f>
        <v>внутримышечно в передненаружную область бедра</v>
      </c>
      <c r="I68" s="8"/>
      <c r="J68" s="11">
        <v>44712</v>
      </c>
      <c r="K68" s="58"/>
    </row>
    <row r="69" spans="1:11">
      <c r="A69" s="7">
        <v>33</v>
      </c>
      <c r="B69" s="8" t="str">
        <f>VLOOKUP(A69,vaccines!A:B,2)</f>
        <v>Grippol_Petrovax</v>
      </c>
      <c r="C69" s="7">
        <v>19</v>
      </c>
      <c r="D69" s="8" t="str">
        <f>VLOOKUP(C69,ages_from_list!A:C,3)</f>
        <v>25 месяцев (2 лет 1 месяца)</v>
      </c>
      <c r="E69" s="7">
        <v>3</v>
      </c>
      <c r="F69" s="8" t="str">
        <f>VLOOKUP(E69,ages_through_list!A:C,3)</f>
        <v>3 лет 11 месяцев</v>
      </c>
      <c r="G69" s="7">
        <v>4</v>
      </c>
      <c r="H69" s="30" t="str">
        <f>VLOOKUP(G69,routes_of_administration_list!A:B,2)</f>
        <v>внутримышечно в дельтовидную мышцу</v>
      </c>
      <c r="I69" s="8"/>
      <c r="J69" s="11">
        <v>44712</v>
      </c>
      <c r="K69" s="58"/>
    </row>
    <row r="70" spans="1:11">
      <c r="A70" s="7">
        <v>33</v>
      </c>
      <c r="B70" s="8" t="str">
        <f>VLOOKUP(A70,vaccines!A:B,2)</f>
        <v>Grippol_Petrovax</v>
      </c>
      <c r="C70" s="7">
        <v>11</v>
      </c>
      <c r="D70" s="8" t="str">
        <f>VLOOKUP(C70,ages_from_list!A:C,3)</f>
        <v>4 лет</v>
      </c>
      <c r="E70" s="7">
        <v>4</v>
      </c>
      <c r="F70" s="8" t="str">
        <f>VLOOKUP(E70,ages_through_list!A:C,3)</f>
        <v>5 лет</v>
      </c>
      <c r="G70" s="7">
        <v>5</v>
      </c>
      <c r="H70" s="30" t="str">
        <f>VLOOKUP(G70,routes_of_administration_list!A:B,2)</f>
        <v>внутримышечно в дельтовидную мышцу</v>
      </c>
      <c r="I70" s="8"/>
      <c r="J70" s="11">
        <v>44712</v>
      </c>
      <c r="K70" s="58"/>
    </row>
    <row r="71" spans="1:11">
      <c r="A71" s="7">
        <v>33</v>
      </c>
      <c r="B71" s="8" t="str">
        <f>VLOOKUP(A71,vaccines!A:B,2)</f>
        <v>Grippol_Petrovax</v>
      </c>
      <c r="C71" s="7">
        <v>12</v>
      </c>
      <c r="D71" s="8" t="str">
        <f>VLOOKUP(C71,ages_from_list!A:C,3)</f>
        <v>6 лет</v>
      </c>
      <c r="E71" s="7">
        <v>13</v>
      </c>
      <c r="F71" s="8" t="str">
        <f>VLOOKUP(E71,ages_through_list!A:C,3)</f>
        <v>∞</v>
      </c>
      <c r="G71" s="7">
        <v>3</v>
      </c>
      <c r="H71" s="30" t="str">
        <f>VLOOKUP(G71,routes_of_administration_list!A:B,2)</f>
        <v>внутримышечно в дельтовидную мышцу</v>
      </c>
      <c r="I71" s="8"/>
      <c r="J71" s="11">
        <v>44712</v>
      </c>
      <c r="K71" s="58"/>
    </row>
    <row r="72" spans="1:11">
      <c r="A72" s="7">
        <v>33</v>
      </c>
      <c r="B72" s="8" t="str">
        <f>VLOOKUP(A72,vaccines!A:B,2)</f>
        <v>Grippol_Petrovax</v>
      </c>
      <c r="C72" s="7">
        <v>19</v>
      </c>
      <c r="D72" s="8" t="str">
        <f>VLOOKUP(C72,ages_from_list!A:C,3)</f>
        <v>25 месяцев (2 лет 1 месяца)</v>
      </c>
      <c r="E72" s="7">
        <v>13</v>
      </c>
      <c r="F72" s="8" t="str">
        <f>VLOOKUP(E72,ages_through_list!A:C,3)</f>
        <v>∞</v>
      </c>
      <c r="G72" s="7">
        <v>6</v>
      </c>
      <c r="H72" s="30" t="str">
        <f>VLOOKUP(G72,routes_of_administration_list!A:B,2)</f>
        <v>подкожно в область дельтовидной мышцы</v>
      </c>
      <c r="I72" s="8"/>
      <c r="J72" s="11">
        <v>44712</v>
      </c>
      <c r="K72" s="58"/>
    </row>
    <row r="73" spans="1:11">
      <c r="A73" s="7">
        <v>34</v>
      </c>
      <c r="B73" s="8" t="str">
        <f>VLOOKUP(A73,vaccines!A:B,2)</f>
        <v>Grippol_plus_0_5</v>
      </c>
      <c r="C73" s="7">
        <v>10</v>
      </c>
      <c r="D73" s="8" t="str">
        <f>VLOOKUP(C73,ages_from_list!A:C,3)</f>
        <v>36 месяцев (3 лет)</v>
      </c>
      <c r="E73" s="7">
        <v>3</v>
      </c>
      <c r="F73" s="8" t="str">
        <f>VLOOKUP(E73,ages_through_list!A:C,3)</f>
        <v>3 лет 11 месяцев</v>
      </c>
      <c r="G73" s="7">
        <v>4</v>
      </c>
      <c r="H73" s="30" t="str">
        <f>VLOOKUP(G73,routes_of_administration_list!A:B,2)</f>
        <v>внутримышечно в дельтовидную мышцу</v>
      </c>
      <c r="I73" s="8"/>
      <c r="J73" s="11">
        <v>44712</v>
      </c>
      <c r="K73" s="58"/>
    </row>
    <row r="74" spans="1:11">
      <c r="A74" s="7">
        <v>34</v>
      </c>
      <c r="B74" s="8" t="str">
        <f>VLOOKUP(A74,vaccines!A:B,2)</f>
        <v>Grippol_plus_0_5</v>
      </c>
      <c r="C74" s="7">
        <v>11</v>
      </c>
      <c r="D74" s="8" t="str">
        <f>VLOOKUP(C74,ages_from_list!A:C,3)</f>
        <v>4 лет</v>
      </c>
      <c r="E74" s="7">
        <v>4</v>
      </c>
      <c r="F74" s="8" t="str">
        <f>VLOOKUP(E74,ages_through_list!A:C,3)</f>
        <v>5 лет</v>
      </c>
      <c r="G74" s="7">
        <v>5</v>
      </c>
      <c r="H74" s="30" t="str">
        <f>VLOOKUP(G74,routes_of_administration_list!A:B,2)</f>
        <v>внутримышечно в дельтовидную мышцу</v>
      </c>
      <c r="I74" s="8"/>
      <c r="J74" s="11">
        <v>44712</v>
      </c>
      <c r="K74" s="58"/>
    </row>
    <row r="75" spans="1:11">
      <c r="A75" s="7">
        <v>34</v>
      </c>
      <c r="B75" s="8" t="str">
        <f>VLOOKUP(A75,vaccines!A:B,2)</f>
        <v>Grippol_plus_0_5</v>
      </c>
      <c r="C75" s="7">
        <v>12</v>
      </c>
      <c r="D75" s="8" t="str">
        <f>VLOOKUP(C75,ages_from_list!A:C,3)</f>
        <v>6 лет</v>
      </c>
      <c r="E75" s="7">
        <v>13</v>
      </c>
      <c r="F75" s="8" t="str">
        <f>VLOOKUP(E75,ages_through_list!A:C,3)</f>
        <v>∞</v>
      </c>
      <c r="G75" s="7">
        <v>3</v>
      </c>
      <c r="H75" s="30" t="str">
        <f>VLOOKUP(G75,routes_of_administration_list!A:B,2)</f>
        <v>внутримышечно в дельтовидную мышцу</v>
      </c>
      <c r="I75" s="8"/>
      <c r="J75" s="11">
        <v>44712</v>
      </c>
      <c r="K75" s="58"/>
    </row>
    <row r="76" spans="1:11">
      <c r="A76" s="7">
        <v>34</v>
      </c>
      <c r="B76" s="8" t="str">
        <f>VLOOKUP(A76,vaccines!A:B,2)</f>
        <v>Grippol_plus_0_5</v>
      </c>
      <c r="C76" s="7">
        <v>10</v>
      </c>
      <c r="D76" s="8" t="str">
        <f>VLOOKUP(C76,ages_from_list!A:C,3)</f>
        <v>36 месяцев (3 лет)</v>
      </c>
      <c r="E76" s="7">
        <v>13</v>
      </c>
      <c r="F76" s="8" t="str">
        <f>VLOOKUP(E76,ages_through_list!A:C,3)</f>
        <v>∞</v>
      </c>
      <c r="G76" s="7">
        <v>6</v>
      </c>
      <c r="H76" s="30" t="str">
        <f>VLOOKUP(G76,routes_of_administration_list!A:B,2)</f>
        <v>подкожно в область дельтовидной мышцы</v>
      </c>
      <c r="I76" s="8"/>
      <c r="J76" s="11">
        <v>44712</v>
      </c>
      <c r="K76" s="58"/>
    </row>
    <row r="77" spans="1:11">
      <c r="A77" s="7">
        <v>35</v>
      </c>
      <c r="B77" s="8" t="str">
        <f>VLOOKUP(A77,vaccines!A:B,2)</f>
        <v>Sovigripp</v>
      </c>
      <c r="C77" s="7">
        <v>5</v>
      </c>
      <c r="D77" s="8" t="str">
        <f>VLOOKUP(C77,ages_from_list!A:C,3)</f>
        <v>6 месяцев</v>
      </c>
      <c r="E77" s="54">
        <v>13</v>
      </c>
      <c r="F77" s="8" t="str">
        <f>VLOOKUP(E77,ages_through_list!A:C,3)</f>
        <v>∞</v>
      </c>
      <c r="G77" s="7">
        <v>1</v>
      </c>
      <c r="H77" s="30" t="str">
        <f>VLOOKUP(G77,routes_of_administration_list!A:B,2)</f>
        <v>внутримышечно в передненаружную область бедра</v>
      </c>
      <c r="I77" s="8"/>
      <c r="J77" s="11">
        <v>44712</v>
      </c>
      <c r="K77" s="57">
        <v>45622</v>
      </c>
    </row>
    <row r="78" spans="1:11">
      <c r="A78" s="7">
        <v>35</v>
      </c>
      <c r="B78" s="8" t="str">
        <f>VLOOKUP(A78,vaccines!A:B,2)</f>
        <v>Sovigripp</v>
      </c>
      <c r="C78" s="7">
        <v>10</v>
      </c>
      <c r="D78" s="8" t="str">
        <f>VLOOKUP(C78,ages_from_list!A:C,3)</f>
        <v>36 месяцев (3 лет)</v>
      </c>
      <c r="E78" s="7">
        <v>3</v>
      </c>
      <c r="F78" s="8" t="str">
        <f>VLOOKUP(E78,ages_through_list!A:C,3)</f>
        <v>3 лет 11 месяцев</v>
      </c>
      <c r="G78" s="7">
        <v>4</v>
      </c>
      <c r="H78" s="30" t="str">
        <f>VLOOKUP(G78,routes_of_administration_list!A:B,2)</f>
        <v>внутримышечно в дельтовидную мышцу</v>
      </c>
      <c r="I78" s="8"/>
      <c r="J78" s="11">
        <v>44712</v>
      </c>
      <c r="K78" s="58"/>
    </row>
    <row r="79" spans="1:11">
      <c r="A79" s="7">
        <v>35</v>
      </c>
      <c r="B79" s="8" t="str">
        <f>VLOOKUP(A79,vaccines!A:B,2)</f>
        <v>Sovigripp</v>
      </c>
      <c r="C79" s="7">
        <v>11</v>
      </c>
      <c r="D79" s="8" t="str">
        <f>VLOOKUP(C79,ages_from_list!A:C,3)</f>
        <v>4 лет</v>
      </c>
      <c r="E79" s="7">
        <v>4</v>
      </c>
      <c r="F79" s="8" t="str">
        <f>VLOOKUP(E79,ages_through_list!A:C,3)</f>
        <v>5 лет</v>
      </c>
      <c r="G79" s="7">
        <v>5</v>
      </c>
      <c r="H79" s="30" t="str">
        <f>VLOOKUP(G79,routes_of_administration_list!A:B,2)</f>
        <v>внутримышечно в дельтовидную мышцу</v>
      </c>
      <c r="I79" s="8"/>
      <c r="J79" s="11">
        <v>44712</v>
      </c>
      <c r="K79" s="58"/>
    </row>
    <row r="80" spans="1:11">
      <c r="A80" s="7">
        <v>35</v>
      </c>
      <c r="B80" s="8" t="str">
        <f>VLOOKUP(A80,vaccines!A:B,2)</f>
        <v>Sovigripp</v>
      </c>
      <c r="C80" s="54">
        <v>12</v>
      </c>
      <c r="D80" s="8" t="str">
        <f>VLOOKUP(C80,ages_from_list!A:C,3)</f>
        <v>6 лет</v>
      </c>
      <c r="E80" s="7">
        <v>13</v>
      </c>
      <c r="F80" s="8" t="str">
        <f>VLOOKUP(E80,ages_through_list!A:C,3)</f>
        <v>∞</v>
      </c>
      <c r="G80" s="7">
        <v>3</v>
      </c>
      <c r="H80" s="30" t="str">
        <f>VLOOKUP(G80,routes_of_administration_list!A:B,2)</f>
        <v>внутримышечно в дельтовидную мышцу</v>
      </c>
      <c r="I80" s="8"/>
      <c r="J80" s="11">
        <v>44712</v>
      </c>
      <c r="K80" s="58"/>
    </row>
    <row r="81" spans="1:11">
      <c r="A81" s="7">
        <v>36</v>
      </c>
      <c r="B81" s="8" t="str">
        <f>VLOOKUP(A81,vaccines!A:B,2)</f>
        <v>Ultrix</v>
      </c>
      <c r="C81" s="7">
        <v>5</v>
      </c>
      <c r="D81" s="8" t="str">
        <f>VLOOKUP(C81,ages_from_list!A:C,3)</f>
        <v>6 месяцев</v>
      </c>
      <c r="E81" s="7">
        <v>20</v>
      </c>
      <c r="F81" s="8" t="str">
        <f>VLOOKUP(E81,ages_through_list!A:C,3)</f>
        <v>11 месяцев</v>
      </c>
      <c r="G81" s="7">
        <v>1</v>
      </c>
      <c r="H81" s="30" t="str">
        <f>VLOOKUP(G81,routes_of_administration_list!A:B,2)</f>
        <v>внутримышечно в передненаружную область бедра</v>
      </c>
      <c r="I81" s="8"/>
      <c r="J81" s="11">
        <v>44712</v>
      </c>
      <c r="K81" s="58"/>
    </row>
    <row r="82" spans="1:11">
      <c r="A82" s="7">
        <v>36</v>
      </c>
      <c r="B82" s="8" t="str">
        <f>VLOOKUP(A82,vaccines!A:B,2)</f>
        <v>Ultrix</v>
      </c>
      <c r="C82" s="7">
        <v>8</v>
      </c>
      <c r="D82" s="8" t="str">
        <f>VLOOKUP(C82,ages_from_list!A:C,3)</f>
        <v>12 месяцев</v>
      </c>
      <c r="E82" s="7">
        <v>19</v>
      </c>
      <c r="F82" s="8" t="str">
        <f>VLOOKUP(E82,ages_through_list!A:C,3)</f>
        <v>35 месяцев (2 лет 11 месяцев)</v>
      </c>
      <c r="G82" s="7">
        <v>1</v>
      </c>
      <c r="H82" s="30" t="str">
        <f>VLOOKUP(G82,routes_of_administration_list!A:B,2)</f>
        <v>внутримышечно в передненаружную область бедра</v>
      </c>
      <c r="I82" s="8"/>
      <c r="J82" s="11">
        <v>44712</v>
      </c>
      <c r="K82" s="58"/>
    </row>
    <row r="83" spans="1:11">
      <c r="A83" s="7">
        <v>36</v>
      </c>
      <c r="B83" s="8" t="str">
        <f>VLOOKUP(A83,vaccines!A:B,2)</f>
        <v>Ultrix</v>
      </c>
      <c r="C83" s="7">
        <v>8</v>
      </c>
      <c r="D83" s="8" t="str">
        <f>VLOOKUP(C83,ages_from_list!A:C,3)</f>
        <v>12 месяцев</v>
      </c>
      <c r="E83" s="7">
        <v>19</v>
      </c>
      <c r="F83" s="8" t="str">
        <f>VLOOKUP(E83,ages_through_list!A:C,3)</f>
        <v>35 месяцев (2 лет 11 месяцев)</v>
      </c>
      <c r="G83" s="7">
        <v>4</v>
      </c>
      <c r="H83" s="30" t="str">
        <f>VLOOKUP(G83,routes_of_administration_list!A:B,2)</f>
        <v>внутримышечно в дельтовидную мышцу</v>
      </c>
      <c r="I83" s="8"/>
      <c r="J83" s="11">
        <v>44712</v>
      </c>
      <c r="K83" s="58"/>
    </row>
    <row r="84" spans="1:11">
      <c r="A84" s="7">
        <v>36</v>
      </c>
      <c r="B84" s="8" t="str">
        <f>VLOOKUP(A84,vaccines!A:B,2)</f>
        <v>Ultrix</v>
      </c>
      <c r="C84" s="7">
        <v>10</v>
      </c>
      <c r="D84" s="8" t="str">
        <f>VLOOKUP(C84,ages_from_list!A:C,3)</f>
        <v>36 месяцев (3 лет)</v>
      </c>
      <c r="E84" s="7">
        <v>3</v>
      </c>
      <c r="F84" s="8" t="str">
        <f>VLOOKUP(E84,ages_through_list!A:C,3)</f>
        <v>3 лет 11 месяцев</v>
      </c>
      <c r="G84" s="7">
        <v>4</v>
      </c>
      <c r="H84" s="30" t="str">
        <f>VLOOKUP(G84,routes_of_administration_list!A:B,2)</f>
        <v>внутримышечно в дельтовидную мышцу</v>
      </c>
      <c r="I84" s="8"/>
      <c r="J84" s="11">
        <v>44712</v>
      </c>
      <c r="K84" s="58"/>
    </row>
    <row r="85" spans="1:11">
      <c r="A85" s="7">
        <v>36</v>
      </c>
      <c r="B85" s="8" t="str">
        <f>VLOOKUP(A85,vaccines!A:B,2)</f>
        <v>Ultrix</v>
      </c>
      <c r="C85" s="7">
        <v>11</v>
      </c>
      <c r="D85" s="8" t="str">
        <f>VLOOKUP(C85,ages_from_list!A:C,3)</f>
        <v>4 лет</v>
      </c>
      <c r="E85" s="7">
        <v>4</v>
      </c>
      <c r="F85" s="8" t="str">
        <f>VLOOKUP(E85,ages_through_list!A:C,3)</f>
        <v>5 лет</v>
      </c>
      <c r="G85" s="7">
        <v>5</v>
      </c>
      <c r="H85" s="30" t="str">
        <f>VLOOKUP(G85,routes_of_administration_list!A:B,2)</f>
        <v>внутримышечно в дельтовидную мышцу</v>
      </c>
      <c r="I85" s="8"/>
      <c r="J85" s="11">
        <v>44712</v>
      </c>
      <c r="K85" s="58"/>
    </row>
    <row r="86" spans="1:11">
      <c r="A86" s="7">
        <v>36</v>
      </c>
      <c r="B86" s="8" t="str">
        <f>VLOOKUP(A86,vaccines!A:B,2)</f>
        <v>Ultrix</v>
      </c>
      <c r="C86" s="7">
        <v>12</v>
      </c>
      <c r="D86" s="8" t="str">
        <f>VLOOKUP(C86,ages_from_list!A:C,3)</f>
        <v>6 лет</v>
      </c>
      <c r="E86" s="7">
        <v>13</v>
      </c>
      <c r="F86" s="8" t="str">
        <f>VLOOKUP(E86,ages_through_list!A:C,3)</f>
        <v>∞</v>
      </c>
      <c r="G86" s="7">
        <v>3</v>
      </c>
      <c r="H86" s="30" t="str">
        <f>VLOOKUP(G86,routes_of_administration_list!A:B,2)</f>
        <v>внутримышечно в дельтовидную мышцу</v>
      </c>
      <c r="I86" s="8"/>
      <c r="J86" s="11">
        <v>44712</v>
      </c>
      <c r="K86" s="58"/>
    </row>
    <row r="87" spans="1:11">
      <c r="A87" s="7">
        <v>37</v>
      </c>
      <c r="B87" s="8" t="str">
        <f>VLOOKUP(A87,vaccines!A:B,2)</f>
        <v>Flu_M</v>
      </c>
      <c r="C87" s="7">
        <v>5</v>
      </c>
      <c r="D87" s="8" t="str">
        <f>VLOOKUP(C87,ages_from_list!A:C,3)</f>
        <v>6 месяцев</v>
      </c>
      <c r="E87" s="54">
        <v>13</v>
      </c>
      <c r="F87" s="8" t="str">
        <f>VLOOKUP(E87,ages_through_list!A:C,3)</f>
        <v>∞</v>
      </c>
      <c r="G87" s="7">
        <v>1</v>
      </c>
      <c r="H87" s="30" t="str">
        <f>VLOOKUP(G87,routes_of_administration_list!A:B,2)</f>
        <v>внутримышечно в передненаружную область бедра</v>
      </c>
      <c r="I87" s="8"/>
      <c r="J87" s="11">
        <v>44932</v>
      </c>
      <c r="K87" s="57">
        <v>46130</v>
      </c>
    </row>
    <row r="88" spans="1:11">
      <c r="A88" s="7">
        <v>37</v>
      </c>
      <c r="B88" s="8" t="str">
        <f>VLOOKUP(A88,vaccines!A:B,2)</f>
        <v>Flu_M</v>
      </c>
      <c r="C88" s="7">
        <v>8</v>
      </c>
      <c r="D88" s="8" t="str">
        <f>VLOOKUP(C88,ages_from_list!A:C,3)</f>
        <v>12 месяцев</v>
      </c>
      <c r="E88" s="7">
        <v>19</v>
      </c>
      <c r="F88" s="8" t="str">
        <f>VLOOKUP(E88,ages_through_list!A:C,3)</f>
        <v>35 месяцев (2 лет 11 месяцев)</v>
      </c>
      <c r="G88" s="7">
        <v>4</v>
      </c>
      <c r="H88" s="30" t="str">
        <f>VLOOKUP(G88,routes_of_administration_list!A:B,2)</f>
        <v>внутримышечно в дельтовидную мышцу</v>
      </c>
      <c r="I88" s="8"/>
      <c r="J88" s="11">
        <v>44932</v>
      </c>
      <c r="K88" s="58"/>
    </row>
    <row r="89" spans="1:11">
      <c r="A89" s="7">
        <v>37</v>
      </c>
      <c r="B89" s="8" t="str">
        <f>VLOOKUP(A89,vaccines!A:B,2)</f>
        <v>Flu_M</v>
      </c>
      <c r="C89" s="7">
        <v>10</v>
      </c>
      <c r="D89" s="8" t="str">
        <f>VLOOKUP(C89,ages_from_list!A:C,3)</f>
        <v>36 месяцев (3 лет)</v>
      </c>
      <c r="E89" s="7">
        <v>4</v>
      </c>
      <c r="F89" s="8" t="str">
        <f>VLOOKUP(E89,ages_through_list!A:C,3)</f>
        <v>5 лет</v>
      </c>
      <c r="G89" s="7">
        <v>5</v>
      </c>
      <c r="H89" s="30" t="str">
        <f>VLOOKUP(G89,routes_of_administration_list!A:B,2)</f>
        <v>внутримышечно в дельтовидную мышцу</v>
      </c>
      <c r="I89" s="8"/>
      <c r="J89" s="11">
        <v>44933</v>
      </c>
      <c r="K89" s="58"/>
    </row>
    <row r="90" spans="1:11">
      <c r="A90" s="7">
        <v>37</v>
      </c>
      <c r="B90" s="8" t="str">
        <f>VLOOKUP(A90,vaccines!A:B,2)</f>
        <v>Flu_M</v>
      </c>
      <c r="C90" s="7">
        <v>12</v>
      </c>
      <c r="D90" s="8" t="str">
        <f>VLOOKUP(C90,ages_from_list!A:C,3)</f>
        <v>6 лет</v>
      </c>
      <c r="E90" s="7">
        <v>13</v>
      </c>
      <c r="F90" s="8" t="str">
        <f>VLOOKUP(E90,ages_through_list!A:C,3)</f>
        <v>∞</v>
      </c>
      <c r="G90" s="7">
        <v>3</v>
      </c>
      <c r="H90" s="30" t="str">
        <f>VLOOKUP(G90,routes_of_administration_list!A:B,2)</f>
        <v>внутримышечно в дельтовидную мышцу</v>
      </c>
      <c r="I90" s="8"/>
      <c r="J90" s="11">
        <v>44712</v>
      </c>
      <c r="K90" s="53">
        <v>44932</v>
      </c>
    </row>
    <row r="91" spans="1:11">
      <c r="A91" s="7">
        <v>38</v>
      </c>
      <c r="B91" s="8" t="str">
        <f>VLOOKUP(A91,vaccines!A:B,2)</f>
        <v>Vaxigrip</v>
      </c>
      <c r="C91" s="7">
        <v>5</v>
      </c>
      <c r="D91" s="8" t="str">
        <f>VLOOKUP(C91,ages_from_list!A:C,3)</f>
        <v>6 месяцев</v>
      </c>
      <c r="E91" s="7">
        <v>20</v>
      </c>
      <c r="F91" s="8" t="str">
        <f>VLOOKUP(E91,ages_through_list!A:C,3)</f>
        <v>11 месяцев</v>
      </c>
      <c r="G91" s="7">
        <v>1</v>
      </c>
      <c r="H91" s="30" t="str">
        <f>VLOOKUP(G91,routes_of_administration_list!A:B,2)</f>
        <v>внутримышечно в передненаружную область бедра</v>
      </c>
      <c r="I91" s="8"/>
      <c r="J91" s="11">
        <v>44712</v>
      </c>
      <c r="K91" s="53">
        <v>45078</v>
      </c>
    </row>
    <row r="92" spans="1:11">
      <c r="A92" s="7">
        <v>38</v>
      </c>
      <c r="B92" s="8" t="str">
        <f>VLOOKUP(A92,vaccines!A:B,2)</f>
        <v>Vaxigrip</v>
      </c>
      <c r="C92" s="7">
        <v>8</v>
      </c>
      <c r="D92" s="8" t="str">
        <f>VLOOKUP(C92,ages_from_list!A:C,3)</f>
        <v>12 месяцев</v>
      </c>
      <c r="E92" s="7">
        <v>19</v>
      </c>
      <c r="F92" s="8" t="str">
        <f>VLOOKUP(E92,ages_through_list!A:C,3)</f>
        <v>35 месяцев (2 лет 11 месяцев)</v>
      </c>
      <c r="G92" s="7">
        <v>1</v>
      </c>
      <c r="H92" s="30" t="str">
        <f>VLOOKUP(G92,routes_of_administration_list!A:B,2)</f>
        <v>внутримышечно в передненаружную область бедра</v>
      </c>
      <c r="I92" s="8"/>
      <c r="J92" s="11">
        <v>45078</v>
      </c>
      <c r="K92" s="8"/>
    </row>
    <row r="93" spans="1:11">
      <c r="A93" s="7">
        <v>38</v>
      </c>
      <c r="B93" s="8" t="str">
        <f>VLOOKUP(A93,vaccines!A:B,2)</f>
        <v>Vaxigrip</v>
      </c>
      <c r="C93" s="7">
        <v>8</v>
      </c>
      <c r="D93" s="8" t="str">
        <f>VLOOKUP(C93,ages_from_list!A:C,3)</f>
        <v>12 месяцев</v>
      </c>
      <c r="E93" s="7">
        <v>19</v>
      </c>
      <c r="F93" s="8" t="str">
        <f>VLOOKUP(E93,ages_through_list!A:C,3)</f>
        <v>35 месяцев (2 лет 11 месяцев)</v>
      </c>
      <c r="G93" s="7">
        <v>4</v>
      </c>
      <c r="H93" s="30" t="str">
        <f>VLOOKUP(G93,routes_of_administration_list!A:B,2)</f>
        <v>внутримышечно в дельтовидную мышцу</v>
      </c>
      <c r="I93" s="8"/>
      <c r="J93" s="11">
        <v>45078</v>
      </c>
      <c r="K93" s="8"/>
    </row>
    <row r="94" spans="1:11">
      <c r="A94" s="7">
        <v>38</v>
      </c>
      <c r="B94" s="8" t="str">
        <f>VLOOKUP(A94,vaccines!A:B,2)</f>
        <v>Vaxigrip</v>
      </c>
      <c r="C94" s="7">
        <v>10</v>
      </c>
      <c r="D94" s="8" t="str">
        <f>VLOOKUP(C94,ages_from_list!A:C,3)</f>
        <v>36 месяцев (3 лет)</v>
      </c>
      <c r="E94" s="7">
        <v>4</v>
      </c>
      <c r="F94" s="8" t="str">
        <f>VLOOKUP(E94,ages_through_list!A:C,3)</f>
        <v>5 лет</v>
      </c>
      <c r="G94" s="7">
        <v>5</v>
      </c>
      <c r="H94" s="30" t="str">
        <f>VLOOKUP(G94,routes_of_administration_list!A:B,2)</f>
        <v>внутримышечно в дельтовидную мышцу</v>
      </c>
      <c r="I94" s="8"/>
      <c r="J94" s="11">
        <v>45078</v>
      </c>
      <c r="K94" s="8"/>
    </row>
    <row r="95" spans="1:11">
      <c r="A95" s="7">
        <v>38</v>
      </c>
      <c r="B95" s="8" t="str">
        <f>VLOOKUP(A95,vaccines!A:B,2)</f>
        <v>Vaxigrip</v>
      </c>
      <c r="C95" s="7">
        <v>12</v>
      </c>
      <c r="D95" s="8" t="str">
        <f>VLOOKUP(C95,ages_from_list!A:C,3)</f>
        <v>6 лет</v>
      </c>
      <c r="E95" s="7">
        <v>13</v>
      </c>
      <c r="F95" s="8" t="str">
        <f>VLOOKUP(E95,ages_through_list!A:C,3)</f>
        <v>∞</v>
      </c>
      <c r="G95" s="7">
        <v>3</v>
      </c>
      <c r="H95" s="30" t="str">
        <f>VLOOKUP(G95,routes_of_administration_list!A:B,2)</f>
        <v>внутримышечно в дельтовидную мышцу</v>
      </c>
      <c r="I95" s="8"/>
      <c r="J95" s="11">
        <v>45078</v>
      </c>
      <c r="K95" s="8"/>
    </row>
    <row r="96" spans="1:11">
      <c r="A96" s="7">
        <v>39</v>
      </c>
      <c r="B96" s="8" t="str">
        <f>VLOOKUP(A96,vaccines!A:B,2)</f>
        <v>Influvac</v>
      </c>
      <c r="C96" s="7">
        <v>5</v>
      </c>
      <c r="D96" s="8" t="str">
        <f>VLOOKUP(C96,ages_from_list!A:C,3)</f>
        <v>6 месяцев</v>
      </c>
      <c r="E96" s="54">
        <v>13</v>
      </c>
      <c r="F96" s="8" t="str">
        <f>VLOOKUP(E96,ages_through_list!A:C,3)</f>
        <v>∞</v>
      </c>
      <c r="G96" s="7">
        <v>1</v>
      </c>
      <c r="H96" s="30" t="str">
        <f>VLOOKUP(G96,routes_of_administration_list!A:B,2)</f>
        <v>внутримышечно в передненаружную область бедра</v>
      </c>
      <c r="I96" s="8"/>
      <c r="J96" s="11">
        <v>44712</v>
      </c>
      <c r="K96" s="58"/>
    </row>
    <row r="97" spans="1:11">
      <c r="A97" s="7">
        <v>39</v>
      </c>
      <c r="B97" s="8" t="str">
        <f>VLOOKUP(A97,vaccines!A:B,2)</f>
        <v>Influvac</v>
      </c>
      <c r="C97" s="54">
        <v>5</v>
      </c>
      <c r="D97" s="8" t="str">
        <f>VLOOKUP(C97,ages_from_list!A:C,3)</f>
        <v>6 месяцев</v>
      </c>
      <c r="E97" s="7">
        <v>3</v>
      </c>
      <c r="F97" s="8" t="str">
        <f>VLOOKUP(E97,ages_through_list!A:C,3)</f>
        <v>3 лет 11 месяцев</v>
      </c>
      <c r="G97" s="7">
        <v>4</v>
      </c>
      <c r="H97" s="30" t="str">
        <f>VLOOKUP(G97,routes_of_administration_list!A:B,2)</f>
        <v>внутримышечно в дельтовидную мышцу</v>
      </c>
      <c r="I97" s="8"/>
      <c r="J97" s="11">
        <v>44712</v>
      </c>
      <c r="K97" s="12">
        <v>46130</v>
      </c>
    </row>
    <row r="98" spans="1:11">
      <c r="A98" s="7">
        <v>39</v>
      </c>
      <c r="B98" s="8" t="str">
        <f>VLOOKUP(A98,vaccines!A:B,2)</f>
        <v>Influvac</v>
      </c>
      <c r="C98" s="7">
        <v>11</v>
      </c>
      <c r="D98" s="8" t="str">
        <f>VLOOKUP(C98,ages_from_list!A:C,3)</f>
        <v>4 лет</v>
      </c>
      <c r="E98" s="7">
        <v>4</v>
      </c>
      <c r="F98" s="8" t="str">
        <f>VLOOKUP(E98,ages_through_list!A:C,3)</f>
        <v>5 лет</v>
      </c>
      <c r="G98" s="7">
        <v>5</v>
      </c>
      <c r="H98" s="30" t="str">
        <f>VLOOKUP(G98,routes_of_administration_list!A:B,2)</f>
        <v>внутримышечно в дельтовидную мышцу</v>
      </c>
      <c r="I98" s="8"/>
      <c r="J98" s="11">
        <v>44712</v>
      </c>
      <c r="K98" s="58"/>
    </row>
    <row r="99" spans="1:11">
      <c r="A99" s="7">
        <v>39</v>
      </c>
      <c r="B99" s="8" t="str">
        <f>VLOOKUP(A99,vaccines!A:B,2)</f>
        <v>Influvac</v>
      </c>
      <c r="C99" s="7">
        <v>12</v>
      </c>
      <c r="D99" s="8" t="str">
        <f>VLOOKUP(C99,ages_from_list!A:C,3)</f>
        <v>6 лет</v>
      </c>
      <c r="E99" s="7">
        <v>13</v>
      </c>
      <c r="F99" s="8" t="str">
        <f>VLOOKUP(E99,ages_through_list!A:C,3)</f>
        <v>∞</v>
      </c>
      <c r="G99" s="7">
        <v>3</v>
      </c>
      <c r="H99" s="30" t="str">
        <f>VLOOKUP(G99,routes_of_administration_list!A:B,2)</f>
        <v>внутримышечно в дельтовидную мышцу</v>
      </c>
      <c r="I99" s="8"/>
      <c r="J99" s="11">
        <v>44712</v>
      </c>
      <c r="K99" s="58"/>
    </row>
    <row r="100" spans="1:11">
      <c r="A100" s="7">
        <v>39</v>
      </c>
      <c r="B100" s="8" t="str">
        <f>VLOOKUP(A100,vaccines!A:B,2)</f>
        <v>Influvac</v>
      </c>
      <c r="C100" s="7">
        <v>5</v>
      </c>
      <c r="D100" s="8" t="str">
        <f>VLOOKUP(C100,ages_from_list!A:C,3)</f>
        <v>6 месяцев</v>
      </c>
      <c r="E100" s="7">
        <v>13</v>
      </c>
      <c r="F100" s="8" t="str">
        <f>VLOOKUP(E100,ages_through_list!A:C,3)</f>
        <v>∞</v>
      </c>
      <c r="G100" s="7">
        <v>6</v>
      </c>
      <c r="H100" s="30" t="str">
        <f>VLOOKUP(G100,routes_of_administration_list!A:B,2)</f>
        <v>подкожно в область дельтовидной мышцы</v>
      </c>
      <c r="I100" s="8"/>
      <c r="J100" s="11">
        <v>44712</v>
      </c>
      <c r="K100" s="53">
        <v>44935</v>
      </c>
    </row>
    <row r="101" spans="1:11">
      <c r="A101" s="7">
        <v>39</v>
      </c>
      <c r="B101" s="8" t="str">
        <f>VLOOKUP(A101,vaccines!A:B,2)</f>
        <v>Influvac</v>
      </c>
      <c r="C101" s="54">
        <v>5</v>
      </c>
      <c r="D101" s="8" t="str">
        <f>VLOOKUP(C101,ages_from_list!A:C,3)</f>
        <v>6 месяцев</v>
      </c>
      <c r="E101" s="7">
        <v>13</v>
      </c>
      <c r="F101" s="8" t="str">
        <f>VLOOKUP(E101,ages_through_list!A:C,3)</f>
        <v>∞</v>
      </c>
      <c r="G101" s="7">
        <v>9</v>
      </c>
      <c r="H101" s="30" t="str">
        <f>VLOOKUP(G101,routes_of_administration_list!A:B,2)</f>
        <v>подкожно в область бедра</v>
      </c>
      <c r="I101" s="8"/>
      <c r="J101" s="12">
        <v>46130</v>
      </c>
      <c r="K101" s="58"/>
    </row>
    <row r="102" spans="1:11">
      <c r="A102" s="7">
        <v>40</v>
      </c>
      <c r="B102" s="8" t="str">
        <f>VLOOKUP(A102,vaccines!A:B,2)</f>
        <v>Ultrix_quadri</v>
      </c>
      <c r="C102" s="7">
        <v>5</v>
      </c>
      <c r="D102" s="8" t="str">
        <f>VLOOKUP(C102,ages_from_list!A:C,3)</f>
        <v>6 месяцев</v>
      </c>
      <c r="E102" s="7">
        <v>19</v>
      </c>
      <c r="F102" s="8" t="str">
        <f>VLOOKUP(E102,ages_through_list!A:C,3)</f>
        <v>35 месяцев (2 лет 11 месяцев)</v>
      </c>
      <c r="G102" s="7">
        <v>1</v>
      </c>
      <c r="H102" s="30" t="str">
        <f>VLOOKUP(G102,routes_of_administration_list!A:B,2)</f>
        <v>внутримышечно в передненаружную область бедра</v>
      </c>
      <c r="I102" s="8"/>
      <c r="J102" s="11">
        <v>44712</v>
      </c>
      <c r="K102" s="58"/>
    </row>
    <row r="103" spans="1:11">
      <c r="A103" s="7">
        <v>40</v>
      </c>
      <c r="B103" s="8" t="str">
        <f>VLOOKUP(A103,vaccines!A:B,2)</f>
        <v>Ultrix_quadri</v>
      </c>
      <c r="C103" s="7">
        <v>8</v>
      </c>
      <c r="D103" s="8" t="str">
        <f>VLOOKUP(C103,ages_from_list!A:C,3)</f>
        <v>12 месяцев</v>
      </c>
      <c r="E103" s="7">
        <v>3</v>
      </c>
      <c r="F103" s="8" t="str">
        <f>VLOOKUP(E103,ages_through_list!A:C,3)</f>
        <v>3 лет 11 месяцев</v>
      </c>
      <c r="G103" s="7">
        <v>4</v>
      </c>
      <c r="H103" s="30" t="str">
        <f>VLOOKUP(G103,routes_of_administration_list!A:B,2)</f>
        <v>внутримышечно в дельтовидную мышцу</v>
      </c>
      <c r="I103" s="8"/>
      <c r="J103" s="11">
        <v>44712</v>
      </c>
      <c r="K103" s="58"/>
    </row>
    <row r="104" spans="1:11">
      <c r="A104" s="7">
        <v>40</v>
      </c>
      <c r="B104" s="8" t="str">
        <f>VLOOKUP(A104,vaccines!A:B,2)</f>
        <v>Ultrix_quadri</v>
      </c>
      <c r="C104" s="7">
        <v>11</v>
      </c>
      <c r="D104" s="8" t="str">
        <f>VLOOKUP(C104,ages_from_list!A:C,3)</f>
        <v>4 лет</v>
      </c>
      <c r="E104" s="7">
        <v>4</v>
      </c>
      <c r="F104" s="8" t="str">
        <f>VLOOKUP(E104,ages_through_list!A:C,3)</f>
        <v>5 лет</v>
      </c>
      <c r="G104" s="7">
        <v>5</v>
      </c>
      <c r="H104" s="30" t="str">
        <f>VLOOKUP(G104,routes_of_administration_list!A:B,2)</f>
        <v>внутримышечно в дельтовидную мышцу</v>
      </c>
      <c r="I104" s="8"/>
      <c r="J104" s="11">
        <v>44712</v>
      </c>
      <c r="K104" s="58"/>
    </row>
    <row r="105" spans="1:11">
      <c r="A105" s="7">
        <v>40</v>
      </c>
      <c r="B105" s="8" t="str">
        <f>VLOOKUP(A105,vaccines!A:B,2)</f>
        <v>Ultrix_quadri</v>
      </c>
      <c r="C105" s="7">
        <v>12</v>
      </c>
      <c r="D105" s="8" t="str">
        <f>VLOOKUP(C105,ages_from_list!A:C,3)</f>
        <v>6 лет</v>
      </c>
      <c r="E105" s="7">
        <v>13</v>
      </c>
      <c r="F105" s="8" t="str">
        <f>VLOOKUP(E105,ages_through_list!A:C,3)</f>
        <v>∞</v>
      </c>
      <c r="G105" s="7">
        <v>3</v>
      </c>
      <c r="H105" s="30" t="str">
        <f>VLOOKUP(G105,routes_of_administration_list!A:B,2)</f>
        <v>внутримышечно в дельтовидную мышцу</v>
      </c>
      <c r="I105" s="8"/>
      <c r="J105" s="11">
        <v>44712</v>
      </c>
      <c r="K105" s="58"/>
    </row>
    <row r="106" spans="1:11">
      <c r="A106" s="7">
        <v>41</v>
      </c>
      <c r="B106" s="8" t="str">
        <f>VLOOKUP(A106,vaccines!A:B,2)</f>
        <v>Grippol_quadrivalent</v>
      </c>
      <c r="C106" s="54">
        <v>10</v>
      </c>
      <c r="D106" s="8" t="str">
        <f>VLOOKUP(C106,ages_from_list!A:C,3)</f>
        <v>36 месяцев (3 лет)</v>
      </c>
      <c r="E106" s="54">
        <v>11</v>
      </c>
      <c r="F106" s="8" t="str">
        <f>VLOOKUP(E106,ages_through_list!A:C,3)</f>
        <v>60 лет</v>
      </c>
      <c r="G106" s="7">
        <v>6</v>
      </c>
      <c r="H106" s="30" t="str">
        <f>VLOOKUP(G106,routes_of_administration_list!A:B,2)</f>
        <v>подкожно в область дельтовидной мышцы</v>
      </c>
      <c r="I106" s="8"/>
      <c r="J106" s="11">
        <v>44712</v>
      </c>
      <c r="K106" s="12">
        <v>45510</v>
      </c>
    </row>
    <row r="107" spans="1:11">
      <c r="A107" s="7">
        <v>41</v>
      </c>
      <c r="B107" s="8" t="str">
        <f>VLOOKUP(A107,vaccines!A:B,2)</f>
        <v>Grippol_quadrivalent</v>
      </c>
      <c r="C107" s="54">
        <v>5</v>
      </c>
      <c r="D107" s="8" t="str">
        <f>VLOOKUP(C107,ages_from_list!A:C,3)</f>
        <v>6 месяцев</v>
      </c>
      <c r="E107" s="54">
        <v>18</v>
      </c>
      <c r="F107" s="8" t="str">
        <f>VLOOKUP(E107,ages_through_list!A:C,3)</f>
        <v>2 лет 11 месяцев</v>
      </c>
      <c r="G107" s="54">
        <v>1</v>
      </c>
      <c r="H107" s="30" t="str">
        <f>VLOOKUP(G107,routes_of_administration_list!A:B,2)</f>
        <v>внутримышечно в передненаружную область бедра</v>
      </c>
      <c r="I107" s="8"/>
      <c r="J107" s="12">
        <v>45510</v>
      </c>
      <c r="K107" s="58"/>
    </row>
    <row r="108" spans="1:11">
      <c r="A108" s="7">
        <v>41</v>
      </c>
      <c r="B108" s="8" t="str">
        <f>VLOOKUP(A108,vaccines!A:B,2)</f>
        <v>Grippol_quadrivalent</v>
      </c>
      <c r="C108" s="54">
        <v>10</v>
      </c>
      <c r="D108" s="8" t="str">
        <f>VLOOKUP(C108,ages_from_list!A:C,3)</f>
        <v>36 месяцев (3 лет)</v>
      </c>
      <c r="E108" s="54">
        <v>3</v>
      </c>
      <c r="F108" s="8" t="str">
        <f>VLOOKUP(E108,ages_through_list!A:C,3)</f>
        <v>3 лет 11 месяцев</v>
      </c>
      <c r="G108" s="54">
        <v>4</v>
      </c>
      <c r="H108" s="30" t="str">
        <f>VLOOKUP(G108,routes_of_administration_list!A:B,2)</f>
        <v>внутримышечно в дельтовидную мышцу</v>
      </c>
      <c r="I108" s="8"/>
      <c r="J108" s="12">
        <v>45510</v>
      </c>
      <c r="K108" s="58"/>
    </row>
    <row r="109" spans="1:11">
      <c r="A109" s="7">
        <v>41</v>
      </c>
      <c r="B109" s="8" t="str">
        <f>VLOOKUP(A109,vaccines!A:B,2)</f>
        <v>Grippol_quadrivalent</v>
      </c>
      <c r="C109" s="54">
        <v>11</v>
      </c>
      <c r="D109" s="8" t="str">
        <f>VLOOKUP(C109,ages_from_list!A:C,3)</f>
        <v>4 лет</v>
      </c>
      <c r="E109" s="54">
        <v>4</v>
      </c>
      <c r="F109" s="8" t="str">
        <f>VLOOKUP(E109,ages_through_list!A:C,3)</f>
        <v>5 лет</v>
      </c>
      <c r="G109" s="54">
        <v>5</v>
      </c>
      <c r="H109" s="30" t="str">
        <f>VLOOKUP(G109,routes_of_administration_list!A:B,2)</f>
        <v>внутримышечно в дельтовидную мышцу</v>
      </c>
      <c r="I109" s="8"/>
      <c r="J109" s="12">
        <v>45510</v>
      </c>
      <c r="K109" s="58"/>
    </row>
    <row r="110" spans="1:11">
      <c r="A110" s="7">
        <v>41</v>
      </c>
      <c r="B110" s="8" t="str">
        <f>VLOOKUP(A110,vaccines!A:B,2)</f>
        <v>Grippol_quadrivalent</v>
      </c>
      <c r="C110" s="54">
        <v>12</v>
      </c>
      <c r="D110" s="8" t="str">
        <f>VLOOKUP(C110,ages_from_list!A:C,3)</f>
        <v>6 лет</v>
      </c>
      <c r="E110" s="54">
        <v>11</v>
      </c>
      <c r="F110" s="8" t="str">
        <f>VLOOKUP(E110,ages_through_list!A:C,3)</f>
        <v>60 лет</v>
      </c>
      <c r="G110" s="54">
        <v>3</v>
      </c>
      <c r="H110" s="30" t="str">
        <f>VLOOKUP(G110,routes_of_administration_list!A:B,2)</f>
        <v>внутримышечно в дельтовидную мышцу</v>
      </c>
      <c r="I110" s="8"/>
      <c r="J110" s="12">
        <v>44712</v>
      </c>
      <c r="K110" s="58"/>
    </row>
    <row r="111" spans="1:11">
      <c r="A111" s="7">
        <v>42</v>
      </c>
      <c r="B111" s="8" t="str">
        <f>VLOOKUP(A111,vaccines!A:B,2)</f>
        <v>measles_Microgen</v>
      </c>
      <c r="C111" s="7">
        <v>6</v>
      </c>
      <c r="D111" s="8" t="str">
        <f>VLOOKUP(C111,ages_from_list!A:C,3)</f>
        <v>8 месяцев</v>
      </c>
      <c r="E111" s="7">
        <v>13</v>
      </c>
      <c r="F111" s="8" t="str">
        <f>VLOOKUP(E111,ages_through_list!A:C,3)</f>
        <v>∞</v>
      </c>
      <c r="G111" s="7">
        <v>8</v>
      </c>
      <c r="H111" s="30" t="str">
        <f>VLOOKUP(G111,routes_of_administration_list!A:B,2)</f>
        <v>подкожно в подлопаточную область</v>
      </c>
      <c r="I111" s="8"/>
      <c r="J111" s="11">
        <v>44712</v>
      </c>
      <c r="K111" s="58"/>
    </row>
    <row r="112" spans="1:11">
      <c r="A112" s="7">
        <v>42</v>
      </c>
      <c r="B112" s="8" t="str">
        <f>VLOOKUP(A112,vaccines!A:B,2)</f>
        <v>measles_Microgen</v>
      </c>
      <c r="C112" s="7">
        <v>6</v>
      </c>
      <c r="D112" s="8" t="str">
        <f>VLOOKUP(C112,ages_from_list!A:C,3)</f>
        <v>8 месяцев</v>
      </c>
      <c r="E112" s="7">
        <v>13</v>
      </c>
      <c r="F112" s="8" t="str">
        <f>VLOOKUP(E112,ages_through_list!A:C,3)</f>
        <v>∞</v>
      </c>
      <c r="G112" s="7">
        <v>7</v>
      </c>
      <c r="H112" s="30" t="str">
        <f>VLOOKUP(G112,routes_of_administration_list!A:B,2)</f>
        <v>подкожно между нижней и средней третью плеча</v>
      </c>
      <c r="I112" s="8"/>
      <c r="J112" s="11">
        <v>44935</v>
      </c>
      <c r="K112" s="58"/>
    </row>
    <row r="113" spans="1:11">
      <c r="A113" s="7">
        <v>43</v>
      </c>
      <c r="B113" s="8" t="str">
        <f>VLOOKUP(A113,vaccines!A:B,2)</f>
        <v>measles_Serum_India</v>
      </c>
      <c r="C113" s="54">
        <v>8</v>
      </c>
      <c r="D113" s="8" t="str">
        <f>VLOOKUP(C113,ages_from_list!A:C,3)</f>
        <v>12 месяцев</v>
      </c>
      <c r="E113" s="54">
        <v>14</v>
      </c>
      <c r="F113" s="8" t="str">
        <f>VLOOKUP(E113,ages_through_list!A:C,3)</f>
        <v>24 месяцев (2 лет)</v>
      </c>
      <c r="G113" s="54">
        <v>9</v>
      </c>
      <c r="H113" s="30" t="str">
        <f>VLOOKUP(G113,routes_of_administration_list!A:B,2)</f>
        <v>подкожно в область бедра</v>
      </c>
      <c r="I113" s="8"/>
      <c r="J113" s="11">
        <v>44712</v>
      </c>
      <c r="K113" s="57">
        <v>46053</v>
      </c>
    </row>
    <row r="114" spans="1:11">
      <c r="A114" s="7">
        <v>43</v>
      </c>
      <c r="B114" s="8" t="str">
        <f>VLOOKUP(A114,vaccines!A:B,2)</f>
        <v>measles_Serum_India</v>
      </c>
      <c r="C114" s="54">
        <v>8</v>
      </c>
      <c r="D114" s="8" t="str">
        <f>VLOOKUP(C114,ages_from_list!A:C,3)</f>
        <v>12 месяцев</v>
      </c>
      <c r="E114" s="54">
        <v>14</v>
      </c>
      <c r="F114" s="8" t="str">
        <f>VLOOKUP(E114,ages_through_list!A:C,3)</f>
        <v>24 месяцев (2 лет)</v>
      </c>
      <c r="G114" s="54">
        <v>1</v>
      </c>
      <c r="H114" s="30" t="str">
        <f>VLOOKUP(G114,routes_of_administration_list!A:B,2)</f>
        <v>внутримышечно в передненаружную область бедра</v>
      </c>
      <c r="I114" s="8"/>
      <c r="J114" s="11">
        <v>44935</v>
      </c>
      <c r="K114" s="57">
        <v>46053</v>
      </c>
    </row>
    <row r="115" spans="1:11">
      <c r="A115" s="7">
        <v>43</v>
      </c>
      <c r="B115" s="8" t="str">
        <f>VLOOKUP(A115,vaccines!A:B,2)</f>
        <v>measles_Serum_India</v>
      </c>
      <c r="C115" s="54">
        <v>19</v>
      </c>
      <c r="D115" s="8" t="str">
        <f>VLOOKUP(C115,ages_from_list!A:C,3)</f>
        <v>25 месяцев (2 лет 1 месяца)</v>
      </c>
      <c r="E115" s="54">
        <v>13</v>
      </c>
      <c r="F115" s="8" t="str">
        <f>VLOOKUP(E115,ages_through_list!A:C,3)</f>
        <v>∞</v>
      </c>
      <c r="G115" s="54">
        <v>6</v>
      </c>
      <c r="H115" s="30" t="str">
        <f>VLOOKUP(G115,routes_of_administration_list!A:B,2)</f>
        <v>подкожно в область дельтовидной мышцы</v>
      </c>
      <c r="I115" s="8"/>
      <c r="J115" s="57">
        <v>46053</v>
      </c>
      <c r="K115" s="57">
        <v>46053</v>
      </c>
    </row>
    <row r="116" spans="1:11">
      <c r="A116" s="7">
        <v>43</v>
      </c>
      <c r="B116" s="8" t="str">
        <f>VLOOKUP(A116,vaccines!A:B,2)</f>
        <v>measles_Serum_India</v>
      </c>
      <c r="C116" s="54">
        <v>19</v>
      </c>
      <c r="D116" s="8" t="str">
        <f>VLOOKUP(C116,ages_from_list!A:C,3)</f>
        <v>25 месяцев (2 лет 1 месяца)</v>
      </c>
      <c r="E116" s="54">
        <v>13</v>
      </c>
      <c r="F116" s="8" t="str">
        <f>VLOOKUP(E116,ages_through_list!A:C,3)</f>
        <v>∞</v>
      </c>
      <c r="G116" s="54">
        <v>3</v>
      </c>
      <c r="H116" s="30" t="str">
        <f>VLOOKUP(G116,routes_of_administration_list!A:B,2)</f>
        <v>внутримышечно в дельтовидную мышцу</v>
      </c>
      <c r="I116" s="8"/>
      <c r="J116" s="57">
        <v>46053</v>
      </c>
      <c r="K116" s="57">
        <v>46053</v>
      </c>
    </row>
    <row r="117" spans="1:11">
      <c r="A117" s="7">
        <v>44</v>
      </c>
      <c r="B117" s="8" t="str">
        <f>VLOOKUP(A117,vaccines!A:B,2)</f>
        <v>measles_Vector</v>
      </c>
      <c r="C117" s="7">
        <v>6</v>
      </c>
      <c r="D117" s="8" t="str">
        <f>VLOOKUP(C117,ages_from_list!A:C,3)</f>
        <v>8 месяцев</v>
      </c>
      <c r="E117" s="7">
        <v>13</v>
      </c>
      <c r="F117" s="8" t="str">
        <f>VLOOKUP(E117,ages_through_list!A:C,3)</f>
        <v>∞</v>
      </c>
      <c r="G117" s="7">
        <v>8</v>
      </c>
      <c r="H117" s="30" t="str">
        <f>VLOOKUP(G117,routes_of_administration_list!A:B,2)</f>
        <v>подкожно в подлопаточную область</v>
      </c>
      <c r="I117" s="8"/>
      <c r="J117" s="11">
        <v>44712</v>
      </c>
      <c r="K117" s="58"/>
    </row>
    <row r="118" spans="1:11">
      <c r="A118" s="7">
        <v>44</v>
      </c>
      <c r="B118" s="8" t="str">
        <f>VLOOKUP(A118,vaccines!A:B,2)</f>
        <v>measles_Vector</v>
      </c>
      <c r="C118" s="7">
        <v>6</v>
      </c>
      <c r="D118" s="8" t="str">
        <f>VLOOKUP(C118,ages_from_list!A:C,3)</f>
        <v>8 месяцев</v>
      </c>
      <c r="E118" s="7">
        <v>13</v>
      </c>
      <c r="F118" s="8" t="str">
        <f>VLOOKUP(E118,ages_through_list!A:C,3)</f>
        <v>∞</v>
      </c>
      <c r="G118" s="7">
        <v>7</v>
      </c>
      <c r="H118" s="30" t="str">
        <f>VLOOKUP(G118,routes_of_administration_list!A:B,2)</f>
        <v>подкожно между нижней и средней третью плеча</v>
      </c>
      <c r="I118" s="8"/>
      <c r="J118" s="11">
        <v>44935</v>
      </c>
      <c r="K118" s="58"/>
    </row>
    <row r="119" spans="1:11">
      <c r="A119" s="7">
        <v>45</v>
      </c>
      <c r="B119" s="8" t="str">
        <f>VLOOKUP(A119,vaccines!A:B,2)</f>
        <v>measles_mumps_Microgen</v>
      </c>
      <c r="C119" s="7">
        <v>8</v>
      </c>
      <c r="D119" s="8" t="str">
        <f>VLOOKUP(C119,ages_from_list!A:C,3)</f>
        <v>12 месяцев</v>
      </c>
      <c r="E119" s="7">
        <v>13</v>
      </c>
      <c r="F119" s="8" t="str">
        <f>VLOOKUP(E119,ages_through_list!A:C,3)</f>
        <v>∞</v>
      </c>
      <c r="G119" s="7">
        <v>8</v>
      </c>
      <c r="H119" s="30" t="str">
        <f>VLOOKUP(G119,routes_of_administration_list!A:B,2)</f>
        <v>подкожно в подлопаточную область</v>
      </c>
      <c r="I119" s="8"/>
      <c r="J119" s="11">
        <v>44712</v>
      </c>
      <c r="K119" s="53">
        <v>44714</v>
      </c>
    </row>
    <row r="120" spans="1:11">
      <c r="A120" s="7">
        <v>45</v>
      </c>
      <c r="B120" s="8" t="str">
        <f>VLOOKUP(A120,vaccines!A:B,2)</f>
        <v>measles_mumps_Microgen</v>
      </c>
      <c r="C120" s="7">
        <v>8</v>
      </c>
      <c r="D120" s="8" t="str">
        <f>VLOOKUP(C120,ages_from_list!A:C,3)</f>
        <v>12 месяцев</v>
      </c>
      <c r="E120" s="7">
        <v>13</v>
      </c>
      <c r="F120" s="8" t="str">
        <f>VLOOKUP(E120,ages_through_list!A:C,3)</f>
        <v>∞</v>
      </c>
      <c r="G120" s="7">
        <v>7</v>
      </c>
      <c r="H120" s="30" t="str">
        <f>VLOOKUP(G120,routes_of_administration_list!A:B,2)</f>
        <v>подкожно между нижней и средней третью плеча</v>
      </c>
      <c r="I120" s="8"/>
      <c r="J120" s="11">
        <v>44935</v>
      </c>
      <c r="K120" s="58"/>
    </row>
    <row r="121" spans="1:11">
      <c r="A121" s="7">
        <v>46</v>
      </c>
      <c r="B121" s="8" t="str">
        <f>VLOOKUP(A121,vaccines!A:B,2)</f>
        <v>Vactrivir</v>
      </c>
      <c r="C121" s="7">
        <v>8</v>
      </c>
      <c r="D121" s="8" t="str">
        <f>VLOOKUP(C121,ages_from_list!A:C,3)</f>
        <v>12 месяцев</v>
      </c>
      <c r="E121" s="7">
        <v>13</v>
      </c>
      <c r="F121" s="8" t="str">
        <f>VLOOKUP(E121,ages_through_list!A:C,3)</f>
        <v>∞</v>
      </c>
      <c r="G121" s="7">
        <v>8</v>
      </c>
      <c r="H121" s="30" t="str">
        <f>VLOOKUP(G121,routes_of_administration_list!A:B,2)</f>
        <v>подкожно в подлопаточную область</v>
      </c>
      <c r="I121" s="8"/>
      <c r="J121" s="11">
        <v>44712</v>
      </c>
      <c r="K121" s="53">
        <v>44715</v>
      </c>
    </row>
    <row r="122" spans="1:11">
      <c r="A122" s="7">
        <v>46</v>
      </c>
      <c r="B122" s="8" t="str">
        <f>VLOOKUP(A122,vaccines!A:B,2)</f>
        <v>Vactrivir</v>
      </c>
      <c r="C122" s="7">
        <v>8</v>
      </c>
      <c r="D122" s="8" t="str">
        <f>VLOOKUP(C122,ages_from_list!A:C,3)</f>
        <v>12 месяцев</v>
      </c>
      <c r="E122" s="7">
        <v>13</v>
      </c>
      <c r="F122" s="8" t="str">
        <f>VLOOKUP(E122,ages_through_list!A:C,3)</f>
        <v>∞</v>
      </c>
      <c r="G122" s="7">
        <v>7</v>
      </c>
      <c r="H122" s="30" t="str">
        <f>VLOOKUP(G122,routes_of_administration_list!A:B,2)</f>
        <v>подкожно между нижней и средней третью плеча</v>
      </c>
      <c r="I122" s="8"/>
      <c r="J122" s="11">
        <v>44935</v>
      </c>
      <c r="K122" s="58"/>
    </row>
    <row r="123" spans="1:11">
      <c r="A123" s="7">
        <v>47</v>
      </c>
      <c r="B123" s="8" t="str">
        <f>VLOOKUP(A123,vaccines!A:B,2)</f>
        <v>MMR_II</v>
      </c>
      <c r="C123" s="7">
        <v>8</v>
      </c>
      <c r="D123" s="8" t="str">
        <f>VLOOKUP(C123,ages_from_list!A:C,3)</f>
        <v>12 месяцев</v>
      </c>
      <c r="E123" s="7">
        <v>13</v>
      </c>
      <c r="F123" s="8" t="str">
        <f>VLOOKUP(E123,ages_through_list!A:C,3)</f>
        <v>∞</v>
      </c>
      <c r="G123" s="54">
        <v>6</v>
      </c>
      <c r="H123" s="30" t="str">
        <f>VLOOKUP(G123,routes_of_administration_list!A:B,2)</f>
        <v>подкожно в область дельтовидной мышцы</v>
      </c>
      <c r="I123" s="8"/>
      <c r="J123" s="11">
        <v>44712</v>
      </c>
      <c r="K123" s="52">
        <v>45260</v>
      </c>
    </row>
    <row r="124" spans="1:11">
      <c r="A124" s="7">
        <v>48</v>
      </c>
      <c r="B124" s="8" t="str">
        <f>VLOOKUP(A124,vaccines!A:B,2)</f>
        <v>MenA_Microgen</v>
      </c>
      <c r="C124" s="7">
        <v>8</v>
      </c>
      <c r="D124" s="8" t="str">
        <f>VLOOKUP(C124,ages_from_list!A:C,3)</f>
        <v>12 месяцев</v>
      </c>
      <c r="E124" s="7">
        <v>13</v>
      </c>
      <c r="F124" s="8" t="str">
        <f>VLOOKUP(E124,ages_through_list!A:C,3)</f>
        <v>∞</v>
      </c>
      <c r="G124" s="7">
        <v>8</v>
      </c>
      <c r="H124" s="30" t="str">
        <f>VLOOKUP(G124,routes_of_administration_list!A:B,2)</f>
        <v>подкожно в подлопаточную область</v>
      </c>
      <c r="I124" s="8"/>
      <c r="J124" s="11">
        <v>44712</v>
      </c>
      <c r="K124" s="53">
        <v>44721</v>
      </c>
    </row>
    <row r="125" spans="1:11">
      <c r="A125" s="7">
        <v>48</v>
      </c>
      <c r="B125" s="8" t="str">
        <f>VLOOKUP(A125,vaccines!A:B,2)</f>
        <v>MenA_Microgen</v>
      </c>
      <c r="C125" s="7">
        <v>8</v>
      </c>
      <c r="D125" s="8" t="str">
        <f>VLOOKUP(C125,ages_from_list!A:C,3)</f>
        <v>12 месяцев</v>
      </c>
      <c r="E125" s="7">
        <v>13</v>
      </c>
      <c r="F125" s="8" t="str">
        <f>VLOOKUP(E125,ages_through_list!A:C,3)</f>
        <v>∞</v>
      </c>
      <c r="G125" s="7">
        <v>16</v>
      </c>
      <c r="H125" s="30" t="str">
        <f>VLOOKUP(G125,routes_of_administration_list!A:B,2)</f>
        <v>подкожно в верхнюю треть плеча</v>
      </c>
      <c r="I125" s="8"/>
      <c r="J125" s="11">
        <v>44712</v>
      </c>
      <c r="K125" s="53">
        <v>44721</v>
      </c>
    </row>
    <row r="126" spans="1:11">
      <c r="A126" s="7">
        <v>49</v>
      </c>
      <c r="B126" s="8" t="str">
        <f>VLOOKUP(A126,vaccines!A:B,2)</f>
        <v>MeningoVac_A_C</v>
      </c>
      <c r="C126" s="7">
        <v>18</v>
      </c>
      <c r="D126" s="8" t="str">
        <f>VLOOKUP(C126,ages_from_list!A:C,3)</f>
        <v>18 лет</v>
      </c>
      <c r="E126" s="7">
        <v>11</v>
      </c>
      <c r="F126" s="8" t="str">
        <f>VLOOKUP(E126,ages_through_list!A:C,3)</f>
        <v>60 лет</v>
      </c>
      <c r="G126" s="7">
        <v>16</v>
      </c>
      <c r="H126" s="30" t="str">
        <f>VLOOKUP(G126,routes_of_administration_list!A:B,2)</f>
        <v>подкожно в верхнюю треть плеча</v>
      </c>
      <c r="I126" s="8"/>
      <c r="J126" s="11">
        <v>44712</v>
      </c>
      <c r="K126" s="53">
        <v>44721</v>
      </c>
    </row>
    <row r="127" spans="1:11">
      <c r="A127" s="7">
        <v>50</v>
      </c>
      <c r="B127" s="8" t="str">
        <f>VLOOKUP(A127,vaccines!A:B,2)</f>
        <v>Menactra</v>
      </c>
      <c r="C127" s="7">
        <v>7</v>
      </c>
      <c r="D127" s="8" t="str">
        <f>VLOOKUP(C127,ages_from_list!A:C,3)</f>
        <v>9 месяцев</v>
      </c>
      <c r="E127" s="7">
        <v>20</v>
      </c>
      <c r="F127" s="8" t="str">
        <f>VLOOKUP(E127,ages_through_list!A:C,3)</f>
        <v>11 месяцев</v>
      </c>
      <c r="G127" s="7">
        <v>1</v>
      </c>
      <c r="H127" s="30" t="str">
        <f>VLOOKUP(G127,routes_of_administration_list!A:B,2)</f>
        <v>внутримышечно в передненаружную область бедра</v>
      </c>
      <c r="I127" s="8"/>
      <c r="J127" s="11">
        <v>44712</v>
      </c>
      <c r="K127" s="53">
        <v>44721</v>
      </c>
    </row>
    <row r="128" spans="1:11">
      <c r="A128" s="7">
        <v>50</v>
      </c>
      <c r="B128" s="8" t="str">
        <f>VLOOKUP(A128,vaccines!A:B,2)</f>
        <v>Menactra</v>
      </c>
      <c r="C128" s="7">
        <v>8</v>
      </c>
      <c r="D128" s="8" t="str">
        <f>VLOOKUP(C128,ages_from_list!A:C,3)</f>
        <v>12 месяцев</v>
      </c>
      <c r="E128" s="7">
        <v>3</v>
      </c>
      <c r="F128" s="8" t="str">
        <f>VLOOKUP(E128,ages_through_list!A:C,3)</f>
        <v>3 лет 11 месяцев</v>
      </c>
      <c r="G128" s="7">
        <v>4</v>
      </c>
      <c r="H128" s="30" t="str">
        <f>VLOOKUP(G128,routes_of_administration_list!A:B,2)</f>
        <v>внутримышечно в дельтовидную мышцу</v>
      </c>
      <c r="I128" s="8"/>
      <c r="J128" s="11">
        <v>44712</v>
      </c>
      <c r="K128" s="53">
        <v>44721</v>
      </c>
    </row>
    <row r="129" spans="1:11">
      <c r="A129" s="7">
        <v>50</v>
      </c>
      <c r="B129" s="8" t="str">
        <f>VLOOKUP(A129,vaccines!A:B,2)</f>
        <v>Menactra</v>
      </c>
      <c r="C129" s="7">
        <v>11</v>
      </c>
      <c r="D129" s="8" t="str">
        <f>VLOOKUP(C129,ages_from_list!A:C,3)</f>
        <v>4 лет</v>
      </c>
      <c r="E129" s="7">
        <v>4</v>
      </c>
      <c r="F129" s="8" t="str">
        <f>VLOOKUP(E129,ages_through_list!A:C,3)</f>
        <v>5 лет</v>
      </c>
      <c r="G129" s="7">
        <v>5</v>
      </c>
      <c r="H129" s="30" t="str">
        <f>VLOOKUP(G129,routes_of_administration_list!A:B,2)</f>
        <v>внутримышечно в дельтовидную мышцу</v>
      </c>
      <c r="I129" s="8"/>
      <c r="J129" s="11">
        <v>44712</v>
      </c>
      <c r="K129" s="53">
        <v>44721</v>
      </c>
    </row>
    <row r="130" spans="1:11">
      <c r="A130" s="7">
        <v>50</v>
      </c>
      <c r="B130" s="8" t="str">
        <f>VLOOKUP(A130,vaccines!A:B,2)</f>
        <v>Menactra</v>
      </c>
      <c r="C130" s="7">
        <v>12</v>
      </c>
      <c r="D130" s="8" t="str">
        <f>VLOOKUP(C130,ages_from_list!A:C,3)</f>
        <v>6 лет</v>
      </c>
      <c r="E130" s="7">
        <v>9</v>
      </c>
      <c r="F130" s="8" t="str">
        <f>VLOOKUP(E130,ages_through_list!A:C,3)</f>
        <v>55 лет</v>
      </c>
      <c r="G130" s="7">
        <v>3</v>
      </c>
      <c r="H130" s="30" t="str">
        <f>VLOOKUP(G130,routes_of_administration_list!A:B,2)</f>
        <v>внутримышечно в дельтовидную мышцу</v>
      </c>
      <c r="I130" s="8"/>
      <c r="J130" s="11">
        <v>44712</v>
      </c>
      <c r="K130" s="53">
        <v>44721</v>
      </c>
    </row>
    <row r="131" spans="1:11">
      <c r="A131" s="7">
        <v>51</v>
      </c>
      <c r="B131" s="8" t="str">
        <f>VLOOKUP(A131,vaccines!A:B,2)</f>
        <v>mumps_Microgen</v>
      </c>
      <c r="C131" s="7">
        <v>8</v>
      </c>
      <c r="D131" s="8" t="str">
        <f>VLOOKUP(C131,ages_from_list!A:C,3)</f>
        <v>12 месяцев</v>
      </c>
      <c r="E131" s="7">
        <v>13</v>
      </c>
      <c r="F131" s="8" t="str">
        <f>VLOOKUP(E131,ages_through_list!A:C,3)</f>
        <v>∞</v>
      </c>
      <c r="G131" s="7">
        <v>8</v>
      </c>
      <c r="H131" s="30" t="str">
        <f>VLOOKUP(G131,routes_of_administration_list!A:B,2)</f>
        <v>подкожно в подлопаточную область</v>
      </c>
      <c r="I131" s="8"/>
      <c r="J131" s="11">
        <v>44712</v>
      </c>
      <c r="K131" s="53">
        <v>44722</v>
      </c>
    </row>
    <row r="132" spans="1:11">
      <c r="A132" s="7">
        <v>51</v>
      </c>
      <c r="B132" s="8" t="str">
        <f>VLOOKUP(A132,vaccines!A:B,2)</f>
        <v>mumps_Microgen</v>
      </c>
      <c r="C132" s="7">
        <v>8</v>
      </c>
      <c r="D132" s="8" t="str">
        <f>VLOOKUP(C132,ages_from_list!A:C,3)</f>
        <v>12 месяцев</v>
      </c>
      <c r="E132" s="7">
        <v>13</v>
      </c>
      <c r="F132" s="8" t="str">
        <f>VLOOKUP(E132,ages_through_list!A:C,3)</f>
        <v>∞</v>
      </c>
      <c r="G132" s="7">
        <v>7</v>
      </c>
      <c r="H132" s="30" t="str">
        <f>VLOOKUP(G132,routes_of_administration_list!A:B,2)</f>
        <v>подкожно между нижней и средней третью плеча</v>
      </c>
      <c r="I132" s="8"/>
      <c r="J132" s="11">
        <v>44712</v>
      </c>
      <c r="K132" s="53">
        <v>44722</v>
      </c>
    </row>
    <row r="133" spans="1:11">
      <c r="A133" s="7">
        <v>52</v>
      </c>
      <c r="B133" s="8" t="str">
        <f>VLOOKUP(A133,vaccines!A:B,2)</f>
        <v>Prevenar_13</v>
      </c>
      <c r="C133" s="54">
        <v>2</v>
      </c>
      <c r="D133" s="8" t="str">
        <f>VLOOKUP(C133,ages_from_list!A:C,3)</f>
        <v>6 недель</v>
      </c>
      <c r="E133" s="7">
        <v>14</v>
      </c>
      <c r="F133" s="8" t="str">
        <f>VLOOKUP(E133,ages_through_list!A:C,3)</f>
        <v>24 месяцев (2 лет)</v>
      </c>
      <c r="G133" s="7">
        <v>1</v>
      </c>
      <c r="H133" s="30" t="str">
        <f>VLOOKUP(G133,routes_of_administration_list!A:B,2)</f>
        <v>внутримышечно в передненаружную область бедра</v>
      </c>
      <c r="I133" s="8"/>
      <c r="J133" s="11">
        <v>44712</v>
      </c>
      <c r="K133" s="52">
        <v>45481</v>
      </c>
    </row>
    <row r="134" spans="1:11">
      <c r="A134" s="7">
        <v>52</v>
      </c>
      <c r="B134" s="8" t="str">
        <f>VLOOKUP(A134,vaccines!A:B,2)</f>
        <v>Prevenar_13</v>
      </c>
      <c r="C134" s="7">
        <v>9</v>
      </c>
      <c r="D134" s="8" t="str">
        <f>VLOOKUP(C134,ages_from_list!A:C,3)</f>
        <v>24 месяцев (2 лет)</v>
      </c>
      <c r="E134" s="7">
        <v>3</v>
      </c>
      <c r="F134" s="8" t="str">
        <f>VLOOKUP(E134,ages_through_list!A:C,3)</f>
        <v>3 лет 11 месяцев</v>
      </c>
      <c r="G134" s="7">
        <v>4</v>
      </c>
      <c r="H134" s="30" t="str">
        <f>VLOOKUP(G134,routes_of_administration_list!A:B,2)</f>
        <v>внутримышечно в дельтовидную мышцу</v>
      </c>
      <c r="I134" s="8"/>
      <c r="J134" s="11">
        <v>44712</v>
      </c>
      <c r="K134" s="53">
        <v>44722</v>
      </c>
    </row>
    <row r="135" spans="1:11">
      <c r="A135" s="7">
        <v>52</v>
      </c>
      <c r="B135" s="8" t="str">
        <f>VLOOKUP(A135,vaccines!A:B,2)</f>
        <v>Prevenar_13</v>
      </c>
      <c r="C135" s="7">
        <v>11</v>
      </c>
      <c r="D135" s="8" t="str">
        <f>VLOOKUP(C135,ages_from_list!A:C,3)</f>
        <v>4 лет</v>
      </c>
      <c r="E135" s="7">
        <v>4</v>
      </c>
      <c r="F135" s="8" t="str">
        <f>VLOOKUP(E135,ages_through_list!A:C,3)</f>
        <v>5 лет</v>
      </c>
      <c r="G135" s="7">
        <v>5</v>
      </c>
      <c r="H135" s="30" t="str">
        <f>VLOOKUP(G135,routes_of_administration_list!A:B,2)</f>
        <v>внутримышечно в дельтовидную мышцу</v>
      </c>
      <c r="I135" s="8"/>
      <c r="J135" s="11">
        <v>44712</v>
      </c>
      <c r="K135" s="53">
        <v>44722</v>
      </c>
    </row>
    <row r="136" spans="1:11">
      <c r="A136" s="7">
        <v>52</v>
      </c>
      <c r="B136" s="8" t="str">
        <f>VLOOKUP(A136,vaccines!A:B,2)</f>
        <v>Prevenar_13</v>
      </c>
      <c r="C136" s="7">
        <v>12</v>
      </c>
      <c r="D136" s="8" t="str">
        <f>VLOOKUP(C136,ages_from_list!A:C,3)</f>
        <v>6 лет</v>
      </c>
      <c r="E136" s="7">
        <v>13</v>
      </c>
      <c r="F136" s="8" t="str">
        <f>VLOOKUP(E136,ages_through_list!A:C,3)</f>
        <v>∞</v>
      </c>
      <c r="G136" s="7">
        <v>3</v>
      </c>
      <c r="H136" s="30" t="str">
        <f>VLOOKUP(G136,routes_of_administration_list!A:B,2)</f>
        <v>внутримышечно в дельтовидную мышцу</v>
      </c>
      <c r="I136" s="8"/>
      <c r="J136" s="11">
        <v>44712</v>
      </c>
      <c r="K136" s="53">
        <v>44722</v>
      </c>
    </row>
    <row r="137" spans="1:11">
      <c r="A137" s="7">
        <v>52</v>
      </c>
      <c r="B137" s="8" t="str">
        <f>VLOOKUP(A137,vaccines!A:B,2)</f>
        <v>Prevenar_13</v>
      </c>
      <c r="C137" s="54">
        <v>2</v>
      </c>
      <c r="D137" s="8" t="str">
        <f>VLOOKUP(C137,ages_from_list!A:C,3)</f>
        <v>6 недель</v>
      </c>
      <c r="E137" s="54">
        <v>14</v>
      </c>
      <c r="F137" s="8" t="str">
        <f>VLOOKUP(E137,ages_through_list!A:C,3)</f>
        <v>24 месяцев (2 лет)</v>
      </c>
      <c r="G137" s="54">
        <v>9</v>
      </c>
      <c r="H137" s="30" t="str">
        <f>VLOOKUP(G137,routes_of_administration_list!A:B,2)</f>
        <v>подкожно в область бедра</v>
      </c>
      <c r="I137" s="8"/>
      <c r="J137" s="11">
        <v>44712</v>
      </c>
      <c r="K137" s="52">
        <v>45481</v>
      </c>
    </row>
    <row r="138" spans="1:11">
      <c r="A138" s="7">
        <v>52</v>
      </c>
      <c r="B138" s="8" t="str">
        <f>VLOOKUP(A138,vaccines!A:B,2)</f>
        <v>Prevenar_13</v>
      </c>
      <c r="C138" s="54">
        <v>9</v>
      </c>
      <c r="D138" s="8" t="str">
        <f>VLOOKUP(C138,ages_from_list!A:C,3)</f>
        <v>24 месяцев (2 лет)</v>
      </c>
      <c r="E138" s="54">
        <v>13</v>
      </c>
      <c r="F138" s="8" t="str">
        <f>VLOOKUP(E138,ages_through_list!A:C,3)</f>
        <v>∞</v>
      </c>
      <c r="G138" s="54">
        <v>6</v>
      </c>
      <c r="H138" s="30" t="str">
        <f>VLOOKUP(G138,routes_of_administration_list!A:B,2)</f>
        <v>подкожно в область дельтовидной мышцы</v>
      </c>
      <c r="I138" s="8"/>
      <c r="J138" s="11">
        <v>44712</v>
      </c>
      <c r="K138" s="52">
        <v>45481</v>
      </c>
    </row>
    <row r="139" spans="1:11">
      <c r="A139" s="7">
        <v>53</v>
      </c>
      <c r="B139" s="8" t="str">
        <f>VLOOKUP(A139,vaccines!A:B,2)</f>
        <v>Synflorix</v>
      </c>
      <c r="C139" s="7">
        <v>2</v>
      </c>
      <c r="D139" s="8" t="str">
        <f>VLOOKUP(C139,ages_from_list!A:C,3)</f>
        <v>6 недель</v>
      </c>
      <c r="E139" s="7">
        <v>20</v>
      </c>
      <c r="F139" s="8" t="str">
        <f>VLOOKUP(E139,ages_through_list!A:C,3)</f>
        <v>11 месяцев</v>
      </c>
      <c r="G139" s="7">
        <v>1</v>
      </c>
      <c r="H139" s="30" t="str">
        <f>VLOOKUP(G139,routes_of_administration_list!A:B,2)</f>
        <v>внутримышечно в передненаружную область бедра</v>
      </c>
      <c r="I139" s="8"/>
      <c r="J139" s="11">
        <v>44712</v>
      </c>
      <c r="K139" s="53">
        <v>44722</v>
      </c>
    </row>
    <row r="140" spans="1:11">
      <c r="A140" s="7">
        <v>53</v>
      </c>
      <c r="B140" s="8" t="str">
        <f>VLOOKUP(A140,vaccines!A:B,2)</f>
        <v>Synflorix</v>
      </c>
      <c r="C140" s="7">
        <v>8</v>
      </c>
      <c r="D140" s="8" t="str">
        <f>VLOOKUP(C140,ages_from_list!A:C,3)</f>
        <v>12 месяцев</v>
      </c>
      <c r="E140" s="7">
        <v>3</v>
      </c>
      <c r="F140" s="8" t="str">
        <f>VLOOKUP(E140,ages_through_list!A:C,3)</f>
        <v>3 лет 11 месяцев</v>
      </c>
      <c r="G140" s="7">
        <v>4</v>
      </c>
      <c r="H140" s="30" t="str">
        <f>VLOOKUP(G140,routes_of_administration_list!A:B,2)</f>
        <v>внутримышечно в дельтовидную мышцу</v>
      </c>
      <c r="I140" s="8"/>
      <c r="J140" s="11">
        <v>44712</v>
      </c>
      <c r="K140" s="53">
        <v>44722</v>
      </c>
    </row>
    <row r="141" spans="1:11">
      <c r="A141" s="7">
        <v>53</v>
      </c>
      <c r="B141" s="8" t="str">
        <f>VLOOKUP(A141,vaccines!A:B,2)</f>
        <v>Synflorix</v>
      </c>
      <c r="C141" s="7">
        <v>11</v>
      </c>
      <c r="D141" s="8" t="str">
        <f>VLOOKUP(C141,ages_from_list!A:C,3)</f>
        <v>4 лет</v>
      </c>
      <c r="E141" s="7">
        <v>4</v>
      </c>
      <c r="F141" s="8" t="str">
        <f>VLOOKUP(E141,ages_through_list!A:C,3)</f>
        <v>5 лет</v>
      </c>
      <c r="G141" s="7">
        <v>5</v>
      </c>
      <c r="H141" s="30" t="str">
        <f>VLOOKUP(G141,routes_of_administration_list!A:B,2)</f>
        <v>внутримышечно в дельтовидную мышцу</v>
      </c>
      <c r="I141" s="8"/>
      <c r="J141" s="11">
        <v>44712</v>
      </c>
      <c r="K141" s="53">
        <v>44722</v>
      </c>
    </row>
    <row r="142" spans="1:11">
      <c r="A142" s="7">
        <v>54</v>
      </c>
      <c r="B142" s="8" t="str">
        <f>VLOOKUP(A142,vaccines!A:B,2)</f>
        <v>Pneumovax_23</v>
      </c>
      <c r="C142" s="7">
        <v>9</v>
      </c>
      <c r="D142" s="8" t="str">
        <f>VLOOKUP(C142,ages_from_list!A:C,3)</f>
        <v>24 месяцев (2 лет)</v>
      </c>
      <c r="E142" s="7">
        <v>18</v>
      </c>
      <c r="F142" s="8" t="str">
        <f>VLOOKUP(E142,ages_through_list!A:C,3)</f>
        <v>2 лет 11 месяцев</v>
      </c>
      <c r="G142" s="7">
        <v>1</v>
      </c>
      <c r="H142" s="30" t="str">
        <f>VLOOKUP(G142,routes_of_administration_list!A:B,2)</f>
        <v>внутримышечно в передненаружную область бедра</v>
      </c>
      <c r="I142" s="8"/>
      <c r="J142" s="11">
        <v>44712</v>
      </c>
      <c r="K142" s="53">
        <v>44742</v>
      </c>
    </row>
    <row r="143" spans="1:11">
      <c r="A143" s="7">
        <v>54</v>
      </c>
      <c r="B143" s="8" t="str">
        <f>VLOOKUP(A143,vaccines!A:B,2)</f>
        <v>Pneumovax_23</v>
      </c>
      <c r="C143" s="7">
        <v>9</v>
      </c>
      <c r="D143" s="8" t="str">
        <f>VLOOKUP(C143,ages_from_list!A:C,3)</f>
        <v>24 месяцев (2 лет)</v>
      </c>
      <c r="E143" s="7">
        <v>3</v>
      </c>
      <c r="F143" s="8" t="str">
        <f>VLOOKUP(E143,ages_through_list!A:C,3)</f>
        <v>3 лет 11 месяцев</v>
      </c>
      <c r="G143" s="7">
        <v>4</v>
      </c>
      <c r="H143" s="30" t="str">
        <f>VLOOKUP(G143,routes_of_administration_list!A:B,2)</f>
        <v>внутримышечно в дельтовидную мышцу</v>
      </c>
      <c r="I143" s="8"/>
      <c r="J143" s="11">
        <v>44712</v>
      </c>
      <c r="K143" s="53">
        <v>44742</v>
      </c>
    </row>
    <row r="144" spans="1:11">
      <c r="A144" s="7">
        <v>54</v>
      </c>
      <c r="B144" s="8" t="str">
        <f>VLOOKUP(A144,vaccines!A:B,2)</f>
        <v>Pneumovax_23</v>
      </c>
      <c r="C144" s="7">
        <v>11</v>
      </c>
      <c r="D144" s="8" t="str">
        <f>VLOOKUP(C144,ages_from_list!A:C,3)</f>
        <v>4 лет</v>
      </c>
      <c r="E144" s="7">
        <v>4</v>
      </c>
      <c r="F144" s="8" t="str">
        <f>VLOOKUP(E144,ages_through_list!A:C,3)</f>
        <v>5 лет</v>
      </c>
      <c r="G144" s="7">
        <v>5</v>
      </c>
      <c r="H144" s="30" t="str">
        <f>VLOOKUP(G144,routes_of_administration_list!A:B,2)</f>
        <v>внутримышечно в дельтовидную мышцу</v>
      </c>
      <c r="I144" s="8"/>
      <c r="J144" s="11">
        <v>44712</v>
      </c>
      <c r="K144" s="53">
        <v>44742</v>
      </c>
    </row>
    <row r="145" spans="1:11">
      <c r="A145" s="7">
        <v>54</v>
      </c>
      <c r="B145" s="8" t="str">
        <f>VLOOKUP(A145,vaccines!A:B,2)</f>
        <v>Pneumovax_23</v>
      </c>
      <c r="C145" s="7">
        <v>12</v>
      </c>
      <c r="D145" s="8" t="str">
        <f>VLOOKUP(C145,ages_from_list!A:C,3)</f>
        <v>6 лет</v>
      </c>
      <c r="E145" s="7">
        <v>13</v>
      </c>
      <c r="F145" s="8" t="str">
        <f>VLOOKUP(E145,ages_through_list!A:C,3)</f>
        <v>∞</v>
      </c>
      <c r="G145" s="7">
        <v>3</v>
      </c>
      <c r="H145" s="30" t="str">
        <f>VLOOKUP(G145,routes_of_administration_list!A:B,2)</f>
        <v>внутримышечно в дельтовидную мышцу</v>
      </c>
      <c r="I145" s="8"/>
      <c r="J145" s="11">
        <v>44712</v>
      </c>
      <c r="K145" s="53">
        <v>44742</v>
      </c>
    </row>
    <row r="146" spans="1:11">
      <c r="A146" s="7">
        <v>54</v>
      </c>
      <c r="B146" s="8" t="str">
        <f>VLOOKUP(A146,vaccines!A:B,2)</f>
        <v>Pneumovax_23</v>
      </c>
      <c r="C146" s="7">
        <v>9</v>
      </c>
      <c r="D146" s="8" t="str">
        <f>VLOOKUP(C146,ages_from_list!A:C,3)</f>
        <v>24 месяцев (2 лет)</v>
      </c>
      <c r="E146" s="7">
        <v>18</v>
      </c>
      <c r="F146" s="8" t="str">
        <f>VLOOKUP(E146,ages_through_list!A:C,3)</f>
        <v>2 лет 11 месяцев</v>
      </c>
      <c r="G146" s="7">
        <v>9</v>
      </c>
      <c r="H146" s="30" t="str">
        <f>VLOOKUP(G146,routes_of_administration_list!A:B,2)</f>
        <v>подкожно в область бедра</v>
      </c>
      <c r="I146" s="8"/>
      <c r="J146" s="11">
        <v>44712</v>
      </c>
      <c r="K146" s="53">
        <v>44742</v>
      </c>
    </row>
    <row r="147" spans="1:11">
      <c r="A147" s="7">
        <v>54</v>
      </c>
      <c r="B147" s="8" t="str">
        <f>VLOOKUP(A147,vaccines!A:B,2)</f>
        <v>Pneumovax_23</v>
      </c>
      <c r="C147" s="7">
        <v>10</v>
      </c>
      <c r="D147" s="8" t="str">
        <f>VLOOKUP(C147,ages_from_list!A:C,3)</f>
        <v>36 месяцев (3 лет)</v>
      </c>
      <c r="E147" s="7">
        <v>13</v>
      </c>
      <c r="F147" s="8" t="str">
        <f>VLOOKUP(E147,ages_through_list!A:C,3)</f>
        <v>∞</v>
      </c>
      <c r="G147" s="7">
        <v>6</v>
      </c>
      <c r="H147" s="30" t="str">
        <f>VLOOKUP(G147,routes_of_administration_list!A:B,2)</f>
        <v>подкожно в область дельтовидной мышцы</v>
      </c>
      <c r="I147" s="8"/>
      <c r="J147" s="11">
        <v>44712</v>
      </c>
      <c r="K147" s="53">
        <v>44742</v>
      </c>
    </row>
    <row r="148" spans="1:11">
      <c r="A148" s="7">
        <v>55</v>
      </c>
      <c r="B148" s="8" t="str">
        <f>VLOOKUP(A148,vaccines!A:B,2)</f>
        <v>MonoVac_Polio</v>
      </c>
      <c r="C148" s="7">
        <v>1</v>
      </c>
      <c r="D148" s="8" t="str">
        <f>VLOOKUP(C148,ages_from_list!A:C,3)</f>
        <v>0 дней</v>
      </c>
      <c r="E148" s="7">
        <v>13</v>
      </c>
      <c r="F148" s="8" t="str">
        <f>VLOOKUP(E148,ages_through_list!A:C,3)</f>
        <v>∞</v>
      </c>
      <c r="G148" s="7">
        <v>2</v>
      </c>
      <c r="H148" s="30" t="str">
        <f>VLOOKUP(G148,routes_of_administration_list!A:B,2)</f>
        <v>перорально: капли</v>
      </c>
      <c r="I148" s="8"/>
      <c r="J148" s="11">
        <v>44712</v>
      </c>
      <c r="K148" s="53">
        <v>44742</v>
      </c>
    </row>
    <row r="149" spans="1:11">
      <c r="A149" s="7">
        <v>56</v>
      </c>
      <c r="B149" s="8" t="str">
        <f>VLOOKUP(A149,vaccines!A:B,2)</f>
        <v>BiVac_Polio</v>
      </c>
      <c r="C149" s="54">
        <v>26</v>
      </c>
      <c r="D149" s="8" t="str">
        <f>VLOOKUP(C149,ages_from_list!A:C,3)</f>
        <v>20 месяцев</v>
      </c>
      <c r="E149" s="7">
        <v>13</v>
      </c>
      <c r="F149" s="8" t="str">
        <f>VLOOKUP(E149,ages_through_list!A:C,3)</f>
        <v>∞</v>
      </c>
      <c r="G149" s="7">
        <v>2</v>
      </c>
      <c r="H149" s="30" t="str">
        <f>VLOOKUP(G149,routes_of_administration_list!A:B,2)</f>
        <v>перорально: капли</v>
      </c>
      <c r="I149" s="8"/>
      <c r="J149" s="11">
        <v>44712</v>
      </c>
      <c r="K149" s="52">
        <v>45988</v>
      </c>
    </row>
    <row r="150" spans="1:11">
      <c r="A150" s="7">
        <v>57</v>
      </c>
      <c r="B150" s="8" t="str">
        <f>VLOOKUP(A150,vaccines!A:B,2)</f>
        <v>Polymilex</v>
      </c>
      <c r="C150" s="7">
        <v>1</v>
      </c>
      <c r="D150" s="8" t="str">
        <f>VLOOKUP(C150,ages_from_list!A:C,3)</f>
        <v>0 дней</v>
      </c>
      <c r="E150" s="7">
        <v>14</v>
      </c>
      <c r="F150" s="8" t="str">
        <f>VLOOKUP(E150,ages_through_list!A:C,3)</f>
        <v>24 месяцев (2 лет)</v>
      </c>
      <c r="G150" s="7">
        <v>1</v>
      </c>
      <c r="H150" s="30" t="str">
        <f>VLOOKUP(G150,routes_of_administration_list!A:B,2)</f>
        <v>внутримышечно в передненаружную область бедра</v>
      </c>
      <c r="I150" s="8"/>
      <c r="J150" s="11">
        <v>44712</v>
      </c>
      <c r="K150" s="53">
        <v>44748</v>
      </c>
    </row>
    <row r="151" spans="1:11">
      <c r="A151" s="7">
        <v>57</v>
      </c>
      <c r="B151" s="8" t="str">
        <f>VLOOKUP(A151,vaccines!A:B,2)</f>
        <v>Polymilex</v>
      </c>
      <c r="C151" s="54">
        <v>19</v>
      </c>
      <c r="D151" s="8" t="str">
        <f>VLOOKUP(C151,ages_from_list!A:C,3)</f>
        <v>25 месяцев (2 лет 1 месяца)</v>
      </c>
      <c r="E151" s="7">
        <v>3</v>
      </c>
      <c r="F151" s="8" t="str">
        <f>VLOOKUP(E151,ages_through_list!A:C,3)</f>
        <v>3 лет 11 месяцев</v>
      </c>
      <c r="G151" s="7">
        <v>4</v>
      </c>
      <c r="H151" s="30" t="str">
        <f>VLOOKUP(G151,routes_of_administration_list!A:B,2)</f>
        <v>внутримышечно в дельтовидную мышцу</v>
      </c>
      <c r="I151" s="8"/>
      <c r="J151" s="11">
        <v>44712</v>
      </c>
      <c r="K151" s="53">
        <v>44748</v>
      </c>
    </row>
    <row r="152" spans="1:11">
      <c r="A152" s="7">
        <v>57</v>
      </c>
      <c r="B152" s="8" t="str">
        <f>VLOOKUP(A152,vaccines!A:B,2)</f>
        <v>Polymilex</v>
      </c>
      <c r="C152" s="7">
        <v>11</v>
      </c>
      <c r="D152" s="8" t="str">
        <f>VLOOKUP(C152,ages_from_list!A:C,3)</f>
        <v>4 лет</v>
      </c>
      <c r="E152" s="7">
        <v>4</v>
      </c>
      <c r="F152" s="8" t="str">
        <f>VLOOKUP(E152,ages_through_list!A:C,3)</f>
        <v>5 лет</v>
      </c>
      <c r="G152" s="7">
        <v>5</v>
      </c>
      <c r="H152" s="30" t="str">
        <f>VLOOKUP(G152,routes_of_administration_list!A:B,2)</f>
        <v>внутримышечно в дельтовидную мышцу</v>
      </c>
      <c r="I152" s="8"/>
      <c r="J152" s="11">
        <v>44712</v>
      </c>
      <c r="K152" s="53">
        <v>44748</v>
      </c>
    </row>
    <row r="153" spans="1:11">
      <c r="A153" s="7">
        <v>57</v>
      </c>
      <c r="B153" s="8" t="str">
        <f>VLOOKUP(A153,vaccines!A:B,2)</f>
        <v>Polymilex</v>
      </c>
      <c r="C153" s="7">
        <v>12</v>
      </c>
      <c r="D153" s="8" t="str">
        <f>VLOOKUP(C153,ages_from_list!A:C,3)</f>
        <v>6 лет</v>
      </c>
      <c r="E153" s="7">
        <v>13</v>
      </c>
      <c r="F153" s="8" t="str">
        <f>VLOOKUP(E153,ages_through_list!A:C,3)</f>
        <v>∞</v>
      </c>
      <c r="G153" s="7">
        <v>3</v>
      </c>
      <c r="H153" s="30" t="str">
        <f>VLOOKUP(G153,routes_of_administration_list!A:B,2)</f>
        <v>внутримышечно в дельтовидную мышцу</v>
      </c>
      <c r="I153" s="8"/>
      <c r="J153" s="11">
        <v>44712</v>
      </c>
      <c r="K153" s="53">
        <v>44748</v>
      </c>
    </row>
    <row r="154" spans="1:11">
      <c r="A154" s="7">
        <v>57</v>
      </c>
      <c r="B154" s="8" t="str">
        <f>VLOOKUP(A154,vaccines!A:B,2)</f>
        <v>Polymilex</v>
      </c>
      <c r="C154" s="54">
        <v>19</v>
      </c>
      <c r="D154" s="8" t="str">
        <f>VLOOKUP(C154,ages_from_list!A:C,3)</f>
        <v>25 месяцев (2 лет 1 месяца)</v>
      </c>
      <c r="E154" s="7">
        <v>13</v>
      </c>
      <c r="F154" s="8" t="str">
        <f>VLOOKUP(E154,ages_through_list!A:C,3)</f>
        <v>∞</v>
      </c>
      <c r="G154" s="54">
        <v>1</v>
      </c>
      <c r="H154" s="30" t="str">
        <f>VLOOKUP(G154,routes_of_administration_list!A:B,2)</f>
        <v>внутримышечно в передненаружную область бедра</v>
      </c>
      <c r="I154" s="8"/>
      <c r="J154" s="12">
        <v>45715</v>
      </c>
      <c r="K154" s="53"/>
    </row>
    <row r="155" spans="1:11">
      <c r="A155" s="7">
        <v>57</v>
      </c>
      <c r="B155" s="8" t="str">
        <f>VLOOKUP(A155,vaccines!A:B,2)</f>
        <v>Polymilex</v>
      </c>
      <c r="C155" s="7">
        <v>1</v>
      </c>
      <c r="D155" s="8" t="str">
        <f>VLOOKUP(C155,ages_from_list!A:C,3)</f>
        <v>0 дней</v>
      </c>
      <c r="E155" s="7">
        <v>14</v>
      </c>
      <c r="F155" s="8" t="str">
        <f>VLOOKUP(E155,ages_through_list!A:C,3)</f>
        <v>24 месяцев (2 лет)</v>
      </c>
      <c r="G155" s="7">
        <v>9</v>
      </c>
      <c r="H155" s="30" t="str">
        <f>VLOOKUP(G155,routes_of_administration_list!A:B,2)</f>
        <v>подкожно в область бедра</v>
      </c>
      <c r="I155" s="8"/>
      <c r="J155" s="11">
        <v>44712</v>
      </c>
      <c r="K155" s="53">
        <v>44748</v>
      </c>
    </row>
    <row r="156" spans="1:11">
      <c r="A156" s="7">
        <v>57</v>
      </c>
      <c r="B156" s="8" t="str">
        <f>VLOOKUP(A156,vaccines!A:B,2)</f>
        <v>Polymilex</v>
      </c>
      <c r="C156" s="7">
        <v>9</v>
      </c>
      <c r="D156" s="8" t="str">
        <f>VLOOKUP(C156,ages_from_list!A:C,3)</f>
        <v>24 месяцев (2 лет)</v>
      </c>
      <c r="E156" s="7">
        <v>13</v>
      </c>
      <c r="F156" s="8" t="str">
        <f>VLOOKUP(E156,ages_through_list!A:C,3)</f>
        <v>∞</v>
      </c>
      <c r="G156" s="7">
        <v>6</v>
      </c>
      <c r="H156" s="30" t="str">
        <f>VLOOKUP(G156,routes_of_administration_list!A:B,2)</f>
        <v>подкожно в область дельтовидной мышцы</v>
      </c>
      <c r="I156" s="8"/>
      <c r="J156" s="11">
        <v>44712</v>
      </c>
      <c r="K156" s="53">
        <v>44748</v>
      </c>
    </row>
    <row r="157" spans="1:11">
      <c r="A157" s="7">
        <v>58</v>
      </c>
      <c r="B157" s="8" t="str">
        <f>VLOOKUP(A157,vaccines!A:B,2)</f>
        <v>COCAV</v>
      </c>
      <c r="C157" s="7">
        <v>1</v>
      </c>
      <c r="D157" s="8" t="str">
        <f>VLOOKUP(C157,ages_from_list!A:C,3)</f>
        <v>0 дней</v>
      </c>
      <c r="E157" s="7">
        <v>21</v>
      </c>
      <c r="F157" s="8" t="str">
        <f>VLOOKUP(E157,ages_through_list!A:C,3)</f>
        <v>47 месяцев (4 лет 11 месяцев)</v>
      </c>
      <c r="G157" s="7">
        <v>1</v>
      </c>
      <c r="H157" s="30" t="str">
        <f>VLOOKUP(G157,routes_of_administration_list!A:B,2)</f>
        <v>внутримышечно в передненаружную область бедра</v>
      </c>
      <c r="I157" s="8"/>
      <c r="J157" s="11">
        <v>44712</v>
      </c>
      <c r="K157" s="53">
        <v>44748</v>
      </c>
    </row>
    <row r="158" spans="1:11">
      <c r="A158" s="7">
        <v>58</v>
      </c>
      <c r="B158" s="8" t="str">
        <f>VLOOKUP(A158,vaccines!A:B,2)</f>
        <v>COCAV</v>
      </c>
      <c r="C158" s="7">
        <v>23</v>
      </c>
      <c r="D158" s="8" t="str">
        <f>VLOOKUP(C158,ages_from_list!A:C,3)</f>
        <v>5 лет</v>
      </c>
      <c r="E158" s="7">
        <v>4</v>
      </c>
      <c r="F158" s="8" t="str">
        <f>VLOOKUP(E158,ages_through_list!A:C,3)</f>
        <v>5 лет</v>
      </c>
      <c r="G158" s="7">
        <v>5</v>
      </c>
      <c r="H158" s="30" t="str">
        <f>VLOOKUP(G158,routes_of_administration_list!A:B,2)</f>
        <v>внутримышечно в дельтовидную мышцу</v>
      </c>
      <c r="I158" s="8"/>
      <c r="J158" s="11">
        <v>44712</v>
      </c>
      <c r="K158" s="53">
        <v>44748</v>
      </c>
    </row>
    <row r="159" spans="1:11">
      <c r="A159" s="7">
        <v>58</v>
      </c>
      <c r="B159" s="8" t="str">
        <f>VLOOKUP(A159,vaccines!A:B,2)</f>
        <v>COCAV</v>
      </c>
      <c r="C159" s="7">
        <v>12</v>
      </c>
      <c r="D159" s="8" t="str">
        <f>VLOOKUP(C159,ages_from_list!A:C,3)</f>
        <v>6 лет</v>
      </c>
      <c r="E159" s="7">
        <v>13</v>
      </c>
      <c r="F159" s="8" t="str">
        <f>VLOOKUP(E159,ages_through_list!A:C,3)</f>
        <v>∞</v>
      </c>
      <c r="G159" s="7">
        <v>3</v>
      </c>
      <c r="H159" s="30" t="str">
        <f>VLOOKUP(G159,routes_of_administration_list!A:B,2)</f>
        <v>внутримышечно в дельтовидную мышцу</v>
      </c>
      <c r="I159" s="8"/>
      <c r="J159" s="11">
        <v>44712</v>
      </c>
      <c r="K159" s="53">
        <v>44748</v>
      </c>
    </row>
    <row r="160" spans="1:11">
      <c r="A160" s="7">
        <v>59</v>
      </c>
      <c r="B160" s="8" t="str">
        <f>VLOOKUP(A160,vaccines!A:B,2)</f>
        <v>rabies_Chumakov</v>
      </c>
      <c r="C160" s="7">
        <v>1</v>
      </c>
      <c r="D160" s="8" t="str">
        <f>VLOOKUP(C160,ages_from_list!A:C,3)</f>
        <v>0 дней</v>
      </c>
      <c r="E160" s="7">
        <v>21</v>
      </c>
      <c r="F160" s="8" t="str">
        <f>VLOOKUP(E160,ages_through_list!A:C,3)</f>
        <v>47 месяцев (4 лет 11 месяцев)</v>
      </c>
      <c r="G160" s="7">
        <v>1</v>
      </c>
      <c r="H160" s="30" t="str">
        <f>VLOOKUP(G160,routes_of_administration_list!A:B,2)</f>
        <v>внутримышечно в передненаружную область бедра</v>
      </c>
      <c r="I160" s="8"/>
      <c r="J160" s="11">
        <v>44712</v>
      </c>
      <c r="K160" s="53">
        <v>44748</v>
      </c>
    </row>
    <row r="161" spans="1:11">
      <c r="A161" s="7">
        <v>59</v>
      </c>
      <c r="B161" s="8" t="str">
        <f>VLOOKUP(A161,vaccines!A:B,2)</f>
        <v>rabies_Chumakov</v>
      </c>
      <c r="C161" s="7">
        <v>23</v>
      </c>
      <c r="D161" s="8" t="str">
        <f>VLOOKUP(C161,ages_from_list!A:C,3)</f>
        <v>5 лет</v>
      </c>
      <c r="E161" s="7">
        <v>4</v>
      </c>
      <c r="F161" s="8" t="str">
        <f>VLOOKUP(E161,ages_through_list!A:C,3)</f>
        <v>5 лет</v>
      </c>
      <c r="G161" s="7">
        <v>5</v>
      </c>
      <c r="H161" s="30" t="str">
        <f>VLOOKUP(G161,routes_of_administration_list!A:B,2)</f>
        <v>внутримышечно в дельтовидную мышцу</v>
      </c>
      <c r="I161" s="8"/>
      <c r="J161" s="11">
        <v>44712</v>
      </c>
      <c r="K161" s="53">
        <v>44748</v>
      </c>
    </row>
    <row r="162" spans="1:11">
      <c r="A162" s="7">
        <v>59</v>
      </c>
      <c r="B162" s="8" t="str">
        <f>VLOOKUP(A162,vaccines!A:B,2)</f>
        <v>rabies_Chumakov</v>
      </c>
      <c r="C162" s="7">
        <v>12</v>
      </c>
      <c r="D162" s="8" t="str">
        <f>VLOOKUP(C162,ages_from_list!A:C,3)</f>
        <v>6 лет</v>
      </c>
      <c r="E162" s="7">
        <v>13</v>
      </c>
      <c r="F162" s="8" t="str">
        <f>VLOOKUP(E162,ages_through_list!A:C,3)</f>
        <v>∞</v>
      </c>
      <c r="G162" s="7">
        <v>3</v>
      </c>
      <c r="H162" s="30" t="str">
        <f>VLOOKUP(G162,routes_of_administration_list!A:B,2)</f>
        <v>внутримышечно в дельтовидную мышцу</v>
      </c>
      <c r="I162" s="8"/>
      <c r="J162" s="11">
        <v>44712</v>
      </c>
      <c r="K162" s="53">
        <v>44748</v>
      </c>
    </row>
    <row r="163" spans="1:11">
      <c r="A163" s="7">
        <v>60</v>
      </c>
      <c r="B163" s="8" t="str">
        <f>VLOOKUP(A163,vaccines!A:B,2)</f>
        <v>Rabivac_Vnukovo_32</v>
      </c>
      <c r="C163" s="7">
        <v>1</v>
      </c>
      <c r="D163" s="8" t="str">
        <f>VLOOKUP(C163,ages_from_list!A:C,3)</f>
        <v>0 дней</v>
      </c>
      <c r="E163" s="7">
        <v>13</v>
      </c>
      <c r="F163" s="8" t="str">
        <f>VLOOKUP(E163,ages_through_list!A:C,3)</f>
        <v>∞</v>
      </c>
      <c r="G163" s="7">
        <v>11</v>
      </c>
      <c r="H163" s="30" t="str">
        <f>VLOOKUP(G163,routes_of_administration_list!A:B,2)</f>
        <v>в подкожную клетчатку живота</v>
      </c>
      <c r="I163" s="8"/>
      <c r="J163" s="11">
        <v>44712</v>
      </c>
      <c r="K163" s="53">
        <v>44748</v>
      </c>
    </row>
    <row r="164" spans="1:11">
      <c r="A164" s="7">
        <v>61</v>
      </c>
      <c r="B164" s="8" t="str">
        <f>VLOOKUP(A164,vaccines!A:B,2)</f>
        <v>RotaTeq</v>
      </c>
      <c r="C164" s="7">
        <v>2</v>
      </c>
      <c r="D164" s="8" t="str">
        <f>VLOOKUP(C164,ages_from_list!A:C,3)</f>
        <v>6 недель</v>
      </c>
      <c r="E164" s="7">
        <v>1</v>
      </c>
      <c r="F164" s="8" t="str">
        <f>VLOOKUP(E164,ages_through_list!A:C,3)</f>
        <v>32 недель</v>
      </c>
      <c r="G164" s="7">
        <v>2</v>
      </c>
      <c r="H164" s="30" t="str">
        <f>VLOOKUP(G164,routes_of_administration_list!A:B,2)</f>
        <v>перорально: капли</v>
      </c>
      <c r="I164" s="8"/>
      <c r="J164" s="11">
        <v>44712</v>
      </c>
      <c r="K164" s="53">
        <v>44787</v>
      </c>
    </row>
    <row r="165" spans="1:11">
      <c r="A165" s="7">
        <v>62</v>
      </c>
      <c r="B165" s="8" t="str">
        <f>VLOOKUP(A165,vaccines!A:B,2)</f>
        <v>rubella_Microgen</v>
      </c>
      <c r="C165" s="54">
        <v>8</v>
      </c>
      <c r="D165" s="8" t="str">
        <f>VLOOKUP(C165,ages_from_list!A:C,3)</f>
        <v>12 месяцев</v>
      </c>
      <c r="E165" s="54">
        <v>25</v>
      </c>
      <c r="F165" s="8" t="str">
        <f>VLOOKUP(E165,ages_through_list!A:C,3)</f>
        <v>25 лет</v>
      </c>
      <c r="G165" s="7">
        <v>7</v>
      </c>
      <c r="H165" s="30" t="str">
        <f>VLOOKUP(G165,routes_of_administration_list!A:B,2)</f>
        <v>подкожно между нижней и средней третью плеча</v>
      </c>
      <c r="I165" s="8"/>
      <c r="J165" s="11">
        <v>44712</v>
      </c>
      <c r="K165" s="53">
        <v>44787</v>
      </c>
    </row>
    <row r="166" spans="1:11">
      <c r="A166" s="7">
        <v>63</v>
      </c>
      <c r="B166" s="8" t="str">
        <f>VLOOKUP(A166,vaccines!A:B,2)</f>
        <v>rubella_Serum</v>
      </c>
      <c r="C166" s="7">
        <v>8</v>
      </c>
      <c r="D166" s="8" t="str">
        <f>VLOOKUP(C166,ages_from_list!A:C,3)</f>
        <v>12 месяцев</v>
      </c>
      <c r="E166" s="7">
        <v>13</v>
      </c>
      <c r="F166" s="8" t="str">
        <f>VLOOKUP(E166,ages_through_list!A:C,3)</f>
        <v>∞</v>
      </c>
      <c r="G166" s="7">
        <v>16</v>
      </c>
      <c r="H166" s="30" t="str">
        <f>VLOOKUP(G166,routes_of_administration_list!A:B,2)</f>
        <v>подкожно в верхнюю треть плеча</v>
      </c>
      <c r="I166" s="8"/>
      <c r="J166" s="11">
        <v>44712</v>
      </c>
      <c r="K166" s="53">
        <v>45079</v>
      </c>
    </row>
    <row r="167" spans="1:11">
      <c r="A167" s="7">
        <v>64</v>
      </c>
      <c r="B167" s="8" t="str">
        <f>VLOOKUP(A167,vaccines!A:B,2)</f>
        <v>AS_Microgen</v>
      </c>
      <c r="C167" s="54">
        <v>5</v>
      </c>
      <c r="D167" s="8" t="str">
        <f>VLOOKUP(C167,ages_from_list!A:C,3)</f>
        <v>6 месяцев</v>
      </c>
      <c r="E167" s="7">
        <v>13</v>
      </c>
      <c r="F167" s="8" t="str">
        <f>VLOOKUP(E167,ages_through_list!A:C,3)</f>
        <v>∞</v>
      </c>
      <c r="G167" s="7">
        <v>8</v>
      </c>
      <c r="H167" s="30" t="str">
        <f>VLOOKUP(G167,routes_of_administration_list!A:B,2)</f>
        <v>подкожно в подлопаточную область</v>
      </c>
      <c r="I167" s="8"/>
      <c r="J167" s="11">
        <v>44712</v>
      </c>
      <c r="K167" s="52">
        <v>45517</v>
      </c>
    </row>
    <row r="168" spans="1:11">
      <c r="A168" s="7">
        <v>65</v>
      </c>
      <c r="B168" s="8" t="str">
        <f>VLOOKUP(A168,vaccines!A:B,2)</f>
        <v>AS_Biomed</v>
      </c>
      <c r="C168" s="7">
        <v>1</v>
      </c>
      <c r="D168" s="8" t="str">
        <f>VLOOKUP(C168,ages_from_list!A:C,3)</f>
        <v>0 дней</v>
      </c>
      <c r="E168" s="7">
        <v>13</v>
      </c>
      <c r="F168" s="8" t="str">
        <f>VLOOKUP(E168,ages_through_list!A:C,3)</f>
        <v>∞</v>
      </c>
      <c r="G168" s="7">
        <v>8</v>
      </c>
      <c r="H168" s="30" t="str">
        <f>VLOOKUP(G168,routes_of_administration_list!A:B,2)</f>
        <v>подкожно в подлопаточную область</v>
      </c>
      <c r="I168" s="8"/>
      <c r="J168" s="11">
        <v>44712</v>
      </c>
      <c r="K168" s="53">
        <v>44904</v>
      </c>
    </row>
    <row r="169" spans="1:11">
      <c r="A169" s="7">
        <v>66</v>
      </c>
      <c r="B169" s="8" t="str">
        <f>VLOOKUP(A169,vaccines!A:B,2)</f>
        <v>Vaqta_25</v>
      </c>
      <c r="C169" s="7">
        <v>8</v>
      </c>
      <c r="D169" s="8" t="str">
        <f>VLOOKUP(C169,ages_from_list!A:C,3)</f>
        <v>12 месяцев</v>
      </c>
      <c r="E169" s="7">
        <v>22</v>
      </c>
      <c r="F169" s="8" t="str">
        <f>VLOOKUP(E169,ages_through_list!A:C,3)</f>
        <v>23 месяцев</v>
      </c>
      <c r="G169" s="7">
        <v>1</v>
      </c>
      <c r="H169" s="30" t="str">
        <f>VLOOKUP(G169,routes_of_administration_list!A:B,2)</f>
        <v>внутримышечно в передненаружную область бедра</v>
      </c>
      <c r="I169" s="8"/>
      <c r="J169" s="11">
        <v>44712</v>
      </c>
      <c r="K169" s="53">
        <v>45079</v>
      </c>
    </row>
    <row r="170" spans="1:11">
      <c r="A170" s="7">
        <v>66</v>
      </c>
      <c r="B170" s="8" t="str">
        <f>VLOOKUP(A170,vaccines!A:B,2)</f>
        <v>Vaqta_25</v>
      </c>
      <c r="C170" s="7">
        <v>9</v>
      </c>
      <c r="D170" s="8" t="str">
        <f>VLOOKUP(C170,ages_from_list!A:C,3)</f>
        <v>24 месяцев (2 лет)</v>
      </c>
      <c r="E170" s="7">
        <v>3</v>
      </c>
      <c r="F170" s="8" t="str">
        <f>VLOOKUP(E170,ages_through_list!A:C,3)</f>
        <v>3 лет 11 месяцев</v>
      </c>
      <c r="G170" s="7">
        <v>4</v>
      </c>
      <c r="H170" s="30" t="str">
        <f>VLOOKUP(G170,routes_of_administration_list!A:B,2)</f>
        <v>внутримышечно в дельтовидную мышцу</v>
      </c>
      <c r="I170" s="8"/>
      <c r="J170" s="11">
        <v>45079</v>
      </c>
      <c r="K170" s="58"/>
    </row>
    <row r="171" spans="1:11">
      <c r="A171" s="7">
        <v>66</v>
      </c>
      <c r="B171" s="8" t="str">
        <f>VLOOKUP(A171,vaccines!A:B,2)</f>
        <v>Vaqta_25</v>
      </c>
      <c r="C171" s="7">
        <v>11</v>
      </c>
      <c r="D171" s="8" t="str">
        <f>VLOOKUP(C171,ages_from_list!A:C,3)</f>
        <v>4 лет</v>
      </c>
      <c r="E171" s="7">
        <v>4</v>
      </c>
      <c r="F171" s="8" t="str">
        <f>VLOOKUP(E171,ages_through_list!A:C,3)</f>
        <v>5 лет</v>
      </c>
      <c r="G171" s="7">
        <v>5</v>
      </c>
      <c r="H171" s="30" t="str">
        <f>VLOOKUP(G171,routes_of_administration_list!A:B,2)</f>
        <v>внутримышечно в дельтовидную мышцу</v>
      </c>
      <c r="I171" s="8"/>
      <c r="J171" s="11">
        <v>45079</v>
      </c>
      <c r="K171" s="58"/>
    </row>
    <row r="172" spans="1:11">
      <c r="A172" s="7">
        <v>66</v>
      </c>
      <c r="B172" s="8" t="str">
        <f>VLOOKUP(A172,vaccines!A:B,2)</f>
        <v>Vaqta_25</v>
      </c>
      <c r="C172" s="7">
        <v>12</v>
      </c>
      <c r="D172" s="8" t="str">
        <f>VLOOKUP(C172,ages_from_list!A:C,3)</f>
        <v>6 лет</v>
      </c>
      <c r="E172" s="7">
        <v>6</v>
      </c>
      <c r="F172" s="8" t="str">
        <f>VLOOKUP(E172,ages_through_list!A:C,3)</f>
        <v>17 лет</v>
      </c>
      <c r="G172" s="7">
        <v>3</v>
      </c>
      <c r="H172" s="30" t="str">
        <f>VLOOKUP(G172,routes_of_administration_list!A:B,2)</f>
        <v>внутримышечно в дельтовидную мышцу</v>
      </c>
      <c r="I172" s="8"/>
      <c r="J172" s="11">
        <v>45079</v>
      </c>
      <c r="K172" s="58"/>
    </row>
    <row r="173" spans="1:11">
      <c r="A173" s="7">
        <v>67</v>
      </c>
      <c r="B173" s="8" t="str">
        <f>VLOOKUP(A173,vaccines!A:B,2)</f>
        <v>Vaqta_50</v>
      </c>
      <c r="C173" s="7">
        <v>18</v>
      </c>
      <c r="D173" s="8" t="str">
        <f>VLOOKUP(C173,ages_from_list!A:C,3)</f>
        <v>18 лет</v>
      </c>
      <c r="E173" s="7">
        <v>13</v>
      </c>
      <c r="F173" s="8" t="str">
        <f>VLOOKUP(E173,ages_through_list!A:C,3)</f>
        <v>∞</v>
      </c>
      <c r="G173" s="7">
        <v>3</v>
      </c>
      <c r="H173" s="30" t="str">
        <f>VLOOKUP(G173,routes_of_administration_list!A:B,2)</f>
        <v>внутримышечно в дельтовидную мышцу</v>
      </c>
      <c r="I173" s="8"/>
      <c r="J173" s="11">
        <v>44712</v>
      </c>
      <c r="K173" s="53">
        <v>45079</v>
      </c>
    </row>
    <row r="174" spans="1:11">
      <c r="A174" s="7">
        <v>68</v>
      </c>
      <c r="B174" s="8" t="str">
        <f>VLOOKUP(A174,vaccines!A:B,2)</f>
        <v>Klesh_E_Vac_0_5</v>
      </c>
      <c r="C174" s="7">
        <v>17</v>
      </c>
      <c r="D174" s="8" t="str">
        <f>VLOOKUP(C174,ages_from_list!A:C,3)</f>
        <v>16 лет</v>
      </c>
      <c r="E174" s="7">
        <v>13</v>
      </c>
      <c r="F174" s="8" t="str">
        <f>VLOOKUP(E174,ages_through_list!A:C,3)</f>
        <v>∞</v>
      </c>
      <c r="G174" s="7">
        <v>3</v>
      </c>
      <c r="H174" s="30" t="str">
        <f>VLOOKUP(G174,routes_of_administration_list!A:B,2)</f>
        <v>внутримышечно в дельтовидную мышцу</v>
      </c>
      <c r="I174" s="8"/>
      <c r="J174" s="11">
        <v>44712</v>
      </c>
      <c r="K174" s="53">
        <v>44787</v>
      </c>
    </row>
    <row r="175" spans="1:11">
      <c r="A175" s="7">
        <v>68</v>
      </c>
      <c r="B175" s="8" t="str">
        <f>VLOOKUP(A175,vaccines!A:B,2)</f>
        <v>Klesh_E_Vac_0_5</v>
      </c>
      <c r="C175" s="7">
        <v>17</v>
      </c>
      <c r="D175" s="8" t="str">
        <f>VLOOKUP(C175,ages_from_list!A:C,3)</f>
        <v>16 лет</v>
      </c>
      <c r="E175" s="7">
        <v>13</v>
      </c>
      <c r="F175" s="8" t="str">
        <f>VLOOKUP(E175,ages_through_list!A:C,3)</f>
        <v>∞</v>
      </c>
      <c r="G175" s="54">
        <v>1</v>
      </c>
      <c r="H175" s="30" t="str">
        <f>VLOOKUP(G175,routes_of_administration_list!A:B,2)</f>
        <v>внутримышечно в передненаружную область бедра</v>
      </c>
      <c r="I175" s="8"/>
      <c r="J175" s="12">
        <v>45266</v>
      </c>
      <c r="K175" s="53"/>
    </row>
    <row r="176" spans="1:11">
      <c r="A176" s="7">
        <v>69</v>
      </c>
      <c r="B176" s="8" t="str">
        <f>VLOOKUP(A176,vaccines!A:B,2)</f>
        <v>Klesh_E_Vac_0_25</v>
      </c>
      <c r="C176" s="7">
        <v>12</v>
      </c>
      <c r="D176" s="8" t="str">
        <f>VLOOKUP(C176,ages_from_list!A:C,3)</f>
        <v>6 лет</v>
      </c>
      <c r="E176" s="7">
        <v>5</v>
      </c>
      <c r="F176" s="8" t="str">
        <f>VLOOKUP(E176,ages_through_list!A:C,3)</f>
        <v>15 лет</v>
      </c>
      <c r="G176" s="7">
        <v>3</v>
      </c>
      <c r="H176" s="30" t="str">
        <f>VLOOKUP(G176,routes_of_administration_list!A:B,2)</f>
        <v>внутримышечно в дельтовидную мышцу</v>
      </c>
      <c r="I176" s="8"/>
      <c r="J176" s="11">
        <v>44712</v>
      </c>
      <c r="K176" s="53">
        <v>44787</v>
      </c>
    </row>
    <row r="177" spans="1:11">
      <c r="A177" s="7">
        <v>69</v>
      </c>
      <c r="B177" s="8" t="str">
        <f>VLOOKUP(A177,vaccines!A:B,2)</f>
        <v>Klesh_E_Vac_0_25</v>
      </c>
      <c r="C177" s="7">
        <v>8</v>
      </c>
      <c r="D177" s="8" t="str">
        <f>VLOOKUP(C177,ages_from_list!A:C,3)</f>
        <v>12 месяцев</v>
      </c>
      <c r="E177" s="7">
        <v>3</v>
      </c>
      <c r="F177" s="8" t="str">
        <f>VLOOKUP(E177,ages_through_list!A:C,3)</f>
        <v>3 лет 11 месяцев</v>
      </c>
      <c r="G177" s="7">
        <v>4</v>
      </c>
      <c r="H177" s="30" t="str">
        <f>VLOOKUP(G177,routes_of_administration_list!A:B,2)</f>
        <v>внутримышечно в дельтовидную мышцу</v>
      </c>
      <c r="I177" s="8"/>
      <c r="J177" s="11">
        <v>44712</v>
      </c>
      <c r="K177" s="53">
        <v>44787</v>
      </c>
    </row>
    <row r="178" spans="1:11">
      <c r="A178" s="7">
        <v>69</v>
      </c>
      <c r="B178" s="8" t="str">
        <f>VLOOKUP(A178,vaccines!A:B,2)</f>
        <v>Klesh_E_Vac_0_25</v>
      </c>
      <c r="C178" s="7">
        <v>11</v>
      </c>
      <c r="D178" s="8" t="str">
        <f>VLOOKUP(C178,ages_from_list!A:C,3)</f>
        <v>4 лет</v>
      </c>
      <c r="E178" s="7">
        <v>4</v>
      </c>
      <c r="F178" s="8" t="str">
        <f>VLOOKUP(E178,ages_through_list!A:C,3)</f>
        <v>5 лет</v>
      </c>
      <c r="G178" s="7">
        <v>5</v>
      </c>
      <c r="H178" s="30" t="str">
        <f>VLOOKUP(G178,routes_of_administration_list!A:B,2)</f>
        <v>внутримышечно в дельтовидную мышцу</v>
      </c>
      <c r="I178" s="8"/>
      <c r="J178" s="11">
        <v>44712</v>
      </c>
      <c r="K178" s="53">
        <v>44787</v>
      </c>
    </row>
    <row r="179" spans="1:11">
      <c r="A179" s="7">
        <v>69</v>
      </c>
      <c r="B179" s="8" t="str">
        <f>VLOOKUP(A179,vaccines!A:B,2)</f>
        <v>Klesh_E_Vac_0_25</v>
      </c>
      <c r="C179" s="54">
        <v>8</v>
      </c>
      <c r="D179" s="8" t="str">
        <f>VLOOKUP(C179,ages_from_list!A:C,3)</f>
        <v>12 месяцев</v>
      </c>
      <c r="E179" s="54">
        <v>5</v>
      </c>
      <c r="F179" s="8" t="str">
        <f>VLOOKUP(E179,ages_through_list!A:C,3)</f>
        <v>15 лет</v>
      </c>
      <c r="G179" s="54">
        <v>1</v>
      </c>
      <c r="H179" s="30" t="str">
        <f>VLOOKUP(G179,routes_of_administration_list!A:B,2)</f>
        <v>внутримышечно в передненаружную область бедра</v>
      </c>
      <c r="I179" s="8"/>
      <c r="J179" s="12">
        <v>45266</v>
      </c>
      <c r="K179" s="53"/>
    </row>
    <row r="180" spans="1:11">
      <c r="A180" s="7">
        <v>70</v>
      </c>
      <c r="B180" s="8" t="str">
        <f>VLOOKUP(A180,vaccines!A:B,2)</f>
        <v>EnceVir_0_5</v>
      </c>
      <c r="C180" s="7">
        <v>18</v>
      </c>
      <c r="D180" s="8" t="str">
        <f>VLOOKUP(C180,ages_from_list!A:C,3)</f>
        <v>18 лет</v>
      </c>
      <c r="E180" s="7">
        <v>13</v>
      </c>
      <c r="F180" s="8" t="str">
        <f>VLOOKUP(E180,ages_through_list!A:C,3)</f>
        <v>∞</v>
      </c>
      <c r="G180" s="7">
        <v>3</v>
      </c>
      <c r="H180" s="30" t="str">
        <f>VLOOKUP(G180,routes_of_administration_list!A:B,2)</f>
        <v>внутримышечно в дельтовидную мышцу</v>
      </c>
      <c r="I180" s="8"/>
      <c r="J180" s="11">
        <v>44712</v>
      </c>
      <c r="K180" s="58"/>
    </row>
    <row r="181" spans="1:11">
      <c r="A181" s="7">
        <v>70</v>
      </c>
      <c r="B181" s="8" t="str">
        <f>VLOOKUP(A181,vaccines!A:B,2)</f>
        <v>EnceVir_0_5</v>
      </c>
      <c r="C181" s="7">
        <v>18</v>
      </c>
      <c r="D181" s="8" t="str">
        <f>VLOOKUP(C181,ages_from_list!A:C,3)</f>
        <v>18 лет</v>
      </c>
      <c r="E181" s="7">
        <v>13</v>
      </c>
      <c r="F181" s="8" t="str">
        <f>VLOOKUP(E181,ages_through_list!A:C,3)</f>
        <v>∞</v>
      </c>
      <c r="G181" s="54">
        <v>1</v>
      </c>
      <c r="H181" s="30" t="str">
        <f>VLOOKUP(G181,routes_of_administration_list!A:B,2)</f>
        <v>внутримышечно в передненаружную область бедра</v>
      </c>
      <c r="I181" s="8"/>
      <c r="J181" s="12">
        <v>45589</v>
      </c>
      <c r="K181" s="58"/>
    </row>
    <row r="182" spans="1:11">
      <c r="A182" s="7">
        <v>71</v>
      </c>
      <c r="B182" s="8" t="str">
        <f>VLOOKUP(A182,vaccines!A:B,2)</f>
        <v>EnceVir_Neo_kids</v>
      </c>
      <c r="C182" s="7">
        <v>10</v>
      </c>
      <c r="D182" s="8" t="str">
        <f>VLOOKUP(C182,ages_from_list!A:C,3)</f>
        <v>36 месяцев (3 лет)</v>
      </c>
      <c r="E182" s="7">
        <v>3</v>
      </c>
      <c r="F182" s="8" t="str">
        <f>VLOOKUP(E182,ages_through_list!A:C,3)</f>
        <v>3 лет 11 месяцев</v>
      </c>
      <c r="G182" s="7">
        <v>4</v>
      </c>
      <c r="H182" s="30" t="str">
        <f>VLOOKUP(G182,routes_of_administration_list!A:B,2)</f>
        <v>внутримышечно в дельтовидную мышцу</v>
      </c>
      <c r="I182" s="8"/>
      <c r="J182" s="11">
        <v>44712</v>
      </c>
      <c r="K182" s="58"/>
    </row>
    <row r="183" spans="1:11">
      <c r="A183" s="7">
        <v>71</v>
      </c>
      <c r="B183" s="8" t="str">
        <f>VLOOKUP(A183,vaccines!A:B,2)</f>
        <v>EnceVir_Neo_kids</v>
      </c>
      <c r="C183" s="7">
        <v>11</v>
      </c>
      <c r="D183" s="8" t="str">
        <f>VLOOKUP(C183,ages_from_list!A:C,3)</f>
        <v>4 лет</v>
      </c>
      <c r="E183" s="7">
        <v>4</v>
      </c>
      <c r="F183" s="8" t="str">
        <f>VLOOKUP(E183,ages_through_list!A:C,3)</f>
        <v>5 лет</v>
      </c>
      <c r="G183" s="7">
        <v>5</v>
      </c>
      <c r="H183" s="30" t="str">
        <f>VLOOKUP(G183,routes_of_administration_list!A:B,2)</f>
        <v>внутримышечно в дельтовидную мышцу</v>
      </c>
      <c r="I183" s="8"/>
      <c r="J183" s="11">
        <v>44712</v>
      </c>
      <c r="K183" s="58"/>
    </row>
    <row r="184" spans="1:11">
      <c r="A184" s="7">
        <v>71</v>
      </c>
      <c r="B184" s="8" t="str">
        <f>VLOOKUP(A184,vaccines!A:B,2)</f>
        <v>EnceVir_Neo_kids</v>
      </c>
      <c r="C184" s="7">
        <v>12</v>
      </c>
      <c r="D184" s="8" t="str">
        <f>VLOOKUP(C184,ages_from_list!A:C,3)</f>
        <v>6 лет</v>
      </c>
      <c r="E184" s="7">
        <v>6</v>
      </c>
      <c r="F184" s="8" t="str">
        <f>VLOOKUP(E184,ages_through_list!A:C,3)</f>
        <v>17 лет</v>
      </c>
      <c r="G184" s="7">
        <v>3</v>
      </c>
      <c r="H184" s="30" t="str">
        <f>VLOOKUP(G184,routes_of_administration_list!A:B,2)</f>
        <v>внутримышечно в дельтовидную мышцу</v>
      </c>
      <c r="I184" s="8"/>
      <c r="J184" s="11">
        <v>44712</v>
      </c>
      <c r="K184" s="58"/>
    </row>
    <row r="185" spans="1:11">
      <c r="A185" s="7">
        <v>71</v>
      </c>
      <c r="B185" s="8" t="str">
        <f>VLOOKUP(A185,vaccines!A:B,2)</f>
        <v>EnceVir_Neo_kids</v>
      </c>
      <c r="C185" s="54">
        <v>10</v>
      </c>
      <c r="D185" s="8" t="str">
        <f>VLOOKUP(C185,ages_from_list!A:C,3)</f>
        <v>36 месяцев (3 лет)</v>
      </c>
      <c r="E185" s="54">
        <v>6</v>
      </c>
      <c r="F185" s="8" t="str">
        <f>VLOOKUP(E185,ages_through_list!A:C,3)</f>
        <v>17 лет</v>
      </c>
      <c r="G185" s="54">
        <v>1</v>
      </c>
      <c r="H185" s="30" t="str">
        <f>VLOOKUP(G185,routes_of_administration_list!A:B,2)</f>
        <v>внутримышечно в передненаружную область бедра</v>
      </c>
      <c r="I185" s="8"/>
      <c r="J185" s="12">
        <v>45489</v>
      </c>
      <c r="K185" s="57">
        <v>45589</v>
      </c>
    </row>
    <row r="186" spans="1:11">
      <c r="A186" s="7">
        <v>72</v>
      </c>
      <c r="B186" s="8" t="str">
        <f>VLOOKUP(A186,vaccines!A:B,2)</f>
        <v>TBE_Chumakov_lyo</v>
      </c>
      <c r="C186" s="7">
        <v>10</v>
      </c>
      <c r="D186" s="8" t="str">
        <f>VLOOKUP(C186,ages_from_list!A:C,3)</f>
        <v>36 месяцев (3 лет)</v>
      </c>
      <c r="E186" s="7">
        <v>3</v>
      </c>
      <c r="F186" s="8" t="str">
        <f>VLOOKUP(E186,ages_through_list!A:C,3)</f>
        <v>3 лет 11 месяцев</v>
      </c>
      <c r="G186" s="7">
        <v>4</v>
      </c>
      <c r="H186" s="30" t="str">
        <f>VLOOKUP(G186,routes_of_administration_list!A:B,2)</f>
        <v>внутримышечно в дельтовидную мышцу</v>
      </c>
      <c r="I186" s="8"/>
      <c r="J186" s="11">
        <v>44712</v>
      </c>
      <c r="K186" s="58"/>
    </row>
    <row r="187" spans="1:11">
      <c r="A187" s="7">
        <v>72</v>
      </c>
      <c r="B187" s="8" t="str">
        <f>VLOOKUP(A187,vaccines!A:B,2)</f>
        <v>TBE_Chumakov_lyo</v>
      </c>
      <c r="C187" s="7">
        <v>11</v>
      </c>
      <c r="D187" s="8" t="str">
        <f>VLOOKUP(C187,ages_from_list!A:C,3)</f>
        <v>4 лет</v>
      </c>
      <c r="E187" s="7">
        <v>4</v>
      </c>
      <c r="F187" s="8" t="str">
        <f>VLOOKUP(E187,ages_through_list!A:C,3)</f>
        <v>5 лет</v>
      </c>
      <c r="G187" s="7">
        <v>5</v>
      </c>
      <c r="H187" s="30" t="str">
        <f>VLOOKUP(G187,routes_of_administration_list!A:B,2)</f>
        <v>внутримышечно в дельтовидную мышцу</v>
      </c>
      <c r="I187" s="8"/>
      <c r="J187" s="11">
        <v>44712</v>
      </c>
      <c r="K187" s="58"/>
    </row>
    <row r="188" spans="1:11">
      <c r="A188" s="7">
        <v>72</v>
      </c>
      <c r="B188" s="8" t="str">
        <f>VLOOKUP(A188,vaccines!A:B,2)</f>
        <v>TBE_Chumakov_lyo</v>
      </c>
      <c r="C188" s="7">
        <v>12</v>
      </c>
      <c r="D188" s="8" t="str">
        <f>VLOOKUP(C188,ages_from_list!A:C,3)</f>
        <v>6 лет</v>
      </c>
      <c r="E188" s="7">
        <v>13</v>
      </c>
      <c r="F188" s="8" t="str">
        <f>VLOOKUP(E188,ages_through_list!A:C,3)</f>
        <v>∞</v>
      </c>
      <c r="G188" s="7">
        <v>3</v>
      </c>
      <c r="H188" s="30" t="str">
        <f>VLOOKUP(G188,routes_of_administration_list!A:B,2)</f>
        <v>внутримышечно в дельтовидную мышцу</v>
      </c>
      <c r="I188" s="8"/>
      <c r="J188" s="11">
        <v>44712</v>
      </c>
      <c r="K188" s="58"/>
    </row>
    <row r="189" spans="1:11">
      <c r="A189" s="7">
        <v>72</v>
      </c>
      <c r="B189" s="8" t="str">
        <f>VLOOKUP(A189,vaccines!A:B,2)</f>
        <v>TBE_Chumakov_lyo</v>
      </c>
      <c r="C189" s="54">
        <v>10</v>
      </c>
      <c r="D189" s="8" t="str">
        <f>VLOOKUP(C189,ages_from_list!A:C,3)</f>
        <v>36 месяцев (3 лет)</v>
      </c>
      <c r="E189" s="7">
        <v>13</v>
      </c>
      <c r="F189" s="8" t="str">
        <f>VLOOKUP(E189,ages_through_list!A:C,3)</f>
        <v>∞</v>
      </c>
      <c r="G189" s="54">
        <v>1</v>
      </c>
      <c r="H189" s="30" t="str">
        <f>VLOOKUP(G189,routes_of_administration_list!A:B,2)</f>
        <v>внутримышечно в передненаружную область бедра</v>
      </c>
      <c r="I189" s="8"/>
      <c r="J189" s="12">
        <v>45750</v>
      </c>
      <c r="K189" s="58"/>
    </row>
    <row r="190" spans="1:11">
      <c r="A190" s="7">
        <v>73</v>
      </c>
      <c r="B190" s="8" t="str">
        <f>VLOOKUP(A190,vaccines!A:B,2)</f>
        <v>Varilrix</v>
      </c>
      <c r="C190" s="7">
        <v>7</v>
      </c>
      <c r="D190" s="8" t="str">
        <f>VLOOKUP(C190,ages_from_list!A:C,3)</f>
        <v>9 месяцев</v>
      </c>
      <c r="E190" s="7">
        <v>13</v>
      </c>
      <c r="F190" s="8" t="str">
        <f>VLOOKUP(E190,ages_through_list!A:C,3)</f>
        <v>∞</v>
      </c>
      <c r="G190" s="7">
        <v>6</v>
      </c>
      <c r="H190" s="30" t="str">
        <f>VLOOKUP(G190,routes_of_administration_list!A:B,2)</f>
        <v>подкожно в область дельтовидной мышцы</v>
      </c>
      <c r="I190" s="8"/>
      <c r="J190" s="11">
        <v>44712</v>
      </c>
      <c r="K190" s="53" t="s">
        <v>2260</v>
      </c>
    </row>
    <row r="191" spans="1:11">
      <c r="A191" s="7">
        <v>73</v>
      </c>
      <c r="B191" s="8" t="str">
        <f>VLOOKUP(A191,vaccines!A:B,2)</f>
        <v>Varilrix</v>
      </c>
      <c r="C191" s="7">
        <v>7</v>
      </c>
      <c r="D191" s="8" t="str">
        <f>VLOOKUP(C191,ages_from_list!A:C,3)</f>
        <v>9 месяцев</v>
      </c>
      <c r="E191" s="7">
        <v>13</v>
      </c>
      <c r="F191" s="8" t="str">
        <f>VLOOKUP(E191,ages_through_list!A:C,3)</f>
        <v>∞</v>
      </c>
      <c r="G191" s="54">
        <v>9</v>
      </c>
      <c r="H191" s="30" t="str">
        <f>VLOOKUP(G191,routes_of_administration_list!A:B,2)</f>
        <v>подкожно в область бедра</v>
      </c>
      <c r="I191" s="8"/>
      <c r="J191" s="12">
        <v>45480</v>
      </c>
      <c r="K191" s="53"/>
    </row>
    <row r="192" spans="1:11">
      <c r="A192" s="7">
        <v>73</v>
      </c>
      <c r="B192" s="8" t="str">
        <f>VLOOKUP(A192,vaccines!A:B,2)</f>
        <v>Varilrix</v>
      </c>
      <c r="C192" s="54">
        <v>12</v>
      </c>
      <c r="D192" s="8" t="str">
        <f>VLOOKUP(C192,ages_from_list!A:C,3)</f>
        <v>6 лет</v>
      </c>
      <c r="E192" s="7">
        <v>13</v>
      </c>
      <c r="F192" s="8" t="str">
        <f>VLOOKUP(E192,ages_through_list!A:C,3)</f>
        <v>∞</v>
      </c>
      <c r="G192" s="54">
        <v>3</v>
      </c>
      <c r="H192" s="30" t="str">
        <f>VLOOKUP(G192,routes_of_administration_list!A:B,2)</f>
        <v>внутримышечно в дельтовидную мышцу</v>
      </c>
      <c r="I192" s="8"/>
      <c r="J192" s="12">
        <v>45480</v>
      </c>
      <c r="K192" s="53"/>
    </row>
    <row r="193" spans="1:11">
      <c r="A193" s="7">
        <v>73</v>
      </c>
      <c r="B193" s="8" t="str">
        <f>VLOOKUP(A193,vaccines!A:B,2)</f>
        <v>Varilrix</v>
      </c>
      <c r="C193" s="54">
        <v>9</v>
      </c>
      <c r="D193" s="8" t="str">
        <f>VLOOKUP(C193,ages_from_list!A:C,3)</f>
        <v>24 месяцев (2 лет)</v>
      </c>
      <c r="E193" s="54">
        <v>2</v>
      </c>
      <c r="F193" s="8" t="str">
        <f>VLOOKUP(E193,ages_through_list!A:C,3)</f>
        <v>36 месяцев (3 лет)</v>
      </c>
      <c r="G193" s="54">
        <v>4</v>
      </c>
      <c r="H193" s="30" t="str">
        <f>VLOOKUP(G193,routes_of_administration_list!A:B,2)</f>
        <v>внутримышечно в дельтовидную мышцу</v>
      </c>
      <c r="I193" s="8"/>
      <c r="J193" s="12">
        <v>45480</v>
      </c>
      <c r="K193" s="53"/>
    </row>
    <row r="194" spans="1:11">
      <c r="A194" s="7">
        <v>73</v>
      </c>
      <c r="B194" s="8" t="str">
        <f>VLOOKUP(A194,vaccines!A:B,2)</f>
        <v>Varilrix</v>
      </c>
      <c r="C194" s="54">
        <v>11</v>
      </c>
      <c r="D194" s="8" t="str">
        <f>VLOOKUP(C194,ages_from_list!A:C,3)</f>
        <v>4 лет</v>
      </c>
      <c r="E194" s="54">
        <v>4</v>
      </c>
      <c r="F194" s="8" t="str">
        <f>VLOOKUP(E194,ages_through_list!A:C,3)</f>
        <v>5 лет</v>
      </c>
      <c r="G194" s="54">
        <v>5</v>
      </c>
      <c r="H194" s="30" t="str">
        <f>VLOOKUP(G194,routes_of_administration_list!A:B,2)</f>
        <v>внутримышечно в дельтовидную мышцу</v>
      </c>
      <c r="I194" s="8"/>
      <c r="J194" s="12">
        <v>45480</v>
      </c>
      <c r="K194" s="53"/>
    </row>
    <row r="195" spans="1:11">
      <c r="A195" s="7">
        <v>73</v>
      </c>
      <c r="B195" s="8" t="str">
        <f>VLOOKUP(A195,vaccines!A:B,2)</f>
        <v>Varilrix</v>
      </c>
      <c r="C195" s="54">
        <v>7</v>
      </c>
      <c r="D195" s="8" t="str">
        <f>VLOOKUP(C195,ages_from_list!A:C,3)</f>
        <v>9 месяцев</v>
      </c>
      <c r="E195" s="54">
        <v>13</v>
      </c>
      <c r="F195" s="8" t="str">
        <f>VLOOKUP(E195,ages_through_list!A:C,3)</f>
        <v>∞</v>
      </c>
      <c r="G195" s="54">
        <v>1</v>
      </c>
      <c r="H195" s="30" t="str">
        <f>VLOOKUP(G195,routes_of_administration_list!A:B,2)</f>
        <v>внутримышечно в передненаружную область бедра</v>
      </c>
      <c r="I195" s="8"/>
      <c r="J195" s="12">
        <v>45480</v>
      </c>
      <c r="K195" s="53"/>
    </row>
    <row r="196" spans="1:11">
      <c r="A196" s="7">
        <v>74</v>
      </c>
      <c r="B196" s="8" t="str">
        <f>VLOOKUP(A196,vaccines!A:B,2)</f>
        <v>YF_Chumakov_lyo</v>
      </c>
      <c r="C196" s="7">
        <v>7</v>
      </c>
      <c r="D196" s="8" t="str">
        <f>VLOOKUP(C196,ages_from_list!A:C,3)</f>
        <v>9 месяцев</v>
      </c>
      <c r="E196" s="7">
        <v>13</v>
      </c>
      <c r="F196" s="8" t="str">
        <f>VLOOKUP(E196,ages_through_list!A:C,3)</f>
        <v>∞</v>
      </c>
      <c r="G196" s="7">
        <v>6</v>
      </c>
      <c r="H196" s="30" t="str">
        <f>VLOOKUP(G196,routes_of_administration_list!A:B,2)</f>
        <v>подкожно в область дельтовидной мышцы</v>
      </c>
      <c r="I196" s="8"/>
      <c r="J196" s="11">
        <v>44712</v>
      </c>
      <c r="K196" s="53" t="s">
        <v>1291</v>
      </c>
    </row>
    <row r="197" spans="1:11">
      <c r="A197" s="7">
        <v>74</v>
      </c>
      <c r="B197" s="8" t="str">
        <f>VLOOKUP(A197,vaccines!A:B,2)</f>
        <v>YF_Chumakov_lyo</v>
      </c>
      <c r="C197" s="7">
        <v>7</v>
      </c>
      <c r="D197" s="8" t="str">
        <f>VLOOKUP(C197,ages_from_list!A:C,3)</f>
        <v>9 месяцев</v>
      </c>
      <c r="E197" s="7">
        <v>13</v>
      </c>
      <c r="F197" s="8" t="str">
        <f>VLOOKUP(E197,ages_through_list!A:C,3)</f>
        <v>∞</v>
      </c>
      <c r="G197" s="7">
        <v>8</v>
      </c>
      <c r="H197" s="30" t="str">
        <f>VLOOKUP(G197,routes_of_administration_list!A:B,2)</f>
        <v>подкожно в подлопаточную область</v>
      </c>
      <c r="I197" s="8"/>
      <c r="J197" s="11">
        <v>44712</v>
      </c>
      <c r="K197" s="53" t="s">
        <v>1291</v>
      </c>
    </row>
    <row r="198" spans="1:11">
      <c r="A198" s="7">
        <v>75</v>
      </c>
      <c r="B198" s="8" t="str">
        <f>VLOOKUP(A198,vaccines!A:B,2)</f>
        <v>tularemia_Microgen</v>
      </c>
      <c r="C198" s="7">
        <v>13</v>
      </c>
      <c r="D198" s="8" t="str">
        <f>VLOOKUP(C198,ages_from_list!A:C,3)</f>
        <v>7 лет</v>
      </c>
      <c r="E198" s="7">
        <v>13</v>
      </c>
      <c r="F198" s="8" t="str">
        <f>VLOOKUP(E198,ages_through_list!A:C,3)</f>
        <v>∞</v>
      </c>
      <c r="G198" s="7">
        <v>12</v>
      </c>
      <c r="H198" s="30" t="str">
        <f>VLOOKUP(G198,routes_of_administration_list!A:B,2)</f>
        <v>накожно</v>
      </c>
      <c r="I198" s="8"/>
      <c r="J198" s="11">
        <v>44712</v>
      </c>
      <c r="K198" s="53" t="s">
        <v>1291</v>
      </c>
    </row>
    <row r="199" spans="1:11">
      <c r="A199" s="7">
        <v>75</v>
      </c>
      <c r="B199" s="8" t="str">
        <f>VLOOKUP(A199,vaccines!A:B,2)</f>
        <v>tularemia_Microgen</v>
      </c>
      <c r="C199" s="7">
        <v>13</v>
      </c>
      <c r="D199" s="8" t="str">
        <f>VLOOKUP(C199,ages_from_list!A:C,3)</f>
        <v>7 лет</v>
      </c>
      <c r="E199" s="7">
        <v>13</v>
      </c>
      <c r="F199" s="8" t="str">
        <f>VLOOKUP(E199,ages_through_list!A:C,3)</f>
        <v>∞</v>
      </c>
      <c r="G199" s="7">
        <v>10</v>
      </c>
      <c r="H199" s="30" t="str">
        <f>VLOOKUP(G199,routes_of_administration_list!A:B,2)</f>
        <v>внутрикожно на границе верхней и средней трети левого плеча</v>
      </c>
      <c r="I199" s="8"/>
      <c r="J199" s="11">
        <v>44712</v>
      </c>
      <c r="K199" s="53" t="s">
        <v>1291</v>
      </c>
    </row>
    <row r="200" spans="1:11">
      <c r="A200" s="7">
        <v>76</v>
      </c>
      <c r="B200" s="8" t="str">
        <f>VLOOKUP(A200,vaccines!A:B,2)</f>
        <v>plague_molecular_lyo_RPN</v>
      </c>
      <c r="C200" s="7">
        <v>18</v>
      </c>
      <c r="D200" s="8" t="str">
        <f>VLOOKUP(C200,ages_from_list!A:C,3)</f>
        <v>18 лет</v>
      </c>
      <c r="E200" s="7">
        <v>10</v>
      </c>
      <c r="F200" s="8" t="str">
        <f>VLOOKUP(E200,ages_through_list!A:C,3)</f>
        <v>58 лет</v>
      </c>
      <c r="G200" s="7">
        <v>16</v>
      </c>
      <c r="H200" s="30" t="str">
        <f>VLOOKUP(G200,routes_of_administration_list!A:B,2)</f>
        <v>подкожно в верхнюю треть плеча</v>
      </c>
      <c r="I200" s="8"/>
      <c r="J200" s="11">
        <v>44712</v>
      </c>
      <c r="K200" s="53" t="s">
        <v>1298</v>
      </c>
    </row>
    <row r="201" spans="1:11">
      <c r="A201" s="7">
        <v>77</v>
      </c>
      <c r="B201" s="8" t="str">
        <f>VLOOKUP(A201,vaccines!A:B,2)</f>
        <v>plague_live_lyo_48_NII_Minoborony</v>
      </c>
      <c r="C201" s="7">
        <v>9</v>
      </c>
      <c r="D201" s="8" t="str">
        <f>VLOOKUP(C201,ages_from_list!A:C,3)</f>
        <v>24 месяцев (2 лет)</v>
      </c>
      <c r="E201" s="7">
        <v>13</v>
      </c>
      <c r="F201" s="8" t="str">
        <f>VLOOKUP(E201,ages_through_list!A:C,3)</f>
        <v>∞</v>
      </c>
      <c r="G201" s="7">
        <v>12</v>
      </c>
      <c r="H201" s="30" t="str">
        <f>VLOOKUP(G201,routes_of_administration_list!A:B,2)</f>
        <v>накожно</v>
      </c>
      <c r="I201" s="8"/>
      <c r="J201" s="11">
        <v>44712</v>
      </c>
      <c r="K201" s="53" t="s">
        <v>1298</v>
      </c>
    </row>
    <row r="202" spans="1:11">
      <c r="A202" s="7">
        <v>77</v>
      </c>
      <c r="B202" s="8" t="str">
        <f>VLOOKUP(A202,vaccines!A:B,2)</f>
        <v>plague_live_lyo_48_NII_Minoborony</v>
      </c>
      <c r="C202" s="7">
        <v>9</v>
      </c>
      <c r="D202" s="8" t="str">
        <f>VLOOKUP(C202,ages_from_list!A:C,3)</f>
        <v>24 месяцев (2 лет)</v>
      </c>
      <c r="E202" s="7">
        <v>13</v>
      </c>
      <c r="F202" s="8" t="str">
        <f>VLOOKUP(E202,ages_through_list!A:C,3)</f>
        <v>∞</v>
      </c>
      <c r="G202" s="7">
        <v>16</v>
      </c>
      <c r="H202" s="30" t="str">
        <f>VLOOKUP(G202,routes_of_administration_list!A:B,2)</f>
        <v>подкожно в верхнюю треть плеча</v>
      </c>
      <c r="I202" s="8"/>
      <c r="J202" s="11">
        <v>44712</v>
      </c>
      <c r="K202" s="53" t="s">
        <v>1298</v>
      </c>
    </row>
    <row r="203" spans="1:11">
      <c r="A203" s="7">
        <v>77</v>
      </c>
      <c r="B203" s="8" t="str">
        <f>VLOOKUP(A203,vaccines!A:B,2)</f>
        <v>plague_live_lyo_48_NII_Minoborony</v>
      </c>
      <c r="C203" s="7">
        <v>9</v>
      </c>
      <c r="D203" s="8" t="str">
        <f>VLOOKUP(C203,ages_from_list!A:C,3)</f>
        <v>24 месяцев (2 лет)</v>
      </c>
      <c r="E203" s="7">
        <v>13</v>
      </c>
      <c r="F203" s="8" t="str">
        <f>VLOOKUP(E203,ages_through_list!A:C,3)</f>
        <v>∞</v>
      </c>
      <c r="G203" s="7">
        <v>10</v>
      </c>
      <c r="H203" s="30" t="str">
        <f>VLOOKUP(G203,routes_of_administration_list!A:B,2)</f>
        <v>внутрикожно на границе верхней и средней трети левого плеча</v>
      </c>
      <c r="I203" s="8"/>
      <c r="J203" s="11">
        <v>44712</v>
      </c>
      <c r="K203" s="53" t="s">
        <v>1298</v>
      </c>
    </row>
    <row r="204" spans="1:11">
      <c r="A204" s="7">
        <v>77</v>
      </c>
      <c r="B204" s="8" t="str">
        <f>VLOOKUP(A204,vaccines!A:B,2)</f>
        <v>plague_live_lyo_48_NII_Minoborony</v>
      </c>
      <c r="C204" s="7">
        <v>9</v>
      </c>
      <c r="D204" s="8" t="str">
        <f>VLOOKUP(C204,ages_from_list!A:C,3)</f>
        <v>24 месяцев (2 лет)</v>
      </c>
      <c r="E204" s="7">
        <v>13</v>
      </c>
      <c r="F204" s="8" t="str">
        <f>VLOOKUP(E204,ages_through_list!A:C,3)</f>
        <v>∞</v>
      </c>
      <c r="G204" s="7">
        <v>15</v>
      </c>
      <c r="H204" s="30" t="str">
        <f>VLOOKUP(G204,routes_of_administration_list!A:B,2)</f>
        <v>ингаляционно</v>
      </c>
      <c r="I204" s="8"/>
      <c r="J204" s="11">
        <v>44712</v>
      </c>
      <c r="K204" s="53" t="s">
        <v>1298</v>
      </c>
    </row>
    <row r="205" spans="1:11">
      <c r="A205" s="7">
        <v>78</v>
      </c>
      <c r="B205" s="8" t="str">
        <f>VLOOKUP(A205,vaccines!A:B,2)</f>
        <v>plague_live_tablets_48_NII_Minoborony</v>
      </c>
      <c r="C205" s="7">
        <v>16</v>
      </c>
      <c r="D205" s="8" t="str">
        <f>VLOOKUP(C205,ages_from_list!A:C,3)</f>
        <v>14 лет</v>
      </c>
      <c r="E205" s="7">
        <v>13</v>
      </c>
      <c r="F205" s="8" t="str">
        <f>VLOOKUP(E205,ages_through_list!A:C,3)</f>
        <v>∞</v>
      </c>
      <c r="G205" s="7">
        <v>13</v>
      </c>
      <c r="H205" s="30" t="str">
        <f>VLOOKUP(G205,routes_of_administration_list!A:B,2)</f>
        <v>перорально: таблетки</v>
      </c>
      <c r="I205" s="8"/>
      <c r="J205" s="11">
        <v>44712</v>
      </c>
      <c r="K205" s="53" t="s">
        <v>1298</v>
      </c>
    </row>
    <row r="206" spans="1:11">
      <c r="A206" s="7">
        <v>79</v>
      </c>
      <c r="B206" s="8" t="str">
        <f>VLOOKUP(A206,vaccines!A:B,2)</f>
        <v>plague_live_lyo_RPN</v>
      </c>
      <c r="C206" s="7">
        <v>9</v>
      </c>
      <c r="D206" s="8" t="str">
        <f>VLOOKUP(C206,ages_from_list!A:C,3)</f>
        <v>24 месяцев (2 лет)</v>
      </c>
      <c r="E206" s="7">
        <v>13</v>
      </c>
      <c r="F206" s="8" t="str">
        <f>VLOOKUP(E206,ages_through_list!A:C,3)</f>
        <v>∞</v>
      </c>
      <c r="G206" s="7">
        <v>12</v>
      </c>
      <c r="H206" s="30" t="str">
        <f>VLOOKUP(G206,routes_of_administration_list!A:B,2)</f>
        <v>накожно</v>
      </c>
      <c r="I206" s="8"/>
      <c r="J206" s="11">
        <v>44712</v>
      </c>
      <c r="K206" s="53" t="s">
        <v>1298</v>
      </c>
    </row>
    <row r="207" spans="1:11">
      <c r="A207" s="7">
        <v>79</v>
      </c>
      <c r="B207" s="8" t="str">
        <f>VLOOKUP(A207,vaccines!A:B,2)</f>
        <v>plague_live_lyo_RPN</v>
      </c>
      <c r="C207" s="7">
        <v>9</v>
      </c>
      <c r="D207" s="8" t="str">
        <f>VLOOKUP(C207,ages_from_list!A:C,3)</f>
        <v>24 месяцев (2 лет)</v>
      </c>
      <c r="E207" s="7">
        <v>13</v>
      </c>
      <c r="F207" s="8" t="str">
        <f>VLOOKUP(E207,ages_through_list!A:C,3)</f>
        <v>∞</v>
      </c>
      <c r="G207" s="7">
        <v>16</v>
      </c>
      <c r="H207" s="30" t="str">
        <f>VLOOKUP(G207,routes_of_administration_list!A:B,2)</f>
        <v>подкожно в верхнюю треть плеча</v>
      </c>
      <c r="I207" s="8"/>
      <c r="J207" s="11">
        <v>44712</v>
      </c>
      <c r="K207" s="53" t="s">
        <v>1298</v>
      </c>
    </row>
    <row r="208" spans="1:11">
      <c r="A208" s="7">
        <v>79</v>
      </c>
      <c r="B208" s="8" t="str">
        <f>VLOOKUP(A208,vaccines!A:B,2)</f>
        <v>plague_live_lyo_RPN</v>
      </c>
      <c r="C208" s="7">
        <v>9</v>
      </c>
      <c r="D208" s="8" t="str">
        <f>VLOOKUP(C208,ages_from_list!A:C,3)</f>
        <v>24 месяцев (2 лет)</v>
      </c>
      <c r="E208" s="7">
        <v>13</v>
      </c>
      <c r="F208" s="8" t="str">
        <f>VLOOKUP(E208,ages_through_list!A:C,3)</f>
        <v>∞</v>
      </c>
      <c r="G208" s="7">
        <v>10</v>
      </c>
      <c r="H208" s="30" t="str">
        <f>VLOOKUP(G208,routes_of_administration_list!A:B,2)</f>
        <v>внутрикожно на границе верхней и средней трети левого плеча</v>
      </c>
      <c r="I208" s="8"/>
      <c r="J208" s="11">
        <v>44712</v>
      </c>
      <c r="K208" s="53" t="s">
        <v>1298</v>
      </c>
    </row>
    <row r="209" spans="1:11">
      <c r="A209" s="7">
        <v>79</v>
      </c>
      <c r="B209" s="8" t="str">
        <f>VLOOKUP(A209,vaccines!A:B,2)</f>
        <v>plague_live_lyo_RPN</v>
      </c>
      <c r="C209" s="7">
        <v>9</v>
      </c>
      <c r="D209" s="8" t="str">
        <f>VLOOKUP(C209,ages_from_list!A:C,3)</f>
        <v>24 месяцев (2 лет)</v>
      </c>
      <c r="E209" s="7">
        <v>13</v>
      </c>
      <c r="F209" s="8" t="str">
        <f>VLOOKUP(E209,ages_through_list!A:C,3)</f>
        <v>∞</v>
      </c>
      <c r="G209" s="7">
        <v>15</v>
      </c>
      <c r="H209" s="30" t="str">
        <f>VLOOKUP(G209,routes_of_administration_list!A:B,2)</f>
        <v>ингаляционно</v>
      </c>
      <c r="I209" s="8"/>
      <c r="J209" s="11">
        <v>44712</v>
      </c>
      <c r="K209" s="53" t="s">
        <v>1298</v>
      </c>
    </row>
    <row r="210" spans="1:11">
      <c r="A210" s="7">
        <v>80</v>
      </c>
      <c r="B210" s="8" t="str">
        <f>VLOOKUP(A210,vaccines!A:B,2)</f>
        <v>brucellosis_therapeutic_48_NII_Minoborony</v>
      </c>
      <c r="C210" s="7">
        <v>10</v>
      </c>
      <c r="D210" s="8" t="str">
        <f>VLOOKUP(C210,ages_from_list!A:C,3)</f>
        <v>36 месяцев (3 лет)</v>
      </c>
      <c r="E210" s="7">
        <v>11</v>
      </c>
      <c r="F210" s="8" t="str">
        <f>VLOOKUP(E210,ages_through_list!A:C,3)</f>
        <v>60 лет</v>
      </c>
      <c r="G210" s="7">
        <v>10</v>
      </c>
      <c r="H210" s="30" t="str">
        <f>VLOOKUP(G210,routes_of_administration_list!A:B,2)</f>
        <v>внутрикожно на границе верхней и средней трети левого плеча</v>
      </c>
      <c r="I210" s="8"/>
      <c r="J210" s="11">
        <v>44712</v>
      </c>
      <c r="K210" s="53" t="s">
        <v>1298</v>
      </c>
    </row>
    <row r="211" spans="1:11">
      <c r="A211" s="7">
        <v>81</v>
      </c>
      <c r="B211" s="8" t="str">
        <f>VLOOKUP(A211,vaccines!A:B,2)</f>
        <v>brucellosis_prophylactic_Microgen</v>
      </c>
      <c r="C211" s="7">
        <v>18</v>
      </c>
      <c r="D211" s="8" t="str">
        <f>VLOOKUP(C211,ages_from_list!A:C,3)</f>
        <v>18 лет</v>
      </c>
      <c r="E211" s="7">
        <v>13</v>
      </c>
      <c r="F211" s="8" t="str">
        <f>VLOOKUP(E211,ages_through_list!A:C,3)</f>
        <v>∞</v>
      </c>
      <c r="G211" s="7">
        <v>12</v>
      </c>
      <c r="H211" s="30" t="str">
        <f>VLOOKUP(G211,routes_of_administration_list!A:B,2)</f>
        <v>накожно</v>
      </c>
      <c r="I211" s="8"/>
      <c r="J211" s="11">
        <v>44712</v>
      </c>
      <c r="K211" s="53" t="s">
        <v>1298</v>
      </c>
    </row>
    <row r="212" spans="1:11">
      <c r="A212" s="7">
        <v>81</v>
      </c>
      <c r="B212" s="8" t="str">
        <f>VLOOKUP(A212,vaccines!A:B,2)</f>
        <v>brucellosis_prophylactic_Microgen</v>
      </c>
      <c r="C212" s="7">
        <v>18</v>
      </c>
      <c r="D212" s="8" t="str">
        <f>VLOOKUP(C212,ages_from_list!A:C,3)</f>
        <v>18 лет</v>
      </c>
      <c r="E212" s="7">
        <v>13</v>
      </c>
      <c r="F212" s="8" t="str">
        <f>VLOOKUP(E212,ages_through_list!A:C,3)</f>
        <v>∞</v>
      </c>
      <c r="G212" s="7">
        <v>16</v>
      </c>
      <c r="H212" s="30" t="str">
        <f>VLOOKUP(G212,routes_of_administration_list!A:B,2)</f>
        <v>подкожно в верхнюю треть плеча</v>
      </c>
      <c r="I212" s="8"/>
      <c r="J212" s="11">
        <v>44712</v>
      </c>
      <c r="K212" s="53" t="s">
        <v>1298</v>
      </c>
    </row>
    <row r="213" spans="1:11">
      <c r="A213" s="7">
        <v>82</v>
      </c>
      <c r="B213" s="8" t="str">
        <f>VLOOKUP(A213,vaccines!A:B,2)</f>
        <v>anthrax_live_48_NII_Minoborony</v>
      </c>
      <c r="C213" s="7">
        <v>16</v>
      </c>
      <c r="D213" s="8" t="str">
        <f>VLOOKUP(C213,ages_from_list!A:C,3)</f>
        <v>14 лет</v>
      </c>
      <c r="E213" s="7">
        <v>13</v>
      </c>
      <c r="F213" s="8" t="str">
        <f>VLOOKUP(E213,ages_through_list!A:C,3)</f>
        <v>∞</v>
      </c>
      <c r="G213" s="7">
        <v>12</v>
      </c>
      <c r="H213" s="30" t="str">
        <f>VLOOKUP(G213,routes_of_administration_list!A:B,2)</f>
        <v>накожно</v>
      </c>
      <c r="I213" s="8"/>
      <c r="J213" s="11">
        <v>44712</v>
      </c>
      <c r="K213" s="53" t="s">
        <v>1291</v>
      </c>
    </row>
    <row r="214" spans="1:11">
      <c r="A214" s="7">
        <v>82</v>
      </c>
      <c r="B214" s="8" t="str">
        <f>VLOOKUP(A214,vaccines!A:B,2)</f>
        <v>anthrax_live_48_NII_Minoborony</v>
      </c>
      <c r="C214" s="7">
        <v>16</v>
      </c>
      <c r="D214" s="8" t="str">
        <f>VLOOKUP(C214,ages_from_list!A:C,3)</f>
        <v>14 лет</v>
      </c>
      <c r="E214" s="7">
        <v>13</v>
      </c>
      <c r="F214" s="8" t="str">
        <f>VLOOKUP(E214,ages_through_list!A:C,3)</f>
        <v>∞</v>
      </c>
      <c r="G214" s="7">
        <v>16</v>
      </c>
      <c r="H214" s="30" t="str">
        <f>VLOOKUP(G214,routes_of_administration_list!A:B,2)</f>
        <v>подкожно в верхнюю треть плеча</v>
      </c>
      <c r="I214" s="8"/>
      <c r="J214" s="11">
        <v>44712</v>
      </c>
      <c r="K214" s="53" t="s">
        <v>1291</v>
      </c>
    </row>
    <row r="215" spans="1:11">
      <c r="A215" s="7">
        <v>82</v>
      </c>
      <c r="B215" s="8" t="str">
        <f>VLOOKUP(A215,vaccines!A:B,2)</f>
        <v>anthrax_live_48_NII_Minoborony</v>
      </c>
      <c r="C215" s="7">
        <v>16</v>
      </c>
      <c r="D215" s="8" t="str">
        <f>VLOOKUP(C215,ages_from_list!A:C,3)</f>
        <v>14 лет</v>
      </c>
      <c r="E215" s="7">
        <v>13</v>
      </c>
      <c r="F215" s="8" t="str">
        <f>VLOOKUP(E215,ages_through_list!A:C,3)</f>
        <v>∞</v>
      </c>
      <c r="G215" s="7">
        <v>8</v>
      </c>
      <c r="H215" s="30" t="str">
        <f>VLOOKUP(G215,routes_of_administration_list!A:B,2)</f>
        <v>подкожно в подлопаточную область</v>
      </c>
      <c r="I215" s="8"/>
      <c r="J215" s="11">
        <v>44712</v>
      </c>
      <c r="K215" s="53" t="s">
        <v>1291</v>
      </c>
    </row>
    <row r="216" spans="1:11">
      <c r="A216" s="7">
        <v>83</v>
      </c>
      <c r="B216" s="8" t="str">
        <f>VLOOKUP(A216,vaccines!A:B,2)</f>
        <v>anthrax_combined_48_NII_Minoborony</v>
      </c>
      <c r="C216" s="7">
        <v>16</v>
      </c>
      <c r="D216" s="8" t="str">
        <f>VLOOKUP(C216,ages_from_list!A:C,3)</f>
        <v>14 лет</v>
      </c>
      <c r="E216" s="7">
        <v>13</v>
      </c>
      <c r="F216" s="8" t="str">
        <f>VLOOKUP(E216,ages_through_list!A:C,3)</f>
        <v>∞</v>
      </c>
      <c r="G216" s="7">
        <v>8</v>
      </c>
      <c r="H216" s="30" t="str">
        <f>VLOOKUP(G216,routes_of_administration_list!A:B,2)</f>
        <v>подкожно в подлопаточную область</v>
      </c>
      <c r="I216" s="8"/>
      <c r="J216" s="11">
        <v>44712</v>
      </c>
      <c r="K216" s="53" t="s">
        <v>1291</v>
      </c>
    </row>
    <row r="217" spans="1:11">
      <c r="A217" s="7">
        <v>84</v>
      </c>
      <c r="B217" s="8" t="str">
        <f>VLOOKUP(A217,vaccines!A:B,2)</f>
        <v>Rabipur</v>
      </c>
      <c r="C217" s="7">
        <v>1</v>
      </c>
      <c r="D217" s="8" t="str">
        <f>VLOOKUP(C217,ages_from_list!A:C,3)</f>
        <v>0 дней</v>
      </c>
      <c r="E217" s="7">
        <v>16</v>
      </c>
      <c r="F217" s="8" t="str">
        <f>VLOOKUP(E217,ages_through_list!A:C,3)</f>
        <v>18 месяцев</v>
      </c>
      <c r="G217" s="7">
        <v>1</v>
      </c>
      <c r="H217" s="30" t="str">
        <f>VLOOKUP(G217,routes_of_administration_list!A:B,2)</f>
        <v>внутримышечно в передненаружную область бедра</v>
      </c>
      <c r="I217" s="8"/>
      <c r="J217" s="11">
        <v>44712</v>
      </c>
      <c r="K217" s="53" t="s">
        <v>2261</v>
      </c>
    </row>
    <row r="218" spans="1:11">
      <c r="A218" s="7">
        <v>84</v>
      </c>
      <c r="B218" s="8" t="str">
        <f>VLOOKUP(A218,vaccines!A:B,2)</f>
        <v>Rabipur</v>
      </c>
      <c r="C218" s="7">
        <v>21</v>
      </c>
      <c r="D218" s="8" t="str">
        <f>VLOOKUP(C218,ages_from_list!A:C,3)</f>
        <v>1 года 7 месяцев</v>
      </c>
      <c r="E218" s="7">
        <v>3</v>
      </c>
      <c r="F218" s="8" t="str">
        <f>VLOOKUP(E218,ages_through_list!A:C,3)</f>
        <v>3 лет 11 месяцев</v>
      </c>
      <c r="G218" s="7">
        <v>4</v>
      </c>
      <c r="H218" s="30" t="str">
        <f>VLOOKUP(G218,routes_of_administration_list!A:B,2)</f>
        <v>внутримышечно в дельтовидную мышцу</v>
      </c>
      <c r="I218" s="8"/>
      <c r="J218" s="11">
        <v>44712</v>
      </c>
      <c r="K218" s="53" t="s">
        <v>2261</v>
      </c>
    </row>
    <row r="219" spans="1:11">
      <c r="A219" s="7">
        <v>84</v>
      </c>
      <c r="B219" s="8" t="str">
        <f>VLOOKUP(A219,vaccines!A:B,2)</f>
        <v>Rabipur</v>
      </c>
      <c r="C219" s="7">
        <v>11</v>
      </c>
      <c r="D219" s="8" t="str">
        <f>VLOOKUP(C219,ages_from_list!A:C,3)</f>
        <v>4 лет</v>
      </c>
      <c r="E219" s="7">
        <v>4</v>
      </c>
      <c r="F219" s="8" t="str">
        <f>VLOOKUP(E219,ages_through_list!A:C,3)</f>
        <v>5 лет</v>
      </c>
      <c r="G219" s="7">
        <v>5</v>
      </c>
      <c r="H219" s="30" t="str">
        <f>VLOOKUP(G219,routes_of_administration_list!A:B,2)</f>
        <v>внутримышечно в дельтовидную мышцу</v>
      </c>
      <c r="I219" s="8"/>
      <c r="J219" s="11">
        <v>44712</v>
      </c>
      <c r="K219" s="53" t="s">
        <v>2261</v>
      </c>
    </row>
    <row r="220" spans="1:11">
      <c r="A220" s="7">
        <v>84</v>
      </c>
      <c r="B220" s="8" t="str">
        <f>VLOOKUP(A220,vaccines!A:B,2)</f>
        <v>Rabipur</v>
      </c>
      <c r="C220" s="7">
        <v>12</v>
      </c>
      <c r="D220" s="8" t="str">
        <f>VLOOKUP(C220,ages_from_list!A:C,3)</f>
        <v>6 лет</v>
      </c>
      <c r="E220" s="7">
        <v>13</v>
      </c>
      <c r="F220" s="8" t="str">
        <f>VLOOKUP(E220,ages_through_list!A:C,3)</f>
        <v>∞</v>
      </c>
      <c r="G220" s="7">
        <v>3</v>
      </c>
      <c r="H220" s="30" t="str">
        <f>VLOOKUP(G220,routes_of_administration_list!A:B,2)</f>
        <v>внутримышечно в дельтовидную мышцу</v>
      </c>
      <c r="I220" s="8"/>
      <c r="J220" s="11">
        <v>44712</v>
      </c>
      <c r="K220" s="53" t="s">
        <v>2261</v>
      </c>
    </row>
    <row r="221" spans="1:11">
      <c r="A221" s="7">
        <v>85</v>
      </c>
      <c r="B221" s="8" t="str">
        <f>VLOOKUP(A221,vaccines!A:B,2)</f>
        <v>leptospirosis_Rostov_NII</v>
      </c>
      <c r="C221" s="7">
        <v>13</v>
      </c>
      <c r="D221" s="8" t="str">
        <f>VLOOKUP(C221,ages_from_list!A:C,3)</f>
        <v>7 лет</v>
      </c>
      <c r="E221" s="7">
        <v>13</v>
      </c>
      <c r="F221" s="8" t="str">
        <f>VLOOKUP(E221,ages_through_list!A:C,3)</f>
        <v>∞</v>
      </c>
      <c r="G221" s="7">
        <v>8</v>
      </c>
      <c r="H221" s="30" t="str">
        <f>VLOOKUP(G221,routes_of_administration_list!A:B,2)</f>
        <v>подкожно в подлопаточную область</v>
      </c>
      <c r="I221" s="8"/>
      <c r="J221" s="11">
        <v>44712</v>
      </c>
      <c r="K221" s="53" t="s">
        <v>1324</v>
      </c>
    </row>
    <row r="222" spans="1:11">
      <c r="A222" s="7">
        <v>86</v>
      </c>
      <c r="B222" s="8" t="str">
        <f>VLOOKUP(A222,vaccines!A:B,2)</f>
        <v>Q_fever_M_44_Microgen</v>
      </c>
      <c r="C222" s="7">
        <v>16</v>
      </c>
      <c r="D222" s="8" t="str">
        <f>VLOOKUP(C222,ages_from_list!A:C,3)</f>
        <v>14 лет</v>
      </c>
      <c r="E222" s="7">
        <v>13</v>
      </c>
      <c r="F222" s="8" t="str">
        <f>VLOOKUP(E222,ages_through_list!A:C,3)</f>
        <v>∞</v>
      </c>
      <c r="G222" s="7">
        <v>12</v>
      </c>
      <c r="H222" s="30" t="str">
        <f>VLOOKUP(G222,routes_of_administration_list!A:B,2)</f>
        <v>накожно</v>
      </c>
      <c r="I222" s="8"/>
      <c r="J222" s="11">
        <v>44712</v>
      </c>
      <c r="K222" s="53">
        <v>44902</v>
      </c>
    </row>
    <row r="223" spans="1:11">
      <c r="A223" s="7">
        <v>87</v>
      </c>
      <c r="B223" s="8" t="str">
        <f>VLOOKUP(A223,vaccines!A:B,2)</f>
        <v>cholera_NII_Microb</v>
      </c>
      <c r="C223" s="7">
        <v>9</v>
      </c>
      <c r="D223" s="8" t="str">
        <f>VLOOKUP(C223,ages_from_list!A:C,3)</f>
        <v>24 месяцев (2 лет)</v>
      </c>
      <c r="E223" s="7">
        <v>13</v>
      </c>
      <c r="F223" s="8" t="str">
        <f>VLOOKUP(E223,ages_through_list!A:C,3)</f>
        <v>∞</v>
      </c>
      <c r="G223" s="7">
        <v>13</v>
      </c>
      <c r="H223" s="30" t="str">
        <f>VLOOKUP(G223,routes_of_administration_list!A:B,2)</f>
        <v>перорально: таблетки</v>
      </c>
      <c r="I223" s="8"/>
      <c r="J223" s="11">
        <v>44712</v>
      </c>
      <c r="K223" s="53">
        <v>44903</v>
      </c>
    </row>
    <row r="224" spans="1:11">
      <c r="A224" s="7">
        <v>88</v>
      </c>
      <c r="B224" s="8" t="str">
        <f>VLOOKUP(A224,vaccines!A:B,2)</f>
        <v>Vianvac</v>
      </c>
      <c r="C224" s="7">
        <v>10</v>
      </c>
      <c r="D224" s="8" t="str">
        <f>VLOOKUP(C224,ages_from_list!A:C,3)</f>
        <v>36 месяцев (3 лет)</v>
      </c>
      <c r="E224" s="7">
        <v>13</v>
      </c>
      <c r="F224" s="8" t="str">
        <f>VLOOKUP(E224,ages_through_list!A:C,3)</f>
        <v>∞</v>
      </c>
      <c r="G224" s="7">
        <v>16</v>
      </c>
      <c r="H224" s="30" t="str">
        <f>VLOOKUP(G224,routes_of_administration_list!A:B,2)</f>
        <v>подкожно в верхнюю треть плеча</v>
      </c>
      <c r="I224" s="8"/>
      <c r="J224" s="11">
        <v>44712</v>
      </c>
      <c r="K224" s="53">
        <v>44903</v>
      </c>
    </row>
    <row r="225" spans="1:11">
      <c r="A225" s="7">
        <v>89</v>
      </c>
      <c r="B225" s="8" t="str">
        <f>VLOOKUP(A225,vaccines!A:B,2)</f>
        <v>Typhivac</v>
      </c>
      <c r="C225" s="7">
        <v>18</v>
      </c>
      <c r="D225" s="8" t="str">
        <f>VLOOKUP(C225,ages_from_list!A:C,3)</f>
        <v>18 лет</v>
      </c>
      <c r="E225" s="7">
        <v>13</v>
      </c>
      <c r="F225" s="8" t="str">
        <f>VLOOKUP(E225,ages_through_list!A:C,3)</f>
        <v>∞</v>
      </c>
      <c r="G225" s="7">
        <v>8</v>
      </c>
      <c r="H225" s="30" t="str">
        <f>VLOOKUP(G225,routes_of_administration_list!A:B,2)</f>
        <v>подкожно в подлопаточную область</v>
      </c>
      <c r="I225" s="8"/>
      <c r="J225" s="11">
        <v>44712</v>
      </c>
      <c r="K225" s="53">
        <v>44904</v>
      </c>
    </row>
    <row r="226" spans="1:11">
      <c r="A226" s="7">
        <v>90</v>
      </c>
      <c r="B226" s="8" t="str">
        <f>VLOOKUP(A226,vaccines!A:B,2)</f>
        <v>Shigellvac</v>
      </c>
      <c r="C226" s="7">
        <v>10</v>
      </c>
      <c r="D226" s="8" t="str">
        <f>VLOOKUP(C226,ages_from_list!A:C,3)</f>
        <v>36 месяцев (3 лет)</v>
      </c>
      <c r="E226" s="7">
        <v>13</v>
      </c>
      <c r="F226" s="8" t="str">
        <f>VLOOKUP(E226,ages_through_list!A:C,3)</f>
        <v>∞</v>
      </c>
      <c r="G226" s="7">
        <v>16</v>
      </c>
      <c r="H226" s="30" t="str">
        <f>VLOOKUP(G226,routes_of_administration_list!A:B,2)</f>
        <v>подкожно в верхнюю треть плеча</v>
      </c>
      <c r="I226" s="8"/>
      <c r="J226" s="11">
        <v>44712</v>
      </c>
      <c r="K226" s="53">
        <v>44903</v>
      </c>
    </row>
    <row r="227" spans="1:11">
      <c r="A227" s="7">
        <v>90</v>
      </c>
      <c r="B227" s="8" t="str">
        <f>VLOOKUP(A227,vaccines!A:B,2)</f>
        <v>Shigellvac</v>
      </c>
      <c r="C227" s="7">
        <v>10</v>
      </c>
      <c r="D227" s="8" t="str">
        <f>VLOOKUP(C227,ages_from_list!A:C,3)</f>
        <v>36 месяцев (3 лет)</v>
      </c>
      <c r="E227" s="7">
        <v>3</v>
      </c>
      <c r="F227" s="8" t="str">
        <f>VLOOKUP(E227,ages_through_list!A:C,3)</f>
        <v>3 лет 11 месяцев</v>
      </c>
      <c r="G227" s="7">
        <v>4</v>
      </c>
      <c r="H227" s="30" t="str">
        <f>VLOOKUP(G227,routes_of_administration_list!A:B,2)</f>
        <v>внутримышечно в дельтовидную мышцу</v>
      </c>
      <c r="I227" s="8"/>
      <c r="J227" s="11">
        <v>44903</v>
      </c>
      <c r="K227" s="58"/>
    </row>
    <row r="228" spans="1:11">
      <c r="A228" s="7">
        <v>90</v>
      </c>
      <c r="B228" s="8" t="str">
        <f>VLOOKUP(A228,vaccines!A:B,2)</f>
        <v>Shigellvac</v>
      </c>
      <c r="C228" s="7">
        <v>11</v>
      </c>
      <c r="D228" s="8" t="str">
        <f>VLOOKUP(C228,ages_from_list!A:C,3)</f>
        <v>4 лет</v>
      </c>
      <c r="E228" s="7">
        <v>4</v>
      </c>
      <c r="F228" s="8" t="str">
        <f>VLOOKUP(E228,ages_through_list!A:C,3)</f>
        <v>5 лет</v>
      </c>
      <c r="G228" s="7">
        <v>5</v>
      </c>
      <c r="H228" s="30" t="str">
        <f>VLOOKUP(G228,routes_of_administration_list!A:B,2)</f>
        <v>внутримышечно в дельтовидную мышцу</v>
      </c>
      <c r="I228" s="8"/>
      <c r="J228" s="11">
        <v>44903</v>
      </c>
      <c r="K228" s="58"/>
    </row>
    <row r="229" spans="1:11">
      <c r="A229" s="7">
        <v>90</v>
      </c>
      <c r="B229" s="8" t="str">
        <f>VLOOKUP(A229,vaccines!A:B,2)</f>
        <v>Shigellvac</v>
      </c>
      <c r="C229" s="7">
        <v>12</v>
      </c>
      <c r="D229" s="8" t="str">
        <f>VLOOKUP(C229,ages_from_list!A:C,3)</f>
        <v>6 лет</v>
      </c>
      <c r="E229" s="7">
        <v>13</v>
      </c>
      <c r="F229" s="8" t="str">
        <f>VLOOKUP(E229,ages_through_list!A:C,3)</f>
        <v>∞</v>
      </c>
      <c r="G229" s="7">
        <v>3</v>
      </c>
      <c r="H229" s="30" t="str">
        <f>VLOOKUP(G229,routes_of_administration_list!A:B,2)</f>
        <v>внутримышечно в дельтовидную мышцу</v>
      </c>
      <c r="I229" s="8"/>
      <c r="J229" s="11">
        <v>44903</v>
      </c>
      <c r="K229" s="58"/>
    </row>
    <row r="230" spans="1:11">
      <c r="A230" s="7">
        <v>91</v>
      </c>
      <c r="B230" s="8" t="str">
        <f>VLOOKUP(A230,vaccines!A:B,2)</f>
        <v>CoviVac</v>
      </c>
      <c r="C230" s="7">
        <v>18</v>
      </c>
      <c r="D230" s="8" t="str">
        <f>VLOOKUP(C230,ages_from_list!A:C,3)</f>
        <v>18 лет</v>
      </c>
      <c r="E230" s="7">
        <v>13</v>
      </c>
      <c r="F230" s="8" t="str">
        <f>VLOOKUP(E230,ages_through_list!A:C,3)</f>
        <v>∞</v>
      </c>
      <c r="G230" s="7">
        <v>3</v>
      </c>
      <c r="H230" s="30" t="str">
        <f>VLOOKUP(G230,routes_of_administration_list!A:B,2)</f>
        <v>внутримышечно в дельтовидную мышцу</v>
      </c>
      <c r="I230" s="8"/>
      <c r="J230" s="11">
        <v>44712</v>
      </c>
      <c r="K230" s="53">
        <v>44903</v>
      </c>
    </row>
    <row r="231" spans="1:11">
      <c r="A231" s="7">
        <v>92</v>
      </c>
      <c r="B231" s="8" t="str">
        <f>VLOOKUP(A231,vaccines!A:B,2)</f>
        <v>Sputnik_light</v>
      </c>
      <c r="C231" s="7">
        <v>18</v>
      </c>
      <c r="D231" s="8" t="str">
        <f>VLOOKUP(C231,ages_from_list!A:C,3)</f>
        <v>18 лет</v>
      </c>
      <c r="E231" s="7">
        <v>13</v>
      </c>
      <c r="F231" s="8" t="str">
        <f>VLOOKUP(E231,ages_through_list!A:C,3)</f>
        <v>∞</v>
      </c>
      <c r="G231" s="7">
        <v>3</v>
      </c>
      <c r="H231" s="30" t="str">
        <f>VLOOKUP(G231,routes_of_administration_list!A:B,2)</f>
        <v>внутримышечно в дельтовидную мышцу</v>
      </c>
      <c r="I231" s="8"/>
      <c r="J231" s="11">
        <v>44712</v>
      </c>
      <c r="K231" s="53">
        <v>45079</v>
      </c>
    </row>
    <row r="232" spans="1:11">
      <c r="A232" s="7">
        <v>92</v>
      </c>
      <c r="B232" s="8" t="str">
        <f>VLOOKUP(A232,vaccines!A:B,2)</f>
        <v>Sputnik_light</v>
      </c>
      <c r="C232" s="7">
        <v>18</v>
      </c>
      <c r="D232" s="8" t="str">
        <f>VLOOKUP(C232,ages_from_list!A:C,3)</f>
        <v>18 лет</v>
      </c>
      <c r="E232" s="7">
        <v>13</v>
      </c>
      <c r="F232" s="8" t="str">
        <f>VLOOKUP(E232,ages_through_list!A:C,3)</f>
        <v>∞</v>
      </c>
      <c r="G232" s="7">
        <v>1</v>
      </c>
      <c r="H232" s="30" t="str">
        <f>VLOOKUP(G232,routes_of_administration_list!A:B,2)</f>
        <v>внутримышечно в передненаружную область бедра</v>
      </c>
      <c r="I232" s="8"/>
      <c r="J232" s="11">
        <v>45079</v>
      </c>
      <c r="K232" s="58"/>
    </row>
    <row r="233" spans="1:11">
      <c r="A233" s="7">
        <v>93</v>
      </c>
      <c r="B233" s="8" t="str">
        <f>VLOOKUP(A233,vaccines!A:B,2)</f>
        <v>Sputnik_M</v>
      </c>
      <c r="C233" s="7">
        <v>15</v>
      </c>
      <c r="D233" s="8" t="str">
        <f>VLOOKUP(C233,ages_from_list!A:C,3)</f>
        <v>12 лет</v>
      </c>
      <c r="E233" s="7">
        <v>6</v>
      </c>
      <c r="F233" s="8" t="str">
        <f>VLOOKUP(E233,ages_through_list!A:C,3)</f>
        <v>17 лет</v>
      </c>
      <c r="G233" s="7">
        <v>3</v>
      </c>
      <c r="H233" s="30" t="str">
        <f>VLOOKUP(G233,routes_of_administration_list!A:B,2)</f>
        <v>внутримышечно в дельтовидную мышцу</v>
      </c>
      <c r="I233" s="8"/>
      <c r="J233" s="11">
        <v>44712</v>
      </c>
      <c r="K233" s="53">
        <v>44903</v>
      </c>
    </row>
    <row r="234" spans="1:11">
      <c r="A234" s="7">
        <v>93</v>
      </c>
      <c r="B234" s="8" t="str">
        <f>VLOOKUP(A234,vaccines!A:B,2)</f>
        <v>Sputnik_M</v>
      </c>
      <c r="C234" s="7">
        <v>15</v>
      </c>
      <c r="D234" s="8" t="str">
        <f>VLOOKUP(C234,ages_from_list!A:C,3)</f>
        <v>12 лет</v>
      </c>
      <c r="E234" s="7">
        <v>6</v>
      </c>
      <c r="F234" s="8" t="str">
        <f>VLOOKUP(E234,ages_through_list!A:C,3)</f>
        <v>17 лет</v>
      </c>
      <c r="G234" s="7">
        <v>1</v>
      </c>
      <c r="H234" s="30" t="str">
        <f>VLOOKUP(G234,routes_of_administration_list!A:B,2)</f>
        <v>внутримышечно в передненаружную область бедра</v>
      </c>
      <c r="I234" s="8"/>
      <c r="J234" s="11">
        <v>44712</v>
      </c>
      <c r="K234" s="53" t="s">
        <v>1347</v>
      </c>
    </row>
    <row r="235" spans="1:11">
      <c r="A235" s="7">
        <v>94</v>
      </c>
      <c r="B235" s="8" t="str">
        <f>VLOOKUP(A235,vaccines!A:B,2)</f>
        <v>Convacel</v>
      </c>
      <c r="C235" s="7">
        <v>18</v>
      </c>
      <c r="D235" s="8" t="str">
        <f>VLOOKUP(C235,ages_from_list!A:C,3)</f>
        <v>18 лет</v>
      </c>
      <c r="E235" s="7">
        <v>13</v>
      </c>
      <c r="F235" s="8" t="str">
        <f>VLOOKUP(E235,ages_through_list!A:C,3)</f>
        <v>∞</v>
      </c>
      <c r="G235" s="7">
        <v>3</v>
      </c>
      <c r="H235" s="30" t="str">
        <f>VLOOKUP(G235,routes_of_administration_list!A:B,2)</f>
        <v>внутримышечно в дельтовидную мышцу</v>
      </c>
      <c r="I235" s="8"/>
      <c r="J235" s="11">
        <v>44712</v>
      </c>
      <c r="K235" s="53">
        <v>45078</v>
      </c>
    </row>
    <row r="236" spans="1:11">
      <c r="A236" s="7">
        <v>95</v>
      </c>
      <c r="B236" s="8" t="str">
        <f>VLOOKUP(A236,vaccines!A:B,2)</f>
        <v>Aurora</v>
      </c>
      <c r="C236" s="7">
        <v>18</v>
      </c>
      <c r="D236" s="8" t="str">
        <f>VLOOKUP(C236,ages_from_list!A:C,3)</f>
        <v>18 лет</v>
      </c>
      <c r="E236" s="7">
        <v>11</v>
      </c>
      <c r="F236" s="8" t="str">
        <f>VLOOKUP(E236,ages_through_list!A:C,3)</f>
        <v>60 лет</v>
      </c>
      <c r="G236" s="7">
        <v>3</v>
      </c>
      <c r="H236" s="30" t="str">
        <f>VLOOKUP(G236,routes_of_administration_list!A:B,2)</f>
        <v>внутримышечно в дельтовидную мышцу</v>
      </c>
      <c r="I236" s="8"/>
      <c r="J236" s="11">
        <v>44712</v>
      </c>
      <c r="K236" s="53">
        <v>44904</v>
      </c>
    </row>
    <row r="237" spans="1:11">
      <c r="A237" s="7">
        <v>95</v>
      </c>
      <c r="B237" s="8" t="str">
        <f>VLOOKUP(A237,vaccines!A:B,2)</f>
        <v>Aurora</v>
      </c>
      <c r="C237" s="7">
        <v>18</v>
      </c>
      <c r="D237" s="8" t="str">
        <f>VLOOKUP(C237,ages_from_list!A:C,3)</f>
        <v>18 лет</v>
      </c>
      <c r="E237" s="7">
        <v>11</v>
      </c>
      <c r="F237" s="8" t="str">
        <f>VLOOKUP(E237,ages_through_list!A:C,3)</f>
        <v>60 лет</v>
      </c>
      <c r="G237" s="7">
        <v>1</v>
      </c>
      <c r="H237" s="30" t="str">
        <f>VLOOKUP(G237,routes_of_administration_list!A:B,2)</f>
        <v>внутримышечно в передненаружную область бедра</v>
      </c>
      <c r="I237" s="8"/>
      <c r="J237" s="11">
        <v>44904</v>
      </c>
      <c r="K237" s="58"/>
    </row>
    <row r="238" spans="1:11">
      <c r="A238" s="7">
        <v>96</v>
      </c>
      <c r="B238" s="8" t="str">
        <f>VLOOKUP(A238,vaccines!A:B,2)</f>
        <v>Rota_V_Aid</v>
      </c>
      <c r="C238" s="7">
        <v>2</v>
      </c>
      <c r="D238" s="8" t="str">
        <f>VLOOKUP(C238,ages_from_list!A:C,3)</f>
        <v>6 недель</v>
      </c>
      <c r="E238" s="54">
        <v>14</v>
      </c>
      <c r="F238" s="8" t="str">
        <f>VLOOKUP(E238,ages_through_list!A:C,3)</f>
        <v>24 месяцев (2 лет)</v>
      </c>
      <c r="G238" s="7">
        <v>2</v>
      </c>
      <c r="H238" s="30" t="str">
        <f>VLOOKUP(G238,routes_of_administration_list!A:B,2)</f>
        <v>перорально: капли</v>
      </c>
      <c r="I238" s="8"/>
      <c r="J238" s="11">
        <v>44712</v>
      </c>
      <c r="K238" s="52">
        <v>45629</v>
      </c>
    </row>
    <row r="239" spans="1:11">
      <c r="A239" s="7">
        <v>97</v>
      </c>
      <c r="B239" s="8" t="str">
        <f>VLOOKUP(A239,vaccines!A:B,2)</f>
        <v>Hib_Rostov</v>
      </c>
      <c r="C239" s="7">
        <v>4</v>
      </c>
      <c r="D239" s="8" t="str">
        <f>VLOOKUP(C239,ages_from_list!A:C,3)</f>
        <v>3 месяцев</v>
      </c>
      <c r="E239" s="7">
        <v>4</v>
      </c>
      <c r="F239" s="8" t="str">
        <f>VLOOKUP(E239,ages_through_list!A:C,3)</f>
        <v>5 лет</v>
      </c>
      <c r="G239" s="7">
        <v>1</v>
      </c>
      <c r="H239" s="30" t="str">
        <f>VLOOKUP(G239,routes_of_administration_list!A:B,2)</f>
        <v>внутримышечно в передненаружную область бедра</v>
      </c>
      <c r="I239" s="8"/>
      <c r="J239" s="11">
        <v>44712</v>
      </c>
      <c r="K239" s="53">
        <v>44904</v>
      </c>
    </row>
    <row r="240" spans="1:11">
      <c r="A240" s="7">
        <v>97</v>
      </c>
      <c r="B240" s="8" t="str">
        <f>VLOOKUP(A240,vaccines!A:B,2)</f>
        <v>Hib_Rostov</v>
      </c>
      <c r="C240" s="7">
        <v>4</v>
      </c>
      <c r="D240" s="8" t="str">
        <f>VLOOKUP(C240,ages_from_list!A:C,3)</f>
        <v>3 месяцев</v>
      </c>
      <c r="E240" s="7">
        <v>4</v>
      </c>
      <c r="F240" s="8" t="str">
        <f>VLOOKUP(E240,ages_through_list!A:C,3)</f>
        <v>5 лет</v>
      </c>
      <c r="G240" s="7">
        <v>9</v>
      </c>
      <c r="H240" s="30" t="str">
        <f>VLOOKUP(G240,routes_of_administration_list!A:B,2)</f>
        <v>подкожно в область бедра</v>
      </c>
      <c r="I240" s="8"/>
      <c r="J240" s="11">
        <v>44904</v>
      </c>
      <c r="K240" s="58"/>
    </row>
    <row r="241" spans="1:11">
      <c r="A241" s="7">
        <v>98</v>
      </c>
      <c r="B241" s="8" t="str">
        <f>VLOOKUP(A241,vaccines!A:B,2)</f>
        <v>HepB_Combiotech_1_0</v>
      </c>
      <c r="C241" s="7">
        <v>22</v>
      </c>
      <c r="D241" s="8" t="str">
        <f>VLOOKUP(C241,ages_from_list!A:C,3)</f>
        <v>19 лет</v>
      </c>
      <c r="E241" s="7">
        <v>13</v>
      </c>
      <c r="F241" s="8" t="str">
        <f>VLOOKUP(E241,ages_through_list!A:C,3)</f>
        <v>∞</v>
      </c>
      <c r="G241" s="7">
        <v>3</v>
      </c>
      <c r="H241" s="30" t="str">
        <f>VLOOKUP(G241,routes_of_administration_list!A:B,2)</f>
        <v>внутримышечно в дельтовидную мышцу</v>
      </c>
      <c r="I241" s="8"/>
      <c r="J241" s="11">
        <v>44712</v>
      </c>
      <c r="K241" s="58"/>
    </row>
    <row r="242" spans="1:11">
      <c r="A242" s="7">
        <v>99</v>
      </c>
      <c r="B242" s="8" t="str">
        <f>VLOOKUP(A242,vaccines!A:B,2)</f>
        <v>Regevac_1_0</v>
      </c>
      <c r="C242" s="7">
        <v>22</v>
      </c>
      <c r="D242" s="8" t="str">
        <f>VLOOKUP(C242,ages_from_list!A:C,3)</f>
        <v>19 лет</v>
      </c>
      <c r="E242" s="7">
        <v>13</v>
      </c>
      <c r="F242" s="8" t="str">
        <f>VLOOKUP(E242,ages_through_list!A:C,3)</f>
        <v>∞</v>
      </c>
      <c r="G242" s="7">
        <v>3</v>
      </c>
      <c r="H242" s="30" t="str">
        <f>VLOOKUP(G242,routes_of_administration_list!A:B,2)</f>
        <v>внутримышечно в дельтовидную мышцу</v>
      </c>
      <c r="I242" s="8"/>
      <c r="J242" s="11">
        <v>44712</v>
      </c>
      <c r="K242" s="58"/>
    </row>
    <row r="243" spans="1:11">
      <c r="A243" s="7">
        <v>100</v>
      </c>
      <c r="B243" s="8" t="str">
        <f>VLOOKUP(A243,vaccines!A:B,2)</f>
        <v>Priorix_Tetra</v>
      </c>
      <c r="C243" s="7">
        <v>7</v>
      </c>
      <c r="D243" s="8" t="str">
        <f>VLOOKUP(C243,ages_from_list!A:C,3)</f>
        <v>9 месяцев</v>
      </c>
      <c r="E243" s="7">
        <v>14</v>
      </c>
      <c r="F243" s="8" t="str">
        <f>VLOOKUP(E243,ages_through_list!A:C,3)</f>
        <v>24 месяцев (2 лет)</v>
      </c>
      <c r="G243" s="7">
        <v>1</v>
      </c>
      <c r="H243" s="30" t="str">
        <f>VLOOKUP(G243,routes_of_administration_list!A:B,2)</f>
        <v>внутримышечно в передненаружную область бедра</v>
      </c>
      <c r="I243" s="8"/>
      <c r="J243" s="11">
        <v>44904</v>
      </c>
      <c r="K243" s="53">
        <v>45079</v>
      </c>
    </row>
    <row r="244" spans="1:11">
      <c r="A244" s="7">
        <v>100</v>
      </c>
      <c r="B244" s="8" t="str">
        <f>VLOOKUP(A244,vaccines!A:B,2)</f>
        <v>Priorix_Tetra</v>
      </c>
      <c r="C244" s="7">
        <v>7</v>
      </c>
      <c r="D244" s="8" t="str">
        <f>VLOOKUP(C244,ages_from_list!A:C,3)</f>
        <v>9 месяцев</v>
      </c>
      <c r="E244" s="7">
        <v>14</v>
      </c>
      <c r="F244" s="8" t="str">
        <f>VLOOKUP(E244,ages_through_list!A:C,3)</f>
        <v>24 месяцев (2 лет)</v>
      </c>
      <c r="G244" s="7">
        <v>9</v>
      </c>
      <c r="H244" s="30" t="str">
        <f>VLOOKUP(G244,routes_of_administration_list!A:B,2)</f>
        <v>подкожно в область бедра</v>
      </c>
      <c r="I244" s="8"/>
      <c r="J244" s="11">
        <v>45079</v>
      </c>
      <c r="K244" s="58"/>
    </row>
    <row r="245" spans="1:11">
      <c r="A245" s="7">
        <v>100</v>
      </c>
      <c r="B245" s="8" t="str">
        <f>VLOOKUP(A245,vaccines!A:B,2)</f>
        <v>Priorix_Tetra</v>
      </c>
      <c r="C245" s="7">
        <v>19</v>
      </c>
      <c r="D245" s="8" t="str">
        <f>VLOOKUP(C245,ages_from_list!A:C,3)</f>
        <v>25 месяцев (2 лет 1 месяца)</v>
      </c>
      <c r="E245" s="7">
        <v>3</v>
      </c>
      <c r="F245" s="8" t="str">
        <f>VLOOKUP(E245,ages_through_list!A:C,3)</f>
        <v>3 лет 11 месяцев</v>
      </c>
      <c r="G245" s="7">
        <v>4</v>
      </c>
      <c r="H245" s="30" t="str">
        <f>VLOOKUP(G245,routes_of_administration_list!A:B,2)</f>
        <v>внутримышечно в дельтовидную мышцу</v>
      </c>
      <c r="I245" s="8"/>
      <c r="J245" s="11">
        <v>45079</v>
      </c>
      <c r="K245" s="58"/>
    </row>
    <row r="246" spans="1:11">
      <c r="A246" s="7">
        <v>100</v>
      </c>
      <c r="B246" s="8" t="str">
        <f>VLOOKUP(A246,vaccines!A:B,2)</f>
        <v>Priorix_Tetra</v>
      </c>
      <c r="C246" s="7">
        <v>11</v>
      </c>
      <c r="D246" s="8" t="str">
        <f>VLOOKUP(C246,ages_from_list!A:C,3)</f>
        <v>4 лет</v>
      </c>
      <c r="E246" s="7">
        <v>4</v>
      </c>
      <c r="F246" s="8" t="str">
        <f>VLOOKUP(E246,ages_through_list!A:C,3)</f>
        <v>5 лет</v>
      </c>
      <c r="G246" s="7">
        <v>5</v>
      </c>
      <c r="H246" s="30" t="str">
        <f>VLOOKUP(G246,routes_of_administration_list!A:B,2)</f>
        <v>внутримышечно в дельтовидную мышцу</v>
      </c>
      <c r="I246" s="8"/>
      <c r="J246" s="11">
        <v>45079</v>
      </c>
      <c r="K246" s="58"/>
    </row>
    <row r="247" spans="1:11">
      <c r="A247" s="7">
        <v>100</v>
      </c>
      <c r="B247" s="8" t="str">
        <f>VLOOKUP(A247,vaccines!A:B,2)</f>
        <v>Priorix_Tetra</v>
      </c>
      <c r="C247" s="7">
        <v>12</v>
      </c>
      <c r="D247" s="8" t="str">
        <f>VLOOKUP(C247,ages_from_list!A:C,3)</f>
        <v>6 лет</v>
      </c>
      <c r="E247" s="7">
        <v>13</v>
      </c>
      <c r="F247" s="8" t="str">
        <f>VLOOKUP(E247,ages_through_list!A:C,3)</f>
        <v>∞</v>
      </c>
      <c r="G247" s="7">
        <v>3</v>
      </c>
      <c r="H247" s="30" t="str">
        <f>VLOOKUP(G247,routes_of_administration_list!A:B,2)</f>
        <v>внутримышечно в дельтовидную мышцу</v>
      </c>
      <c r="I247" s="8"/>
      <c r="J247" s="11">
        <v>45079</v>
      </c>
      <c r="K247" s="58"/>
    </row>
    <row r="248" spans="1:11">
      <c r="A248" s="7">
        <v>100</v>
      </c>
      <c r="B248" s="8" t="str">
        <f>VLOOKUP(A248,vaccines!A:B,2)</f>
        <v>Priorix_Tetra</v>
      </c>
      <c r="C248" s="7">
        <v>19</v>
      </c>
      <c r="D248" s="8" t="str">
        <f>VLOOKUP(C248,ages_from_list!A:C,3)</f>
        <v>25 месяцев (2 лет 1 месяца)</v>
      </c>
      <c r="E248" s="7">
        <v>13</v>
      </c>
      <c r="F248" s="8" t="str">
        <f>VLOOKUP(E248,ages_through_list!A:C,3)</f>
        <v>∞</v>
      </c>
      <c r="G248" s="7">
        <v>16</v>
      </c>
      <c r="H248" s="30" t="str">
        <f>VLOOKUP(G248,routes_of_administration_list!A:B,2)</f>
        <v>подкожно в верхнюю треть плеча</v>
      </c>
      <c r="I248" s="8"/>
      <c r="J248" s="11">
        <v>45079</v>
      </c>
      <c r="K248" s="58"/>
    </row>
    <row r="249" spans="1:11">
      <c r="A249" s="7">
        <v>101</v>
      </c>
      <c r="B249" s="8" t="str">
        <f>VLOOKUP(A249,vaccines!A:B,2)</f>
        <v>Menveo</v>
      </c>
      <c r="C249" s="7">
        <v>3</v>
      </c>
      <c r="D249" s="8" t="str">
        <f>VLOOKUP(C249,ages_from_list!A:C,3)</f>
        <v>2 месяцев</v>
      </c>
      <c r="E249" s="7">
        <v>22</v>
      </c>
      <c r="F249" s="8" t="str">
        <f>VLOOKUP(E249,ages_through_list!A:C,3)</f>
        <v>23 месяцев</v>
      </c>
      <c r="G249" s="7">
        <v>1</v>
      </c>
      <c r="H249" s="30" t="str">
        <f>VLOOKUP(G249,routes_of_administration_list!A:B,2)</f>
        <v>внутримышечно в передненаружную область бедра</v>
      </c>
      <c r="I249" s="8"/>
      <c r="J249" s="11">
        <v>44904</v>
      </c>
      <c r="K249" s="53">
        <v>45079</v>
      </c>
    </row>
    <row r="250" spans="1:11">
      <c r="A250" s="7">
        <v>101</v>
      </c>
      <c r="B250" s="8" t="str">
        <f>VLOOKUP(A250,vaccines!A:B,2)</f>
        <v>Menveo</v>
      </c>
      <c r="C250" s="7">
        <v>9</v>
      </c>
      <c r="D250" s="8" t="str">
        <f>VLOOKUP(C250,ages_from_list!A:C,3)</f>
        <v>24 месяцев (2 лет)</v>
      </c>
      <c r="E250" s="7">
        <v>3</v>
      </c>
      <c r="F250" s="8" t="str">
        <f>VLOOKUP(E250,ages_through_list!A:C,3)</f>
        <v>3 лет 11 месяцев</v>
      </c>
      <c r="G250" s="7">
        <v>4</v>
      </c>
      <c r="H250" s="30" t="str">
        <f>VLOOKUP(G250,routes_of_administration_list!A:B,2)</f>
        <v>внутримышечно в дельтовидную мышцу</v>
      </c>
      <c r="I250" s="8"/>
      <c r="J250" s="11">
        <v>45079</v>
      </c>
      <c r="K250" s="58"/>
    </row>
    <row r="251" spans="1:11">
      <c r="A251" s="7">
        <v>101</v>
      </c>
      <c r="B251" s="8" t="str">
        <f>VLOOKUP(A251,vaccines!A:B,2)</f>
        <v>Menveo</v>
      </c>
      <c r="C251" s="7">
        <v>11</v>
      </c>
      <c r="D251" s="8" t="str">
        <f>VLOOKUP(C251,ages_from_list!A:C,3)</f>
        <v>4 лет</v>
      </c>
      <c r="E251" s="7">
        <v>4</v>
      </c>
      <c r="F251" s="8" t="str">
        <f>VLOOKUP(E251,ages_through_list!A:C,3)</f>
        <v>5 лет</v>
      </c>
      <c r="G251" s="7">
        <v>5</v>
      </c>
      <c r="H251" s="30" t="str">
        <f>VLOOKUP(G251,routes_of_administration_list!A:B,2)</f>
        <v>внутримышечно в дельтовидную мышцу</v>
      </c>
      <c r="I251" s="8"/>
      <c r="J251" s="11">
        <v>45079</v>
      </c>
      <c r="K251" s="58"/>
    </row>
    <row r="252" spans="1:11">
      <c r="A252" s="7">
        <v>101</v>
      </c>
      <c r="B252" s="8" t="str">
        <f>VLOOKUP(A252,vaccines!A:B,2)</f>
        <v>Menveo</v>
      </c>
      <c r="C252" s="7">
        <v>12</v>
      </c>
      <c r="D252" s="8" t="str">
        <f>VLOOKUP(C252,ages_from_list!A:C,3)</f>
        <v>6 лет</v>
      </c>
      <c r="E252" s="7">
        <v>13</v>
      </c>
      <c r="F252" s="8" t="str">
        <f>VLOOKUP(E252,ages_through_list!A:C,3)</f>
        <v>∞</v>
      </c>
      <c r="G252" s="7">
        <v>3</v>
      </c>
      <c r="H252" s="30" t="str">
        <f>VLOOKUP(G252,routes_of_administration_list!A:B,2)</f>
        <v>внутримышечно в дельтовидную мышцу</v>
      </c>
      <c r="I252" s="8"/>
      <c r="J252" s="11">
        <v>45079</v>
      </c>
      <c r="K252" s="58"/>
    </row>
    <row r="253" spans="1:11">
      <c r="A253" s="7">
        <v>102</v>
      </c>
      <c r="B253" s="8" t="str">
        <f>VLOOKUP(A253,vaccines!A:B,2)</f>
        <v>Sputnik_intranasal</v>
      </c>
      <c r="C253" s="7">
        <v>18</v>
      </c>
      <c r="D253" s="8" t="str">
        <f>VLOOKUP(C253,ages_from_list!A:C,3)</f>
        <v>18 лет</v>
      </c>
      <c r="E253" s="7">
        <v>13</v>
      </c>
      <c r="F253" s="8" t="str">
        <f>VLOOKUP(E253,ages_through_list!A:C,3)</f>
        <v>∞</v>
      </c>
      <c r="G253" s="7">
        <v>14</v>
      </c>
      <c r="H253" s="30" t="str">
        <f>VLOOKUP(G253,routes_of_administration_list!A:B,2)</f>
        <v>интраназально</v>
      </c>
      <c r="I253" s="8"/>
      <c r="J253" s="11">
        <v>44712</v>
      </c>
      <c r="K253" s="53">
        <v>44904</v>
      </c>
    </row>
    <row r="254" spans="1:11">
      <c r="A254" s="7">
        <v>103</v>
      </c>
      <c r="B254" s="8" t="str">
        <f>VLOOKUP(A254,vaccines!A:B,2)</f>
        <v>Grippol_plus_0_25</v>
      </c>
      <c r="C254" s="7">
        <v>5</v>
      </c>
      <c r="D254" s="8" t="str">
        <f>VLOOKUP(C254,ages_from_list!A:C,3)</f>
        <v>6 месяцев</v>
      </c>
      <c r="E254" s="7">
        <v>19</v>
      </c>
      <c r="F254" s="8" t="str">
        <f>VLOOKUP(E254,ages_through_list!A:C,3)</f>
        <v>35 месяцев (2 лет 11 месяцев)</v>
      </c>
      <c r="G254" s="7">
        <v>1</v>
      </c>
      <c r="H254" s="30" t="str">
        <f>VLOOKUP(G254,routes_of_administration_list!A:B,2)</f>
        <v>внутримышечно в передненаружную область бедра</v>
      </c>
      <c r="I254" s="8"/>
      <c r="J254" s="11">
        <v>44712</v>
      </c>
      <c r="K254" s="58"/>
    </row>
    <row r="255" spans="1:11">
      <c r="A255" s="7">
        <v>104</v>
      </c>
      <c r="B255" s="8" t="str">
        <f>VLOOKUP(A255,vaccines!A:B,2)</f>
        <v>Flu_M_Tetra</v>
      </c>
      <c r="C255" s="54">
        <v>5</v>
      </c>
      <c r="D255" s="8" t="str">
        <f>VLOOKUP(C255,ages_from_list!A:C,3)</f>
        <v>6 месяцев</v>
      </c>
      <c r="E255" s="54">
        <v>19</v>
      </c>
      <c r="F255" s="8" t="str">
        <f>VLOOKUP(E255,ages_through_list!A:C,3)</f>
        <v>35 месяцев (2 лет 11 месяцев)</v>
      </c>
      <c r="G255" s="54">
        <v>1</v>
      </c>
      <c r="H255" s="30" t="str">
        <f>VLOOKUP(G255,routes_of_administration_list!A:B,2)</f>
        <v>внутримышечно в передненаружную область бедра</v>
      </c>
      <c r="I255" s="8"/>
      <c r="J255" s="12">
        <v>45510</v>
      </c>
      <c r="K255" s="52"/>
    </row>
    <row r="256" spans="1:11">
      <c r="A256" s="7">
        <v>104</v>
      </c>
      <c r="B256" s="8" t="str">
        <f>VLOOKUP(A256,vaccines!A:B,2)</f>
        <v>Flu_M_Tetra</v>
      </c>
      <c r="C256" s="54">
        <v>10</v>
      </c>
      <c r="D256" s="8" t="str">
        <f>VLOOKUP(C256,ages_from_list!A:C,3)</f>
        <v>36 месяцев (3 лет)</v>
      </c>
      <c r="E256" s="54">
        <v>3</v>
      </c>
      <c r="F256" s="8" t="str">
        <f>VLOOKUP(E256,ages_through_list!A:C,3)</f>
        <v>3 лет 11 месяцев</v>
      </c>
      <c r="G256" s="54">
        <v>4</v>
      </c>
      <c r="H256" s="30" t="str">
        <f>VLOOKUP(G256,routes_of_administration_list!A:B,2)</f>
        <v>внутримышечно в дельтовидную мышцу</v>
      </c>
      <c r="I256" s="8"/>
      <c r="J256" s="12">
        <v>45510</v>
      </c>
      <c r="K256" s="52"/>
    </row>
    <row r="257" spans="1:11">
      <c r="A257" s="7">
        <v>104</v>
      </c>
      <c r="B257" s="8" t="str">
        <f>VLOOKUP(A257,vaccines!A:B,2)</f>
        <v>Flu_M_Tetra</v>
      </c>
      <c r="C257" s="54">
        <v>11</v>
      </c>
      <c r="D257" s="8" t="str">
        <f>VLOOKUP(C257,ages_from_list!A:C,3)</f>
        <v>4 лет</v>
      </c>
      <c r="E257" s="54">
        <v>4</v>
      </c>
      <c r="F257" s="8" t="str">
        <f>VLOOKUP(E257,ages_through_list!A:C,3)</f>
        <v>5 лет</v>
      </c>
      <c r="G257" s="54">
        <v>5</v>
      </c>
      <c r="H257" s="30" t="str">
        <f>VLOOKUP(G257,routes_of_administration_list!A:B,2)</f>
        <v>внутримышечно в дельтовидную мышцу</v>
      </c>
      <c r="I257" s="8"/>
      <c r="J257" s="12">
        <v>45510</v>
      </c>
      <c r="K257" s="52"/>
    </row>
    <row r="258" spans="1:11">
      <c r="A258" s="7">
        <v>104</v>
      </c>
      <c r="B258" s="8" t="str">
        <f>VLOOKUP(A258,vaccines!A:B,2)</f>
        <v>Flu_M_Tetra</v>
      </c>
      <c r="C258" s="54">
        <v>12</v>
      </c>
      <c r="D258" s="8" t="str">
        <f>VLOOKUP(C258,ages_from_list!A:C,3)</f>
        <v>6 лет</v>
      </c>
      <c r="E258" s="7">
        <v>13</v>
      </c>
      <c r="F258" s="8" t="str">
        <f>VLOOKUP(E258,ages_through_list!A:C,3)</f>
        <v>∞</v>
      </c>
      <c r="G258" s="7">
        <v>3</v>
      </c>
      <c r="H258" s="30" t="str">
        <f>VLOOKUP(G258,routes_of_administration_list!A:B,2)</f>
        <v>внутримышечно в дельтовидную мышцу</v>
      </c>
      <c r="I258" s="8"/>
      <c r="J258" s="11">
        <v>44902</v>
      </c>
      <c r="K258" s="12">
        <v>45510</v>
      </c>
    </row>
    <row r="259" spans="1:11">
      <c r="A259" s="7">
        <v>104</v>
      </c>
      <c r="B259" s="8" t="str">
        <f>VLOOKUP(A259,vaccines!A:B,2)</f>
        <v>Flu_M_Tetra</v>
      </c>
      <c r="C259" s="54">
        <v>10</v>
      </c>
      <c r="D259" s="8" t="str">
        <f>VLOOKUP(C259,ages_from_list!A:C,3)</f>
        <v>36 месяцев (3 лет)</v>
      </c>
      <c r="E259" s="54">
        <v>3</v>
      </c>
      <c r="F259" s="8" t="str">
        <f>VLOOKUP(E259,ages_through_list!A:C,3)</f>
        <v>3 лет 11 месяцев</v>
      </c>
      <c r="G259" s="54">
        <v>1</v>
      </c>
      <c r="H259" s="30" t="str">
        <f>VLOOKUP(G259,routes_of_administration_list!A:B,2)</f>
        <v>внутримышечно в передненаружную область бедра</v>
      </c>
      <c r="I259" s="8"/>
      <c r="J259" s="12">
        <v>45798</v>
      </c>
      <c r="K259" s="52"/>
    </row>
    <row r="260" spans="1:11">
      <c r="A260" s="7">
        <v>104</v>
      </c>
      <c r="B260" s="8" t="str">
        <f>VLOOKUP(A260,vaccines!A:B,2)</f>
        <v>Flu_M_Tetra</v>
      </c>
      <c r="C260" s="54">
        <v>11</v>
      </c>
      <c r="D260" s="8" t="str">
        <f>VLOOKUP(C260,ages_from_list!A:C,3)</f>
        <v>4 лет</v>
      </c>
      <c r="E260" s="54">
        <v>4</v>
      </c>
      <c r="F260" s="8" t="str">
        <f>VLOOKUP(E260,ages_through_list!A:C,3)</f>
        <v>5 лет</v>
      </c>
      <c r="G260" s="54">
        <v>1</v>
      </c>
      <c r="H260" s="30" t="str">
        <f>VLOOKUP(G260,routes_of_administration_list!A:B,2)</f>
        <v>внутримышечно в передненаружную область бедра</v>
      </c>
      <c r="I260" s="8"/>
      <c r="J260" s="12">
        <v>45798</v>
      </c>
      <c r="K260" s="52"/>
    </row>
    <row r="261" spans="1:11">
      <c r="A261" s="7">
        <v>104</v>
      </c>
      <c r="B261" s="8" t="str">
        <f>VLOOKUP(A261,vaccines!A:B,2)</f>
        <v>Flu_M_Tetra</v>
      </c>
      <c r="C261" s="54">
        <v>12</v>
      </c>
      <c r="D261" s="8" t="str">
        <f>VLOOKUP(C261,ages_from_list!A:C,3)</f>
        <v>6 лет</v>
      </c>
      <c r="E261" s="7">
        <v>13</v>
      </c>
      <c r="F261" s="8" t="str">
        <f>VLOOKUP(E261,ages_through_list!A:C,3)</f>
        <v>∞</v>
      </c>
      <c r="G261" s="54">
        <v>1</v>
      </c>
      <c r="H261" s="30" t="str">
        <f>VLOOKUP(G261,routes_of_administration_list!A:B,2)</f>
        <v>внутримышечно в передненаружную область бедра</v>
      </c>
      <c r="I261" s="8"/>
      <c r="J261" s="12">
        <v>45798</v>
      </c>
      <c r="K261" s="52"/>
    </row>
    <row r="262" spans="1:11">
      <c r="A262" s="7">
        <v>105</v>
      </c>
      <c r="B262" s="8" t="str">
        <f>VLOOKUP(A262,vaccines!A:B,2)</f>
        <v>Vaxigrip_Tetra</v>
      </c>
      <c r="C262" s="7">
        <v>5</v>
      </c>
      <c r="D262" s="8" t="str">
        <f>VLOOKUP(C262,ages_from_list!A:C,3)</f>
        <v>6 месяцев</v>
      </c>
      <c r="E262" s="54">
        <v>19</v>
      </c>
      <c r="F262" s="8" t="str">
        <f>VLOOKUP(E262,ages_through_list!A:C,3)</f>
        <v>35 месяцев (2 лет 11 месяцев)</v>
      </c>
      <c r="G262" s="7">
        <v>1</v>
      </c>
      <c r="H262" s="30" t="str">
        <f>VLOOKUP(G262,routes_of_administration_list!A:B,2)</f>
        <v>внутримышечно в передненаружную область бедра</v>
      </c>
      <c r="I262" s="8"/>
      <c r="J262" s="11">
        <v>44902</v>
      </c>
      <c r="K262" s="52">
        <v>45489</v>
      </c>
    </row>
    <row r="263" spans="1:11">
      <c r="A263" s="7">
        <v>105</v>
      </c>
      <c r="B263" s="8" t="str">
        <f>VLOOKUP(A263,vaccines!A:B,2)</f>
        <v>Vaxigrip_Tetra</v>
      </c>
      <c r="C263" s="7">
        <v>5</v>
      </c>
      <c r="D263" s="8" t="str">
        <f>VLOOKUP(C263,ages_from_list!A:C,3)</f>
        <v>6 месяцев</v>
      </c>
      <c r="E263" s="54">
        <v>19</v>
      </c>
      <c r="F263" s="8" t="str">
        <f>VLOOKUP(E263,ages_through_list!A:C,3)</f>
        <v>35 месяцев (2 лет 11 месяцев)</v>
      </c>
      <c r="G263" s="7">
        <v>9</v>
      </c>
      <c r="H263" s="30" t="str">
        <f>VLOOKUP(G263,routes_of_administration_list!A:B,2)</f>
        <v>подкожно в область бедра</v>
      </c>
      <c r="I263" s="8"/>
      <c r="J263" s="11">
        <v>45079</v>
      </c>
      <c r="K263" s="57">
        <v>45489</v>
      </c>
    </row>
    <row r="264" spans="1:11">
      <c r="A264" s="7">
        <v>105</v>
      </c>
      <c r="B264" s="8" t="str">
        <f>VLOOKUP(A264,vaccines!A:B,2)</f>
        <v>Vaxigrip_Tetra</v>
      </c>
      <c r="C264" s="54">
        <v>9</v>
      </c>
      <c r="D264" s="8" t="str">
        <f>VLOOKUP(C264,ages_from_list!A:C,3)</f>
        <v>24 месяцев (2 лет)</v>
      </c>
      <c r="E264" s="7">
        <v>3</v>
      </c>
      <c r="F264" s="8" t="str">
        <f>VLOOKUP(E264,ages_through_list!A:C,3)</f>
        <v>3 лет 11 месяцев</v>
      </c>
      <c r="G264" s="7">
        <v>4</v>
      </c>
      <c r="H264" s="30" t="str">
        <f>VLOOKUP(G264,routes_of_administration_list!A:B,2)</f>
        <v>внутримышечно в дельтовидную мышцу</v>
      </c>
      <c r="I264" s="8"/>
      <c r="J264" s="11">
        <v>45079</v>
      </c>
      <c r="K264" s="57">
        <v>45489</v>
      </c>
    </row>
    <row r="265" spans="1:11">
      <c r="A265" s="7">
        <v>105</v>
      </c>
      <c r="B265" s="8" t="str">
        <f>VLOOKUP(A265,vaccines!A:B,2)</f>
        <v>Vaxigrip_Tetra</v>
      </c>
      <c r="C265" s="7">
        <v>11</v>
      </c>
      <c r="D265" s="8" t="str">
        <f>VLOOKUP(C265,ages_from_list!A:C,3)</f>
        <v>4 лет</v>
      </c>
      <c r="E265" s="7">
        <v>4</v>
      </c>
      <c r="F265" s="8" t="str">
        <f>VLOOKUP(E265,ages_through_list!A:C,3)</f>
        <v>5 лет</v>
      </c>
      <c r="G265" s="7">
        <v>5</v>
      </c>
      <c r="H265" s="30" t="str">
        <f>VLOOKUP(G265,routes_of_administration_list!A:B,2)</f>
        <v>внутримышечно в дельтовидную мышцу</v>
      </c>
      <c r="I265" s="8"/>
      <c r="J265" s="11">
        <v>45079</v>
      </c>
      <c r="K265" s="58"/>
    </row>
    <row r="266" spans="1:11">
      <c r="A266" s="7">
        <v>105</v>
      </c>
      <c r="B266" s="8" t="str">
        <f>VLOOKUP(A266,vaccines!A:B,2)</f>
        <v>Vaxigrip_Tetra</v>
      </c>
      <c r="C266" s="7">
        <v>12</v>
      </c>
      <c r="D266" s="8" t="str">
        <f>VLOOKUP(C266,ages_from_list!A:C,3)</f>
        <v>6 лет</v>
      </c>
      <c r="E266" s="7">
        <v>13</v>
      </c>
      <c r="F266" s="8" t="str">
        <f>VLOOKUP(E266,ages_through_list!A:C,3)</f>
        <v>∞</v>
      </c>
      <c r="G266" s="7">
        <v>3</v>
      </c>
      <c r="H266" s="30" t="str">
        <f>VLOOKUP(G266,routes_of_administration_list!A:B,2)</f>
        <v>внутримышечно в дельтовидную мышцу</v>
      </c>
      <c r="I266" s="8"/>
      <c r="J266" s="11">
        <v>45079</v>
      </c>
      <c r="K266" s="58"/>
    </row>
    <row r="267" spans="1:11">
      <c r="A267" s="7">
        <v>105</v>
      </c>
      <c r="B267" s="8" t="str">
        <f>VLOOKUP(A267,vaccines!A:B,2)</f>
        <v>Vaxigrip_Tetra</v>
      </c>
      <c r="C267" s="54">
        <v>9</v>
      </c>
      <c r="D267" s="8" t="str">
        <f>VLOOKUP(C267,ages_from_list!A:C,3)</f>
        <v>24 месяцев (2 лет)</v>
      </c>
      <c r="E267" s="7">
        <v>13</v>
      </c>
      <c r="F267" s="8" t="str">
        <f>VLOOKUP(E267,ages_through_list!A:C,3)</f>
        <v>∞</v>
      </c>
      <c r="G267" s="7">
        <v>16</v>
      </c>
      <c r="H267" s="30" t="str">
        <f>VLOOKUP(G267,routes_of_administration_list!A:B,2)</f>
        <v>подкожно в верхнюю треть плеча</v>
      </c>
      <c r="I267" s="8"/>
      <c r="J267" s="11">
        <v>45079</v>
      </c>
      <c r="K267" s="57">
        <v>45489</v>
      </c>
    </row>
    <row r="268" spans="1:11">
      <c r="A268" s="7">
        <v>106</v>
      </c>
      <c r="B268" s="8" t="str">
        <f>VLOOKUP(A268,vaccines!A:B,2)</f>
        <v>Ocavax</v>
      </c>
      <c r="C268" s="7">
        <v>8</v>
      </c>
      <c r="D268" s="8" t="str">
        <f>VLOOKUP(C268,ages_from_list!A:C,3)</f>
        <v>12 месяцев</v>
      </c>
      <c r="E268" s="7">
        <v>13</v>
      </c>
      <c r="F268" s="8" t="str">
        <f>VLOOKUP(E268,ages_through_list!A:C,3)</f>
        <v>∞</v>
      </c>
      <c r="G268" s="7">
        <v>16</v>
      </c>
      <c r="H268" s="30" t="str">
        <f>VLOOKUP(G268,routes_of_administration_list!A:B,2)</f>
        <v>подкожно в верхнюю треть плеча</v>
      </c>
      <c r="I268" s="8"/>
      <c r="J268" s="11">
        <v>44902</v>
      </c>
      <c r="K268" s="53">
        <v>45079</v>
      </c>
    </row>
    <row r="269" spans="1:11">
      <c r="A269" s="7">
        <v>107</v>
      </c>
      <c r="B269" s="8" t="str">
        <f>VLOOKUP(A269,vaccines!A:B,2)</f>
        <v>Pneumo_23</v>
      </c>
      <c r="C269" s="7">
        <v>9</v>
      </c>
      <c r="D269" s="8" t="str">
        <f>VLOOKUP(C269,ages_from_list!A:C,3)</f>
        <v>24 месяцев (2 лет)</v>
      </c>
      <c r="E269" s="7">
        <v>13</v>
      </c>
      <c r="F269" s="8" t="str">
        <f>VLOOKUP(E269,ages_through_list!A:C,3)</f>
        <v>∞</v>
      </c>
      <c r="G269" s="7">
        <v>4</v>
      </c>
      <c r="H269" s="30" t="str">
        <f>VLOOKUP(G269,routes_of_administration_list!A:B,2)</f>
        <v>внутримышечно в дельтовидную мышцу</v>
      </c>
      <c r="I269" s="8"/>
      <c r="J269" s="11">
        <v>44902</v>
      </c>
      <c r="K269" s="53">
        <v>45079</v>
      </c>
    </row>
    <row r="270" spans="1:11">
      <c r="A270" s="7">
        <v>107</v>
      </c>
      <c r="B270" s="8" t="str">
        <f>VLOOKUP(A270,vaccines!A:B,2)</f>
        <v>Pneumo_23</v>
      </c>
      <c r="C270" s="7">
        <v>11</v>
      </c>
      <c r="D270" s="8" t="str">
        <f>VLOOKUP(C270,ages_from_list!A:C,3)</f>
        <v>4 лет</v>
      </c>
      <c r="E270" s="7">
        <v>4</v>
      </c>
      <c r="F270" s="8" t="str">
        <f>VLOOKUP(E270,ages_through_list!A:C,3)</f>
        <v>5 лет</v>
      </c>
      <c r="G270" s="7">
        <v>5</v>
      </c>
      <c r="H270" s="30" t="str">
        <f>VLOOKUP(G270,routes_of_administration_list!A:B,2)</f>
        <v>внутримышечно в дельтовидную мышцу</v>
      </c>
      <c r="I270" s="8"/>
      <c r="J270" s="11">
        <v>45079</v>
      </c>
      <c r="K270" s="58"/>
    </row>
    <row r="271" spans="1:11">
      <c r="A271" s="7">
        <v>107</v>
      </c>
      <c r="B271" s="8" t="str">
        <f>VLOOKUP(A271,vaccines!A:B,2)</f>
        <v>Pneumo_23</v>
      </c>
      <c r="C271" s="7">
        <v>12</v>
      </c>
      <c r="D271" s="8" t="str">
        <f>VLOOKUP(C271,ages_from_list!A:C,3)</f>
        <v>6 лет</v>
      </c>
      <c r="E271" s="7">
        <v>13</v>
      </c>
      <c r="F271" s="8" t="str">
        <f>VLOOKUP(E271,ages_through_list!A:C,3)</f>
        <v>∞</v>
      </c>
      <c r="G271" s="7">
        <v>3</v>
      </c>
      <c r="H271" s="30" t="str">
        <f>VLOOKUP(G271,routes_of_administration_list!A:B,2)</f>
        <v>внутримышечно в дельтовидную мышцу</v>
      </c>
      <c r="I271" s="8"/>
      <c r="J271" s="11">
        <v>45079</v>
      </c>
      <c r="K271" s="58"/>
    </row>
    <row r="272" spans="1:11">
      <c r="A272" s="7">
        <v>107</v>
      </c>
      <c r="B272" s="8" t="str">
        <f>VLOOKUP(A272,vaccines!A:B,2)</f>
        <v>Pneumo_23</v>
      </c>
      <c r="C272" s="7">
        <v>9</v>
      </c>
      <c r="D272" s="8" t="str">
        <f>VLOOKUP(C272,ages_from_list!A:C,3)</f>
        <v>24 месяцев (2 лет)</v>
      </c>
      <c r="E272" s="7">
        <v>13</v>
      </c>
      <c r="F272" s="8" t="str">
        <f>VLOOKUP(E272,ages_through_list!A:C,3)</f>
        <v>∞</v>
      </c>
      <c r="G272" s="7">
        <v>16</v>
      </c>
      <c r="H272" s="30" t="str">
        <f>VLOOKUP(G272,routes_of_administration_list!A:B,2)</f>
        <v>подкожно в верхнюю треть плеча</v>
      </c>
      <c r="I272" s="8"/>
      <c r="J272" s="11">
        <v>45079</v>
      </c>
      <c r="K272" s="58"/>
    </row>
    <row r="273" spans="1:11">
      <c r="A273" s="7">
        <v>108</v>
      </c>
      <c r="B273" s="8" t="str">
        <f>VLOOKUP(A273,vaccines!A:B,2)</f>
        <v>Varivax</v>
      </c>
      <c r="C273" s="7">
        <v>8</v>
      </c>
      <c r="D273" s="8" t="str">
        <f>VLOOKUP(C273,ages_from_list!A:C,3)</f>
        <v>12 месяцев</v>
      </c>
      <c r="E273" s="7">
        <v>18</v>
      </c>
      <c r="F273" s="8" t="str">
        <f>VLOOKUP(E273,ages_through_list!A:C,3)</f>
        <v>2 лет 11 месяцев</v>
      </c>
      <c r="G273" s="7">
        <v>9</v>
      </c>
      <c r="H273" s="30" t="str">
        <f>VLOOKUP(G273,routes_of_administration_list!A:B,2)</f>
        <v>подкожно в область бедра</v>
      </c>
      <c r="I273" s="8"/>
      <c r="J273" s="11">
        <v>44902</v>
      </c>
      <c r="K273" s="58"/>
    </row>
    <row r="274" spans="1:11">
      <c r="A274" s="7">
        <v>108</v>
      </c>
      <c r="B274" s="8" t="str">
        <f>VLOOKUP(A274,vaccines!A:B,2)</f>
        <v>Varivax</v>
      </c>
      <c r="C274" s="7">
        <v>10</v>
      </c>
      <c r="D274" s="8" t="str">
        <f>VLOOKUP(C274,ages_from_list!A:C,3)</f>
        <v>36 месяцев (3 лет)</v>
      </c>
      <c r="E274" s="7">
        <v>13</v>
      </c>
      <c r="F274" s="8" t="str">
        <f>VLOOKUP(E274,ages_through_list!A:C,3)</f>
        <v>∞</v>
      </c>
      <c r="G274" s="7">
        <v>6</v>
      </c>
      <c r="H274" s="30" t="str">
        <f>VLOOKUP(G274,routes_of_administration_list!A:B,2)</f>
        <v>подкожно в область дельтовидной мышцы</v>
      </c>
      <c r="I274" s="8"/>
      <c r="J274" s="11">
        <v>44902</v>
      </c>
      <c r="K274" s="58"/>
    </row>
    <row r="275" spans="1:11">
      <c r="A275" s="7">
        <v>109</v>
      </c>
      <c r="B275" s="8" t="str">
        <f>VLOOKUP(A275,vaccines!A:B,2)</f>
        <v>Pneumotex</v>
      </c>
      <c r="C275" s="7">
        <v>3</v>
      </c>
      <c r="D275" s="8" t="str">
        <f>VLOOKUP(C275,ages_from_list!A:C,3)</f>
        <v>2 месяцев</v>
      </c>
      <c r="E275" s="54">
        <v>13</v>
      </c>
      <c r="F275" s="8" t="str">
        <f>VLOOKUP(E275,ages_through_list!A:C,3)</f>
        <v>∞</v>
      </c>
      <c r="G275" s="7">
        <v>1</v>
      </c>
      <c r="H275" s="30" t="str">
        <f>VLOOKUP(G275,routes_of_administration_list!A:B,2)</f>
        <v>внутримышечно в передненаружную область бедра</v>
      </c>
      <c r="I275" s="8"/>
      <c r="J275" s="11">
        <v>45063</v>
      </c>
      <c r="K275" s="57">
        <v>45453</v>
      </c>
    </row>
    <row r="276" spans="1:11">
      <c r="A276" s="7">
        <v>109</v>
      </c>
      <c r="B276" s="8" t="str">
        <f>VLOOKUP(A276,vaccines!A:B,2)</f>
        <v>Pneumotex</v>
      </c>
      <c r="C276" s="7">
        <v>19</v>
      </c>
      <c r="D276" s="8" t="str">
        <f>VLOOKUP(C276,ages_from_list!A:C,3)</f>
        <v>25 месяцев (2 лет 1 месяца)</v>
      </c>
      <c r="E276" s="7">
        <v>3</v>
      </c>
      <c r="F276" s="8" t="str">
        <f>VLOOKUP(E276,ages_through_list!A:C,3)</f>
        <v>3 лет 11 месяцев</v>
      </c>
      <c r="G276" s="7">
        <v>4</v>
      </c>
      <c r="H276" s="30" t="str">
        <f>VLOOKUP(G276,routes_of_administration_list!A:B,2)</f>
        <v>внутримышечно в дельтовидную мышцу</v>
      </c>
      <c r="I276" s="8"/>
      <c r="J276" s="11">
        <v>45063</v>
      </c>
      <c r="K276" s="58"/>
    </row>
    <row r="277" spans="1:11">
      <c r="A277" s="7">
        <v>109</v>
      </c>
      <c r="B277" s="8" t="str">
        <f>VLOOKUP(A277,vaccines!A:B,2)</f>
        <v>Pneumotex</v>
      </c>
      <c r="C277" s="7">
        <v>11</v>
      </c>
      <c r="D277" s="8" t="str">
        <f>VLOOKUP(C277,ages_from_list!A:C,3)</f>
        <v>4 лет</v>
      </c>
      <c r="E277" s="7">
        <v>4</v>
      </c>
      <c r="F277" s="8" t="str">
        <f>VLOOKUP(E277,ages_through_list!A:C,3)</f>
        <v>5 лет</v>
      </c>
      <c r="G277" s="7">
        <v>5</v>
      </c>
      <c r="H277" s="30" t="str">
        <f>VLOOKUP(G277,routes_of_administration_list!A:B,2)</f>
        <v>внутримышечно в дельтовидную мышцу</v>
      </c>
      <c r="I277" s="8"/>
      <c r="J277" s="11">
        <v>45063</v>
      </c>
      <c r="K277" s="58"/>
    </row>
    <row r="278" spans="1:11">
      <c r="A278" s="7">
        <v>109</v>
      </c>
      <c r="B278" s="8" t="str">
        <f>VLOOKUP(A278,vaccines!A:B,2)</f>
        <v>Pneumotex</v>
      </c>
      <c r="C278" s="7">
        <v>12</v>
      </c>
      <c r="D278" s="8" t="str">
        <f>VLOOKUP(C278,ages_from_list!A:C,3)</f>
        <v>6 лет</v>
      </c>
      <c r="E278" s="7">
        <v>13</v>
      </c>
      <c r="F278" s="8" t="str">
        <f>VLOOKUP(E278,ages_through_list!A:C,3)</f>
        <v>∞</v>
      </c>
      <c r="G278" s="7">
        <v>3</v>
      </c>
      <c r="H278" s="30" t="str">
        <f>VLOOKUP(G278,routes_of_administration_list!A:B,2)</f>
        <v>внутримышечно в дельтовидную мышцу</v>
      </c>
      <c r="I278" s="8"/>
      <c r="J278" s="11">
        <v>45063</v>
      </c>
      <c r="K278" s="58"/>
    </row>
    <row r="279" spans="1:11">
      <c r="A279" s="7">
        <v>110</v>
      </c>
      <c r="B279" s="8" t="str">
        <f>VLOOKUP(A279,vaccines!A:B,2)</f>
        <v>Priorix</v>
      </c>
      <c r="C279" s="7">
        <v>8</v>
      </c>
      <c r="D279" s="8" t="str">
        <f>VLOOKUP(C279,ages_from_list!A:C,3)</f>
        <v>12 месяцев</v>
      </c>
      <c r="E279" s="7">
        <v>14</v>
      </c>
      <c r="F279" s="8" t="str">
        <f>VLOOKUP(E279,ages_through_list!A:C,3)</f>
        <v>24 месяцев (2 лет)</v>
      </c>
      <c r="G279" s="7">
        <v>9</v>
      </c>
      <c r="H279" s="30" t="str">
        <f>VLOOKUP(G279,routes_of_administration_list!A:B,2)</f>
        <v>подкожно в область бедра</v>
      </c>
      <c r="I279" s="8"/>
      <c r="J279" s="11">
        <v>45079</v>
      </c>
      <c r="K279" s="58"/>
    </row>
    <row r="280" spans="1:11">
      <c r="A280" s="7">
        <v>110</v>
      </c>
      <c r="B280" s="8" t="str">
        <f>VLOOKUP(A280,vaccines!A:B,2)</f>
        <v>Priorix</v>
      </c>
      <c r="C280" s="7">
        <v>8</v>
      </c>
      <c r="D280" s="8" t="str">
        <f>VLOOKUP(C280,ages_from_list!A:C,3)</f>
        <v>12 месяцев</v>
      </c>
      <c r="E280" s="7">
        <v>14</v>
      </c>
      <c r="F280" s="8" t="str">
        <f>VLOOKUP(E280,ages_through_list!A:C,3)</f>
        <v>24 месяцев (2 лет)</v>
      </c>
      <c r="G280" s="7">
        <v>1</v>
      </c>
      <c r="H280" s="30" t="str">
        <f>VLOOKUP(G280,routes_of_administration_list!A:B,2)</f>
        <v>внутримышечно в передненаружную область бедра</v>
      </c>
      <c r="I280" s="8"/>
      <c r="J280" s="11">
        <v>45079</v>
      </c>
      <c r="K280" s="58"/>
    </row>
    <row r="281" spans="1:11">
      <c r="A281" s="7">
        <v>110</v>
      </c>
      <c r="B281" s="8" t="str">
        <f>VLOOKUP(A281,vaccines!A:B,2)</f>
        <v>Priorix</v>
      </c>
      <c r="C281" s="7">
        <v>19</v>
      </c>
      <c r="D281" s="8" t="str">
        <f>VLOOKUP(C281,ages_from_list!A:C,3)</f>
        <v>25 месяцев (2 лет 1 месяца)</v>
      </c>
      <c r="E281" s="7">
        <v>13</v>
      </c>
      <c r="F281" s="8" t="str">
        <f>VLOOKUP(E281,ages_through_list!A:C,3)</f>
        <v>∞</v>
      </c>
      <c r="G281" s="7">
        <v>16</v>
      </c>
      <c r="H281" s="30" t="str">
        <f>VLOOKUP(G281,routes_of_administration_list!A:B,2)</f>
        <v>подкожно в верхнюю треть плеча</v>
      </c>
      <c r="I281" s="8"/>
      <c r="J281" s="11">
        <v>45079</v>
      </c>
      <c r="K281" s="58"/>
    </row>
    <row r="282" spans="1:11">
      <c r="A282" s="7">
        <v>110</v>
      </c>
      <c r="B282" s="8" t="str">
        <f>VLOOKUP(A282,vaccines!A:B,2)</f>
        <v>Priorix</v>
      </c>
      <c r="C282" s="7">
        <v>19</v>
      </c>
      <c r="D282" s="8" t="str">
        <f>VLOOKUP(C282,ages_from_list!A:C,3)</f>
        <v>25 месяцев (2 лет 1 месяца)</v>
      </c>
      <c r="E282" s="7">
        <v>3</v>
      </c>
      <c r="F282" s="8" t="str">
        <f>VLOOKUP(E282,ages_through_list!A:C,3)</f>
        <v>3 лет 11 месяцев</v>
      </c>
      <c r="G282" s="7">
        <v>4</v>
      </c>
      <c r="H282" s="30" t="str">
        <f>VLOOKUP(G282,routes_of_administration_list!A:B,2)</f>
        <v>внутримышечно в дельтовидную мышцу</v>
      </c>
      <c r="I282" s="8"/>
      <c r="J282" s="11">
        <v>45079</v>
      </c>
      <c r="K282" s="58"/>
    </row>
    <row r="283" spans="1:11">
      <c r="A283" s="7">
        <v>110</v>
      </c>
      <c r="B283" s="8" t="str">
        <f>VLOOKUP(A283,vaccines!A:B,2)</f>
        <v>Priorix</v>
      </c>
      <c r="C283" s="7">
        <v>11</v>
      </c>
      <c r="D283" s="8" t="str">
        <f>VLOOKUP(C283,ages_from_list!A:C,3)</f>
        <v>4 лет</v>
      </c>
      <c r="E283" s="7">
        <v>4</v>
      </c>
      <c r="F283" s="8" t="str">
        <f>VLOOKUP(E283,ages_through_list!A:C,3)</f>
        <v>5 лет</v>
      </c>
      <c r="G283" s="7">
        <v>5</v>
      </c>
      <c r="H283" s="30" t="str">
        <f>VLOOKUP(G283,routes_of_administration_list!A:B,2)</f>
        <v>внутримышечно в дельтовидную мышцу</v>
      </c>
      <c r="I283" s="8"/>
      <c r="J283" s="11">
        <v>45079</v>
      </c>
      <c r="K283" s="58"/>
    </row>
    <row r="284" spans="1:11">
      <c r="A284" s="7">
        <v>110</v>
      </c>
      <c r="B284" s="8" t="str">
        <f>VLOOKUP(A284,vaccines!A:B,2)</f>
        <v>Priorix</v>
      </c>
      <c r="C284" s="7">
        <v>12</v>
      </c>
      <c r="D284" s="8" t="str">
        <f>VLOOKUP(C284,ages_from_list!A:C,3)</f>
        <v>6 лет</v>
      </c>
      <c r="E284" s="7">
        <v>13</v>
      </c>
      <c r="F284" s="8" t="str">
        <f>VLOOKUP(E284,ages_through_list!A:C,3)</f>
        <v>∞</v>
      </c>
      <c r="G284" s="7">
        <v>3</v>
      </c>
      <c r="H284" s="30" t="str">
        <f>VLOOKUP(G284,routes_of_administration_list!A:B,2)</f>
        <v>внутримышечно в дельтовидную мышцу</v>
      </c>
      <c r="I284" s="8"/>
      <c r="J284" s="11">
        <v>45079</v>
      </c>
      <c r="K284" s="58"/>
    </row>
    <row r="285" spans="1:11">
      <c r="A285" s="7">
        <v>111</v>
      </c>
      <c r="B285" s="8" t="str">
        <f>VLOOKUP(A285,vaccines!A:B,2)</f>
        <v>MenQuadfi</v>
      </c>
      <c r="C285" s="54">
        <v>2</v>
      </c>
      <c r="D285" s="8" t="str">
        <f>VLOOKUP(C285,ages_from_list!A:C,3)</f>
        <v>6 недель</v>
      </c>
      <c r="E285" s="54">
        <v>13</v>
      </c>
      <c r="F285" s="8" t="str">
        <f>VLOOKUP(E285,ages_through_list!A:C,3)</f>
        <v>∞</v>
      </c>
      <c r="G285" s="7">
        <v>1</v>
      </c>
      <c r="H285" s="30" t="str">
        <f>VLOOKUP(G285,routes_of_administration_list!A:B,2)</f>
        <v>внутримышечно в передненаружную область бедра</v>
      </c>
      <c r="I285" s="8"/>
      <c r="J285" s="11">
        <v>45083</v>
      </c>
      <c r="K285" s="57">
        <v>46072</v>
      </c>
    </row>
    <row r="286" spans="1:11">
      <c r="A286" s="7">
        <v>111</v>
      </c>
      <c r="B286" s="8" t="str">
        <f>VLOOKUP(A286,vaccines!A:B,2)</f>
        <v>MenQuadfi</v>
      </c>
      <c r="C286" s="54">
        <v>8</v>
      </c>
      <c r="D286" s="8" t="str">
        <f>VLOOKUP(C286,ages_from_list!A:C,3)</f>
        <v>12 месяцев</v>
      </c>
      <c r="E286" s="7">
        <v>3</v>
      </c>
      <c r="F286" s="8" t="str">
        <f>VLOOKUP(E286,ages_through_list!A:C,3)</f>
        <v>3 лет 11 месяцев</v>
      </c>
      <c r="G286" s="7">
        <v>4</v>
      </c>
      <c r="H286" s="30" t="str">
        <f>VLOOKUP(G286,routes_of_administration_list!A:B,2)</f>
        <v>внутримышечно в дельтовидную мышцу</v>
      </c>
      <c r="I286" s="8"/>
      <c r="J286" s="11">
        <v>45083</v>
      </c>
      <c r="K286" s="58"/>
    </row>
    <row r="287" spans="1:11">
      <c r="A287" s="7">
        <v>111</v>
      </c>
      <c r="B287" s="8" t="str">
        <f>VLOOKUP(A287,vaccines!A:B,2)</f>
        <v>MenQuadfi</v>
      </c>
      <c r="C287" s="7">
        <v>11</v>
      </c>
      <c r="D287" s="8" t="str">
        <f>VLOOKUP(C287,ages_from_list!A:C,3)</f>
        <v>4 лет</v>
      </c>
      <c r="E287" s="7">
        <v>4</v>
      </c>
      <c r="F287" s="8" t="str">
        <f>VLOOKUP(E287,ages_through_list!A:C,3)</f>
        <v>5 лет</v>
      </c>
      <c r="G287" s="7">
        <v>5</v>
      </c>
      <c r="H287" s="30" t="str">
        <f>VLOOKUP(G287,routes_of_administration_list!A:B,2)</f>
        <v>внутримышечно в дельтовидную мышцу</v>
      </c>
      <c r="I287" s="8"/>
      <c r="J287" s="11">
        <v>45083</v>
      </c>
      <c r="K287" s="58"/>
    </row>
    <row r="288" spans="1:11">
      <c r="A288" s="7">
        <v>111</v>
      </c>
      <c r="B288" s="8" t="str">
        <f>VLOOKUP(A288,vaccines!A:B,2)</f>
        <v>MenQuadfi</v>
      </c>
      <c r="C288" s="7">
        <v>12</v>
      </c>
      <c r="D288" s="8" t="str">
        <f>VLOOKUP(C288,ages_from_list!A:C,3)</f>
        <v>6 лет</v>
      </c>
      <c r="E288" s="7">
        <v>13</v>
      </c>
      <c r="F288" s="8" t="str">
        <f>VLOOKUP(E288,ages_through_list!A:C,3)</f>
        <v>∞</v>
      </c>
      <c r="G288" s="7">
        <v>3</v>
      </c>
      <c r="H288" s="30" t="str">
        <f>VLOOKUP(G288,routes_of_administration_list!A:B,2)</f>
        <v>внутримышечно в дельтовидную мышцу</v>
      </c>
      <c r="I288" s="8"/>
      <c r="J288" s="11">
        <v>45083</v>
      </c>
      <c r="K288" s="58"/>
    </row>
    <row r="289" spans="1:11">
      <c r="A289" s="7">
        <v>112</v>
      </c>
      <c r="B289" s="8" t="str">
        <f>VLOOKUP(A289,vaccines!A:B,2)</f>
        <v>Bexsero</v>
      </c>
      <c r="C289" s="7">
        <v>3</v>
      </c>
      <c r="D289" s="8" t="str">
        <f>VLOOKUP(C289,ages_from_list!A:C,3)</f>
        <v>2 месяцев</v>
      </c>
      <c r="E289" s="54">
        <v>20</v>
      </c>
      <c r="F289" s="8" t="str">
        <f>VLOOKUP(E289,ages_through_list!A:C,3)</f>
        <v>11 месяцев</v>
      </c>
      <c r="G289" s="7">
        <v>1</v>
      </c>
      <c r="H289" s="30" t="str">
        <f>VLOOKUP(G289,routes_of_administration_list!A:B,2)</f>
        <v>внутримышечно в передненаружную область бедра</v>
      </c>
      <c r="I289" s="8"/>
      <c r="J289" s="11">
        <v>45083</v>
      </c>
      <c r="K289" s="57">
        <v>45489</v>
      </c>
    </row>
    <row r="290" spans="1:11">
      <c r="A290" s="7">
        <v>112</v>
      </c>
      <c r="B290" s="8" t="str">
        <f>VLOOKUP(A290,vaccines!A:B,2)</f>
        <v>Bexsero</v>
      </c>
      <c r="C290" s="54">
        <v>8</v>
      </c>
      <c r="D290" s="8" t="str">
        <f>VLOOKUP(C290,ages_from_list!A:C,3)</f>
        <v>12 месяцев</v>
      </c>
      <c r="E290" s="7">
        <v>3</v>
      </c>
      <c r="F290" s="8" t="str">
        <f>VLOOKUP(E290,ages_through_list!A:C,3)</f>
        <v>3 лет 11 месяцев</v>
      </c>
      <c r="G290" s="7">
        <v>4</v>
      </c>
      <c r="H290" s="30" t="str">
        <f>VLOOKUP(G290,routes_of_administration_list!A:B,2)</f>
        <v>внутримышечно в дельтовидную мышцу</v>
      </c>
      <c r="I290" s="8"/>
      <c r="J290" s="11">
        <v>45083</v>
      </c>
      <c r="K290" s="57">
        <v>45489</v>
      </c>
    </row>
    <row r="291" spans="1:11">
      <c r="A291" s="7">
        <v>112</v>
      </c>
      <c r="B291" s="8" t="str">
        <f>VLOOKUP(A291,vaccines!A:B,2)</f>
        <v>Bexsero</v>
      </c>
      <c r="C291" s="7">
        <v>11</v>
      </c>
      <c r="D291" s="8" t="str">
        <f>VLOOKUP(C291,ages_from_list!A:C,3)</f>
        <v>4 лет</v>
      </c>
      <c r="E291" s="7">
        <v>4</v>
      </c>
      <c r="F291" s="8" t="str">
        <f>VLOOKUP(E291,ages_through_list!A:C,3)</f>
        <v>5 лет</v>
      </c>
      <c r="G291" s="7">
        <v>5</v>
      </c>
      <c r="H291" s="30" t="str">
        <f>VLOOKUP(G291,routes_of_administration_list!A:B,2)</f>
        <v>внутримышечно в дельтовидную мышцу</v>
      </c>
      <c r="I291" s="8"/>
      <c r="J291" s="11">
        <v>45083</v>
      </c>
      <c r="K291" s="58"/>
    </row>
    <row r="292" spans="1:11">
      <c r="A292" s="7">
        <v>112</v>
      </c>
      <c r="B292" s="8" t="str">
        <f>VLOOKUP(A292,vaccines!A:B,2)</f>
        <v>Bexsero</v>
      </c>
      <c r="C292" s="7">
        <v>12</v>
      </c>
      <c r="D292" s="8" t="str">
        <f>VLOOKUP(C292,ages_from_list!A:C,3)</f>
        <v>6 лет</v>
      </c>
      <c r="E292" s="7">
        <v>13</v>
      </c>
      <c r="F292" s="8" t="str">
        <f>VLOOKUP(E292,ages_through_list!A:C,3)</f>
        <v>∞</v>
      </c>
      <c r="G292" s="7">
        <v>3</v>
      </c>
      <c r="H292" s="30" t="str">
        <f>VLOOKUP(G292,routes_of_administration_list!A:B,2)</f>
        <v>внутримышечно в дельтовидную мышцу</v>
      </c>
      <c r="I292" s="8"/>
      <c r="J292" s="11">
        <v>45083</v>
      </c>
      <c r="K292" s="58"/>
    </row>
    <row r="293" spans="1:11">
      <c r="A293" s="7">
        <v>113</v>
      </c>
      <c r="B293" s="8" t="str">
        <f>VLOOKUP(A293,vaccines!A:B,2)</f>
        <v>Sputnik_D</v>
      </c>
      <c r="C293" s="7">
        <v>12</v>
      </c>
      <c r="D293" s="8" t="str">
        <f>VLOOKUP(C293,ages_from_list!A:C,3)</f>
        <v>6 лет</v>
      </c>
      <c r="E293" s="7">
        <v>23</v>
      </c>
      <c r="F293" s="8" t="str">
        <f>VLOOKUP(E293,ages_through_list!A:C,3)</f>
        <v>11 лет</v>
      </c>
      <c r="G293" s="7">
        <v>3</v>
      </c>
      <c r="H293" s="30" t="str">
        <f>VLOOKUP(G293,routes_of_administration_list!A:B,2)</f>
        <v>внутримышечно в дельтовидную мышцу</v>
      </c>
      <c r="I293" s="8"/>
      <c r="J293" s="11">
        <v>45083</v>
      </c>
      <c r="K293" s="58"/>
    </row>
    <row r="294" spans="1:11">
      <c r="A294" s="7">
        <v>113</v>
      </c>
      <c r="B294" s="8" t="str">
        <f>VLOOKUP(A294,vaccines!A:B,2)</f>
        <v>Sputnik_D</v>
      </c>
      <c r="C294" s="7">
        <v>12</v>
      </c>
      <c r="D294" s="8" t="str">
        <f>VLOOKUP(C294,ages_from_list!A:C,3)</f>
        <v>6 лет</v>
      </c>
      <c r="E294" s="7">
        <v>23</v>
      </c>
      <c r="F294" s="8" t="str">
        <f>VLOOKUP(E294,ages_through_list!A:C,3)</f>
        <v>11 лет</v>
      </c>
      <c r="G294" s="7">
        <v>1</v>
      </c>
      <c r="H294" s="30" t="str">
        <f>VLOOKUP(G294,routes_of_administration_list!A:B,2)</f>
        <v>внутримышечно в передненаружную область бедра</v>
      </c>
      <c r="I294" s="8"/>
      <c r="J294" s="11">
        <v>45083</v>
      </c>
      <c r="K294" s="58"/>
    </row>
    <row r="295" spans="1:11">
      <c r="A295" s="7">
        <v>114</v>
      </c>
      <c r="B295" s="8" t="str">
        <f>VLOOKUP(A295,vaccines!A:B,2)</f>
        <v>Encepur_0_25</v>
      </c>
      <c r="C295" s="7">
        <v>8</v>
      </c>
      <c r="D295" s="8" t="str">
        <f>VLOOKUP(C295,ages_from_list!A:C,3)</f>
        <v>12 месяцев</v>
      </c>
      <c r="E295" s="7">
        <v>3</v>
      </c>
      <c r="F295" s="8" t="str">
        <f>VLOOKUP(E295,ages_through_list!A:C,3)</f>
        <v>3 лет 11 месяцев</v>
      </c>
      <c r="G295" s="7">
        <v>4</v>
      </c>
      <c r="H295" s="30" t="str">
        <f>VLOOKUP(G295,routes_of_administration_list!A:B,2)</f>
        <v>внутримышечно в дельтовидную мышцу</v>
      </c>
      <c r="I295" s="8"/>
      <c r="J295" s="11">
        <v>45083</v>
      </c>
      <c r="K295" s="58"/>
    </row>
    <row r="296" spans="1:11">
      <c r="A296" s="7">
        <v>114</v>
      </c>
      <c r="B296" s="8" t="str">
        <f>VLOOKUP(A296,vaccines!A:B,2)</f>
        <v>Encepur_0_25</v>
      </c>
      <c r="C296" s="7">
        <v>11</v>
      </c>
      <c r="D296" s="8" t="str">
        <f>VLOOKUP(C296,ages_from_list!A:C,3)</f>
        <v>4 лет</v>
      </c>
      <c r="E296" s="7">
        <v>4</v>
      </c>
      <c r="F296" s="8" t="str">
        <f>VLOOKUP(E296,ages_through_list!A:C,3)</f>
        <v>5 лет</v>
      </c>
      <c r="G296" s="7">
        <v>5</v>
      </c>
      <c r="H296" s="30" t="str">
        <f>VLOOKUP(G296,routes_of_administration_list!A:B,2)</f>
        <v>внутримышечно в дельтовидную мышцу</v>
      </c>
      <c r="I296" s="8"/>
      <c r="J296" s="11">
        <v>45083</v>
      </c>
      <c r="K296" s="58"/>
    </row>
    <row r="297" spans="1:11">
      <c r="A297" s="7">
        <v>114</v>
      </c>
      <c r="B297" s="8" t="str">
        <f>VLOOKUP(A297,vaccines!A:B,2)</f>
        <v>Encepur_0_25</v>
      </c>
      <c r="C297" s="7">
        <v>12</v>
      </c>
      <c r="D297" s="8" t="str">
        <f>VLOOKUP(C297,ages_from_list!A:C,3)</f>
        <v>6 лет</v>
      </c>
      <c r="E297" s="7">
        <v>23</v>
      </c>
      <c r="F297" s="8" t="str">
        <f>VLOOKUP(E297,ages_through_list!A:C,3)</f>
        <v>11 лет</v>
      </c>
      <c r="G297" s="7">
        <v>3</v>
      </c>
      <c r="H297" s="30" t="str">
        <f>VLOOKUP(G297,routes_of_administration_list!A:B,2)</f>
        <v>внутримышечно в дельтовидную мышцу</v>
      </c>
      <c r="I297" s="8"/>
      <c r="J297" s="11">
        <v>45083</v>
      </c>
      <c r="K297" s="58"/>
    </row>
    <row r="298" spans="1:11">
      <c r="A298" s="7">
        <v>114</v>
      </c>
      <c r="B298" s="8" t="str">
        <f>VLOOKUP(A298,vaccines!A:B,2)</f>
        <v>Encepur_0_25</v>
      </c>
      <c r="C298" s="7">
        <v>8</v>
      </c>
      <c r="D298" s="8" t="str">
        <f>VLOOKUP(C298,ages_from_list!A:C,3)</f>
        <v>12 месяцев</v>
      </c>
      <c r="E298" s="7">
        <v>14</v>
      </c>
      <c r="F298" s="8" t="str">
        <f>VLOOKUP(E298,ages_through_list!A:C,3)</f>
        <v>24 месяцев (2 лет)</v>
      </c>
      <c r="G298" s="7">
        <v>1</v>
      </c>
      <c r="H298" s="30" t="str">
        <f>VLOOKUP(G298,routes_of_administration_list!A:B,2)</f>
        <v>внутримышечно в передненаружную область бедра</v>
      </c>
      <c r="I298" s="8"/>
      <c r="J298" s="11">
        <v>45083</v>
      </c>
      <c r="K298" s="58"/>
    </row>
    <row r="299" spans="1:11">
      <c r="A299" s="7">
        <v>114</v>
      </c>
      <c r="B299" s="8" t="str">
        <f>VLOOKUP(A299,vaccines!A:B,2)</f>
        <v>Encepur_0_25</v>
      </c>
      <c r="C299" s="7">
        <v>8</v>
      </c>
      <c r="D299" s="8" t="str">
        <f>VLOOKUP(C299,ages_from_list!A:C,3)</f>
        <v>12 месяцев</v>
      </c>
      <c r="E299" s="7">
        <v>14</v>
      </c>
      <c r="F299" s="8" t="str">
        <f>VLOOKUP(E299,ages_through_list!A:C,3)</f>
        <v>24 месяцев (2 лет)</v>
      </c>
      <c r="G299" s="7">
        <v>9</v>
      </c>
      <c r="H299" s="30" t="str">
        <f>VLOOKUP(G299,routes_of_administration_list!A:B,2)</f>
        <v>подкожно в область бедра</v>
      </c>
      <c r="I299" s="8"/>
      <c r="J299" s="11">
        <v>45085</v>
      </c>
      <c r="K299" s="58"/>
    </row>
    <row r="300" spans="1:11">
      <c r="A300" s="7">
        <v>114</v>
      </c>
      <c r="B300" s="8" t="str">
        <f>VLOOKUP(A300,vaccines!A:B,2)</f>
        <v>Encepur_0_25</v>
      </c>
      <c r="C300" s="7">
        <v>19</v>
      </c>
      <c r="D300" s="8" t="str">
        <f>VLOOKUP(C300,ages_from_list!A:C,3)</f>
        <v>25 месяцев (2 лет 1 месяца)</v>
      </c>
      <c r="E300" s="7">
        <v>23</v>
      </c>
      <c r="F300" s="8" t="str">
        <f>VLOOKUP(E300,ages_through_list!A:C,3)</f>
        <v>11 лет</v>
      </c>
      <c r="G300" s="7">
        <v>16</v>
      </c>
      <c r="H300" s="30" t="str">
        <f>VLOOKUP(G300,routes_of_administration_list!A:B,2)</f>
        <v>подкожно в верхнюю треть плеча</v>
      </c>
      <c r="I300" s="8"/>
      <c r="J300" s="11">
        <v>45085</v>
      </c>
      <c r="K300" s="58"/>
    </row>
    <row r="301" spans="1:11">
      <c r="A301" s="7">
        <v>115</v>
      </c>
      <c r="B301" s="8" t="str">
        <f>VLOOKUP(A301,vaccines!A:B,2)</f>
        <v>Encepur_0_5</v>
      </c>
      <c r="C301" s="7">
        <v>15</v>
      </c>
      <c r="D301" s="8" t="str">
        <f>VLOOKUP(C301,ages_from_list!A:C,3)</f>
        <v>12 лет</v>
      </c>
      <c r="E301" s="7">
        <v>13</v>
      </c>
      <c r="F301" s="8" t="str">
        <f>VLOOKUP(E301,ages_through_list!A:C,3)</f>
        <v>∞</v>
      </c>
      <c r="G301" s="7">
        <v>3</v>
      </c>
      <c r="H301" s="30" t="str">
        <f>VLOOKUP(G301,routes_of_administration_list!A:B,2)</f>
        <v>внутримышечно в дельтовидную мышцу</v>
      </c>
      <c r="I301" s="8"/>
      <c r="J301" s="11">
        <v>45083</v>
      </c>
      <c r="K301" s="58"/>
    </row>
    <row r="302" spans="1:11">
      <c r="A302" s="7">
        <v>115</v>
      </c>
      <c r="B302" s="8" t="str">
        <f>VLOOKUP(A302,vaccines!A:B,2)</f>
        <v>Encepur_0_5</v>
      </c>
      <c r="C302" s="7">
        <v>15</v>
      </c>
      <c r="D302" s="8" t="str">
        <f>VLOOKUP(C302,ages_from_list!A:C,3)</f>
        <v>12 лет</v>
      </c>
      <c r="E302" s="7">
        <v>13</v>
      </c>
      <c r="F302" s="8" t="str">
        <f>VLOOKUP(E302,ages_through_list!A:C,3)</f>
        <v>∞</v>
      </c>
      <c r="G302" s="7">
        <v>16</v>
      </c>
      <c r="H302" s="30" t="str">
        <f>VLOOKUP(G302,routes_of_administration_list!A:B,2)</f>
        <v>подкожно в верхнюю треть плеча</v>
      </c>
      <c r="I302" s="8"/>
      <c r="J302" s="11">
        <v>45083</v>
      </c>
      <c r="K302" s="58"/>
    </row>
    <row r="303" spans="1:11">
      <c r="A303" s="7">
        <v>116</v>
      </c>
      <c r="B303" s="8" t="str">
        <f>VLOOKUP(A303,vaccines!A:B,2)</f>
        <v>Poliovaccine</v>
      </c>
      <c r="C303" s="7">
        <v>1</v>
      </c>
      <c r="D303" s="8" t="str">
        <f>VLOOKUP(C303,ages_from_list!A:C,3)</f>
        <v>0 дней</v>
      </c>
      <c r="E303" s="7">
        <v>14</v>
      </c>
      <c r="F303" s="8" t="str">
        <f>VLOOKUP(E303,ages_through_list!A:C,3)</f>
        <v>24 месяцев (2 лет)</v>
      </c>
      <c r="G303" s="7">
        <v>1</v>
      </c>
      <c r="H303" s="30" t="str">
        <f>VLOOKUP(G303,routes_of_administration_list!A:B,2)</f>
        <v>внутримышечно в передненаружную область бедра</v>
      </c>
      <c r="I303" s="8"/>
      <c r="J303" s="11">
        <v>45083</v>
      </c>
      <c r="K303" s="58"/>
    </row>
    <row r="304" spans="1:11">
      <c r="A304" s="7">
        <v>116</v>
      </c>
      <c r="B304" s="8" t="str">
        <f>VLOOKUP(A304,vaccines!A:B,2)</f>
        <v>Poliovaccine</v>
      </c>
      <c r="C304" s="7">
        <v>19</v>
      </c>
      <c r="D304" s="8" t="str">
        <f>VLOOKUP(C304,ages_from_list!A:C,3)</f>
        <v>25 месяцев (2 лет 1 месяца)</v>
      </c>
      <c r="E304" s="7">
        <v>3</v>
      </c>
      <c r="F304" s="8" t="str">
        <f>VLOOKUP(E304,ages_through_list!A:C,3)</f>
        <v>3 лет 11 месяцев</v>
      </c>
      <c r="G304" s="7">
        <v>4</v>
      </c>
      <c r="H304" s="30" t="str">
        <f>VLOOKUP(G304,routes_of_administration_list!A:B,2)</f>
        <v>внутримышечно в дельтовидную мышцу</v>
      </c>
      <c r="I304" s="8"/>
      <c r="J304" s="11">
        <v>45083</v>
      </c>
      <c r="K304" s="58"/>
    </row>
    <row r="305" spans="1:11">
      <c r="A305" s="7">
        <v>116</v>
      </c>
      <c r="B305" s="8" t="str">
        <f>VLOOKUP(A305,vaccines!A:B,2)</f>
        <v>Poliovaccine</v>
      </c>
      <c r="C305" s="7">
        <v>11</v>
      </c>
      <c r="D305" s="8" t="str">
        <f>VLOOKUP(C305,ages_from_list!A:C,3)</f>
        <v>4 лет</v>
      </c>
      <c r="E305" s="7">
        <v>4</v>
      </c>
      <c r="F305" s="8" t="str">
        <f>VLOOKUP(E305,ages_through_list!A:C,3)</f>
        <v>5 лет</v>
      </c>
      <c r="G305" s="7">
        <v>5</v>
      </c>
      <c r="H305" s="30" t="str">
        <f>VLOOKUP(G305,routes_of_administration_list!A:B,2)</f>
        <v>внутримышечно в дельтовидную мышцу</v>
      </c>
      <c r="I305" s="8"/>
      <c r="J305" s="11">
        <v>45083</v>
      </c>
      <c r="K305" s="58"/>
    </row>
    <row r="306" spans="1:11">
      <c r="A306" s="7">
        <v>116</v>
      </c>
      <c r="B306" s="8" t="str">
        <f>VLOOKUP(A306,vaccines!A:B,2)</f>
        <v>Poliovaccine</v>
      </c>
      <c r="C306" s="7">
        <v>12</v>
      </c>
      <c r="D306" s="8" t="str">
        <f>VLOOKUP(C306,ages_from_list!A:C,3)</f>
        <v>6 лет</v>
      </c>
      <c r="E306" s="7">
        <v>13</v>
      </c>
      <c r="F306" s="8" t="str">
        <f>VLOOKUP(E306,ages_through_list!A:C,3)</f>
        <v>∞</v>
      </c>
      <c r="G306" s="7">
        <v>3</v>
      </c>
      <c r="H306" s="30" t="str">
        <f>VLOOKUP(G306,routes_of_administration_list!A:B,2)</f>
        <v>внутримышечно в дельтовидную мышцу</v>
      </c>
      <c r="I306" s="8"/>
      <c r="J306" s="11">
        <v>45083</v>
      </c>
      <c r="K306" s="58"/>
    </row>
    <row r="307" spans="1:11">
      <c r="A307" s="7">
        <v>117</v>
      </c>
      <c r="B307" s="8" t="str">
        <f>VLOOKUP(A307,vaccines!A:B,2)</f>
        <v>Act_Hib</v>
      </c>
      <c r="C307" s="7">
        <v>4</v>
      </c>
      <c r="D307" s="8" t="str">
        <f>VLOOKUP(C307,ages_from_list!A:C,3)</f>
        <v>3 месяцев</v>
      </c>
      <c r="E307" s="7">
        <v>14</v>
      </c>
      <c r="F307" s="8" t="str">
        <f>VLOOKUP(E307,ages_through_list!A:C,3)</f>
        <v>24 месяцев (2 лет)</v>
      </c>
      <c r="G307" s="7">
        <v>1</v>
      </c>
      <c r="H307" s="30" t="str">
        <f>VLOOKUP(G307,routes_of_administration_list!A:B,2)</f>
        <v>внутримышечно в передненаружную область бедра</v>
      </c>
      <c r="I307" s="8"/>
      <c r="J307" s="11">
        <v>45084</v>
      </c>
      <c r="K307" s="58"/>
    </row>
    <row r="308" spans="1:11">
      <c r="A308" s="7">
        <v>117</v>
      </c>
      <c r="B308" s="8" t="str">
        <f>VLOOKUP(A308,vaccines!A:B,2)</f>
        <v>Act_Hib</v>
      </c>
      <c r="C308" s="7">
        <v>4</v>
      </c>
      <c r="D308" s="8" t="str">
        <f>VLOOKUP(C308,ages_from_list!A:C,3)</f>
        <v>3 месяцев</v>
      </c>
      <c r="E308" s="7">
        <v>14</v>
      </c>
      <c r="F308" s="8" t="str">
        <f>VLOOKUP(E308,ages_through_list!A:C,3)</f>
        <v>24 месяцев (2 лет)</v>
      </c>
      <c r="G308" s="7">
        <v>9</v>
      </c>
      <c r="H308" s="30" t="str">
        <f>VLOOKUP(G308,routes_of_administration_list!A:B,2)</f>
        <v>подкожно в область бедра</v>
      </c>
      <c r="I308" s="8"/>
      <c r="J308" s="11">
        <v>45084</v>
      </c>
      <c r="K308" s="58"/>
    </row>
    <row r="309" spans="1:11">
      <c r="A309" s="7">
        <v>117</v>
      </c>
      <c r="B309" s="8" t="str">
        <f>VLOOKUP(A309,vaccines!A:B,2)</f>
        <v>Act_Hib</v>
      </c>
      <c r="C309" s="7">
        <v>19</v>
      </c>
      <c r="D309" s="8" t="str">
        <f>VLOOKUP(C309,ages_from_list!A:C,3)</f>
        <v>25 месяцев (2 лет 1 месяца)</v>
      </c>
      <c r="E309" s="7">
        <v>3</v>
      </c>
      <c r="F309" s="8" t="str">
        <f>VLOOKUP(E309,ages_through_list!A:C,3)</f>
        <v>3 лет 11 месяцев</v>
      </c>
      <c r="G309" s="7">
        <v>4</v>
      </c>
      <c r="H309" s="30" t="str">
        <f>VLOOKUP(G309,routes_of_administration_list!A:B,2)</f>
        <v>внутримышечно в дельтовидную мышцу</v>
      </c>
      <c r="I309" s="8"/>
      <c r="J309" s="11">
        <v>45084</v>
      </c>
      <c r="K309" s="58"/>
    </row>
    <row r="310" spans="1:11">
      <c r="A310" s="7">
        <v>117</v>
      </c>
      <c r="B310" s="8" t="str">
        <f>VLOOKUP(A310,vaccines!A:B,2)</f>
        <v>Act_Hib</v>
      </c>
      <c r="C310" s="7">
        <v>11</v>
      </c>
      <c r="D310" s="8" t="str">
        <f>VLOOKUP(C310,ages_from_list!A:C,3)</f>
        <v>4 лет</v>
      </c>
      <c r="E310" s="7">
        <v>4</v>
      </c>
      <c r="F310" s="8" t="str">
        <f>VLOOKUP(E310,ages_through_list!A:C,3)</f>
        <v>5 лет</v>
      </c>
      <c r="G310" s="7">
        <v>5</v>
      </c>
      <c r="H310" s="30" t="str">
        <f>VLOOKUP(G310,routes_of_administration_list!A:B,2)</f>
        <v>внутримышечно в дельтовидную мышцу</v>
      </c>
      <c r="I310" s="8"/>
      <c r="J310" s="11">
        <v>45084</v>
      </c>
      <c r="K310" s="58"/>
    </row>
    <row r="311" spans="1:11">
      <c r="A311" s="7">
        <v>117</v>
      </c>
      <c r="B311" s="8" t="str">
        <f>VLOOKUP(A311,vaccines!A:B,2)</f>
        <v>Act_Hib</v>
      </c>
      <c r="C311" s="7">
        <v>19</v>
      </c>
      <c r="D311" s="8" t="str">
        <f>VLOOKUP(C311,ages_from_list!A:C,3)</f>
        <v>25 месяцев (2 лет 1 месяца)</v>
      </c>
      <c r="E311" s="7">
        <v>4</v>
      </c>
      <c r="F311" s="8" t="str">
        <f>VLOOKUP(E311,ages_through_list!A:C,3)</f>
        <v>5 лет</v>
      </c>
      <c r="G311" s="7">
        <v>16</v>
      </c>
      <c r="H311" s="30" t="str">
        <f>VLOOKUP(G311,routes_of_administration_list!A:B,2)</f>
        <v>подкожно в верхнюю треть плеча</v>
      </c>
      <c r="I311" s="8"/>
      <c r="J311" s="11">
        <v>45084</v>
      </c>
      <c r="K311" s="58"/>
    </row>
    <row r="312" spans="1:11">
      <c r="A312" s="7">
        <v>118</v>
      </c>
      <c r="B312" s="8" t="str">
        <f>VLOOKUP(A312,vaccines!A:B,2)</f>
        <v>Hiberix</v>
      </c>
      <c r="C312" s="7">
        <v>4</v>
      </c>
      <c r="D312" s="8" t="str">
        <f>VLOOKUP(C312,ages_from_list!A:C,3)</f>
        <v>3 месяцев</v>
      </c>
      <c r="E312" s="7">
        <v>20</v>
      </c>
      <c r="F312" s="8" t="str">
        <f>VLOOKUP(E312,ages_through_list!A:C,3)</f>
        <v>11 месяцев</v>
      </c>
      <c r="G312" s="7">
        <v>1</v>
      </c>
      <c r="H312" s="30" t="str">
        <f>VLOOKUP(G312,routes_of_administration_list!A:B,2)</f>
        <v>внутримышечно в передненаружную область бедра</v>
      </c>
      <c r="I312" s="8"/>
      <c r="J312" s="11">
        <v>45085</v>
      </c>
      <c r="K312" s="58"/>
    </row>
    <row r="313" spans="1:11">
      <c r="A313" s="7">
        <v>118</v>
      </c>
      <c r="B313" s="8" t="str">
        <f>VLOOKUP(A313,vaccines!A:B,2)</f>
        <v>Hiberix</v>
      </c>
      <c r="C313" s="7">
        <v>8</v>
      </c>
      <c r="D313" s="8" t="str">
        <f>VLOOKUP(C313,ages_from_list!A:C,3)</f>
        <v>12 месяцев</v>
      </c>
      <c r="E313" s="7">
        <v>3</v>
      </c>
      <c r="F313" s="8" t="str">
        <f>VLOOKUP(E313,ages_through_list!A:C,3)</f>
        <v>3 лет 11 месяцев</v>
      </c>
      <c r="G313" s="7">
        <v>4</v>
      </c>
      <c r="H313" s="30" t="str">
        <f>VLOOKUP(G313,routes_of_administration_list!A:B,2)</f>
        <v>внутримышечно в дельтовидную мышцу</v>
      </c>
      <c r="I313" s="8"/>
      <c r="J313" s="11">
        <v>45085</v>
      </c>
      <c r="K313" s="58"/>
    </row>
    <row r="314" spans="1:11">
      <c r="A314" s="7">
        <v>118</v>
      </c>
      <c r="B314" s="8" t="str">
        <f>VLOOKUP(A314,vaccines!A:B,2)</f>
        <v>Hiberix</v>
      </c>
      <c r="C314" s="7">
        <v>11</v>
      </c>
      <c r="D314" s="8" t="str">
        <f>VLOOKUP(C314,ages_from_list!A:C,3)</f>
        <v>4 лет</v>
      </c>
      <c r="E314" s="7">
        <v>4</v>
      </c>
      <c r="F314" s="8" t="str">
        <f>VLOOKUP(E314,ages_through_list!A:C,3)</f>
        <v>5 лет</v>
      </c>
      <c r="G314" s="7">
        <v>5</v>
      </c>
      <c r="H314" s="30" t="str">
        <f>VLOOKUP(G314,routes_of_administration_list!A:B,2)</f>
        <v>внутримышечно в дельтовидную мышцу</v>
      </c>
      <c r="I314" s="8"/>
      <c r="J314" s="11">
        <v>45085</v>
      </c>
      <c r="K314" s="58"/>
    </row>
    <row r="315" spans="1:11">
      <c r="A315" s="7">
        <v>118</v>
      </c>
      <c r="B315" s="8" t="str">
        <f>VLOOKUP(A315,vaccines!A:B,2)</f>
        <v>Hiberix</v>
      </c>
      <c r="C315" s="7">
        <v>4</v>
      </c>
      <c r="D315" s="8" t="str">
        <f>VLOOKUP(C315,ages_from_list!A:C,3)</f>
        <v>3 месяцев</v>
      </c>
      <c r="E315" s="7">
        <v>20</v>
      </c>
      <c r="F315" s="8" t="str">
        <f>VLOOKUP(E315,ages_through_list!A:C,3)</f>
        <v>11 месяцев</v>
      </c>
      <c r="G315" s="7">
        <v>9</v>
      </c>
      <c r="H315" s="30" t="str">
        <f>VLOOKUP(G315,routes_of_administration_list!A:B,2)</f>
        <v>подкожно в область бедра</v>
      </c>
      <c r="I315" s="8"/>
      <c r="J315" s="11">
        <v>45085</v>
      </c>
      <c r="K315" s="58"/>
    </row>
    <row r="316" spans="1:11">
      <c r="A316" s="7">
        <v>118</v>
      </c>
      <c r="B316" s="8" t="str">
        <f>VLOOKUP(A316,vaccines!A:B,2)</f>
        <v>Hiberix</v>
      </c>
      <c r="C316" s="7">
        <v>8</v>
      </c>
      <c r="D316" s="8" t="str">
        <f>VLOOKUP(C316,ages_from_list!A:C,3)</f>
        <v>12 месяцев</v>
      </c>
      <c r="E316" s="7">
        <v>4</v>
      </c>
      <c r="F316" s="8" t="str">
        <f>VLOOKUP(E316,ages_through_list!A:C,3)</f>
        <v>5 лет</v>
      </c>
      <c r="G316" s="7">
        <v>16</v>
      </c>
      <c r="H316" s="30" t="str">
        <f>VLOOKUP(G316,routes_of_administration_list!A:B,2)</f>
        <v>подкожно в верхнюю треть плеча</v>
      </c>
      <c r="I316" s="8"/>
      <c r="J316" s="11">
        <v>45085</v>
      </c>
      <c r="K316" s="58"/>
    </row>
    <row r="317" spans="1:11">
      <c r="A317" s="7">
        <v>119</v>
      </c>
      <c r="B317" s="8" t="str">
        <f>VLOOKUP(A317,vaccines!A:B,2)</f>
        <v>FSME_Immun_Junior</v>
      </c>
      <c r="C317" s="7">
        <v>8</v>
      </c>
      <c r="D317" s="8" t="str">
        <f>VLOOKUP(C317,ages_from_list!A:C,3)</f>
        <v>12 месяцев</v>
      </c>
      <c r="E317" s="7">
        <v>16</v>
      </c>
      <c r="F317" s="8" t="str">
        <f>VLOOKUP(E317,ages_through_list!A:C,3)</f>
        <v>18 месяцев</v>
      </c>
      <c r="G317" s="7">
        <v>1</v>
      </c>
      <c r="H317" s="30" t="str">
        <f>VLOOKUP(G317,routes_of_administration_list!A:B,2)</f>
        <v>внутримышечно в передненаружную область бедра</v>
      </c>
      <c r="I317" s="8"/>
      <c r="J317" s="11">
        <v>45085</v>
      </c>
      <c r="K317" s="58"/>
    </row>
    <row r="318" spans="1:11">
      <c r="A318" s="7">
        <v>119</v>
      </c>
      <c r="B318" s="8" t="str">
        <f>VLOOKUP(A318,vaccines!A:B,2)</f>
        <v>FSME_Immun_Junior</v>
      </c>
      <c r="C318" s="7">
        <v>21</v>
      </c>
      <c r="D318" s="8" t="str">
        <f>VLOOKUP(C318,ages_from_list!A:C,3)</f>
        <v>1 года 7 месяцев</v>
      </c>
      <c r="E318" s="7">
        <v>3</v>
      </c>
      <c r="F318" s="8" t="str">
        <f>VLOOKUP(E318,ages_through_list!A:C,3)</f>
        <v>3 лет 11 месяцев</v>
      </c>
      <c r="G318" s="7">
        <v>4</v>
      </c>
      <c r="H318" s="30" t="str">
        <f>VLOOKUP(G318,routes_of_administration_list!A:B,2)</f>
        <v>внутримышечно в дельтовидную мышцу</v>
      </c>
      <c r="I318" s="8"/>
      <c r="J318" s="11">
        <v>45085</v>
      </c>
      <c r="K318" s="58"/>
    </row>
    <row r="319" spans="1:11">
      <c r="A319" s="7">
        <v>119</v>
      </c>
      <c r="B319" s="8" t="str">
        <f>VLOOKUP(A319,vaccines!A:B,2)</f>
        <v>FSME_Immun_Junior</v>
      </c>
      <c r="C319" s="7">
        <v>11</v>
      </c>
      <c r="D319" s="8" t="str">
        <f>VLOOKUP(C319,ages_from_list!A:C,3)</f>
        <v>4 лет</v>
      </c>
      <c r="E319" s="7">
        <v>4</v>
      </c>
      <c r="F319" s="8" t="str">
        <f>VLOOKUP(E319,ages_through_list!A:C,3)</f>
        <v>5 лет</v>
      </c>
      <c r="G319" s="7">
        <v>5</v>
      </c>
      <c r="H319" s="30" t="str">
        <f>VLOOKUP(G319,routes_of_administration_list!A:B,2)</f>
        <v>внутримышечно в дельтовидную мышцу</v>
      </c>
      <c r="I319" s="8"/>
      <c r="J319" s="11">
        <v>45085</v>
      </c>
      <c r="K319" s="58"/>
    </row>
    <row r="320" spans="1:11">
      <c r="A320" s="7">
        <v>119</v>
      </c>
      <c r="B320" s="8" t="str">
        <f>VLOOKUP(A320,vaccines!A:B,2)</f>
        <v>FSME_Immun_Junior</v>
      </c>
      <c r="C320" s="7">
        <v>12</v>
      </c>
      <c r="D320" s="8" t="str">
        <f>VLOOKUP(C320,ages_from_list!A:C,3)</f>
        <v>6 лет</v>
      </c>
      <c r="E320" s="7">
        <v>5</v>
      </c>
      <c r="F320" s="8" t="str">
        <f>VLOOKUP(E320,ages_through_list!A:C,3)</f>
        <v>15 лет</v>
      </c>
      <c r="G320" s="7">
        <v>3</v>
      </c>
      <c r="H320" s="30" t="str">
        <f>VLOOKUP(G320,routes_of_administration_list!A:B,2)</f>
        <v>внутримышечно в дельтовидную мышцу</v>
      </c>
      <c r="I320" s="8"/>
      <c r="J320" s="11">
        <v>45085</v>
      </c>
      <c r="K320" s="58"/>
    </row>
    <row r="321" spans="1:11">
      <c r="A321" s="7">
        <v>120</v>
      </c>
      <c r="B321" s="8" t="str">
        <f>VLOOKUP(A321,vaccines!A:B,2)</f>
        <v>FSME_Immun</v>
      </c>
      <c r="C321" s="7">
        <v>17</v>
      </c>
      <c r="D321" s="8" t="str">
        <f>VLOOKUP(C321,ages_from_list!A:C,3)</f>
        <v>16 лет</v>
      </c>
      <c r="E321" s="7">
        <v>13</v>
      </c>
      <c r="F321" s="8" t="str">
        <f>VLOOKUP(E321,ages_through_list!A:C,3)</f>
        <v>∞</v>
      </c>
      <c r="G321" s="7">
        <v>3</v>
      </c>
      <c r="H321" s="30" t="str">
        <f>VLOOKUP(G321,routes_of_administration_list!A:B,2)</f>
        <v>внутримышечно в дельтовидную мышцу</v>
      </c>
      <c r="I321" s="8"/>
      <c r="J321" s="11">
        <v>45085</v>
      </c>
      <c r="K321" s="58"/>
    </row>
    <row r="322" spans="1:11">
      <c r="A322" s="7">
        <v>121</v>
      </c>
      <c r="B322" s="8" t="str">
        <f>VLOOKUP(A322,vaccines!A:B,2)</f>
        <v>SciBiVac</v>
      </c>
      <c r="C322" s="7">
        <v>18</v>
      </c>
      <c r="D322" s="8" t="str">
        <f>VLOOKUP(C322,ages_from_list!A:C,3)</f>
        <v>18 лет</v>
      </c>
      <c r="E322" s="7">
        <v>13</v>
      </c>
      <c r="F322" s="8" t="str">
        <f>VLOOKUP(E322,ages_through_list!A:C,3)</f>
        <v>∞</v>
      </c>
      <c r="G322" s="7">
        <v>3</v>
      </c>
      <c r="H322" s="30" t="str">
        <f>VLOOKUP(G322,routes_of_administration_list!A:B,2)</f>
        <v>внутримышечно в дельтовидную мышцу</v>
      </c>
      <c r="I322" s="8"/>
      <c r="J322" s="11">
        <v>45085</v>
      </c>
      <c r="K322" s="58"/>
    </row>
    <row r="323" spans="1:11">
      <c r="A323" s="7">
        <v>122</v>
      </c>
      <c r="B323" s="8" t="str">
        <f>VLOOKUP(A323,vaccines!A:B,2)</f>
        <v>Pentavaccina</v>
      </c>
      <c r="C323" s="7">
        <v>5</v>
      </c>
      <c r="D323" s="8" t="str">
        <f>VLOOKUP(C323,ages_from_list!A:C,3)</f>
        <v>6 месяцев</v>
      </c>
      <c r="E323" s="54">
        <v>24</v>
      </c>
      <c r="F323" s="8" t="str">
        <f>VLOOKUP(E323,ages_through_list!A:C,3)</f>
        <v>6 месяцев</v>
      </c>
      <c r="G323" s="7">
        <v>1</v>
      </c>
      <c r="H323" s="30" t="str">
        <f>VLOOKUP(G323,routes_of_administration_list!A:B,2)</f>
        <v>внутримышечно в передненаружную область бедра</v>
      </c>
      <c r="I323" s="8"/>
      <c r="J323" s="11">
        <v>45105</v>
      </c>
      <c r="K323" s="57">
        <v>45460</v>
      </c>
    </row>
    <row r="324" spans="1:11">
      <c r="A324" s="29">
        <v>123</v>
      </c>
      <c r="B324" s="8" t="str">
        <f>VLOOKUP(A324,vaccines!A:B,2)</f>
        <v>Vitagerpavac</v>
      </c>
      <c r="C324" s="29">
        <v>1</v>
      </c>
      <c r="D324" s="8" t="str">
        <f>VLOOKUP(C324,ages_from_list!A:C,3)</f>
        <v>0 дней</v>
      </c>
      <c r="E324" s="29">
        <v>13</v>
      </c>
      <c r="F324" s="8" t="str">
        <f>VLOOKUP(E324,ages_through_list!A:C,3)</f>
        <v>∞</v>
      </c>
      <c r="G324" s="29">
        <v>17</v>
      </c>
      <c r="H324" s="30" t="str">
        <f>VLOOKUP(G324,routes_of_administration_list!A:B,2)</f>
        <v>внутрикожно во внутреннюю поверхность предплечья</v>
      </c>
      <c r="J324" s="40">
        <v>45169</v>
      </c>
    </row>
    <row r="325" spans="1:11">
      <c r="A325" s="29">
        <v>124</v>
      </c>
      <c r="B325" s="8" t="str">
        <f>VLOOKUP(A325,vaccines!A:B,2)</f>
        <v>Shingrix</v>
      </c>
      <c r="C325" s="29">
        <v>18</v>
      </c>
      <c r="D325" s="8" t="str">
        <f>VLOOKUP(C325,ages_from_list!A:C,3)</f>
        <v>18 лет</v>
      </c>
      <c r="E325" s="29">
        <v>13</v>
      </c>
      <c r="F325" s="8" t="str">
        <f>VLOOKUP(E325,ages_through_list!A:C,3)</f>
        <v>∞</v>
      </c>
      <c r="G325" s="29">
        <v>3</v>
      </c>
      <c r="H325" s="30" t="str">
        <f>VLOOKUP(G325,routes_of_administration_list!A:B,2)</f>
        <v>внутримышечно в дельтовидную мышцу</v>
      </c>
      <c r="J325" s="40">
        <v>45377</v>
      </c>
    </row>
    <row r="326" spans="1:11">
      <c r="A326" s="29">
        <v>125</v>
      </c>
      <c r="B326" s="8" t="str">
        <f>VLOOKUP(A326,vaccines!A:B,2)</f>
        <v>Trivaid</v>
      </c>
      <c r="C326" s="29">
        <v>8</v>
      </c>
      <c r="D326" s="8" t="str">
        <f>VLOOKUP(C326,ages_from_list!A:C,3)</f>
        <v>12 месяцев</v>
      </c>
      <c r="E326" s="29">
        <v>13</v>
      </c>
      <c r="F326" s="8" t="str">
        <f>VLOOKUP(E326,ages_through_list!A:C,3)</f>
        <v>∞</v>
      </c>
      <c r="G326" s="29">
        <v>7</v>
      </c>
      <c r="H326" s="30" t="str">
        <f>VLOOKUP(G326,routes_of_administration_list!A:B,2)</f>
        <v>подкожно между нижней и средней третью плеча</v>
      </c>
      <c r="J326" s="40">
        <v>45436</v>
      </c>
      <c r="K326" s="60">
        <v>46053</v>
      </c>
    </row>
    <row r="327" spans="1:11">
      <c r="A327" s="29">
        <v>125</v>
      </c>
      <c r="B327" s="8" t="str">
        <f>VLOOKUP(A327,vaccines!A:B,2)</f>
        <v>Trivaid</v>
      </c>
      <c r="C327" s="29">
        <v>8</v>
      </c>
      <c r="D327" s="8" t="str">
        <f>VLOOKUP(C327,ages_from_list!A:C,3)</f>
        <v>12 месяцев</v>
      </c>
      <c r="E327" s="29">
        <v>13</v>
      </c>
      <c r="F327" s="8" t="str">
        <f>VLOOKUP(E327,ages_through_list!A:C,3)</f>
        <v>∞</v>
      </c>
      <c r="G327" s="29">
        <v>9</v>
      </c>
      <c r="H327" s="30" t="str">
        <f>VLOOKUP(G327,routes_of_administration_list!A:B,2)</f>
        <v>подкожно в область бедра</v>
      </c>
      <c r="J327" s="40">
        <v>45436</v>
      </c>
      <c r="K327" s="60">
        <v>46053</v>
      </c>
    </row>
    <row r="328" spans="1:11">
      <c r="A328" s="29">
        <v>126</v>
      </c>
      <c r="B328" s="8" t="str">
        <f>VLOOKUP(A328,vaccines!A:B,2)</f>
        <v>BabyHib</v>
      </c>
      <c r="C328" s="29">
        <v>4</v>
      </c>
      <c r="D328" s="8" t="str">
        <f>VLOOKUP(C328,ages_from_list!A:C,3)</f>
        <v>3 месяцев</v>
      </c>
      <c r="E328" s="29">
        <v>4</v>
      </c>
      <c r="F328" s="8" t="str">
        <f>VLOOKUP(E328,ages_through_list!A:C,3)</f>
        <v>5 лет</v>
      </c>
      <c r="G328" s="29">
        <v>1</v>
      </c>
      <c r="H328" s="30" t="str">
        <f>VLOOKUP(G328,routes_of_administration_list!A:B,2)</f>
        <v>внутримышечно в передненаружную область бедра</v>
      </c>
      <c r="J328" s="40">
        <v>45436</v>
      </c>
      <c r="K328" s="40">
        <v>45988</v>
      </c>
    </row>
    <row r="329" spans="1:11">
      <c r="A329" s="29">
        <v>126</v>
      </c>
      <c r="B329" s="8" t="str">
        <f>VLOOKUP(A329,vaccines!A:B,2)</f>
        <v>BabyHib</v>
      </c>
      <c r="C329" s="29">
        <v>19</v>
      </c>
      <c r="D329" s="8" t="str">
        <f>VLOOKUP(C329,ages_from_list!A:C,3)</f>
        <v>25 месяцев (2 лет 1 месяца)</v>
      </c>
      <c r="E329" s="29">
        <v>4</v>
      </c>
      <c r="F329" s="8" t="str">
        <f>VLOOKUP(E329,ages_through_list!A:C,3)</f>
        <v>5 лет</v>
      </c>
      <c r="G329" s="29">
        <v>3</v>
      </c>
      <c r="H329" s="30" t="str">
        <f>VLOOKUP(G329,routes_of_administration_list!A:B,2)</f>
        <v>внутримышечно в дельтовидную мышцу</v>
      </c>
      <c r="J329" s="40">
        <v>45436</v>
      </c>
    </row>
    <row r="330" spans="1:11">
      <c r="A330" s="29">
        <v>127</v>
      </c>
      <c r="B330" s="8" t="str">
        <f>VLOOKUP(A330,vaccines!A:B,2)</f>
        <v>AD_M_Biomed</v>
      </c>
      <c r="C330" s="29">
        <v>12</v>
      </c>
      <c r="D330" s="8" t="str">
        <f>VLOOKUP(C330,ages_from_list!A:C,3)</f>
        <v>6 лет</v>
      </c>
      <c r="E330" s="29">
        <v>15</v>
      </c>
      <c r="F330" s="8" t="str">
        <f>VLOOKUP(E330,ages_through_list!A:C,3)</f>
        <v>7 лет</v>
      </c>
      <c r="G330" s="29">
        <v>1</v>
      </c>
      <c r="H330" s="30" t="str">
        <f>VLOOKUP(G330,routes_of_administration_list!A:B,2)</f>
        <v>внутримышечно в передненаружную область бедра</v>
      </c>
      <c r="I330" s="1" t="s">
        <v>2262</v>
      </c>
      <c r="J330" s="40">
        <v>45461</v>
      </c>
    </row>
    <row r="331" spans="1:11">
      <c r="A331" s="29">
        <v>127</v>
      </c>
      <c r="B331" s="8" t="str">
        <f>VLOOKUP(A331,vaccines!A:B,2)</f>
        <v>AD_M_Biomed</v>
      </c>
      <c r="C331" s="29">
        <v>20</v>
      </c>
      <c r="D331" s="8" t="str">
        <f>VLOOKUP(C331,ages_from_list!A:C,3)</f>
        <v>8 лет</v>
      </c>
      <c r="E331" s="29">
        <v>13</v>
      </c>
      <c r="F331" s="8" t="str">
        <f>VLOOKUP(E331,ages_through_list!A:C,3)</f>
        <v>∞</v>
      </c>
      <c r="G331" s="29">
        <v>8</v>
      </c>
      <c r="H331" s="30" t="str">
        <f>VLOOKUP(G331,routes_of_administration_list!A:B,2)</f>
        <v>подкожно в подлопаточную область</v>
      </c>
      <c r="J331" s="40">
        <v>45461</v>
      </c>
    </row>
    <row r="332" spans="1:11">
      <c r="A332" s="29">
        <v>128</v>
      </c>
      <c r="B332" s="8" t="str">
        <f>VLOOKUP(A332,vaccines!A:B,2)</f>
        <v>AS_D_Microgen</v>
      </c>
      <c r="C332" s="29">
        <v>18</v>
      </c>
      <c r="D332" s="8" t="str">
        <f>VLOOKUP(C332,ages_from_list!A:C,3)</f>
        <v>18 лет</v>
      </c>
      <c r="E332" s="29">
        <v>13</v>
      </c>
      <c r="F332" s="8" t="str">
        <f>VLOOKUP(E332,ages_through_list!A:C,3)</f>
        <v>∞</v>
      </c>
      <c r="G332" s="29">
        <v>8</v>
      </c>
      <c r="H332" s="30" t="str">
        <f>VLOOKUP(G332,routes_of_administration_list!A:B,2)</f>
        <v>подкожно в подлопаточную область</v>
      </c>
      <c r="J332" s="40">
        <v>45461</v>
      </c>
    </row>
    <row r="333" spans="1:11">
      <c r="A333" s="29">
        <v>129</v>
      </c>
      <c r="B333" s="8" t="str">
        <f>VLOOKUP(A333,vaccines!A:B,2)</f>
        <v>Variola</v>
      </c>
      <c r="C333" s="29">
        <v>18</v>
      </c>
      <c r="D333" s="8" t="str">
        <f>VLOOKUP(C333,ages_from_list!A:C,3)</f>
        <v>18 лет</v>
      </c>
      <c r="E333" s="29">
        <v>13</v>
      </c>
      <c r="F333" s="8" t="str">
        <f>VLOOKUP(E333,ages_through_list!A:C,3)</f>
        <v>∞</v>
      </c>
      <c r="G333" s="29">
        <v>12</v>
      </c>
      <c r="H333" s="30" t="str">
        <f>VLOOKUP(G333,routes_of_administration_list!A:B,2)</f>
        <v>накожно</v>
      </c>
      <c r="J333" s="40">
        <v>45461</v>
      </c>
    </row>
    <row r="334" spans="1:11">
      <c r="A334" s="29">
        <v>130</v>
      </c>
      <c r="B334" s="8" t="str">
        <f>VLOOKUP(A334,vaccines!A:B,2)</f>
        <v>AKDS_HepB_Microgen</v>
      </c>
      <c r="C334" s="29">
        <v>4</v>
      </c>
      <c r="D334" s="8" t="str">
        <f>VLOOKUP(C334,ages_from_list!A:C,3)</f>
        <v>3 месяцев</v>
      </c>
      <c r="E334" s="29">
        <v>3</v>
      </c>
      <c r="F334" s="8" t="str">
        <f>VLOOKUP(E334,ages_through_list!A:C,3)</f>
        <v>3 лет 11 месяцев</v>
      </c>
      <c r="G334" s="29">
        <v>1</v>
      </c>
      <c r="H334" s="30" t="str">
        <f>VLOOKUP(G334,routes_of_administration_list!A:B,2)</f>
        <v>внутримышечно в передненаружную область бедра</v>
      </c>
      <c r="J334" s="40">
        <v>45464</v>
      </c>
    </row>
    <row r="335" spans="1:11">
      <c r="A335" s="29">
        <v>131</v>
      </c>
      <c r="B335" s="8" t="str">
        <f>VLOOKUP(A335,vaccines!A:B,2)</f>
        <v>Rickettsia</v>
      </c>
      <c r="C335" s="29">
        <v>18</v>
      </c>
      <c r="D335" s="8" t="str">
        <f>VLOOKUP(C335,ages_from_list!A:C,3)</f>
        <v>18 лет</v>
      </c>
      <c r="E335" s="29">
        <v>11</v>
      </c>
      <c r="F335" s="8" t="str">
        <f>VLOOKUP(E335,ages_through_list!A:C,3)</f>
        <v>60 лет</v>
      </c>
      <c r="G335" s="29">
        <v>8</v>
      </c>
      <c r="H335" s="30" t="str">
        <f>VLOOKUP(G335,routes_of_administration_list!A:B,2)</f>
        <v>подкожно в подлопаточную область</v>
      </c>
      <c r="J335" s="40">
        <v>45464</v>
      </c>
    </row>
    <row r="336" spans="1:11">
      <c r="A336" s="29">
        <v>132</v>
      </c>
      <c r="B336" s="8" t="str">
        <f>VLOOKUP(A336,vaccines!A:B,2)</f>
        <v>OspaVir</v>
      </c>
      <c r="C336" s="29">
        <v>9</v>
      </c>
      <c r="D336" s="8" t="str">
        <f>VLOOKUP(C336,ages_from_list!A:C,3)</f>
        <v>24 месяцев (2 лет)</v>
      </c>
      <c r="E336" s="29">
        <v>13</v>
      </c>
      <c r="F336" s="8" t="str">
        <f>VLOOKUP(E336,ages_through_list!A:C,3)</f>
        <v>∞</v>
      </c>
      <c r="G336" s="29">
        <v>6</v>
      </c>
      <c r="H336" s="30" t="str">
        <f>VLOOKUP(G336,routes_of_administration_list!A:B,2)</f>
        <v>подкожно в область дельтовидной мышцы</v>
      </c>
      <c r="J336" s="40">
        <v>45464</v>
      </c>
    </row>
    <row r="337" spans="1:10">
      <c r="A337" s="29">
        <v>133</v>
      </c>
      <c r="B337" s="8" t="str">
        <f>VLOOKUP(A337,vaccines!A:B,2)</f>
        <v>Gonovaccina_therapeutic</v>
      </c>
      <c r="C337" s="29">
        <v>10</v>
      </c>
      <c r="D337" s="8" t="str">
        <f>VLOOKUP(C337,ages_from_list!A:C,3)</f>
        <v>36 месяцев (3 лет)</v>
      </c>
      <c r="E337" s="29">
        <v>13</v>
      </c>
      <c r="F337" s="8" t="str">
        <f>VLOOKUP(E337,ages_through_list!A:C,3)</f>
        <v>∞</v>
      </c>
      <c r="G337" s="29">
        <v>18</v>
      </c>
      <c r="H337" s="30" t="str">
        <f>VLOOKUP(G337,routes_of_administration_list!A:B,2)</f>
        <v>внутримышечно в верхненаружный квадрант ягодицы</v>
      </c>
      <c r="J337" s="40">
        <v>45464</v>
      </c>
    </row>
    <row r="338" spans="1:10">
      <c r="A338" s="29">
        <v>134</v>
      </c>
      <c r="B338" s="8" t="str">
        <f>VLOOKUP(A338,vaccines!A:B,2)</f>
        <v>OrtopoxVac</v>
      </c>
      <c r="C338" s="29">
        <v>18</v>
      </c>
      <c r="D338" s="8" t="str">
        <f>VLOOKUP(C338,ages_from_list!A:C,3)</f>
        <v>18 лет</v>
      </c>
      <c r="E338" s="29">
        <v>11</v>
      </c>
      <c r="F338" s="8" t="str">
        <f>VLOOKUP(E338,ages_through_list!A:C,3)</f>
        <v>60 лет</v>
      </c>
      <c r="G338" s="29">
        <v>10</v>
      </c>
      <c r="H338" s="30" t="str">
        <f>VLOOKUP(G338,routes_of_administration_list!A:B,2)</f>
        <v>внутрикожно на границе верхней и средней трети левого плеча</v>
      </c>
      <c r="J338" s="40">
        <v>45465</v>
      </c>
    </row>
    <row r="339" spans="1:10">
      <c r="A339" s="29">
        <v>135</v>
      </c>
      <c r="B339" s="8" t="str">
        <f>VLOOKUP(A339,vaccines!A:B,2)</f>
        <v>FlexVac</v>
      </c>
      <c r="C339" s="29">
        <v>18</v>
      </c>
      <c r="D339" s="8" t="str">
        <f>VLOOKUP(C339,ages_from_list!A:C,3)</f>
        <v>18 лет</v>
      </c>
      <c r="E339" s="29">
        <v>13</v>
      </c>
      <c r="F339" s="8" t="str">
        <f>VLOOKUP(E339,ages_through_list!A:C,3)</f>
        <v>∞</v>
      </c>
      <c r="G339" s="29">
        <v>3</v>
      </c>
      <c r="H339" s="30" t="str">
        <f>VLOOKUP(G339,routes_of_administration_list!A:B,2)</f>
        <v>внутримышечно в дельтовидную мышцу</v>
      </c>
      <c r="J339" s="40">
        <v>45465</v>
      </c>
    </row>
    <row r="340" spans="1:10">
      <c r="A340" s="29">
        <v>135</v>
      </c>
      <c r="B340" s="8" t="str">
        <f>VLOOKUP(A340,vaccines!A:B,2)</f>
        <v>FlexVac</v>
      </c>
      <c r="C340" s="29">
        <v>18</v>
      </c>
      <c r="D340" s="8" t="str">
        <f>VLOOKUP(C340,ages_from_list!A:C,3)</f>
        <v>18 лет</v>
      </c>
      <c r="E340" s="29">
        <v>13</v>
      </c>
      <c r="F340" s="8" t="str">
        <f>VLOOKUP(E340,ages_through_list!A:C,3)</f>
        <v>∞</v>
      </c>
      <c r="G340" s="29">
        <v>6</v>
      </c>
      <c r="H340" s="30" t="str">
        <f>VLOOKUP(G340,routes_of_administration_list!A:B,2)</f>
        <v>подкожно в область дельтовидной мышцы</v>
      </c>
      <c r="J340" s="40">
        <v>45465</v>
      </c>
    </row>
    <row r="341" spans="1:10">
      <c r="A341" s="29">
        <v>136</v>
      </c>
      <c r="B341" s="8" t="str">
        <f>VLOOKUP(A341,vaccines!A:B,2)</f>
        <v>SinSaVac</v>
      </c>
      <c r="C341" s="29">
        <v>7</v>
      </c>
      <c r="D341" s="8" t="str">
        <f>VLOOKUP(C341,ages_from_list!A:C,3)</f>
        <v>9 месяцев</v>
      </c>
      <c r="E341" s="29">
        <v>13</v>
      </c>
      <c r="F341" s="8" t="str">
        <f>VLOOKUP(E341,ages_through_list!A:C,3)</f>
        <v>∞</v>
      </c>
      <c r="G341" s="29">
        <v>6</v>
      </c>
      <c r="H341" s="30" t="str">
        <f>VLOOKUP(G341,routes_of_administration_list!A:B,2)</f>
        <v>подкожно в область дельтовидной мышцы</v>
      </c>
      <c r="J341" s="40">
        <v>45465</v>
      </c>
    </row>
    <row r="342" spans="1:10">
      <c r="A342" s="29">
        <v>136</v>
      </c>
      <c r="B342" s="8" t="str">
        <f>VLOOKUP(A342,vaccines!A:B,2)</f>
        <v>SinSaVac</v>
      </c>
      <c r="C342" s="29">
        <v>7</v>
      </c>
      <c r="D342" s="8" t="str">
        <f>VLOOKUP(C342,ages_from_list!A:C,3)</f>
        <v>9 месяцев</v>
      </c>
      <c r="E342" s="29">
        <v>13</v>
      </c>
      <c r="F342" s="8" t="str">
        <f>VLOOKUP(E342,ages_through_list!A:C,3)</f>
        <v>∞</v>
      </c>
      <c r="G342" s="29">
        <v>8</v>
      </c>
      <c r="H342" s="30" t="str">
        <f>VLOOKUP(G342,routes_of_administration_list!A:B,2)</f>
        <v>подкожно в подлопаточную область</v>
      </c>
      <c r="J342" s="40">
        <v>45465</v>
      </c>
    </row>
    <row r="343" spans="1:10">
      <c r="A343" s="29">
        <v>138</v>
      </c>
      <c r="B343" s="8" t="str">
        <f>VLOOKUP(A343,vaccines!A:B,2)</f>
        <v>EpiVacEbola</v>
      </c>
      <c r="C343" s="29">
        <v>18</v>
      </c>
      <c r="D343" s="8" t="str">
        <f>VLOOKUP(C343,ages_from_list!A:C,3)</f>
        <v>18 лет</v>
      </c>
      <c r="E343" s="29">
        <v>13</v>
      </c>
      <c r="F343" s="8" t="str">
        <f>VLOOKUP(E343,ages_through_list!A:C,3)</f>
        <v>∞</v>
      </c>
      <c r="G343" s="29">
        <v>6</v>
      </c>
      <c r="H343" s="30" t="str">
        <f>VLOOKUP(G343,routes_of_administration_list!A:B,2)</f>
        <v>подкожно в область дельтовидной мышцы</v>
      </c>
      <c r="J343" s="40">
        <v>45465</v>
      </c>
    </row>
    <row r="344" spans="1:10">
      <c r="A344" s="29">
        <v>139</v>
      </c>
      <c r="B344" s="8" t="str">
        <f>VLOOKUP(A344,vaccines!A:B,2)</f>
        <v>GamEvac_Combi</v>
      </c>
      <c r="C344" s="29">
        <v>18</v>
      </c>
      <c r="D344" s="8" t="str">
        <f>VLOOKUP(C344,ages_from_list!A:C,3)</f>
        <v>18 лет</v>
      </c>
      <c r="E344" s="29">
        <v>13</v>
      </c>
      <c r="F344" s="8" t="str">
        <f>VLOOKUP(E344,ages_through_list!A:C,3)</f>
        <v>∞</v>
      </c>
      <c r="G344" s="29">
        <v>5</v>
      </c>
      <c r="H344" s="30" t="str">
        <f>VLOOKUP(G344,routes_of_administration_list!A:B,2)</f>
        <v>внутримышечно в дельтовидную мышцу</v>
      </c>
      <c r="J344" s="40">
        <v>46131</v>
      </c>
    </row>
    <row r="345" spans="1:10">
      <c r="A345" s="29">
        <v>139</v>
      </c>
      <c r="B345" s="8" t="str">
        <f>VLOOKUP(A345,vaccines!A:B,2)</f>
        <v>GamEvac_Combi</v>
      </c>
      <c r="C345" s="29">
        <v>18</v>
      </c>
      <c r="D345" s="8" t="str">
        <f>VLOOKUP(C345,ages_from_list!A:C,3)</f>
        <v>18 лет</v>
      </c>
      <c r="E345" s="29">
        <v>13</v>
      </c>
      <c r="F345" s="8" t="str">
        <f>VLOOKUP(E345,ages_through_list!A:C,3)</f>
        <v>∞</v>
      </c>
      <c r="G345" s="29">
        <v>1</v>
      </c>
      <c r="H345" s="30" t="str">
        <f>VLOOKUP(G345,routes_of_administration_list!A:B,2)</f>
        <v>внутримышечно в передненаружную область бедра</v>
      </c>
      <c r="J345" s="40">
        <v>46131</v>
      </c>
    </row>
    <row r="346" spans="1:10">
      <c r="A346" s="29">
        <v>141</v>
      </c>
      <c r="B346" s="8" t="str">
        <f>VLOOKUP(A346,vaccines!A:B,2)</f>
        <v>Staphylococcus_therapeutic_Biomed</v>
      </c>
      <c r="C346" s="29">
        <v>5</v>
      </c>
      <c r="D346" s="8" t="str">
        <f>VLOOKUP(C346,ages_from_list!A:C,3)</f>
        <v>6 месяцев</v>
      </c>
      <c r="E346" s="29">
        <v>13</v>
      </c>
      <c r="F346" s="8" t="str">
        <f>VLOOKUP(E346,ages_through_list!A:C,3)</f>
        <v>∞</v>
      </c>
      <c r="G346" s="29">
        <v>6</v>
      </c>
      <c r="H346" s="30" t="str">
        <f>VLOOKUP(G346,routes_of_administration_list!A:B,2)</f>
        <v>подкожно в область дельтовидной мышцы</v>
      </c>
      <c r="J346" s="40">
        <v>45465</v>
      </c>
    </row>
    <row r="347" spans="1:10">
      <c r="A347" s="29">
        <v>141</v>
      </c>
      <c r="B347" s="8" t="str">
        <f>VLOOKUP(A347,vaccines!A:B,2)</f>
        <v>Staphylococcus_therapeutic_Biomed</v>
      </c>
      <c r="C347" s="29">
        <v>5</v>
      </c>
      <c r="D347" s="8" t="str">
        <f>VLOOKUP(C347,ages_from_list!A:C,3)</f>
        <v>6 месяцев</v>
      </c>
      <c r="E347" s="29">
        <v>13</v>
      </c>
      <c r="F347" s="8" t="str">
        <f>VLOOKUP(E347,ages_through_list!A:C,3)</f>
        <v>∞</v>
      </c>
      <c r="G347" s="29">
        <v>8</v>
      </c>
      <c r="H347" s="30" t="str">
        <f>VLOOKUP(G347,routes_of_administration_list!A:B,2)</f>
        <v>подкожно в подлопаточную область</v>
      </c>
      <c r="J347" s="40">
        <v>45465</v>
      </c>
    </row>
    <row r="348" spans="1:10">
      <c r="A348" s="29">
        <v>142</v>
      </c>
      <c r="B348" s="8" t="str">
        <f>VLOOKUP(A348,vaccines!A:B,2)</f>
        <v>Pseudovac</v>
      </c>
      <c r="C348" s="29">
        <v>24</v>
      </c>
      <c r="D348" s="8" t="str">
        <f>VLOOKUP(C348,ages_from_list!A:C,3)</f>
        <v>1 месяц</v>
      </c>
      <c r="E348" s="29">
        <v>13</v>
      </c>
      <c r="F348" s="8" t="str">
        <f>VLOOKUP(E348,ages_through_list!A:C,3)</f>
        <v>∞</v>
      </c>
      <c r="G348" s="29">
        <v>1</v>
      </c>
      <c r="H348" s="30" t="str">
        <f>VLOOKUP(G348,routes_of_administration_list!A:B,2)</f>
        <v>внутримышечно в передненаружную область бедра</v>
      </c>
      <c r="J348" s="40">
        <v>45466</v>
      </c>
    </row>
    <row r="349" spans="1:10">
      <c r="A349" s="29">
        <v>142</v>
      </c>
      <c r="B349" s="8" t="str">
        <f>VLOOKUP(A349,vaccines!A:B,2)</f>
        <v>Pseudovac</v>
      </c>
      <c r="C349" s="29">
        <v>12</v>
      </c>
      <c r="D349" s="8" t="str">
        <f>VLOOKUP(C349,ages_from_list!A:C,3)</f>
        <v>6 лет</v>
      </c>
      <c r="E349" s="29">
        <v>13</v>
      </c>
      <c r="F349" s="8" t="str">
        <f>VLOOKUP(E349,ages_through_list!A:C,3)</f>
        <v>∞</v>
      </c>
      <c r="G349" s="29">
        <v>3</v>
      </c>
      <c r="H349" s="30" t="str">
        <f>VLOOKUP(G349,routes_of_administration_list!A:B,2)</f>
        <v>внутримышечно в дельтовидную мышцу</v>
      </c>
      <c r="J349" s="40">
        <v>45466</v>
      </c>
    </row>
    <row r="350" spans="1:10">
      <c r="A350" s="29">
        <v>142</v>
      </c>
      <c r="B350" s="8" t="str">
        <f>VLOOKUP(A350,vaccines!A:B,2)</f>
        <v>Pseudovac</v>
      </c>
      <c r="C350" s="29">
        <v>9</v>
      </c>
      <c r="D350" s="8" t="str">
        <f>VLOOKUP(C350,ages_from_list!A:C,3)</f>
        <v>24 месяцев (2 лет)</v>
      </c>
      <c r="E350" s="29">
        <v>2</v>
      </c>
      <c r="F350" s="8" t="str">
        <f>VLOOKUP(E350,ages_through_list!A:C,3)</f>
        <v>36 месяцев (3 лет)</v>
      </c>
      <c r="G350" s="29">
        <v>4</v>
      </c>
      <c r="H350" s="30" t="str">
        <f>VLOOKUP(G350,routes_of_administration_list!A:B,2)</f>
        <v>внутримышечно в дельтовидную мышцу</v>
      </c>
      <c r="J350" s="40">
        <v>45466</v>
      </c>
    </row>
    <row r="351" spans="1:10">
      <c r="A351" s="29">
        <v>142</v>
      </c>
      <c r="B351" s="8" t="str">
        <f>VLOOKUP(A351,vaccines!A:B,2)</f>
        <v>Pseudovac</v>
      </c>
      <c r="C351" s="29">
        <v>11</v>
      </c>
      <c r="D351" s="8" t="str">
        <f>VLOOKUP(C351,ages_from_list!A:C,3)</f>
        <v>4 лет</v>
      </c>
      <c r="E351" s="29">
        <v>4</v>
      </c>
      <c r="F351" s="8" t="str">
        <f>VLOOKUP(E351,ages_through_list!A:C,3)</f>
        <v>5 лет</v>
      </c>
      <c r="G351" s="29">
        <v>5</v>
      </c>
      <c r="H351" s="30" t="str">
        <f>VLOOKUP(G351,routes_of_administration_list!A:B,2)</f>
        <v>внутримышечно в дельтовидную мышцу</v>
      </c>
      <c r="J351" s="40">
        <v>45466</v>
      </c>
    </row>
    <row r="352" spans="1:10">
      <c r="A352" s="29">
        <v>143</v>
      </c>
      <c r="B352" s="8" t="str">
        <f>VLOOKUP(A352,vaccines!A:B,2)</f>
        <v>SPSA_therapeutic</v>
      </c>
      <c r="C352" s="29">
        <v>18</v>
      </c>
      <c r="D352" s="8" t="str">
        <f>VLOOKUP(C352,ages_from_list!A:C,3)</f>
        <v>18 лет</v>
      </c>
      <c r="E352" s="29">
        <v>11</v>
      </c>
      <c r="F352" s="8" t="str">
        <f>VLOOKUP(E352,ages_through_list!A:C,3)</f>
        <v>60 лет</v>
      </c>
      <c r="G352" s="29">
        <v>8</v>
      </c>
      <c r="H352" s="30" t="str">
        <f>VLOOKUP(G352,routes_of_administration_list!A:B,2)</f>
        <v>подкожно в подлопаточную область</v>
      </c>
      <c r="J352" s="40">
        <v>45466</v>
      </c>
    </row>
    <row r="353" spans="1:10">
      <c r="A353" s="29">
        <v>144</v>
      </c>
      <c r="B353" s="8" t="str">
        <f>VLOOKUP(A353,vaccines!A:B,2)</f>
        <v>HepB_Serum_India_0_5</v>
      </c>
      <c r="C353" s="29">
        <v>8</v>
      </c>
      <c r="D353" s="8" t="str">
        <f>VLOOKUP(C353,ages_from_list!A:C,3)</f>
        <v>12 месяцев</v>
      </c>
      <c r="E353" s="29">
        <v>17</v>
      </c>
      <c r="F353" s="8" t="str">
        <f>VLOOKUP(E353,ages_through_list!A:C,3)</f>
        <v>18 лет</v>
      </c>
      <c r="G353" s="29">
        <v>1</v>
      </c>
      <c r="H353" s="30" t="str">
        <f>VLOOKUP(G353,routes_of_administration_list!A:B,2)</f>
        <v>внутримышечно в передненаружную область бедра</v>
      </c>
      <c r="J353" s="40">
        <v>45466</v>
      </c>
    </row>
    <row r="354" spans="1:10">
      <c r="A354" s="29">
        <v>144</v>
      </c>
      <c r="B354" s="8" t="str">
        <f>VLOOKUP(A354,vaccines!A:B,2)</f>
        <v>HepB_Serum_India_0_5</v>
      </c>
      <c r="C354" s="29">
        <v>12</v>
      </c>
      <c r="D354" s="8" t="str">
        <f>VLOOKUP(C354,ages_from_list!A:C,3)</f>
        <v>6 лет</v>
      </c>
      <c r="E354" s="29">
        <v>17</v>
      </c>
      <c r="F354" s="8" t="str">
        <f>VLOOKUP(E354,ages_through_list!A:C,3)</f>
        <v>18 лет</v>
      </c>
      <c r="G354" s="29">
        <v>3</v>
      </c>
      <c r="H354" s="30" t="str">
        <f>VLOOKUP(G354,routes_of_administration_list!A:B,2)</f>
        <v>внутримышечно в дельтовидную мышцу</v>
      </c>
      <c r="J354" s="40">
        <v>45466</v>
      </c>
    </row>
    <row r="355" spans="1:10">
      <c r="A355" s="29">
        <v>144</v>
      </c>
      <c r="B355" s="8" t="str">
        <f>VLOOKUP(A355,vaccines!A:B,2)</f>
        <v>HepB_Serum_India_0_5</v>
      </c>
      <c r="C355" s="29">
        <v>19</v>
      </c>
      <c r="D355" s="8" t="str">
        <f>VLOOKUP(C355,ages_from_list!A:C,3)</f>
        <v>25 месяцев (2 лет 1 месяца)</v>
      </c>
      <c r="E355" s="29">
        <v>2</v>
      </c>
      <c r="F355" s="8" t="str">
        <f>VLOOKUP(E355,ages_through_list!A:C,3)</f>
        <v>36 месяцев (3 лет)</v>
      </c>
      <c r="G355" s="29">
        <v>4</v>
      </c>
      <c r="H355" s="30" t="str">
        <f>VLOOKUP(G355,routes_of_administration_list!A:B,2)</f>
        <v>внутримышечно в дельтовидную мышцу</v>
      </c>
      <c r="J355" s="40">
        <v>45466</v>
      </c>
    </row>
    <row r="356" spans="1:10">
      <c r="A356" s="29">
        <v>144</v>
      </c>
      <c r="B356" s="8" t="str">
        <f>VLOOKUP(A356,vaccines!A:B,2)</f>
        <v>HepB_Serum_India_0_5</v>
      </c>
      <c r="C356" s="29">
        <v>11</v>
      </c>
      <c r="D356" s="8" t="str">
        <f>VLOOKUP(C356,ages_from_list!A:C,3)</f>
        <v>4 лет</v>
      </c>
      <c r="E356" s="29">
        <v>4</v>
      </c>
      <c r="F356" s="8" t="str">
        <f>VLOOKUP(E356,ages_through_list!A:C,3)</f>
        <v>5 лет</v>
      </c>
      <c r="G356" s="29">
        <v>5</v>
      </c>
      <c r="H356" s="30" t="str">
        <f>VLOOKUP(G356,routes_of_administration_list!A:B,2)</f>
        <v>внутримышечно в дельтовидную мышцу</v>
      </c>
      <c r="J356" s="40">
        <v>45466</v>
      </c>
    </row>
    <row r="357" spans="1:10">
      <c r="A357" s="29">
        <v>144</v>
      </c>
      <c r="B357" s="8" t="str">
        <f>VLOOKUP(A357,vaccines!A:B,2)</f>
        <v>HepB_Serum_India_0_5</v>
      </c>
      <c r="C357" s="29">
        <v>19</v>
      </c>
      <c r="D357" s="8" t="str">
        <f>VLOOKUP(C357,ages_from_list!A:C,3)</f>
        <v>25 месяцев (2 лет 1 месяца)</v>
      </c>
      <c r="E357" s="29">
        <v>17</v>
      </c>
      <c r="F357" s="8" t="str">
        <f>VLOOKUP(E357,ages_through_list!A:C,3)</f>
        <v>18 лет</v>
      </c>
      <c r="G357" s="29">
        <v>6</v>
      </c>
      <c r="H357" s="30" t="str">
        <f>VLOOKUP(G357,routes_of_administration_list!A:B,2)</f>
        <v>подкожно в область дельтовидной мышцы</v>
      </c>
      <c r="J357" s="40">
        <v>46053</v>
      </c>
    </row>
    <row r="358" spans="1:10">
      <c r="A358" s="29">
        <v>144</v>
      </c>
      <c r="B358" s="8" t="str">
        <f>VLOOKUP(A358,vaccines!A:B,2)</f>
        <v>HepB_Serum_India_0_5</v>
      </c>
      <c r="C358" s="29">
        <v>8</v>
      </c>
      <c r="D358" s="8" t="str">
        <f>VLOOKUP(C358,ages_from_list!A:C,3)</f>
        <v>12 месяцев</v>
      </c>
      <c r="E358" s="29">
        <v>17</v>
      </c>
      <c r="F358" s="8" t="str">
        <f>VLOOKUP(E358,ages_through_list!A:C,3)</f>
        <v>18 лет</v>
      </c>
      <c r="G358" s="29">
        <v>9</v>
      </c>
      <c r="H358" s="30" t="str">
        <f>VLOOKUP(G358,routes_of_administration_list!A:B,2)</f>
        <v>подкожно в область бедра</v>
      </c>
      <c r="J358" s="40">
        <v>46053</v>
      </c>
    </row>
    <row r="359" spans="1:10">
      <c r="A359" s="29">
        <v>145</v>
      </c>
      <c r="B359" s="8" t="str">
        <f>VLOOKUP(A359,vaccines!A:B,2)</f>
        <v>Polio_1_2_3</v>
      </c>
      <c r="C359" s="29">
        <v>4</v>
      </c>
      <c r="D359" s="8" t="str">
        <f>VLOOKUP(C359,ages_from_list!A:C,3)</f>
        <v>3 месяцев</v>
      </c>
      <c r="E359" s="29">
        <v>13</v>
      </c>
      <c r="F359" s="8" t="str">
        <f>VLOOKUP(E359,ages_through_list!A:C,3)</f>
        <v>∞</v>
      </c>
      <c r="G359" s="29">
        <v>2</v>
      </c>
      <c r="H359" s="30" t="str">
        <f>VLOOKUP(G359,routes_of_administration_list!A:B,2)</f>
        <v>перорально: капли</v>
      </c>
      <c r="J359" s="40">
        <v>45466</v>
      </c>
    </row>
    <row r="360" spans="1:10">
      <c r="A360" s="29">
        <v>146</v>
      </c>
      <c r="B360" s="8" t="str">
        <f>VLOOKUP(A360,vaccines!A:B,2)</f>
        <v>TEOVac_chew_tablets</v>
      </c>
      <c r="C360" s="29">
        <v>18</v>
      </c>
      <c r="D360" s="8" t="str">
        <f>VLOOKUP(C360,ages_from_list!A:C,3)</f>
        <v>18 лет</v>
      </c>
      <c r="E360" s="29">
        <v>13</v>
      </c>
      <c r="F360" s="8" t="str">
        <f>VLOOKUP(E360,ages_through_list!A:C,3)</f>
        <v>∞</v>
      </c>
      <c r="G360" s="29">
        <v>13</v>
      </c>
      <c r="H360" s="30" t="str">
        <f>VLOOKUP(G360,routes_of_administration_list!A:B,2)</f>
        <v>перорально: таблетки</v>
      </c>
      <c r="J360" s="40">
        <v>45467</v>
      </c>
    </row>
    <row r="361" spans="1:10">
      <c r="A361" s="29">
        <v>147</v>
      </c>
      <c r="B361" s="8" t="str">
        <f>VLOOKUP(A361,vaccines!A:B,2)</f>
        <v>TEOVac_tablets</v>
      </c>
      <c r="C361" s="29">
        <v>18</v>
      </c>
      <c r="D361" s="8" t="str">
        <f>VLOOKUP(C361,ages_from_list!A:C,3)</f>
        <v>18 лет</v>
      </c>
      <c r="E361" s="29">
        <v>13</v>
      </c>
      <c r="F361" s="8" t="str">
        <f>VLOOKUP(E361,ages_through_list!A:C,3)</f>
        <v>∞</v>
      </c>
      <c r="G361" s="29">
        <v>13</v>
      </c>
      <c r="H361" s="30" t="str">
        <f>VLOOKUP(G361,routes_of_administration_list!A:B,2)</f>
        <v>перорально: таблетки</v>
      </c>
      <c r="J361" s="40">
        <v>45467</v>
      </c>
    </row>
    <row r="362" spans="1:10">
      <c r="A362" s="29">
        <v>148</v>
      </c>
      <c r="B362" s="8" t="str">
        <f>VLOOKUP(A362,vaccines!A:B,2)</f>
        <v>Uro_BCG_therapeutic</v>
      </c>
      <c r="C362" s="29">
        <v>18</v>
      </c>
      <c r="D362" s="8" t="str">
        <f>VLOOKUP(C362,ages_from_list!A:C,3)</f>
        <v>18 лет</v>
      </c>
      <c r="E362" s="29">
        <v>13</v>
      </c>
      <c r="F362" s="8" t="str">
        <f>VLOOKUP(E362,ages_through_list!A:C,3)</f>
        <v>∞</v>
      </c>
      <c r="G362" s="29">
        <v>19</v>
      </c>
      <c r="H362" s="30" t="str">
        <f>VLOOKUP(G362,routes_of_administration_list!A:B,2)</f>
        <v>инстилляция в мочевой пузырь</v>
      </c>
      <c r="J362" s="40">
        <v>45494</v>
      </c>
    </row>
    <row r="363" spans="1:10">
      <c r="A363" s="29">
        <v>149</v>
      </c>
      <c r="B363" s="8" t="str">
        <f>VLOOKUP(A363,vaccines!A:B,2)</f>
        <v>Flu_Microgen</v>
      </c>
      <c r="C363" s="29">
        <v>18</v>
      </c>
      <c r="D363" s="8" t="str">
        <f>VLOOKUP(C363,ages_from_list!A:C,3)</f>
        <v>18 лет</v>
      </c>
      <c r="E363" s="29">
        <v>13</v>
      </c>
      <c r="F363" s="8" t="str">
        <f>VLOOKUP(E363,ages_through_list!A:C,3)</f>
        <v>∞</v>
      </c>
      <c r="G363" s="29">
        <v>6</v>
      </c>
      <c r="H363" s="30" t="str">
        <f>VLOOKUP(G363,routes_of_administration_list!A:B,2)</f>
        <v>подкожно в область дельтовидной мышцы</v>
      </c>
      <c r="J363" s="40">
        <v>45494</v>
      </c>
    </row>
    <row r="364" spans="1:10">
      <c r="A364" s="29">
        <v>150</v>
      </c>
      <c r="B364" s="8" t="str">
        <f>VLOOKUP(A364,vaccines!A:B,2)</f>
        <v>MonoGrippol_plus</v>
      </c>
      <c r="C364" s="29">
        <v>5</v>
      </c>
      <c r="D364" s="8" t="str">
        <f>VLOOKUP(C364,ages_from_list!A:C,3)</f>
        <v>6 месяцев</v>
      </c>
      <c r="E364" s="29">
        <v>14</v>
      </c>
      <c r="F364" s="8" t="str">
        <f>VLOOKUP(E364,ages_through_list!A:C,3)</f>
        <v>24 месяцев (2 лет)</v>
      </c>
      <c r="G364" s="29">
        <v>1</v>
      </c>
      <c r="H364" s="30" t="str">
        <f>VLOOKUP(G364,routes_of_administration_list!A:B,2)</f>
        <v>внутримышечно в передненаружную область бедра</v>
      </c>
      <c r="J364" s="40">
        <v>45494</v>
      </c>
    </row>
    <row r="365" spans="1:10">
      <c r="A365" s="29">
        <v>150</v>
      </c>
      <c r="B365" s="8" t="str">
        <f>VLOOKUP(A365,vaccines!A:B,2)</f>
        <v>MonoGrippol_plus</v>
      </c>
      <c r="C365" s="29">
        <v>19</v>
      </c>
      <c r="D365" s="8" t="str">
        <f>VLOOKUP(C365,ages_from_list!A:C,3)</f>
        <v>25 месяцев (2 лет 1 месяца)</v>
      </c>
      <c r="E365" s="29">
        <v>3</v>
      </c>
      <c r="F365" s="8" t="str">
        <f>VLOOKUP(E365,ages_through_list!A:C,3)</f>
        <v>3 лет 11 месяцев</v>
      </c>
      <c r="G365" s="29">
        <v>4</v>
      </c>
      <c r="H365" s="30" t="str">
        <f>VLOOKUP(G365,routes_of_administration_list!A:B,2)</f>
        <v>внутримышечно в дельтовидную мышцу</v>
      </c>
      <c r="J365" s="40">
        <v>45494</v>
      </c>
    </row>
    <row r="366" spans="1:10">
      <c r="A366" s="29">
        <v>150</v>
      </c>
      <c r="B366" s="8" t="str">
        <f>VLOOKUP(A366,vaccines!A:B,2)</f>
        <v>MonoGrippol_plus</v>
      </c>
      <c r="C366" s="29">
        <v>19</v>
      </c>
      <c r="D366" s="8" t="str">
        <f>VLOOKUP(C366,ages_from_list!A:C,3)</f>
        <v>25 месяцев (2 лет 1 месяца)</v>
      </c>
      <c r="E366" s="29">
        <v>13</v>
      </c>
      <c r="F366" s="8" t="str">
        <f>VLOOKUP(E366,ages_through_list!A:C,3)</f>
        <v>∞</v>
      </c>
      <c r="G366" s="29">
        <v>6</v>
      </c>
      <c r="H366" s="30" t="str">
        <f>VLOOKUP(G366,routes_of_administration_list!A:B,2)</f>
        <v>подкожно в область дельтовидной мышцы</v>
      </c>
      <c r="J366" s="40">
        <v>45494</v>
      </c>
    </row>
    <row r="367" spans="1:10">
      <c r="A367" s="29">
        <v>150</v>
      </c>
      <c r="B367" s="8" t="str">
        <f>VLOOKUP(A367,vaccines!A:B,2)</f>
        <v>MonoGrippol_plus</v>
      </c>
      <c r="C367" s="29">
        <v>11</v>
      </c>
      <c r="D367" s="8" t="str">
        <f>VLOOKUP(C367,ages_from_list!A:C,3)</f>
        <v>4 лет</v>
      </c>
      <c r="E367" s="29">
        <v>4</v>
      </c>
      <c r="F367" s="8" t="str">
        <f>VLOOKUP(E367,ages_through_list!A:C,3)</f>
        <v>5 лет</v>
      </c>
      <c r="G367" s="29">
        <v>5</v>
      </c>
      <c r="H367" s="30" t="str">
        <f>VLOOKUP(G367,routes_of_administration_list!A:B,2)</f>
        <v>внутримышечно в дельтовидную мышцу</v>
      </c>
      <c r="J367" s="40">
        <v>45494</v>
      </c>
    </row>
    <row r="368" spans="1:10">
      <c r="A368" s="29">
        <v>150</v>
      </c>
      <c r="B368" s="8" t="str">
        <f>VLOOKUP(A368,vaccines!A:B,2)</f>
        <v>MonoGrippol_plus</v>
      </c>
      <c r="C368" s="29">
        <v>12</v>
      </c>
      <c r="D368" s="8" t="str">
        <f>VLOOKUP(C368,ages_from_list!A:C,3)</f>
        <v>6 лет</v>
      </c>
      <c r="E368" s="29">
        <v>13</v>
      </c>
      <c r="F368" s="8" t="str">
        <f>VLOOKUP(E368,ages_through_list!A:C,3)</f>
        <v>∞</v>
      </c>
      <c r="G368" s="29">
        <v>3</v>
      </c>
      <c r="H368" s="30" t="str">
        <f>VLOOKUP(G368,routes_of_administration_list!A:B,2)</f>
        <v>внутримышечно в дельтовидную мышцу</v>
      </c>
      <c r="J368" s="40">
        <v>45494</v>
      </c>
    </row>
    <row r="369" spans="1:10">
      <c r="A369" s="29">
        <v>151</v>
      </c>
      <c r="B369" s="8" t="str">
        <f>VLOOKUP(A369,vaccines!A:B,2)</f>
        <v>MonoGrippol_Neo</v>
      </c>
      <c r="C369" s="29">
        <v>18</v>
      </c>
      <c r="D369" s="8" t="str">
        <f>VLOOKUP(C369,ages_from_list!A:C,3)</f>
        <v>18 лет</v>
      </c>
      <c r="E369" s="29">
        <v>13</v>
      </c>
      <c r="F369" s="8" t="str">
        <f>VLOOKUP(E369,ages_through_list!A:C,3)</f>
        <v>∞</v>
      </c>
      <c r="G369" s="29">
        <v>3</v>
      </c>
      <c r="H369" s="30" t="str">
        <f>VLOOKUP(G369,routes_of_administration_list!A:B,2)</f>
        <v>внутримышечно в дельтовидную мышцу</v>
      </c>
      <c r="J369" s="40">
        <v>45494</v>
      </c>
    </row>
    <row r="370" spans="1:10">
      <c r="A370" s="29">
        <v>151</v>
      </c>
      <c r="B370" s="8" t="str">
        <f>VLOOKUP(A370,vaccines!A:B,2)</f>
        <v>MonoGrippol_Neo</v>
      </c>
      <c r="C370" s="29">
        <v>18</v>
      </c>
      <c r="D370" s="8" t="str">
        <f>VLOOKUP(C370,ages_from_list!A:C,3)</f>
        <v>18 лет</v>
      </c>
      <c r="E370" s="29">
        <v>13</v>
      </c>
      <c r="F370" s="8" t="str">
        <f>VLOOKUP(E370,ages_through_list!A:C,3)</f>
        <v>∞</v>
      </c>
      <c r="G370" s="29">
        <v>6</v>
      </c>
      <c r="H370" s="30" t="str">
        <f>VLOOKUP(G370,routes_of_administration_list!A:B,2)</f>
        <v>подкожно в область дельтовидной мышцы</v>
      </c>
      <c r="J370" s="40">
        <v>45494</v>
      </c>
    </row>
    <row r="371" spans="1:10">
      <c r="A371" s="29">
        <v>152</v>
      </c>
      <c r="B371" s="8" t="str">
        <f>VLOOKUP(A371,vaccines!A:B,2)</f>
        <v>MonoGrippol</v>
      </c>
      <c r="C371" s="29">
        <v>18</v>
      </c>
      <c r="D371" s="8" t="str">
        <f>VLOOKUP(C371,ages_from_list!A:C,3)</f>
        <v>18 лет</v>
      </c>
      <c r="E371" s="29">
        <v>13</v>
      </c>
      <c r="F371" s="8" t="str">
        <f>VLOOKUP(E371,ages_through_list!A:C,3)</f>
        <v>∞</v>
      </c>
      <c r="G371" s="29">
        <v>3</v>
      </c>
      <c r="H371" s="30" t="str">
        <f>VLOOKUP(G371,routes_of_administration_list!A:B,2)</f>
        <v>внутримышечно в дельтовидную мышцу</v>
      </c>
      <c r="J371" s="40">
        <v>45494</v>
      </c>
    </row>
    <row r="372" spans="1:10">
      <c r="A372" s="29">
        <v>152</v>
      </c>
      <c r="B372" s="8" t="str">
        <f>VLOOKUP(A372,vaccines!A:B,2)</f>
        <v>MonoGrippol</v>
      </c>
      <c r="C372" s="29">
        <v>18</v>
      </c>
      <c r="D372" s="8" t="str">
        <f>VLOOKUP(C372,ages_from_list!A:C,3)</f>
        <v>18 лет</v>
      </c>
      <c r="E372" s="29">
        <v>13</v>
      </c>
      <c r="F372" s="8" t="str">
        <f>VLOOKUP(E372,ages_through_list!A:C,3)</f>
        <v>∞</v>
      </c>
      <c r="G372" s="29">
        <v>6</v>
      </c>
      <c r="H372" s="30" t="str">
        <f>VLOOKUP(G372,routes_of_administration_list!A:B,2)</f>
        <v>подкожно в область дельтовидной мышцы</v>
      </c>
      <c r="J372" s="40">
        <v>45494</v>
      </c>
    </row>
    <row r="373" spans="1:10">
      <c r="A373" s="29">
        <v>153</v>
      </c>
      <c r="B373" s="8" t="str">
        <f>VLOOKUP(A373,vaccines!A:B,2)</f>
        <v>Influvir</v>
      </c>
      <c r="C373" s="29">
        <v>18</v>
      </c>
      <c r="D373" s="8" t="str">
        <f>VLOOKUP(C373,ages_from_list!A:C,3)</f>
        <v>18 лет</v>
      </c>
      <c r="E373" s="29">
        <v>11</v>
      </c>
      <c r="F373" s="8" t="str">
        <f>VLOOKUP(E373,ages_through_list!A:C,3)</f>
        <v>60 лет</v>
      </c>
      <c r="G373" s="29">
        <v>14</v>
      </c>
      <c r="H373" s="30" t="str">
        <f>VLOOKUP(G373,routes_of_administration_list!A:B,2)</f>
        <v>интраназально</v>
      </c>
      <c r="J373" s="40">
        <v>45494</v>
      </c>
    </row>
    <row r="374" spans="1:10">
      <c r="A374" s="29">
        <v>154</v>
      </c>
      <c r="B374" s="8" t="str">
        <f>VLOOKUP(A374,vaccines!A:B,2)</f>
        <v>Pandeflu</v>
      </c>
      <c r="C374" s="29">
        <v>18</v>
      </c>
      <c r="D374" s="8" t="str">
        <f>VLOOKUP(C374,ages_from_list!A:C,3)</f>
        <v>18 лет</v>
      </c>
      <c r="E374" s="29">
        <v>13</v>
      </c>
      <c r="F374" s="8" t="str">
        <f>VLOOKUP(E374,ages_through_list!A:C,3)</f>
        <v>∞</v>
      </c>
      <c r="G374" s="29">
        <v>3</v>
      </c>
      <c r="H374" s="30" t="str">
        <f>VLOOKUP(G374,routes_of_administration_list!A:B,2)</f>
        <v>внутримышечно в дельтовидную мышцу</v>
      </c>
      <c r="J374" s="40">
        <v>45494</v>
      </c>
    </row>
    <row r="375" spans="1:10">
      <c r="A375" s="29">
        <v>154</v>
      </c>
      <c r="B375" s="8" t="str">
        <f>VLOOKUP(A375,vaccines!A:B,2)</f>
        <v>Pandeflu</v>
      </c>
      <c r="C375" s="29">
        <v>18</v>
      </c>
      <c r="D375" s="8" t="str">
        <f>VLOOKUP(C375,ages_from_list!A:C,3)</f>
        <v>18 лет</v>
      </c>
      <c r="E375" s="29">
        <v>13</v>
      </c>
      <c r="F375" s="8" t="str">
        <f>VLOOKUP(E375,ages_through_list!A:C,3)</f>
        <v>∞</v>
      </c>
      <c r="G375" s="29">
        <v>1</v>
      </c>
      <c r="H375" s="30" t="str">
        <f>VLOOKUP(G375,routes_of_administration_list!A:B,2)</f>
        <v>внутримышечно в передненаружную область бедра</v>
      </c>
      <c r="J375" s="40">
        <v>45750</v>
      </c>
    </row>
    <row r="376" spans="1:10">
      <c r="A376" s="29">
        <v>155</v>
      </c>
      <c r="B376" s="8" t="str">
        <f>VLOOKUP(A376,vaccines!A:B,2)</f>
        <v>Grippol_Neo</v>
      </c>
      <c r="C376" s="29">
        <v>10</v>
      </c>
      <c r="D376" s="8" t="str">
        <f>VLOOKUP(C376,ages_from_list!A:C,3)</f>
        <v>36 месяцев (3 лет)</v>
      </c>
      <c r="E376" s="29">
        <v>3</v>
      </c>
      <c r="F376" s="8" t="str">
        <f>VLOOKUP(E376,ages_through_list!A:C,3)</f>
        <v>3 лет 11 месяцев</v>
      </c>
      <c r="G376" s="29">
        <v>4</v>
      </c>
      <c r="H376" s="30" t="str">
        <f>VLOOKUP(G376,routes_of_administration_list!A:B,2)</f>
        <v>внутримышечно в дельтовидную мышцу</v>
      </c>
      <c r="J376" s="40">
        <v>45494</v>
      </c>
    </row>
    <row r="377" spans="1:10">
      <c r="A377" s="29">
        <v>155</v>
      </c>
      <c r="B377" s="8" t="str">
        <f>VLOOKUP(A377,vaccines!A:B,2)</f>
        <v>Grippol_Neo</v>
      </c>
      <c r="C377" s="29">
        <v>10</v>
      </c>
      <c r="D377" s="8" t="str">
        <f>VLOOKUP(C377,ages_from_list!A:C,3)</f>
        <v>36 месяцев (3 лет)</v>
      </c>
      <c r="E377" s="29">
        <v>13</v>
      </c>
      <c r="F377" s="8" t="str">
        <f>VLOOKUP(E377,ages_through_list!A:C,3)</f>
        <v>∞</v>
      </c>
      <c r="G377" s="29">
        <v>6</v>
      </c>
      <c r="H377" s="30" t="str">
        <f>VLOOKUP(G377,routes_of_administration_list!A:B,2)</f>
        <v>подкожно в область дельтовидной мышцы</v>
      </c>
      <c r="J377" s="40">
        <v>45494</v>
      </c>
    </row>
    <row r="378" spans="1:10">
      <c r="A378" s="29">
        <v>155</v>
      </c>
      <c r="B378" s="8" t="str">
        <f>VLOOKUP(A378,vaccines!A:B,2)</f>
        <v>Grippol_Neo</v>
      </c>
      <c r="C378" s="29">
        <v>11</v>
      </c>
      <c r="D378" s="8" t="str">
        <f>VLOOKUP(C378,ages_from_list!A:C,3)</f>
        <v>4 лет</v>
      </c>
      <c r="E378" s="29">
        <v>4</v>
      </c>
      <c r="F378" s="8" t="str">
        <f>VLOOKUP(E378,ages_through_list!A:C,3)</f>
        <v>5 лет</v>
      </c>
      <c r="G378" s="29">
        <v>5</v>
      </c>
      <c r="H378" s="30" t="str">
        <f>VLOOKUP(G378,routes_of_administration_list!A:B,2)</f>
        <v>внутримышечно в дельтовидную мышцу</v>
      </c>
      <c r="J378" s="40">
        <v>45494</v>
      </c>
    </row>
    <row r="379" spans="1:10">
      <c r="A379" s="29">
        <v>155</v>
      </c>
      <c r="B379" s="8" t="str">
        <f>VLOOKUP(A379,vaccines!A:B,2)</f>
        <v>Grippol_Neo</v>
      </c>
      <c r="C379" s="29">
        <v>12</v>
      </c>
      <c r="D379" s="8" t="str">
        <f>VLOOKUP(C379,ages_from_list!A:C,3)</f>
        <v>6 лет</v>
      </c>
      <c r="E379" s="29">
        <v>13</v>
      </c>
      <c r="F379" s="8" t="str">
        <f>VLOOKUP(E379,ages_through_list!A:C,3)</f>
        <v>∞</v>
      </c>
      <c r="G379" s="29">
        <v>3</v>
      </c>
      <c r="H379" s="30" t="str">
        <f>VLOOKUP(G379,routes_of_administration_list!A:B,2)</f>
        <v>внутримышечно в дельтовидную мышцу</v>
      </c>
      <c r="J379" s="40">
        <v>45494</v>
      </c>
    </row>
    <row r="380" spans="1:10">
      <c r="A380" s="29">
        <v>156</v>
      </c>
      <c r="B380" s="8" t="str">
        <f>VLOOKUP(A380,vaccines!A:B,2)</f>
        <v>Ultravac</v>
      </c>
      <c r="C380" s="29">
        <v>10</v>
      </c>
      <c r="D380" s="8" t="str">
        <f>VLOOKUP(C380,ages_from_list!A:C,3)</f>
        <v>36 месяцев (3 лет)</v>
      </c>
      <c r="E380" s="29">
        <v>13</v>
      </c>
      <c r="F380" s="8" t="str">
        <f>VLOOKUP(E380,ages_through_list!A:C,3)</f>
        <v>∞</v>
      </c>
      <c r="G380" s="29">
        <v>14</v>
      </c>
      <c r="H380" s="30" t="str">
        <f>VLOOKUP(G380,routes_of_administration_list!A:B,2)</f>
        <v>интраназально</v>
      </c>
      <c r="J380" s="40">
        <v>45494</v>
      </c>
    </row>
    <row r="381" spans="1:10">
      <c r="A381" s="29">
        <v>158</v>
      </c>
      <c r="B381" s="8" t="str">
        <f>VLOOKUP(A381,vaccines!A:B,2)</f>
        <v>Gerpovax_therapeutic</v>
      </c>
      <c r="C381" s="29">
        <v>18</v>
      </c>
      <c r="D381" s="8" t="str">
        <f>VLOOKUP(C381,ages_from_list!A:C,3)</f>
        <v>18 лет</v>
      </c>
      <c r="E381" s="29">
        <v>13</v>
      </c>
      <c r="F381" s="8" t="str">
        <f>VLOOKUP(E381,ages_through_list!A:C,3)</f>
        <v>∞</v>
      </c>
      <c r="G381" s="29">
        <v>17</v>
      </c>
      <c r="H381" s="30" t="str">
        <f>VLOOKUP(G381,routes_of_administration_list!A:B,2)</f>
        <v>внутрикожно во внутреннюю поверхность предплечья</v>
      </c>
      <c r="J381" s="40">
        <v>45496</v>
      </c>
    </row>
    <row r="382" spans="1:10">
      <c r="A382" s="29">
        <v>159</v>
      </c>
      <c r="B382" s="8" t="str">
        <f>VLOOKUP(A382,vaccines!A:B,2)</f>
        <v>Ultragrivac</v>
      </c>
      <c r="C382" s="29">
        <v>18</v>
      </c>
      <c r="D382" s="8" t="str">
        <f>VLOOKUP(C382,ages_from_list!A:C,3)</f>
        <v>18 лет</v>
      </c>
      <c r="E382" s="29">
        <v>11</v>
      </c>
      <c r="F382" s="8" t="str">
        <f>VLOOKUP(E382,ages_through_list!A:C,3)</f>
        <v>60 лет</v>
      </c>
      <c r="G382" s="29">
        <v>14</v>
      </c>
      <c r="H382" s="30" t="str">
        <f>VLOOKUP(G382,routes_of_administration_list!A:B,2)</f>
        <v>интраназально</v>
      </c>
      <c r="J382" s="40">
        <v>45496</v>
      </c>
    </row>
    <row r="383" spans="1:10">
      <c r="A383" s="29">
        <v>160</v>
      </c>
      <c r="B383" s="8" t="str">
        <f>VLOOKUP(A383,vaccines!A:B,2)</f>
        <v>OrniFlu</v>
      </c>
      <c r="C383" s="29">
        <v>18</v>
      </c>
      <c r="D383" s="8" t="str">
        <f>VLOOKUP(C383,ages_from_list!A:C,3)</f>
        <v>18 лет</v>
      </c>
      <c r="E383" s="29">
        <v>11</v>
      </c>
      <c r="F383" s="8" t="str">
        <f>VLOOKUP(E383,ages_through_list!A:C,3)</f>
        <v>60 лет</v>
      </c>
      <c r="G383" s="29">
        <v>3</v>
      </c>
      <c r="H383" s="30" t="str">
        <f>VLOOKUP(G383,routes_of_administration_list!A:B,2)</f>
        <v>внутримышечно в дельтовидную мышцу</v>
      </c>
      <c r="J383" s="40">
        <v>45496</v>
      </c>
    </row>
    <row r="384" spans="1:10">
      <c r="A384" s="29">
        <v>160</v>
      </c>
      <c r="B384" s="8" t="str">
        <f>VLOOKUP(A384,vaccines!A:B,2)</f>
        <v>OrniFlu</v>
      </c>
      <c r="C384" s="29">
        <v>18</v>
      </c>
      <c r="D384" s="8" t="str">
        <f>VLOOKUP(C384,ages_from_list!A:C,3)</f>
        <v>18 лет</v>
      </c>
      <c r="E384" s="29">
        <v>11</v>
      </c>
      <c r="F384" s="8" t="str">
        <f>VLOOKUP(E384,ages_through_list!A:C,3)</f>
        <v>60 лет</v>
      </c>
      <c r="G384" s="29">
        <v>1</v>
      </c>
      <c r="H384" s="30" t="str">
        <f>VLOOKUP(G384,routes_of_administration_list!A:B,2)</f>
        <v>внутримышечно в передненаружную область бедра</v>
      </c>
      <c r="J384" s="40">
        <v>45496</v>
      </c>
    </row>
    <row r="385" spans="1:10">
      <c r="A385" s="29">
        <v>161</v>
      </c>
      <c r="B385" s="8" t="str">
        <f>VLOOKUP(A385,vaccines!A:B,2)</f>
        <v>rubella_Croatia</v>
      </c>
      <c r="C385" s="29">
        <v>8</v>
      </c>
      <c r="D385" s="8" t="str">
        <f>VLOOKUP(C385,ages_from_list!A:C,3)</f>
        <v>12 месяцев</v>
      </c>
      <c r="E385" s="29">
        <v>25</v>
      </c>
      <c r="F385" s="8" t="str">
        <f>VLOOKUP(E385,ages_through_list!A:C,3)</f>
        <v>25 лет</v>
      </c>
      <c r="G385" s="29">
        <v>6</v>
      </c>
      <c r="H385" s="30" t="str">
        <f>VLOOKUP(G385,routes_of_administration_list!A:B,2)</f>
        <v>подкожно в область дельтовидной мышцы</v>
      </c>
      <c r="J385" s="40">
        <v>45496</v>
      </c>
    </row>
    <row r="386" spans="1:10">
      <c r="A386" s="29">
        <v>162</v>
      </c>
      <c r="B386" s="8" t="str">
        <f>VLOOKUP(A386,vaccines!A:B,2)</f>
        <v>Tetraanatoxin</v>
      </c>
      <c r="C386" s="29">
        <v>17</v>
      </c>
      <c r="D386" s="8" t="str">
        <f>VLOOKUP(C386,ages_from_list!A:C,3)</f>
        <v>16 лет</v>
      </c>
      <c r="E386" s="29">
        <v>11</v>
      </c>
      <c r="F386" s="8" t="str">
        <f>VLOOKUP(E386,ages_through_list!A:C,3)</f>
        <v>60 лет</v>
      </c>
      <c r="G386" s="29">
        <v>8</v>
      </c>
      <c r="H386" s="30" t="str">
        <f>VLOOKUP(G386,routes_of_administration_list!A:B,2)</f>
        <v>подкожно в подлопаточную область</v>
      </c>
      <c r="J386" s="40">
        <v>45497</v>
      </c>
    </row>
    <row r="387" spans="1:10">
      <c r="A387" s="29">
        <v>163</v>
      </c>
      <c r="B387" s="8" t="str">
        <f>VLOOKUP(A387,vaccines!A:B,2)</f>
        <v>Staphylococcus_Gamaleya</v>
      </c>
      <c r="C387" s="29">
        <v>18</v>
      </c>
      <c r="D387" s="8" t="str">
        <f>VLOOKUP(C387,ages_from_list!A:C,3)</f>
        <v>18 лет</v>
      </c>
      <c r="E387" s="29">
        <v>13</v>
      </c>
      <c r="F387" s="8" t="str">
        <f>VLOOKUP(E387,ages_through_list!A:C,3)</f>
        <v>∞</v>
      </c>
      <c r="G387" s="29">
        <v>8</v>
      </c>
      <c r="H387" s="30" t="str">
        <f>VLOOKUP(G387,routes_of_administration_list!A:B,2)</f>
        <v>подкожно в подлопаточную область</v>
      </c>
      <c r="J387" s="40">
        <v>45497</v>
      </c>
    </row>
    <row r="388" spans="1:10">
      <c r="A388" s="29">
        <v>164</v>
      </c>
      <c r="B388" s="8" t="str">
        <f>VLOOKUP(A388,vaccines!A:B,2)</f>
        <v>Staphylococcus_therapeutic_Gamaleya</v>
      </c>
      <c r="C388" s="29">
        <v>18</v>
      </c>
      <c r="D388" s="8" t="str">
        <f>VLOOKUP(C388,ages_from_list!A:C,3)</f>
        <v>18 лет</v>
      </c>
      <c r="E388" s="29">
        <v>13</v>
      </c>
      <c r="F388" s="8" t="str">
        <f>VLOOKUP(E388,ages_through_list!A:C,3)</f>
        <v>∞</v>
      </c>
      <c r="G388" s="29">
        <v>8</v>
      </c>
      <c r="H388" s="30" t="str">
        <f>VLOOKUP(G388,routes_of_administration_list!A:B,2)</f>
        <v>подкожно в подлопаточную область</v>
      </c>
      <c r="J388" s="40">
        <v>45497</v>
      </c>
    </row>
    <row r="389" spans="1:10">
      <c r="A389" s="29">
        <v>165</v>
      </c>
      <c r="B389" s="8" t="str">
        <f>VLOOKUP(A389,vaccines!A:B,2)</f>
        <v>Imuron_vac_therapeutic</v>
      </c>
      <c r="C389" s="29">
        <v>18</v>
      </c>
      <c r="D389" s="8" t="str">
        <f>VLOOKUP(C389,ages_from_list!A:C,3)</f>
        <v>18 лет</v>
      </c>
      <c r="E389" s="29">
        <v>13</v>
      </c>
      <c r="F389" s="8" t="str">
        <f>VLOOKUP(E389,ages_through_list!A:C,3)</f>
        <v>∞</v>
      </c>
      <c r="G389" s="29">
        <v>19</v>
      </c>
      <c r="H389" s="30" t="str">
        <f>VLOOKUP(G389,routes_of_administration_list!A:B,2)</f>
        <v>инстилляция в мочевой пузырь</v>
      </c>
      <c r="J389" s="40">
        <v>45497</v>
      </c>
    </row>
    <row r="390" spans="1:10">
      <c r="A390" s="29">
        <v>166</v>
      </c>
      <c r="B390" s="8" t="str">
        <f>VLOOKUP(A390,vaccines!A:B,2)</f>
        <v>HepB_Serum_India_1_0</v>
      </c>
      <c r="C390" s="29">
        <v>22</v>
      </c>
      <c r="D390" s="8" t="str">
        <f>VLOOKUP(C390,ages_from_list!A:C,3)</f>
        <v>19 лет</v>
      </c>
      <c r="E390" s="29">
        <v>13</v>
      </c>
      <c r="F390" s="8" t="str">
        <f>VLOOKUP(E390,ages_through_list!A:C,3)</f>
        <v>∞</v>
      </c>
      <c r="G390" s="29">
        <v>3</v>
      </c>
      <c r="H390" s="30" t="str">
        <f>VLOOKUP(G390,routes_of_administration_list!A:B,2)</f>
        <v>внутримышечно в дельтовидную мышцу</v>
      </c>
      <c r="J390" s="40">
        <v>45466</v>
      </c>
    </row>
    <row r="391" spans="1:10">
      <c r="A391" s="29">
        <v>166</v>
      </c>
      <c r="B391" s="8" t="str">
        <f>VLOOKUP(A391,vaccines!A:B,2)</f>
        <v>HepB_Serum_India_1_0</v>
      </c>
      <c r="C391" s="29">
        <v>22</v>
      </c>
      <c r="D391" s="8" t="str">
        <f>VLOOKUP(C391,ages_from_list!A:C,3)</f>
        <v>19 лет</v>
      </c>
      <c r="E391" s="29">
        <v>13</v>
      </c>
      <c r="F391" s="8" t="str">
        <f>VLOOKUP(E391,ages_through_list!A:C,3)</f>
        <v>∞</v>
      </c>
      <c r="G391" s="29">
        <v>6</v>
      </c>
      <c r="H391" s="30" t="str">
        <f>VLOOKUP(G391,routes_of_administration_list!A:B,2)</f>
        <v>подкожно в область дельтовидной мышцы</v>
      </c>
      <c r="J391" s="40">
        <v>46053</v>
      </c>
    </row>
    <row r="392" spans="1:10">
      <c r="A392" s="29">
        <v>166</v>
      </c>
      <c r="B392" s="8" t="str">
        <f>VLOOKUP(A392,vaccines!A:B,2)</f>
        <v>HepB_Serum_India_1_0</v>
      </c>
      <c r="C392" s="29">
        <v>22</v>
      </c>
      <c r="D392" s="8" t="str">
        <f>VLOOKUP(C392,ages_from_list!A:C,3)</f>
        <v>19 лет</v>
      </c>
      <c r="E392" s="29">
        <v>13</v>
      </c>
      <c r="F392" s="8" t="str">
        <f>VLOOKUP(E392,ages_through_list!A:C,3)</f>
        <v>∞</v>
      </c>
      <c r="G392" s="29">
        <v>1</v>
      </c>
      <c r="H392" s="30" t="str">
        <f>VLOOKUP(G392,routes_of_administration_list!A:B,2)</f>
        <v>внутримышечно в передненаружную область бедра</v>
      </c>
      <c r="J392" s="40">
        <v>46053</v>
      </c>
    </row>
    <row r="393" spans="1:10">
      <c r="A393" s="29">
        <v>166</v>
      </c>
      <c r="B393" s="8" t="str">
        <f>VLOOKUP(A393,vaccines!A:B,2)</f>
        <v>HepB_Serum_India_1_0</v>
      </c>
      <c r="C393" s="29">
        <v>22</v>
      </c>
      <c r="D393" s="8" t="str">
        <f>VLOOKUP(C393,ages_from_list!A:C,3)</f>
        <v>19 лет</v>
      </c>
      <c r="E393" s="29">
        <v>13</v>
      </c>
      <c r="F393" s="8" t="str">
        <f>VLOOKUP(E393,ages_through_list!A:C,3)</f>
        <v>∞</v>
      </c>
      <c r="G393" s="29">
        <v>9</v>
      </c>
      <c r="H393" s="30" t="str">
        <f>VLOOKUP(G393,routes_of_administration_list!A:B,2)</f>
        <v>подкожно в область бедра</v>
      </c>
      <c r="J393" s="40">
        <v>46053</v>
      </c>
    </row>
    <row r="394" spans="1:10">
      <c r="A394" s="29">
        <v>167</v>
      </c>
      <c r="B394" s="8" t="str">
        <f>VLOOKUP(A394,vaccines!A:B,2)</f>
        <v>Hexaxim</v>
      </c>
      <c r="C394" s="29">
        <v>2</v>
      </c>
      <c r="D394" s="8" t="str">
        <f>VLOOKUP(C394,ages_from_list!A:C,3)</f>
        <v>6 недель</v>
      </c>
      <c r="E394" s="29">
        <v>14</v>
      </c>
      <c r="F394" s="8" t="str">
        <f>VLOOKUP(E394,ages_through_list!A:C,3)</f>
        <v>24 месяцев (2 лет)</v>
      </c>
      <c r="G394" s="29">
        <v>1</v>
      </c>
      <c r="H394" s="30" t="str">
        <f>VLOOKUP(G394,routes_of_administration_list!A:B,2)</f>
        <v>внутримышечно в передненаружную область бедра</v>
      </c>
      <c r="J394" s="40">
        <v>45558</v>
      </c>
    </row>
    <row r="395" spans="1:10">
      <c r="A395" s="29">
        <v>167</v>
      </c>
      <c r="B395" s="8" t="str">
        <f>VLOOKUP(A395,vaccines!A:B,2)</f>
        <v>Hexaxim</v>
      </c>
      <c r="C395" s="29">
        <v>25</v>
      </c>
      <c r="D395" s="8" t="str">
        <f>VLOOKUP(C395,ages_from_list!A:C,3)</f>
        <v>15 месяцев</v>
      </c>
      <c r="E395" s="29">
        <v>2</v>
      </c>
      <c r="F395" s="8" t="str">
        <f>VLOOKUP(E395,ages_through_list!A:C,3)</f>
        <v>36 месяцев (3 лет)</v>
      </c>
      <c r="G395" s="29">
        <v>4</v>
      </c>
      <c r="H395" s="30" t="str">
        <f>VLOOKUP(G395,routes_of_administration_list!A:B,2)</f>
        <v>внутримышечно в дельтовидную мышцу</v>
      </c>
      <c r="J395" s="40">
        <v>45558</v>
      </c>
    </row>
    <row r="396" spans="1:10">
      <c r="A396" s="29">
        <v>167</v>
      </c>
      <c r="B396" s="8" t="str">
        <f>VLOOKUP(A396,vaccines!A:B,2)</f>
        <v>Hexaxim</v>
      </c>
      <c r="C396" s="29">
        <v>11</v>
      </c>
      <c r="D396" s="8" t="str">
        <f>VLOOKUP(C396,ages_from_list!A:C,3)</f>
        <v>4 лет</v>
      </c>
      <c r="E396" s="29">
        <v>21</v>
      </c>
      <c r="F396" s="8" t="str">
        <f>VLOOKUP(E396,ages_through_list!A:C,3)</f>
        <v>47 месяцев (4 лет 11 месяцев)</v>
      </c>
      <c r="G396" s="29">
        <v>5</v>
      </c>
      <c r="H396" s="30" t="str">
        <f>VLOOKUP(G396,routes_of_administration_list!A:B,2)</f>
        <v>внутримышечно в дельтовидную мышцу</v>
      </c>
      <c r="J396" s="40">
        <v>45558</v>
      </c>
    </row>
    <row r="397" spans="1:10">
      <c r="A397" s="29">
        <v>168</v>
      </c>
      <c r="B397" s="8" t="str">
        <f>VLOOKUP(A397,vaccines!A:B,2)</f>
        <v>Gam_VLP_multivac</v>
      </c>
      <c r="C397" s="29">
        <v>18</v>
      </c>
      <c r="D397" s="8" t="str">
        <f>VLOOKUP(C397,ages_from_list!A:C,3)</f>
        <v>18 лет</v>
      </c>
      <c r="E397" s="29">
        <v>9</v>
      </c>
      <c r="F397" s="8" t="str">
        <f>VLOOKUP(E397,ages_through_list!A:C,3)</f>
        <v>55 лет</v>
      </c>
      <c r="G397" s="29">
        <v>3</v>
      </c>
      <c r="H397" s="30" t="str">
        <f>VLOOKUP(G397,routes_of_administration_list!A:B,2)</f>
        <v>внутримышечно в дельтовидную мышцу</v>
      </c>
      <c r="J397" s="40">
        <v>45678</v>
      </c>
    </row>
    <row r="398" spans="1:10">
      <c r="A398" s="29">
        <v>168</v>
      </c>
      <c r="B398" s="8" t="str">
        <f>VLOOKUP(A398,vaccines!A:B,2)</f>
        <v>Gam_VLP_multivac</v>
      </c>
      <c r="C398" s="29">
        <v>18</v>
      </c>
      <c r="D398" s="8" t="str">
        <f>VLOOKUP(C398,ages_from_list!A:C,3)</f>
        <v>18 лет</v>
      </c>
      <c r="E398" s="29">
        <v>9</v>
      </c>
      <c r="F398" s="8" t="str">
        <f>VLOOKUP(E398,ages_through_list!A:C,3)</f>
        <v>55 лет</v>
      </c>
      <c r="G398" s="29">
        <v>1</v>
      </c>
      <c r="H398" s="30" t="str">
        <f>VLOOKUP(G398,routes_of_administration_list!A:B,2)</f>
        <v>внутримышечно в передненаружную область бедра</v>
      </c>
      <c r="J398" s="40">
        <v>45678</v>
      </c>
    </row>
    <row r="399" spans="1:10">
      <c r="A399" s="29">
        <v>169</v>
      </c>
      <c r="B399" s="8" t="str">
        <f>VLOOKUP(A399,vaccines!A:B,2)</f>
        <v>Gam_VLP_multivac_nasal</v>
      </c>
      <c r="C399" s="29">
        <v>18</v>
      </c>
      <c r="D399" s="8" t="str">
        <f>VLOOKUP(C399,ages_from_list!A:C,3)</f>
        <v>18 лет</v>
      </c>
      <c r="E399" s="29">
        <v>9</v>
      </c>
      <c r="F399" s="8" t="str">
        <f>VLOOKUP(E399,ages_through_list!A:C,3)</f>
        <v>55 лет</v>
      </c>
      <c r="G399" s="29">
        <v>14</v>
      </c>
      <c r="H399" s="30" t="str">
        <f>VLOOKUP(G399,routes_of_administration_list!A:B,2)</f>
        <v>интраназально</v>
      </c>
      <c r="J399" s="40">
        <v>45742</v>
      </c>
    </row>
    <row r="400" spans="1:10">
      <c r="A400" s="29">
        <v>170</v>
      </c>
      <c r="B400" s="8" t="str">
        <f>VLOOKUP(A400,vaccines!A:B,2)</f>
        <v>Cegardex</v>
      </c>
      <c r="C400" s="29">
        <v>18</v>
      </c>
      <c r="D400" s="8" t="str">
        <f>VLOOKUP(C400,ages_from_list!A:C,3)</f>
        <v>18 лет</v>
      </c>
      <c r="E400" s="29">
        <v>7</v>
      </c>
      <c r="F400" s="8" t="str">
        <f>VLOOKUP(E400,ages_through_list!A:C,3)</f>
        <v>45 лет</v>
      </c>
      <c r="G400" s="29">
        <v>3</v>
      </c>
      <c r="H400" s="30" t="str">
        <f>VLOOKUP(G400,routes_of_administration_list!A:B,2)</f>
        <v>внутримышечно в дельтовидную мышцу</v>
      </c>
      <c r="J400" s="40">
        <v>45742</v>
      </c>
    </row>
    <row r="401" spans="1:10">
      <c r="A401" s="29">
        <v>170</v>
      </c>
      <c r="B401" s="8" t="str">
        <f>VLOOKUP(A401,vaccines!A:B,2)</f>
        <v>Cegardex</v>
      </c>
      <c r="C401" s="29">
        <v>18</v>
      </c>
      <c r="D401" s="8" t="str">
        <f>VLOOKUP(C401,ages_from_list!A:C,3)</f>
        <v>18 лет</v>
      </c>
      <c r="E401" s="29">
        <v>7</v>
      </c>
      <c r="F401" s="8" t="str">
        <f>VLOOKUP(E401,ages_through_list!A:C,3)</f>
        <v>45 лет</v>
      </c>
      <c r="G401" s="29">
        <v>1</v>
      </c>
      <c r="H401" s="30" t="str">
        <f>VLOOKUP(G401,routes_of_administration_list!A:B,2)</f>
        <v>внутримышечно в передненаружную область бедра</v>
      </c>
      <c r="J401" s="40">
        <v>45742</v>
      </c>
    </row>
    <row r="402" spans="1:10">
      <c r="A402" s="29">
        <v>171</v>
      </c>
      <c r="B402" s="8" t="str">
        <f>VLOOKUP(A402,vaccines!A:B,2)</f>
        <v>Menvaid</v>
      </c>
      <c r="C402" s="29">
        <v>7</v>
      </c>
      <c r="D402" s="8" t="str">
        <f>VLOOKUP(C402,ages_from_list!A:C,3)</f>
        <v>9 месяцев</v>
      </c>
      <c r="E402" s="29">
        <v>20</v>
      </c>
      <c r="F402" s="8" t="str">
        <f>VLOOKUP(E402,ages_through_list!A:C,3)</f>
        <v>11 месяцев</v>
      </c>
      <c r="G402" s="29">
        <v>1</v>
      </c>
      <c r="H402" s="30" t="str">
        <f>VLOOKUP(G402,routes_of_administration_list!A:B,2)</f>
        <v>внутримышечно в передненаружную область бедра</v>
      </c>
      <c r="J402" s="40">
        <v>45755</v>
      </c>
    </row>
    <row r="403" spans="1:10">
      <c r="A403" s="29">
        <v>171</v>
      </c>
      <c r="B403" s="8" t="str">
        <f>VLOOKUP(A403,vaccines!A:B,2)</f>
        <v>Menvaid</v>
      </c>
      <c r="C403" s="29">
        <v>8</v>
      </c>
      <c r="D403" s="8" t="str">
        <f>VLOOKUP(C403,ages_from_list!A:C,3)</f>
        <v>12 месяцев</v>
      </c>
      <c r="E403" s="29">
        <v>26</v>
      </c>
      <c r="F403" s="8" t="str">
        <f>VLOOKUP(E403,ages_through_list!A:C,3)</f>
        <v>85 лет</v>
      </c>
      <c r="G403" s="29">
        <v>1</v>
      </c>
      <c r="H403" s="30" t="str">
        <f>VLOOKUP(G403,routes_of_administration_list!A:B,2)</f>
        <v>внутримышечно в передненаружную область бедра</v>
      </c>
      <c r="J403" s="40">
        <v>45755</v>
      </c>
    </row>
    <row r="404" spans="1:10">
      <c r="A404" s="29">
        <v>171</v>
      </c>
      <c r="B404" s="8" t="str">
        <f>VLOOKUP(A404,vaccines!A:B,2)</f>
        <v>Menvaid</v>
      </c>
      <c r="C404" s="29">
        <v>8</v>
      </c>
      <c r="D404" s="8" t="str">
        <f>VLOOKUP(C404,ages_from_list!A:C,3)</f>
        <v>12 месяцев</v>
      </c>
      <c r="E404" s="29">
        <v>3</v>
      </c>
      <c r="F404" s="8" t="str">
        <f>VLOOKUP(E404,ages_through_list!A:C,3)</f>
        <v>3 лет 11 месяцев</v>
      </c>
      <c r="G404" s="29">
        <v>4</v>
      </c>
      <c r="H404" s="30" t="str">
        <f>VLOOKUP(G404,routes_of_administration_list!A:B,2)</f>
        <v>внутримышечно в дельтовидную мышцу</v>
      </c>
      <c r="J404" s="40">
        <v>45755</v>
      </c>
    </row>
    <row r="405" spans="1:10">
      <c r="A405" s="29">
        <v>171</v>
      </c>
      <c r="B405" s="8" t="str">
        <f>VLOOKUP(A405,vaccines!A:B,2)</f>
        <v>Menvaid</v>
      </c>
      <c r="C405" s="29">
        <v>11</v>
      </c>
      <c r="D405" s="8" t="str">
        <f>VLOOKUP(C405,ages_from_list!A:C,3)</f>
        <v>4 лет</v>
      </c>
      <c r="E405" s="29">
        <v>4</v>
      </c>
      <c r="F405" s="8" t="str">
        <f>VLOOKUP(E405,ages_through_list!A:C,3)</f>
        <v>5 лет</v>
      </c>
      <c r="G405" s="29">
        <v>5</v>
      </c>
      <c r="H405" s="30" t="str">
        <f>VLOOKUP(G405,routes_of_administration_list!A:B,2)</f>
        <v>внутримышечно в дельтовидную мышцу</v>
      </c>
      <c r="J405" s="40">
        <v>45755</v>
      </c>
    </row>
    <row r="406" spans="1:10">
      <c r="A406" s="29">
        <v>171</v>
      </c>
      <c r="B406" s="8" t="str">
        <f>VLOOKUP(A406,vaccines!A:B,2)</f>
        <v>Menvaid</v>
      </c>
      <c r="C406" s="29">
        <v>12</v>
      </c>
      <c r="D406" s="8" t="str">
        <f>VLOOKUP(C406,ages_from_list!A:C,3)</f>
        <v>6 лет</v>
      </c>
      <c r="E406" s="29">
        <v>26</v>
      </c>
      <c r="F406" s="8" t="str">
        <f>VLOOKUP(E406,ages_through_list!A:C,3)</f>
        <v>85 лет</v>
      </c>
      <c r="G406" s="29">
        <v>3</v>
      </c>
      <c r="H406" s="30" t="str">
        <f>VLOOKUP(G406,routes_of_administration_list!A:B,2)</f>
        <v>внутримышечно в дельтовидную мышцу</v>
      </c>
      <c r="J406" s="40">
        <v>45755</v>
      </c>
    </row>
    <row r="407" spans="1:10">
      <c r="A407" s="29">
        <v>172</v>
      </c>
      <c r="B407" s="8" t="str">
        <f>VLOOKUP(A407,vaccines!A:B,2)</f>
        <v>ChiroRab</v>
      </c>
      <c r="C407" s="7">
        <v>1</v>
      </c>
      <c r="D407" s="8" t="str">
        <f>VLOOKUP(C407,ages_from_list!A:C,3)</f>
        <v>0 дней</v>
      </c>
      <c r="E407" s="7">
        <v>16</v>
      </c>
      <c r="F407" s="8" t="str">
        <f>VLOOKUP(E407,ages_through_list!A:C,3)</f>
        <v>18 месяцев</v>
      </c>
      <c r="G407" s="7">
        <v>1</v>
      </c>
      <c r="H407" s="30" t="str">
        <f>VLOOKUP(G407,routes_of_administration_list!A:B,2)</f>
        <v>внутримышечно в передненаружную область бедра</v>
      </c>
      <c r="I407" s="8"/>
      <c r="J407" s="12">
        <v>45818</v>
      </c>
    </row>
    <row r="408" spans="1:10">
      <c r="A408" s="29">
        <v>172</v>
      </c>
      <c r="B408" s="8" t="str">
        <f>VLOOKUP(A408,vaccines!A:B,2)</f>
        <v>ChiroRab</v>
      </c>
      <c r="C408" s="7">
        <v>21</v>
      </c>
      <c r="D408" s="8" t="str">
        <f>VLOOKUP(C408,ages_from_list!A:C,3)</f>
        <v>1 года 7 месяцев</v>
      </c>
      <c r="E408" s="7">
        <v>3</v>
      </c>
      <c r="F408" s="8" t="str">
        <f>VLOOKUP(E408,ages_through_list!A:C,3)</f>
        <v>3 лет 11 месяцев</v>
      </c>
      <c r="G408" s="7">
        <v>4</v>
      </c>
      <c r="H408" s="30" t="str">
        <f>VLOOKUP(G408,routes_of_administration_list!A:B,2)</f>
        <v>внутримышечно в дельтовидную мышцу</v>
      </c>
      <c r="I408" s="8"/>
      <c r="J408" s="12">
        <v>45818</v>
      </c>
    </row>
    <row r="409" spans="1:10">
      <c r="A409" s="29">
        <v>172</v>
      </c>
      <c r="B409" s="8" t="str">
        <f>VLOOKUP(A409,vaccines!A:B,2)</f>
        <v>ChiroRab</v>
      </c>
      <c r="C409" s="7">
        <v>11</v>
      </c>
      <c r="D409" s="8" t="str">
        <f>VLOOKUP(C409,ages_from_list!A:C,3)</f>
        <v>4 лет</v>
      </c>
      <c r="E409" s="7">
        <v>4</v>
      </c>
      <c r="F409" s="8" t="str">
        <f>VLOOKUP(E409,ages_through_list!A:C,3)</f>
        <v>5 лет</v>
      </c>
      <c r="G409" s="7">
        <v>5</v>
      </c>
      <c r="H409" s="30" t="str">
        <f>VLOOKUP(G409,routes_of_administration_list!A:B,2)</f>
        <v>внутримышечно в дельтовидную мышцу</v>
      </c>
      <c r="I409" s="8"/>
      <c r="J409" s="12">
        <v>45818</v>
      </c>
    </row>
    <row r="410" spans="1:10">
      <c r="A410" s="29">
        <v>172</v>
      </c>
      <c r="B410" s="8" t="str">
        <f>VLOOKUP(A410,vaccines!A:B,2)</f>
        <v>ChiroRab</v>
      </c>
      <c r="C410" s="7">
        <v>12</v>
      </c>
      <c r="D410" s="8" t="str">
        <f>VLOOKUP(C410,ages_from_list!A:C,3)</f>
        <v>6 лет</v>
      </c>
      <c r="E410" s="7">
        <v>13</v>
      </c>
      <c r="F410" s="8" t="str">
        <f>VLOOKUP(E410,ages_through_list!A:C,3)</f>
        <v>∞</v>
      </c>
      <c r="G410" s="7">
        <v>3</v>
      </c>
      <c r="H410" s="30" t="str">
        <f>VLOOKUP(G410,routes_of_administration_list!A:B,2)</f>
        <v>внутримышечно в дельтовидную мышцу</v>
      </c>
      <c r="I410" s="8"/>
      <c r="J410" s="12">
        <v>45818</v>
      </c>
    </row>
    <row r="411" spans="1:10">
      <c r="A411" s="29">
        <v>173</v>
      </c>
      <c r="B411" s="8" t="str">
        <f>VLOOKUP(A411,vaccines!A:B,2)</f>
        <v>Prevenar_20</v>
      </c>
      <c r="C411" s="54">
        <v>2</v>
      </c>
      <c r="D411" s="8" t="str">
        <f>VLOOKUP(C411,ages_from_list!A:C,3)</f>
        <v>6 недель</v>
      </c>
      <c r="E411" s="54">
        <v>13</v>
      </c>
      <c r="F411" s="8" t="str">
        <f>VLOOKUP(E411,ages_through_list!A:C,3)</f>
        <v>∞</v>
      </c>
      <c r="G411" s="54">
        <v>1</v>
      </c>
      <c r="H411" s="30" t="str">
        <f>VLOOKUP(G411,routes_of_administration_list!A:B,2)</f>
        <v>внутримышечно в передненаружную область бедра</v>
      </c>
      <c r="I411" s="8"/>
      <c r="J411" s="40">
        <v>45861</v>
      </c>
    </row>
    <row r="412" spans="1:10">
      <c r="A412" s="29">
        <v>173</v>
      </c>
      <c r="B412" s="8" t="str">
        <f>VLOOKUP(A412,vaccines!A:B,2)</f>
        <v>Prevenar_20</v>
      </c>
      <c r="C412" s="54">
        <v>9</v>
      </c>
      <c r="D412" s="8" t="str">
        <f>VLOOKUP(C412,ages_from_list!A:C,3)</f>
        <v>24 месяцев (2 лет)</v>
      </c>
      <c r="E412" s="54">
        <v>3</v>
      </c>
      <c r="F412" s="8" t="str">
        <f>VLOOKUP(E412,ages_through_list!A:C,3)</f>
        <v>3 лет 11 месяцев</v>
      </c>
      <c r="G412" s="54">
        <v>4</v>
      </c>
      <c r="H412" s="30" t="str">
        <f>VLOOKUP(G412,routes_of_administration_list!A:B,2)</f>
        <v>внутримышечно в дельтовидную мышцу</v>
      </c>
      <c r="I412" s="8"/>
      <c r="J412" s="40">
        <v>45861</v>
      </c>
    </row>
    <row r="413" spans="1:10">
      <c r="A413" s="29">
        <v>173</v>
      </c>
      <c r="B413" s="8" t="str">
        <f>VLOOKUP(A413,vaccines!A:B,2)</f>
        <v>Prevenar_20</v>
      </c>
      <c r="C413" s="54">
        <v>11</v>
      </c>
      <c r="D413" s="8" t="str">
        <f>VLOOKUP(C413,ages_from_list!A:C,3)</f>
        <v>4 лет</v>
      </c>
      <c r="E413" s="54">
        <v>4</v>
      </c>
      <c r="F413" s="8" t="str">
        <f>VLOOKUP(E413,ages_through_list!A:C,3)</f>
        <v>5 лет</v>
      </c>
      <c r="G413" s="54">
        <v>5</v>
      </c>
      <c r="H413" s="30" t="str">
        <f>VLOOKUP(G413,routes_of_administration_list!A:B,2)</f>
        <v>внутримышечно в дельтовидную мышцу</v>
      </c>
      <c r="I413" s="8"/>
      <c r="J413" s="40">
        <v>45861</v>
      </c>
    </row>
    <row r="414" spans="1:10">
      <c r="A414" s="29">
        <v>173</v>
      </c>
      <c r="B414" s="8" t="str">
        <f>VLOOKUP(A414,vaccines!A:B,2)</f>
        <v>Prevenar_20</v>
      </c>
      <c r="C414" s="54">
        <v>12</v>
      </c>
      <c r="D414" s="8" t="str">
        <f>VLOOKUP(C414,ages_from_list!A:C,3)</f>
        <v>6 лет</v>
      </c>
      <c r="E414" s="54">
        <v>13</v>
      </c>
      <c r="F414" s="8" t="str">
        <f>VLOOKUP(E414,ages_through_list!A:C,3)</f>
        <v>∞</v>
      </c>
      <c r="G414" s="54">
        <v>3</v>
      </c>
      <c r="H414" s="30" t="str">
        <f>VLOOKUP(G414,routes_of_administration_list!A:B,2)</f>
        <v>внутримышечно в дельтовидную мышцу</v>
      </c>
      <c r="I414" s="8"/>
      <c r="J414" s="40">
        <v>45861</v>
      </c>
    </row>
    <row r="415" spans="1:10">
      <c r="A415" s="29">
        <v>174</v>
      </c>
      <c r="B415" s="8" t="str">
        <f>VLOOKUP(A415,vaccines!A:B,2)</f>
        <v>aAKDS_M</v>
      </c>
      <c r="C415" s="54">
        <v>18</v>
      </c>
      <c r="D415" s="8" t="str">
        <f>VLOOKUP(C415,ages_from_list!A:C,3)</f>
        <v>18 лет</v>
      </c>
      <c r="E415" s="54">
        <v>13</v>
      </c>
      <c r="F415" s="8" t="str">
        <f>VLOOKUP(E415,ages_through_list!A:C,3)</f>
        <v>∞</v>
      </c>
      <c r="G415" s="54">
        <v>3</v>
      </c>
      <c r="H415" s="30" t="str">
        <f>VLOOKUP(G415,routes_of_administration_list!A:B,2)</f>
        <v>внутримышечно в дельтовидную мышцу</v>
      </c>
      <c r="I415" s="8"/>
      <c r="J415" s="40">
        <v>46131</v>
      </c>
    </row>
    <row r="416" spans="1:10">
      <c r="A416" s="29">
        <v>174</v>
      </c>
      <c r="B416" s="8" t="str">
        <f>VLOOKUP(A416,vaccines!A:B,2)</f>
        <v>aAKDS_M</v>
      </c>
      <c r="C416" s="54">
        <v>18</v>
      </c>
      <c r="D416" s="8" t="str">
        <f>VLOOKUP(C416,ages_from_list!A:C,3)</f>
        <v>18 лет</v>
      </c>
      <c r="E416" s="54">
        <v>13</v>
      </c>
      <c r="F416" s="8" t="str">
        <f>VLOOKUP(E416,ages_through_list!A:C,3)</f>
        <v>∞</v>
      </c>
      <c r="G416" s="54">
        <v>1</v>
      </c>
      <c r="H416" s="30" t="str">
        <f>VLOOKUP(G416,routes_of_administration_list!A:B,2)</f>
        <v>внутримышечно в передненаружную область бедра</v>
      </c>
      <c r="I416" s="8"/>
      <c r="J416" s="40">
        <v>46131</v>
      </c>
    </row>
    <row r="417" spans="1:10">
      <c r="A417" s="29">
        <v>175</v>
      </c>
      <c r="B417" s="8" t="str">
        <f>VLOOKUP(A417,vaccines!A:B,2)</f>
        <v>Nimenrix</v>
      </c>
      <c r="C417" s="54">
        <v>2</v>
      </c>
      <c r="D417" s="8" t="str">
        <f>VLOOKUP(C417,ages_from_list!A:C,3)</f>
        <v>6 недель</v>
      </c>
      <c r="E417" s="54">
        <v>13</v>
      </c>
      <c r="F417" s="8" t="str">
        <f>VLOOKUP(E417,ages_through_list!A:C,3)</f>
        <v>∞</v>
      </c>
      <c r="G417" s="54">
        <v>1</v>
      </c>
      <c r="H417" s="30" t="str">
        <f>VLOOKUP(G417,routes_of_administration_list!A:B,2)</f>
        <v>внутримышечно в передненаружную область бедра</v>
      </c>
      <c r="I417" s="8"/>
      <c r="J417" s="40">
        <v>46131</v>
      </c>
    </row>
    <row r="418" spans="1:10">
      <c r="A418" s="29">
        <v>175</v>
      </c>
      <c r="B418" s="8" t="str">
        <f>VLOOKUP(A418,vaccines!A:B,2)</f>
        <v>Nimenrix</v>
      </c>
      <c r="C418" s="54">
        <v>8</v>
      </c>
      <c r="D418" s="8" t="str">
        <f>VLOOKUP(C418,ages_from_list!A:C,3)</f>
        <v>12 месяцев</v>
      </c>
      <c r="E418" s="54">
        <v>13</v>
      </c>
      <c r="F418" s="8" t="str">
        <f>VLOOKUP(E418,ages_through_list!A:C,3)</f>
        <v>∞</v>
      </c>
      <c r="G418" s="54">
        <v>3</v>
      </c>
      <c r="H418" s="30" t="str">
        <f>VLOOKUP(G418,routes_of_administration_list!A:B,2)</f>
        <v>внутримышечно в дельтовидную мышцу</v>
      </c>
      <c r="I418" s="8"/>
      <c r="J418" s="40">
        <v>46131</v>
      </c>
    </row>
    <row r="419" spans="1:10">
      <c r="J419" s="43"/>
    </row>
    <row r="420" spans="1:10">
      <c r="J420" s="43"/>
    </row>
    <row r="421" spans="1:10">
      <c r="J421" s="43"/>
    </row>
    <row r="422" spans="1:10">
      <c r="J422" s="43"/>
    </row>
    <row r="423" spans="1:10">
      <c r="J423" s="43"/>
    </row>
    <row r="424" spans="1:10">
      <c r="J424" s="43"/>
    </row>
    <row r="425" spans="1:10">
      <c r="J425" s="43"/>
    </row>
    <row r="426" spans="1:10">
      <c r="J426" s="43"/>
    </row>
    <row r="427" spans="1:10">
      <c r="J427" s="43"/>
    </row>
    <row r="428" spans="1:10">
      <c r="J428" s="43"/>
    </row>
    <row r="429" spans="1:10">
      <c r="J429" s="43"/>
    </row>
    <row r="430" spans="1:10">
      <c r="J430" s="43"/>
    </row>
    <row r="431" spans="1:10">
      <c r="J431" s="43"/>
    </row>
    <row r="432" spans="1:10">
      <c r="J432" s="43"/>
    </row>
    <row r="433" spans="10:10">
      <c r="J433" s="43"/>
    </row>
    <row r="434" spans="10:10">
      <c r="J434" s="43"/>
    </row>
    <row r="435" spans="10:10">
      <c r="J435" s="43"/>
    </row>
    <row r="436" spans="10:10">
      <c r="J436" s="43"/>
    </row>
    <row r="437" spans="10:10">
      <c r="J437" s="43"/>
    </row>
    <row r="438" spans="10:10">
      <c r="J438" s="43"/>
    </row>
    <row r="439" spans="10:10">
      <c r="J439" s="43"/>
    </row>
    <row r="440" spans="10:10">
      <c r="J440" s="43"/>
    </row>
    <row r="441" spans="10:10">
      <c r="J441" s="43"/>
    </row>
    <row r="442" spans="10:10">
      <c r="J442" s="43"/>
    </row>
    <row r="443" spans="10:10">
      <c r="J443" s="43"/>
    </row>
    <row r="444" spans="10:10">
      <c r="J444" s="43"/>
    </row>
    <row r="445" spans="10:10">
      <c r="J445" s="43"/>
    </row>
    <row r="446" spans="10:10">
      <c r="J446" s="43"/>
    </row>
    <row r="447" spans="10:10">
      <c r="J447" s="43"/>
    </row>
    <row r="448" spans="10:10">
      <c r="J448" s="43"/>
    </row>
    <row r="449" spans="10:10">
      <c r="J449" s="43"/>
    </row>
    <row r="450" spans="10:10">
      <c r="J450" s="43"/>
    </row>
    <row r="451" spans="10:10">
      <c r="J451" s="43"/>
    </row>
    <row r="452" spans="10:10">
      <c r="J452" s="43"/>
    </row>
    <row r="453" spans="10:10">
      <c r="J453" s="43"/>
    </row>
    <row r="454" spans="10:10">
      <c r="J454" s="43"/>
    </row>
    <row r="455" spans="10:10">
      <c r="J455" s="43"/>
    </row>
    <row r="456" spans="10:10">
      <c r="J456" s="43"/>
    </row>
    <row r="457" spans="10:10">
      <c r="J457" s="43"/>
    </row>
    <row r="458" spans="10:10">
      <c r="J458" s="43"/>
    </row>
    <row r="459" spans="10:10">
      <c r="J459" s="43"/>
    </row>
    <row r="460" spans="10:10">
      <c r="J460" s="43"/>
    </row>
    <row r="461" spans="10:10">
      <c r="J461" s="43"/>
    </row>
    <row r="462" spans="10:10">
      <c r="J462" s="43"/>
    </row>
    <row r="463" spans="10:10">
      <c r="J463" s="43"/>
    </row>
    <row r="464" spans="10:10">
      <c r="J464" s="43"/>
    </row>
    <row r="465" spans="10:10">
      <c r="J465" s="43"/>
    </row>
    <row r="466" spans="10:10">
      <c r="J466" s="43"/>
    </row>
    <row r="467" spans="10:10">
      <c r="J467" s="43"/>
    </row>
    <row r="468" spans="10:10">
      <c r="J468" s="43"/>
    </row>
    <row r="469" spans="10:10">
      <c r="J469" s="43"/>
    </row>
    <row r="470" spans="10:10">
      <c r="J470" s="43"/>
    </row>
    <row r="471" spans="10:10">
      <c r="J471" s="43"/>
    </row>
    <row r="472" spans="10:10">
      <c r="J472" s="43"/>
    </row>
    <row r="473" spans="10:10">
      <c r="J473" s="43"/>
    </row>
    <row r="474" spans="10:10">
      <c r="J474" s="43"/>
    </row>
    <row r="475" spans="10:10">
      <c r="J475" s="43"/>
    </row>
    <row r="476" spans="10:10">
      <c r="J476" s="43"/>
    </row>
    <row r="477" spans="10:10">
      <c r="J477" s="43"/>
    </row>
    <row r="478" spans="10:10">
      <c r="J478" s="43"/>
    </row>
    <row r="479" spans="10:10">
      <c r="J479" s="43"/>
    </row>
    <row r="480" spans="10:10">
      <c r="J480" s="43"/>
    </row>
    <row r="481" spans="10:10">
      <c r="J481" s="43"/>
    </row>
    <row r="482" spans="10:10">
      <c r="J482" s="43"/>
    </row>
    <row r="483" spans="10:10">
      <c r="J483" s="43"/>
    </row>
    <row r="484" spans="10:10">
      <c r="J484" s="43"/>
    </row>
    <row r="485" spans="10:10">
      <c r="J485" s="43"/>
    </row>
    <row r="486" spans="10:10">
      <c r="J486" s="43"/>
    </row>
    <row r="487" spans="10:10">
      <c r="J487" s="43"/>
    </row>
    <row r="488" spans="10:10">
      <c r="J488" s="43"/>
    </row>
    <row r="489" spans="10:10">
      <c r="J489" s="43"/>
    </row>
    <row r="490" spans="10:10">
      <c r="J490" s="43"/>
    </row>
    <row r="491" spans="10:10">
      <c r="J491" s="43"/>
    </row>
    <row r="492" spans="10:10">
      <c r="J492" s="43"/>
    </row>
    <row r="493" spans="10:10">
      <c r="J493" s="43"/>
    </row>
    <row r="494" spans="10:10">
      <c r="J494" s="43"/>
    </row>
    <row r="495" spans="10:10">
      <c r="J495" s="43"/>
    </row>
    <row r="496" spans="10:10">
      <c r="J496" s="43"/>
    </row>
    <row r="497" spans="10:10">
      <c r="J497" s="43"/>
    </row>
    <row r="498" spans="10:10">
      <c r="J498" s="43"/>
    </row>
    <row r="499" spans="10:10">
      <c r="J499" s="43"/>
    </row>
    <row r="500" spans="10:10">
      <c r="J500" s="43"/>
    </row>
    <row r="501" spans="10:10">
      <c r="J501" s="43"/>
    </row>
    <row r="502" spans="10:10">
      <c r="J502" s="43"/>
    </row>
    <row r="503" spans="10:10">
      <c r="J503" s="43"/>
    </row>
    <row r="504" spans="10:10">
      <c r="J504" s="43"/>
    </row>
    <row r="505" spans="10:10">
      <c r="J505" s="43"/>
    </row>
    <row r="506" spans="10:10">
      <c r="J506" s="43"/>
    </row>
    <row r="507" spans="10:10">
      <c r="J507" s="43"/>
    </row>
    <row r="508" spans="10:10">
      <c r="J508" s="43"/>
    </row>
    <row r="509" spans="10:10">
      <c r="J509" s="43"/>
    </row>
    <row r="510" spans="10:10">
      <c r="J510" s="43"/>
    </row>
    <row r="511" spans="10:10">
      <c r="J511" s="43"/>
    </row>
    <row r="512" spans="10:10">
      <c r="J512" s="43"/>
    </row>
    <row r="513" spans="10:10">
      <c r="J513" s="43"/>
    </row>
    <row r="514" spans="10:10">
      <c r="J514" s="43"/>
    </row>
    <row r="515" spans="10:10">
      <c r="J515" s="43"/>
    </row>
    <row r="516" spans="10:10">
      <c r="J516" s="43"/>
    </row>
    <row r="517" spans="10:10">
      <c r="J517" s="43"/>
    </row>
    <row r="518" spans="10:10">
      <c r="J518" s="43"/>
    </row>
    <row r="519" spans="10:10">
      <c r="J519" s="43"/>
    </row>
    <row r="520" spans="10:10">
      <c r="J520" s="43"/>
    </row>
    <row r="521" spans="10:10">
      <c r="J521" s="43"/>
    </row>
    <row r="522" spans="10:10">
      <c r="J522" s="43"/>
    </row>
    <row r="523" spans="10:10">
      <c r="J523" s="43"/>
    </row>
    <row r="524" spans="10:10">
      <c r="J524" s="43"/>
    </row>
    <row r="525" spans="10:10">
      <c r="J525" s="43"/>
    </row>
    <row r="526" spans="10:10">
      <c r="J526" s="43"/>
    </row>
    <row r="527" spans="10:10">
      <c r="J527" s="43"/>
    </row>
    <row r="528" spans="10:10">
      <c r="J528" s="43"/>
    </row>
    <row r="529" spans="10:10">
      <c r="J529" s="43"/>
    </row>
    <row r="530" spans="10:10">
      <c r="J530" s="43"/>
    </row>
    <row r="531" spans="10:10">
      <c r="J531" s="43"/>
    </row>
    <row r="532" spans="10:10">
      <c r="J532" s="43"/>
    </row>
    <row r="533" spans="10:10">
      <c r="J533" s="43"/>
    </row>
    <row r="534" spans="10:10">
      <c r="J534" s="43"/>
    </row>
    <row r="535" spans="10:10">
      <c r="J535" s="43"/>
    </row>
    <row r="536" spans="10:10">
      <c r="J536" s="43"/>
    </row>
    <row r="537" spans="10:10">
      <c r="J537" s="43"/>
    </row>
    <row r="538" spans="10:10">
      <c r="J538" s="43"/>
    </row>
    <row r="539" spans="10:10">
      <c r="J539" s="43"/>
    </row>
    <row r="540" spans="10:10">
      <c r="J540" s="43"/>
    </row>
    <row r="541" spans="10:10">
      <c r="J541" s="43"/>
    </row>
    <row r="542" spans="10:10">
      <c r="J542" s="43"/>
    </row>
    <row r="543" spans="10:10">
      <c r="J543" s="43"/>
    </row>
    <row r="544" spans="10:10">
      <c r="J544" s="43"/>
    </row>
    <row r="545" spans="10:10">
      <c r="J545" s="43"/>
    </row>
    <row r="546" spans="10:10">
      <c r="J546" s="43"/>
    </row>
    <row r="547" spans="10:10">
      <c r="J547" s="43"/>
    </row>
    <row r="548" spans="10:10">
      <c r="J548" s="43"/>
    </row>
    <row r="549" spans="10:10">
      <c r="J549" s="43"/>
    </row>
    <row r="550" spans="10:10">
      <c r="J550" s="43"/>
    </row>
    <row r="551" spans="10:10">
      <c r="J551" s="43"/>
    </row>
    <row r="552" spans="10:10">
      <c r="J552" s="43"/>
    </row>
    <row r="553" spans="10:10">
      <c r="J553" s="43"/>
    </row>
    <row r="554" spans="10:10">
      <c r="J554" s="43"/>
    </row>
    <row r="555" spans="10:10">
      <c r="J555" s="43"/>
    </row>
    <row r="556" spans="10:10">
      <c r="J556" s="43"/>
    </row>
    <row r="557" spans="10:10">
      <c r="J557" s="43"/>
    </row>
    <row r="558" spans="10:10">
      <c r="J558" s="43"/>
    </row>
    <row r="559" spans="10:10">
      <c r="J559" s="43"/>
    </row>
    <row r="560" spans="10:10">
      <c r="J560" s="43"/>
    </row>
    <row r="561" spans="10:10">
      <c r="J561" s="43"/>
    </row>
    <row r="562" spans="10:10">
      <c r="J562" s="43"/>
    </row>
    <row r="563" spans="10:10">
      <c r="J563" s="43"/>
    </row>
    <row r="564" spans="10:10">
      <c r="J564" s="43"/>
    </row>
    <row r="565" spans="10:10">
      <c r="J565" s="43"/>
    </row>
    <row r="566" spans="10:10">
      <c r="J566" s="43"/>
    </row>
    <row r="567" spans="10:10">
      <c r="J567" s="43"/>
    </row>
    <row r="568" spans="10:10">
      <c r="J568" s="43"/>
    </row>
    <row r="569" spans="10:10">
      <c r="J569" s="43"/>
    </row>
    <row r="570" spans="10:10">
      <c r="J570" s="43"/>
    </row>
    <row r="571" spans="10:10">
      <c r="J571" s="43"/>
    </row>
    <row r="572" spans="10:10">
      <c r="J572" s="43"/>
    </row>
    <row r="573" spans="10:10">
      <c r="J573" s="43"/>
    </row>
    <row r="574" spans="10:10">
      <c r="J574" s="43"/>
    </row>
    <row r="575" spans="10:10">
      <c r="J575" s="43"/>
    </row>
    <row r="576" spans="10:10">
      <c r="J576" s="43"/>
    </row>
    <row r="577" spans="10:10">
      <c r="J577" s="43"/>
    </row>
    <row r="578" spans="10:10">
      <c r="J578" s="43"/>
    </row>
    <row r="579" spans="10:10">
      <c r="J579" s="43"/>
    </row>
    <row r="580" spans="10:10">
      <c r="J580" s="43"/>
    </row>
    <row r="581" spans="10:10">
      <c r="J581" s="43"/>
    </row>
    <row r="582" spans="10:10">
      <c r="J582" s="43"/>
    </row>
    <row r="583" spans="10:10">
      <c r="J583" s="43"/>
    </row>
    <row r="584" spans="10:10">
      <c r="J584" s="43"/>
    </row>
    <row r="585" spans="10:10">
      <c r="J585" s="43"/>
    </row>
    <row r="586" spans="10:10">
      <c r="J586" s="43"/>
    </row>
    <row r="587" spans="10:10">
      <c r="J587" s="43"/>
    </row>
    <row r="588" spans="10:10">
      <c r="J588" s="43"/>
    </row>
    <row r="589" spans="10:10">
      <c r="J589" s="43"/>
    </row>
    <row r="590" spans="10:10">
      <c r="J590" s="43"/>
    </row>
    <row r="591" spans="10:10">
      <c r="J591" s="43"/>
    </row>
    <row r="592" spans="10:10">
      <c r="J592" s="43"/>
    </row>
    <row r="593" spans="10:10">
      <c r="J593" s="43"/>
    </row>
    <row r="594" spans="10:10">
      <c r="J594" s="43"/>
    </row>
    <row r="595" spans="10:10">
      <c r="J595" s="43"/>
    </row>
    <row r="596" spans="10:10">
      <c r="J596" s="43"/>
    </row>
    <row r="597" spans="10:10">
      <c r="J597" s="43"/>
    </row>
    <row r="598" spans="10:10">
      <c r="J598" s="43"/>
    </row>
    <row r="599" spans="10:10">
      <c r="J599" s="43"/>
    </row>
    <row r="600" spans="10:10">
      <c r="J600" s="43"/>
    </row>
    <row r="601" spans="10:10">
      <c r="J601" s="43"/>
    </row>
    <row r="602" spans="10:10">
      <c r="J602" s="43"/>
    </row>
    <row r="603" spans="10:10">
      <c r="J603" s="43"/>
    </row>
    <row r="604" spans="10:10">
      <c r="J604" s="43"/>
    </row>
    <row r="605" spans="10:10">
      <c r="J605" s="43"/>
    </row>
    <row r="606" spans="10:10">
      <c r="J606" s="43"/>
    </row>
    <row r="607" spans="10:10">
      <c r="J607" s="43"/>
    </row>
    <row r="608" spans="10:10">
      <c r="J608" s="43"/>
    </row>
    <row r="609" spans="10:10">
      <c r="J609" s="43"/>
    </row>
    <row r="610" spans="10:10">
      <c r="J610" s="43"/>
    </row>
    <row r="611" spans="10:10">
      <c r="J611" s="43"/>
    </row>
    <row r="612" spans="10:10">
      <c r="J612" s="43"/>
    </row>
    <row r="613" spans="10:10">
      <c r="J613" s="43"/>
    </row>
    <row r="614" spans="10:10">
      <c r="J614" s="43"/>
    </row>
    <row r="615" spans="10:10">
      <c r="J615" s="43"/>
    </row>
    <row r="616" spans="10:10">
      <c r="J616" s="43"/>
    </row>
    <row r="617" spans="10:10">
      <c r="J617" s="43"/>
    </row>
    <row r="618" spans="10:10">
      <c r="J618" s="43"/>
    </row>
    <row r="619" spans="10:10">
      <c r="J619" s="43"/>
    </row>
    <row r="620" spans="10:10">
      <c r="J620" s="43"/>
    </row>
    <row r="621" spans="10:10">
      <c r="J621" s="43"/>
    </row>
    <row r="622" spans="10:10">
      <c r="J622" s="43"/>
    </row>
    <row r="623" spans="10:10">
      <c r="J623" s="43"/>
    </row>
    <row r="624" spans="10:10">
      <c r="J624" s="43"/>
    </row>
    <row r="625" spans="10:10">
      <c r="J625" s="43"/>
    </row>
    <row r="626" spans="10:10">
      <c r="J626" s="43"/>
    </row>
    <row r="627" spans="10:10">
      <c r="J627" s="43"/>
    </row>
    <row r="628" spans="10:10">
      <c r="J628" s="43"/>
    </row>
    <row r="629" spans="10:10">
      <c r="J629" s="43"/>
    </row>
    <row r="630" spans="10:10">
      <c r="J630" s="43"/>
    </row>
    <row r="631" spans="10:10">
      <c r="J631" s="43"/>
    </row>
    <row r="632" spans="10:10">
      <c r="J632" s="43"/>
    </row>
    <row r="633" spans="10:10">
      <c r="J633" s="43"/>
    </row>
    <row r="634" spans="10:10">
      <c r="J634" s="43"/>
    </row>
    <row r="635" spans="10:10">
      <c r="J635" s="43"/>
    </row>
    <row r="636" spans="10:10">
      <c r="J636" s="43"/>
    </row>
    <row r="637" spans="10:10">
      <c r="J637" s="43"/>
    </row>
    <row r="638" spans="10:10">
      <c r="J638" s="43"/>
    </row>
    <row r="639" spans="10:10">
      <c r="J639" s="43"/>
    </row>
    <row r="640" spans="10:10">
      <c r="J640" s="43"/>
    </row>
    <row r="641" spans="10:10">
      <c r="J641" s="43"/>
    </row>
    <row r="642" spans="10:10">
      <c r="J642" s="43"/>
    </row>
    <row r="643" spans="10:10">
      <c r="J643" s="43"/>
    </row>
    <row r="644" spans="10:10">
      <c r="J644" s="43"/>
    </row>
    <row r="645" spans="10:10">
      <c r="J645" s="43"/>
    </row>
    <row r="646" spans="10:10">
      <c r="J646" s="43"/>
    </row>
    <row r="647" spans="10:10">
      <c r="J647" s="43"/>
    </row>
    <row r="648" spans="10:10">
      <c r="J648" s="43"/>
    </row>
    <row r="649" spans="10:10">
      <c r="J649" s="43"/>
    </row>
    <row r="650" spans="10:10">
      <c r="J650" s="43"/>
    </row>
    <row r="651" spans="10:10">
      <c r="J651" s="43"/>
    </row>
    <row r="652" spans="10:10">
      <c r="J652" s="43"/>
    </row>
    <row r="653" spans="10:10">
      <c r="J653" s="43"/>
    </row>
    <row r="654" spans="10:10">
      <c r="J654" s="43"/>
    </row>
    <row r="655" spans="10:10">
      <c r="J655" s="43"/>
    </row>
    <row r="656" spans="10:10">
      <c r="J656" s="43"/>
    </row>
    <row r="657" spans="10:10">
      <c r="J657" s="43"/>
    </row>
    <row r="658" spans="10:10">
      <c r="J658" s="43"/>
    </row>
    <row r="659" spans="10:10">
      <c r="J659" s="43"/>
    </row>
    <row r="660" spans="10:10">
      <c r="J660" s="43"/>
    </row>
    <row r="661" spans="10:10">
      <c r="J661" s="43"/>
    </row>
    <row r="662" spans="10:10">
      <c r="J662" s="43"/>
    </row>
    <row r="663" spans="10:10">
      <c r="J663" s="43"/>
    </row>
    <row r="664" spans="10:10">
      <c r="J664" s="43"/>
    </row>
    <row r="665" spans="10:10">
      <c r="J665" s="43"/>
    </row>
    <row r="666" spans="10:10">
      <c r="J666" s="43"/>
    </row>
    <row r="667" spans="10:10">
      <c r="J667" s="43"/>
    </row>
    <row r="668" spans="10:10">
      <c r="J668" s="43"/>
    </row>
    <row r="669" spans="10:10">
      <c r="J669" s="43"/>
    </row>
    <row r="670" spans="10:10">
      <c r="J670" s="43"/>
    </row>
    <row r="671" spans="10:10">
      <c r="J671" s="43"/>
    </row>
    <row r="672" spans="10:10">
      <c r="J672" s="43"/>
    </row>
    <row r="673" spans="10:10">
      <c r="J673" s="43"/>
    </row>
    <row r="674" spans="10:10">
      <c r="J674" s="43"/>
    </row>
    <row r="675" spans="10:10">
      <c r="J675" s="43"/>
    </row>
    <row r="676" spans="10:10">
      <c r="J676" s="43"/>
    </row>
    <row r="677" spans="10:10">
      <c r="J677" s="43"/>
    </row>
    <row r="678" spans="10:10">
      <c r="J678" s="43"/>
    </row>
    <row r="679" spans="10:10">
      <c r="J679" s="43"/>
    </row>
    <row r="680" spans="10:10">
      <c r="J680" s="43"/>
    </row>
    <row r="681" spans="10:10">
      <c r="J681" s="43"/>
    </row>
    <row r="682" spans="10:10">
      <c r="J682" s="43"/>
    </row>
    <row r="683" spans="10:10">
      <c r="J683" s="43"/>
    </row>
    <row r="684" spans="10:10">
      <c r="J684" s="43"/>
    </row>
    <row r="685" spans="10:10">
      <c r="J685" s="43"/>
    </row>
    <row r="686" spans="10:10">
      <c r="J686" s="43"/>
    </row>
    <row r="687" spans="10:10">
      <c r="J687" s="43"/>
    </row>
    <row r="688" spans="10:10">
      <c r="J688" s="43"/>
    </row>
    <row r="689" spans="10:10">
      <c r="J689" s="43"/>
    </row>
    <row r="690" spans="10:10">
      <c r="J690" s="43"/>
    </row>
    <row r="691" spans="10:10">
      <c r="J691" s="43"/>
    </row>
    <row r="692" spans="10:10">
      <c r="J692" s="43"/>
    </row>
    <row r="693" spans="10:10">
      <c r="J693" s="43"/>
    </row>
    <row r="694" spans="10:10">
      <c r="J694" s="43"/>
    </row>
    <row r="695" spans="10:10">
      <c r="J695" s="43"/>
    </row>
    <row r="696" spans="10:10">
      <c r="J696" s="43"/>
    </row>
    <row r="697" spans="10:10">
      <c r="J697" s="43"/>
    </row>
    <row r="698" spans="10:10">
      <c r="J698" s="43"/>
    </row>
    <row r="699" spans="10:10">
      <c r="J699" s="43"/>
    </row>
    <row r="700" spans="10:10">
      <c r="J700" s="43"/>
    </row>
    <row r="701" spans="10:10">
      <c r="J701" s="43"/>
    </row>
    <row r="702" spans="10:10">
      <c r="J702" s="43"/>
    </row>
    <row r="703" spans="10:10">
      <c r="J703" s="43"/>
    </row>
    <row r="704" spans="10:10">
      <c r="J704" s="43"/>
    </row>
    <row r="705" spans="10:10">
      <c r="J705" s="43"/>
    </row>
    <row r="706" spans="10:10">
      <c r="J706" s="43"/>
    </row>
    <row r="707" spans="10:10">
      <c r="J707" s="43"/>
    </row>
    <row r="708" spans="10:10">
      <c r="J708" s="43"/>
    </row>
    <row r="709" spans="10:10">
      <c r="J709" s="43"/>
    </row>
    <row r="710" spans="10:10">
      <c r="J710" s="43"/>
    </row>
    <row r="711" spans="10:10">
      <c r="J711" s="43"/>
    </row>
    <row r="712" spans="10:10">
      <c r="J712" s="43"/>
    </row>
    <row r="713" spans="10:10">
      <c r="J713" s="43"/>
    </row>
    <row r="714" spans="10:10">
      <c r="J714" s="43"/>
    </row>
    <row r="715" spans="10:10">
      <c r="J715" s="43"/>
    </row>
    <row r="716" spans="10:10">
      <c r="J716" s="43"/>
    </row>
    <row r="717" spans="10:10">
      <c r="J717" s="43"/>
    </row>
    <row r="718" spans="10:10">
      <c r="J718" s="43"/>
    </row>
    <row r="719" spans="10:10">
      <c r="J719" s="43"/>
    </row>
    <row r="720" spans="10:10">
      <c r="J720" s="43"/>
    </row>
    <row r="721" spans="10:10">
      <c r="J721" s="43"/>
    </row>
    <row r="722" spans="10:10">
      <c r="J722" s="43"/>
    </row>
    <row r="723" spans="10:10">
      <c r="J723" s="43"/>
    </row>
    <row r="724" spans="10:10">
      <c r="J724" s="43"/>
    </row>
    <row r="725" spans="10:10">
      <c r="J725" s="43"/>
    </row>
    <row r="726" spans="10:10">
      <c r="J726" s="43"/>
    </row>
    <row r="727" spans="10:10">
      <c r="J727" s="43"/>
    </row>
    <row r="728" spans="10:10">
      <c r="J728" s="43"/>
    </row>
    <row r="729" spans="10:10">
      <c r="J729" s="43"/>
    </row>
    <row r="730" spans="10:10">
      <c r="J730" s="43"/>
    </row>
    <row r="731" spans="10:10">
      <c r="J731" s="43"/>
    </row>
    <row r="732" spans="10:10">
      <c r="J732" s="43"/>
    </row>
    <row r="733" spans="10:10">
      <c r="J733" s="43"/>
    </row>
    <row r="734" spans="10:10">
      <c r="J734" s="43"/>
    </row>
    <row r="735" spans="10:10">
      <c r="J735" s="43"/>
    </row>
    <row r="736" spans="10:10">
      <c r="J736" s="43"/>
    </row>
    <row r="737" spans="10:10">
      <c r="J737" s="43"/>
    </row>
    <row r="738" spans="10:10">
      <c r="J738" s="43"/>
    </row>
    <row r="739" spans="10:10">
      <c r="J739" s="43"/>
    </row>
    <row r="740" spans="10:10">
      <c r="J740" s="43"/>
    </row>
    <row r="741" spans="10:10">
      <c r="J741" s="43"/>
    </row>
    <row r="742" spans="10:10">
      <c r="J742" s="43"/>
    </row>
    <row r="743" spans="10:10">
      <c r="J743" s="43"/>
    </row>
    <row r="744" spans="10:10">
      <c r="J744" s="43"/>
    </row>
    <row r="745" spans="10:10">
      <c r="J745" s="43"/>
    </row>
    <row r="746" spans="10:10">
      <c r="J746" s="43"/>
    </row>
    <row r="747" spans="10:10">
      <c r="J747" s="43"/>
    </row>
    <row r="748" spans="10:10">
      <c r="J748" s="43"/>
    </row>
    <row r="749" spans="10:10">
      <c r="J749" s="43"/>
    </row>
    <row r="750" spans="10:10">
      <c r="J750" s="43"/>
    </row>
    <row r="751" spans="10:10">
      <c r="J751" s="43"/>
    </row>
    <row r="752" spans="10:10">
      <c r="J752" s="43"/>
    </row>
    <row r="753" spans="10:10">
      <c r="J753" s="43"/>
    </row>
    <row r="754" spans="10:10">
      <c r="J754" s="43"/>
    </row>
    <row r="755" spans="10:10">
      <c r="J755" s="43"/>
    </row>
    <row r="756" spans="10:10">
      <c r="J756" s="43"/>
    </row>
    <row r="757" spans="10:10">
      <c r="J757" s="43"/>
    </row>
    <row r="758" spans="10:10">
      <c r="J758" s="43"/>
    </row>
    <row r="759" spans="10:10">
      <c r="J759" s="43"/>
    </row>
    <row r="760" spans="10:10">
      <c r="J760" s="43"/>
    </row>
    <row r="761" spans="10:10">
      <c r="J761" s="43"/>
    </row>
    <row r="762" spans="10:10">
      <c r="J762" s="43"/>
    </row>
    <row r="763" spans="10:10">
      <c r="J763" s="43"/>
    </row>
    <row r="764" spans="10:10">
      <c r="J764" s="43"/>
    </row>
    <row r="765" spans="10:10">
      <c r="J765" s="43"/>
    </row>
    <row r="766" spans="10:10">
      <c r="J766" s="43"/>
    </row>
    <row r="767" spans="10:10">
      <c r="J767" s="43"/>
    </row>
    <row r="768" spans="10:10">
      <c r="J768" s="43"/>
    </row>
    <row r="769" spans="10:10">
      <c r="J769" s="43"/>
    </row>
    <row r="770" spans="10:10">
      <c r="J770" s="43"/>
    </row>
    <row r="771" spans="10:10">
      <c r="J771" s="43"/>
    </row>
    <row r="772" spans="10:10">
      <c r="J772" s="43"/>
    </row>
    <row r="773" spans="10:10">
      <c r="J773" s="43"/>
    </row>
    <row r="774" spans="10:10">
      <c r="J774" s="43"/>
    </row>
    <row r="775" spans="10:10">
      <c r="J775" s="43"/>
    </row>
    <row r="776" spans="10:10">
      <c r="J776" s="43"/>
    </row>
    <row r="777" spans="10:10">
      <c r="J777" s="43"/>
    </row>
    <row r="778" spans="10:10">
      <c r="J778" s="43"/>
    </row>
    <row r="779" spans="10:10">
      <c r="J779" s="43"/>
    </row>
    <row r="780" spans="10:10">
      <c r="J780" s="43"/>
    </row>
    <row r="781" spans="10:10">
      <c r="J781" s="43"/>
    </row>
    <row r="782" spans="10:10">
      <c r="J782" s="43"/>
    </row>
    <row r="783" spans="10:10">
      <c r="J783" s="43"/>
    </row>
    <row r="784" spans="10:10">
      <c r="J784" s="43"/>
    </row>
    <row r="785" spans="10:10">
      <c r="J785" s="43"/>
    </row>
    <row r="786" spans="10:10">
      <c r="J786" s="43"/>
    </row>
    <row r="787" spans="10:10">
      <c r="J787" s="43"/>
    </row>
    <row r="788" spans="10:10">
      <c r="J788" s="43"/>
    </row>
    <row r="789" spans="10:10">
      <c r="J789" s="43"/>
    </row>
    <row r="790" spans="10:10">
      <c r="J790" s="43"/>
    </row>
    <row r="791" spans="10:10">
      <c r="J791" s="43"/>
    </row>
    <row r="792" spans="10:10">
      <c r="J792" s="43"/>
    </row>
    <row r="793" spans="10:10">
      <c r="J793" s="43"/>
    </row>
    <row r="794" spans="10:10">
      <c r="J794" s="43"/>
    </row>
    <row r="795" spans="10:10">
      <c r="J795" s="43"/>
    </row>
    <row r="796" spans="10:10">
      <c r="J796" s="43"/>
    </row>
    <row r="797" spans="10:10">
      <c r="J797" s="43"/>
    </row>
    <row r="798" spans="10:10">
      <c r="J798" s="43"/>
    </row>
    <row r="799" spans="10:10">
      <c r="J799" s="43"/>
    </row>
    <row r="800" spans="10:10">
      <c r="J800" s="43"/>
    </row>
    <row r="801" spans="10:10">
      <c r="J801" s="43"/>
    </row>
    <row r="802" spans="10:10">
      <c r="J802" s="43"/>
    </row>
    <row r="803" spans="10:10">
      <c r="J803" s="43"/>
    </row>
    <row r="804" spans="10:10">
      <c r="J804" s="43"/>
    </row>
    <row r="805" spans="10:10">
      <c r="J805" s="43"/>
    </row>
    <row r="806" spans="10:10">
      <c r="J806" s="43"/>
    </row>
    <row r="807" spans="10:10">
      <c r="J807" s="43"/>
    </row>
    <row r="808" spans="10:10">
      <c r="J808" s="43"/>
    </row>
    <row r="809" spans="10:10">
      <c r="J809" s="43"/>
    </row>
    <row r="810" spans="10:10">
      <c r="J810" s="43"/>
    </row>
    <row r="811" spans="10:10">
      <c r="J811" s="43"/>
    </row>
    <row r="812" spans="10:10">
      <c r="J812" s="43"/>
    </row>
    <row r="813" spans="10:10">
      <c r="J813" s="43"/>
    </row>
    <row r="814" spans="10:10">
      <c r="J814" s="43"/>
    </row>
    <row r="815" spans="10:10">
      <c r="J815" s="43"/>
    </row>
    <row r="816" spans="10:10">
      <c r="J816" s="43"/>
    </row>
    <row r="817" spans="10:10">
      <c r="J817" s="43"/>
    </row>
    <row r="818" spans="10:10">
      <c r="J818" s="43"/>
    </row>
    <row r="819" spans="10:10">
      <c r="J819" s="43"/>
    </row>
    <row r="820" spans="10:10">
      <c r="J820" s="43"/>
    </row>
    <row r="821" spans="10:10">
      <c r="J821" s="43"/>
    </row>
    <row r="822" spans="10:10">
      <c r="J822" s="43"/>
    </row>
    <row r="823" spans="10:10">
      <c r="J823" s="43"/>
    </row>
    <row r="824" spans="10:10">
      <c r="J824" s="43"/>
    </row>
    <row r="825" spans="10:10">
      <c r="J825" s="43"/>
    </row>
    <row r="826" spans="10:10">
      <c r="J826" s="43"/>
    </row>
    <row r="827" spans="10:10">
      <c r="J827" s="43"/>
    </row>
    <row r="828" spans="10:10">
      <c r="J828" s="43"/>
    </row>
    <row r="829" spans="10:10">
      <c r="J829" s="43"/>
    </row>
    <row r="830" spans="10:10">
      <c r="J830" s="43"/>
    </row>
    <row r="831" spans="10:10">
      <c r="J831" s="43"/>
    </row>
    <row r="832" spans="10:10">
      <c r="J832" s="43"/>
    </row>
    <row r="833" spans="10:10">
      <c r="J833" s="43"/>
    </row>
    <row r="834" spans="10:10">
      <c r="J834" s="43"/>
    </row>
    <row r="835" spans="10:10">
      <c r="J835" s="43"/>
    </row>
    <row r="836" spans="10:10">
      <c r="J836" s="43"/>
    </row>
    <row r="837" spans="10:10">
      <c r="J837" s="43"/>
    </row>
    <row r="838" spans="10:10">
      <c r="J838" s="43"/>
    </row>
    <row r="839" spans="10:10">
      <c r="J839" s="43"/>
    </row>
    <row r="840" spans="10:10">
      <c r="J840" s="43"/>
    </row>
    <row r="841" spans="10:10">
      <c r="J841" s="43"/>
    </row>
    <row r="842" spans="10:10">
      <c r="J842" s="43"/>
    </row>
    <row r="843" spans="10:10">
      <c r="J843" s="43"/>
    </row>
    <row r="844" spans="10:10">
      <c r="J844" s="43"/>
    </row>
    <row r="845" spans="10:10">
      <c r="J845" s="43"/>
    </row>
    <row r="846" spans="10:10">
      <c r="J846" s="43"/>
    </row>
    <row r="847" spans="10:10">
      <c r="J847" s="43"/>
    </row>
    <row r="848" spans="10:10">
      <c r="J848" s="43"/>
    </row>
    <row r="849" spans="10:10">
      <c r="J849" s="43"/>
    </row>
    <row r="850" spans="10:10">
      <c r="J850" s="43"/>
    </row>
    <row r="851" spans="10:10">
      <c r="J851" s="43"/>
    </row>
    <row r="852" spans="10:10">
      <c r="J852" s="43"/>
    </row>
    <row r="853" spans="10:10">
      <c r="J853" s="43"/>
    </row>
    <row r="854" spans="10:10">
      <c r="J854" s="43"/>
    </row>
    <row r="855" spans="10:10">
      <c r="J855" s="43"/>
    </row>
    <row r="856" spans="10:10">
      <c r="J856" s="43"/>
    </row>
    <row r="857" spans="10:10">
      <c r="J857" s="43"/>
    </row>
    <row r="858" spans="10:10">
      <c r="J858" s="43"/>
    </row>
    <row r="859" spans="10:10">
      <c r="J859" s="43"/>
    </row>
    <row r="860" spans="10:10">
      <c r="J860" s="43"/>
    </row>
    <row r="861" spans="10:10">
      <c r="J861" s="43"/>
    </row>
    <row r="862" spans="10:10">
      <c r="J862" s="43"/>
    </row>
    <row r="863" spans="10:10">
      <c r="J863" s="43"/>
    </row>
    <row r="864" spans="10:10">
      <c r="J864" s="43"/>
    </row>
    <row r="865" spans="10:10">
      <c r="J865" s="43"/>
    </row>
    <row r="866" spans="10:10">
      <c r="J866" s="43"/>
    </row>
    <row r="867" spans="10:10">
      <c r="J867" s="43"/>
    </row>
    <row r="868" spans="10:10">
      <c r="J868" s="43"/>
    </row>
    <row r="869" spans="10:10">
      <c r="J869" s="43"/>
    </row>
    <row r="870" spans="10:10">
      <c r="J870" s="43"/>
    </row>
    <row r="871" spans="10:10">
      <c r="J871" s="43"/>
    </row>
    <row r="872" spans="10:10">
      <c r="J872" s="43"/>
    </row>
    <row r="873" spans="10:10">
      <c r="J873" s="43"/>
    </row>
    <row r="874" spans="10:10">
      <c r="J874" s="43"/>
    </row>
    <row r="875" spans="10:10">
      <c r="J875" s="43"/>
    </row>
    <row r="876" spans="10:10">
      <c r="J876" s="43"/>
    </row>
    <row r="877" spans="10:10">
      <c r="J877" s="43"/>
    </row>
    <row r="878" spans="10:10">
      <c r="J878" s="43"/>
    </row>
    <row r="879" spans="10:10">
      <c r="J879" s="43"/>
    </row>
    <row r="880" spans="10:10">
      <c r="J880" s="43"/>
    </row>
    <row r="881" spans="10:10">
      <c r="J881" s="43"/>
    </row>
    <row r="882" spans="10:10">
      <c r="J882" s="43"/>
    </row>
    <row r="883" spans="10:10">
      <c r="J883" s="43"/>
    </row>
    <row r="884" spans="10:10">
      <c r="J884" s="43"/>
    </row>
    <row r="885" spans="10:10">
      <c r="J885" s="43"/>
    </row>
    <row r="886" spans="10:10">
      <c r="J886" s="43"/>
    </row>
    <row r="887" spans="10:10">
      <c r="J887" s="43"/>
    </row>
    <row r="888" spans="10:10">
      <c r="J888" s="43"/>
    </row>
    <row r="889" spans="10:10">
      <c r="J889" s="43"/>
    </row>
    <row r="890" spans="10:10">
      <c r="J890" s="43"/>
    </row>
    <row r="891" spans="10:10">
      <c r="J891" s="43"/>
    </row>
    <row r="892" spans="10:10">
      <c r="J892" s="43"/>
    </row>
    <row r="893" spans="10:10">
      <c r="J893" s="43"/>
    </row>
    <row r="894" spans="10:10">
      <c r="J894" s="43"/>
    </row>
    <row r="895" spans="10:10">
      <c r="J895" s="43"/>
    </row>
    <row r="896" spans="10:10">
      <c r="J896" s="43"/>
    </row>
    <row r="897" spans="10:10">
      <c r="J897" s="43"/>
    </row>
    <row r="898" spans="10:10">
      <c r="J898" s="43"/>
    </row>
    <row r="899" spans="10:10">
      <c r="J899" s="43"/>
    </row>
    <row r="900" spans="10:10">
      <c r="J900" s="43"/>
    </row>
    <row r="901" spans="10:10">
      <c r="J901" s="43"/>
    </row>
    <row r="902" spans="10:10">
      <c r="J902" s="43"/>
    </row>
    <row r="903" spans="10:10">
      <c r="J903" s="43"/>
    </row>
    <row r="904" spans="10:10">
      <c r="J904" s="43"/>
    </row>
    <row r="905" spans="10:10">
      <c r="J905" s="43"/>
    </row>
    <row r="906" spans="10:10">
      <c r="J906" s="43"/>
    </row>
    <row r="907" spans="10:10">
      <c r="J907" s="43"/>
    </row>
    <row r="908" spans="10:10">
      <c r="J908" s="43"/>
    </row>
    <row r="909" spans="10:10">
      <c r="J909" s="43"/>
    </row>
    <row r="910" spans="10:10">
      <c r="J910" s="43"/>
    </row>
    <row r="911" spans="10:10">
      <c r="J911" s="43"/>
    </row>
    <row r="912" spans="10:10">
      <c r="J912" s="43"/>
    </row>
    <row r="913" spans="10:10">
      <c r="J913" s="43"/>
    </row>
    <row r="914" spans="10:10">
      <c r="J914" s="43"/>
    </row>
    <row r="915" spans="10:10">
      <c r="J915" s="43"/>
    </row>
    <row r="916" spans="10:10">
      <c r="J916" s="43"/>
    </row>
    <row r="917" spans="10:10">
      <c r="J917" s="43"/>
    </row>
    <row r="918" spans="10:10">
      <c r="J918" s="43"/>
    </row>
    <row r="919" spans="10:10">
      <c r="J919" s="43"/>
    </row>
    <row r="920" spans="10:10">
      <c r="J920" s="43"/>
    </row>
    <row r="921" spans="10:10">
      <c r="J921" s="43"/>
    </row>
    <row r="922" spans="10:10">
      <c r="J922" s="43"/>
    </row>
    <row r="923" spans="10:10">
      <c r="J923" s="43"/>
    </row>
    <row r="924" spans="10:10">
      <c r="J924" s="43"/>
    </row>
    <row r="925" spans="10:10">
      <c r="J925" s="43"/>
    </row>
    <row r="926" spans="10:10">
      <c r="J926" s="43"/>
    </row>
    <row r="927" spans="10:10">
      <c r="J927" s="43"/>
    </row>
    <row r="928" spans="10:10">
      <c r="J928" s="43"/>
    </row>
    <row r="929" spans="10:10">
      <c r="J929" s="43"/>
    </row>
    <row r="930" spans="10:10">
      <c r="J930" s="43"/>
    </row>
    <row r="931" spans="10:10">
      <c r="J931" s="43"/>
    </row>
    <row r="932" spans="10:10">
      <c r="J932" s="43"/>
    </row>
    <row r="933" spans="10:10">
      <c r="J933" s="43"/>
    </row>
    <row r="934" spans="10:10">
      <c r="J934" s="43"/>
    </row>
    <row r="935" spans="10:10">
      <c r="J935" s="43"/>
    </row>
    <row r="936" spans="10:10">
      <c r="J936" s="43"/>
    </row>
    <row r="937" spans="10:10">
      <c r="J937" s="43"/>
    </row>
    <row r="938" spans="10:10">
      <c r="J938" s="43"/>
    </row>
    <row r="939" spans="10:10">
      <c r="J939" s="43"/>
    </row>
    <row r="940" spans="10:10">
      <c r="J940" s="43"/>
    </row>
    <row r="941" spans="10:10">
      <c r="J941" s="43"/>
    </row>
    <row r="942" spans="10:10">
      <c r="J942" s="43"/>
    </row>
    <row r="943" spans="10:10">
      <c r="J943" s="43"/>
    </row>
    <row r="944" spans="10:10">
      <c r="J944" s="43"/>
    </row>
    <row r="945" spans="10:10">
      <c r="J945" s="43"/>
    </row>
    <row r="946" spans="10:10">
      <c r="J946" s="43"/>
    </row>
    <row r="947" spans="10:10">
      <c r="J947" s="43"/>
    </row>
    <row r="948" spans="10:10">
      <c r="J948" s="43"/>
    </row>
    <row r="949" spans="10:10">
      <c r="J949" s="43"/>
    </row>
    <row r="950" spans="10:10">
      <c r="J950" s="43"/>
    </row>
    <row r="951" spans="10:10">
      <c r="J951" s="43"/>
    </row>
    <row r="952" spans="10:10">
      <c r="J952" s="43"/>
    </row>
    <row r="953" spans="10:10">
      <c r="J953" s="43"/>
    </row>
    <row r="954" spans="10:10">
      <c r="J954" s="43"/>
    </row>
    <row r="955" spans="10:10">
      <c r="J955" s="43"/>
    </row>
    <row r="956" spans="10:10">
      <c r="J956" s="43"/>
    </row>
    <row r="957" spans="10:10">
      <c r="J957" s="43"/>
    </row>
    <row r="958" spans="10:10">
      <c r="J958" s="43"/>
    </row>
    <row r="959" spans="10:10">
      <c r="J959" s="43"/>
    </row>
    <row r="960" spans="10:10">
      <c r="J960" s="43"/>
    </row>
    <row r="961" spans="10:10">
      <c r="J961" s="43"/>
    </row>
    <row r="962" spans="10:10">
      <c r="J962" s="43"/>
    </row>
    <row r="963" spans="10:10">
      <c r="J963" s="43"/>
    </row>
    <row r="964" spans="10:10">
      <c r="J964" s="43"/>
    </row>
    <row r="965" spans="10:10">
      <c r="J965" s="43"/>
    </row>
    <row r="966" spans="10:10">
      <c r="J966" s="43"/>
    </row>
    <row r="967" spans="10:10">
      <c r="J967" s="43"/>
    </row>
    <row r="968" spans="10:10">
      <c r="J968" s="43"/>
    </row>
    <row r="969" spans="10:10">
      <c r="J969" s="43"/>
    </row>
    <row r="970" spans="10:10">
      <c r="J970" s="43"/>
    </row>
    <row r="971" spans="10:10">
      <c r="J971" s="43"/>
    </row>
    <row r="972" spans="10:10">
      <c r="J972" s="43"/>
    </row>
    <row r="973" spans="10:10">
      <c r="J973" s="43"/>
    </row>
    <row r="974" spans="10:10">
      <c r="J974" s="43"/>
    </row>
    <row r="975" spans="10:10">
      <c r="J975" s="43"/>
    </row>
    <row r="976" spans="10:10">
      <c r="J976" s="43"/>
    </row>
    <row r="977" spans="10:10">
      <c r="J977" s="43"/>
    </row>
    <row r="978" spans="10:10">
      <c r="J978" s="43"/>
    </row>
    <row r="979" spans="10:10">
      <c r="J979" s="43"/>
    </row>
    <row r="980" spans="10:10">
      <c r="J980" s="43"/>
    </row>
    <row r="981" spans="10:10">
      <c r="J981" s="43"/>
    </row>
    <row r="982" spans="10:10">
      <c r="J982" s="43"/>
    </row>
    <row r="983" spans="10:10">
      <c r="J983" s="43"/>
    </row>
    <row r="984" spans="10:10">
      <c r="J984" s="43"/>
    </row>
    <row r="985" spans="10:10">
      <c r="J985" s="43"/>
    </row>
    <row r="986" spans="10:10">
      <c r="J986" s="43"/>
    </row>
    <row r="987" spans="10:10">
      <c r="J987" s="43"/>
    </row>
    <row r="988" spans="10:10">
      <c r="J988" s="43"/>
    </row>
    <row r="989" spans="10:10">
      <c r="J989" s="43"/>
    </row>
    <row r="990" spans="10:10">
      <c r="J990" s="43"/>
    </row>
    <row r="991" spans="10:10">
      <c r="J991" s="43"/>
    </row>
    <row r="992" spans="10:10">
      <c r="J992" s="43"/>
    </row>
    <row r="993" spans="10:10">
      <c r="J993" s="43"/>
    </row>
    <row r="994" spans="10:10">
      <c r="J994" s="43"/>
    </row>
    <row r="995" spans="10:10">
      <c r="J995" s="43"/>
    </row>
    <row r="996" spans="10:10">
      <c r="J996" s="43"/>
    </row>
    <row r="997" spans="10:10">
      <c r="J997" s="43"/>
    </row>
    <row r="998" spans="10:10">
      <c r="J998" s="43"/>
    </row>
    <row r="999" spans="10:10">
      <c r="J999" s="43"/>
    </row>
    <row r="1000" spans="10:10">
      <c r="J1000" s="43"/>
    </row>
    <row r="1001" spans="10:10">
      <c r="J1001" s="43"/>
    </row>
    <row r="1002" spans="10:10">
      <c r="J1002" s="43"/>
    </row>
    <row r="1003" spans="10:10">
      <c r="J1003" s="43"/>
    </row>
    <row r="1004" spans="10:10">
      <c r="J1004" s="43"/>
    </row>
    <row r="1005" spans="10:10">
      <c r="J1005" s="43"/>
    </row>
    <row r="1006" spans="10:10">
      <c r="J1006" s="43"/>
    </row>
    <row r="1007" spans="10:10">
      <c r="J1007" s="43"/>
    </row>
    <row r="1008" spans="10:10">
      <c r="J1008" s="43"/>
    </row>
    <row r="1009" spans="10:10">
      <c r="J1009" s="43"/>
    </row>
    <row r="1010" spans="10:10">
      <c r="J1010" s="43"/>
    </row>
    <row r="1011" spans="10:10">
      <c r="J1011" s="43"/>
    </row>
    <row r="1012" spans="10:10">
      <c r="J1012" s="43"/>
    </row>
    <row r="1013" spans="10:10">
      <c r="J1013" s="43"/>
    </row>
    <row r="1014" spans="10:10">
      <c r="J1014" s="43"/>
    </row>
    <row r="1015" spans="10:10">
      <c r="J1015" s="43"/>
    </row>
    <row r="1016" spans="10:10">
      <c r="J1016" s="43"/>
    </row>
    <row r="1017" spans="10:10">
      <c r="J1017" s="43"/>
    </row>
    <row r="1018" spans="10:10">
      <c r="J1018" s="43"/>
    </row>
    <row r="1019" spans="10:10">
      <c r="J1019" s="43"/>
    </row>
    <row r="1020" spans="10:10">
      <c r="J1020" s="43"/>
    </row>
    <row r="1021" spans="10:10">
      <c r="J1021" s="43"/>
    </row>
    <row r="1022" spans="10:10">
      <c r="J1022" s="43"/>
    </row>
    <row r="1023" spans="10:10">
      <c r="J1023" s="43"/>
    </row>
    <row r="1024" spans="10:10">
      <c r="J1024" s="43"/>
    </row>
    <row r="1025" spans="10:10">
      <c r="J1025" s="43"/>
    </row>
    <row r="1026" spans="10:10">
      <c r="J1026" s="43"/>
    </row>
    <row r="1027" spans="10:10">
      <c r="J1027" s="43"/>
    </row>
    <row r="1028" spans="10:10">
      <c r="J1028" s="43"/>
    </row>
    <row r="1029" spans="10:10">
      <c r="J1029" s="43"/>
    </row>
    <row r="1030" spans="10:10">
      <c r="J1030" s="43"/>
    </row>
    <row r="1031" spans="10:10">
      <c r="J1031" s="43"/>
    </row>
    <row r="1032" spans="10:10">
      <c r="J1032" s="43"/>
    </row>
    <row r="1033" spans="10:10">
      <c r="J1033" s="43"/>
    </row>
    <row r="1034" spans="10:10">
      <c r="J1034" s="43"/>
    </row>
    <row r="1035" spans="10:10">
      <c r="J1035" s="43"/>
    </row>
    <row r="1036" spans="10:10">
      <c r="J1036" s="4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20"/>
  <sheetViews>
    <sheetView workbookViewId="0">
      <pane ySplit="1" topLeftCell="A2" activePane="bottomLeft" state="frozen"/>
      <selection pane="bottomLeft" activeCell="B3" sqref="B3"/>
    </sheetView>
  </sheetViews>
  <sheetFormatPr defaultColWidth="12.6640625" defaultRowHeight="15.75" customHeight="1"/>
  <cols>
    <col min="2" max="2" width="37.44140625" customWidth="1"/>
  </cols>
  <sheetData>
    <row r="1" spans="1:29">
      <c r="A1" s="68" t="s">
        <v>2255</v>
      </c>
      <c r="B1" s="2" t="s">
        <v>2256</v>
      </c>
      <c r="C1" s="68" t="s">
        <v>2263</v>
      </c>
      <c r="D1" s="68" t="s">
        <v>2264</v>
      </c>
      <c r="E1" s="68" t="s">
        <v>2265</v>
      </c>
      <c r="F1" s="68" t="s">
        <v>2266</v>
      </c>
      <c r="G1" s="68" t="s">
        <v>2267</v>
      </c>
      <c r="H1" s="68" t="s">
        <v>2268</v>
      </c>
      <c r="I1" s="50" t="s">
        <v>10</v>
      </c>
      <c r="J1" s="50" t="s">
        <v>11</v>
      </c>
      <c r="K1" s="69" t="s">
        <v>1076</v>
      </c>
      <c r="L1" s="8"/>
      <c r="M1" s="8"/>
      <c r="N1" s="8"/>
      <c r="O1" s="8"/>
      <c r="P1" s="8"/>
      <c r="Q1" s="8"/>
      <c r="R1" s="8"/>
      <c r="S1" s="8"/>
      <c r="T1" s="8"/>
      <c r="U1" s="8"/>
      <c r="V1" s="8"/>
      <c r="W1" s="8"/>
      <c r="X1" s="8"/>
      <c r="Y1" s="8"/>
      <c r="Z1" s="8"/>
      <c r="AA1" s="8"/>
      <c r="AB1" s="8"/>
      <c r="AC1" s="8"/>
    </row>
    <row r="2" spans="1:29">
      <c r="A2" s="7">
        <f>1</f>
        <v>1</v>
      </c>
      <c r="B2" s="10" t="s">
        <v>2269</v>
      </c>
      <c r="C2" s="7">
        <v>1</v>
      </c>
      <c r="D2" s="19" t="s">
        <v>2270</v>
      </c>
      <c r="E2" s="8" t="s">
        <v>2271</v>
      </c>
      <c r="F2" s="7">
        <v>1</v>
      </c>
      <c r="G2" s="19" t="s">
        <v>2272</v>
      </c>
      <c r="H2" s="8" t="s">
        <v>2273</v>
      </c>
      <c r="I2" s="53">
        <v>44712</v>
      </c>
      <c r="J2" s="8" t="s">
        <v>1347</v>
      </c>
      <c r="K2" s="8"/>
      <c r="L2" s="8"/>
      <c r="M2" s="8"/>
      <c r="N2" s="8"/>
      <c r="O2" s="8"/>
      <c r="P2" s="8"/>
      <c r="Q2" s="8"/>
      <c r="R2" s="8"/>
      <c r="S2" s="8"/>
      <c r="T2" s="8"/>
      <c r="U2" s="8"/>
      <c r="V2" s="8"/>
      <c r="W2" s="8"/>
      <c r="X2" s="8"/>
      <c r="Y2" s="8"/>
      <c r="Z2" s="8"/>
      <c r="AA2" s="8"/>
      <c r="AB2" s="8"/>
      <c r="AC2" s="8"/>
    </row>
    <row r="3" spans="1:29">
      <c r="A3" s="7">
        <v>2</v>
      </c>
      <c r="B3" s="10" t="s">
        <v>2274</v>
      </c>
      <c r="C3" s="7">
        <v>2</v>
      </c>
      <c r="D3" s="19" t="s">
        <v>2275</v>
      </c>
      <c r="E3" s="8" t="s">
        <v>2276</v>
      </c>
      <c r="F3" s="7">
        <v>2</v>
      </c>
      <c r="G3" s="19" t="s">
        <v>2277</v>
      </c>
      <c r="H3" s="8" t="s">
        <v>2278</v>
      </c>
      <c r="I3" s="53">
        <f t="shared" ref="I3:I16" si="0">I2</f>
        <v>44712</v>
      </c>
      <c r="J3" s="8" t="s">
        <v>1347</v>
      </c>
      <c r="K3" s="8"/>
      <c r="L3" s="8"/>
      <c r="M3" s="8"/>
      <c r="N3" s="8"/>
      <c r="O3" s="8"/>
      <c r="P3" s="8"/>
      <c r="Q3" s="8"/>
      <c r="R3" s="8"/>
      <c r="S3" s="8"/>
      <c r="T3" s="8"/>
      <c r="U3" s="8"/>
      <c r="V3" s="8"/>
      <c r="W3" s="8"/>
      <c r="X3" s="8"/>
      <c r="Y3" s="8"/>
      <c r="Z3" s="8"/>
      <c r="AA3" s="8"/>
      <c r="AB3" s="8"/>
      <c r="AC3" s="8"/>
    </row>
    <row r="4" spans="1:29">
      <c r="A4" s="7">
        <v>3</v>
      </c>
      <c r="B4" s="28" t="s">
        <v>2279</v>
      </c>
      <c r="C4" s="7">
        <v>3</v>
      </c>
      <c r="D4" s="19" t="s">
        <v>2280</v>
      </c>
      <c r="E4" s="8" t="s">
        <v>2281</v>
      </c>
      <c r="F4" s="7">
        <v>1</v>
      </c>
      <c r="G4" s="19" t="s">
        <v>2272</v>
      </c>
      <c r="H4" s="8" t="s">
        <v>2273</v>
      </c>
      <c r="I4" s="53">
        <f t="shared" si="0"/>
        <v>44712</v>
      </c>
      <c r="J4" s="8" t="s">
        <v>1347</v>
      </c>
      <c r="K4" s="16" t="s">
        <v>2282</v>
      </c>
      <c r="L4" s="8"/>
      <c r="M4" s="8"/>
      <c r="N4" s="8"/>
      <c r="O4" s="8"/>
      <c r="P4" s="8"/>
      <c r="Q4" s="8"/>
      <c r="R4" s="8"/>
      <c r="S4" s="8"/>
      <c r="T4" s="8"/>
      <c r="U4" s="8"/>
      <c r="V4" s="8"/>
      <c r="W4" s="8"/>
      <c r="X4" s="8"/>
      <c r="Y4" s="8"/>
      <c r="Z4" s="8"/>
      <c r="AA4" s="8"/>
      <c r="AB4" s="8"/>
      <c r="AC4" s="8"/>
    </row>
    <row r="5" spans="1:29">
      <c r="A5" s="7">
        <v>4</v>
      </c>
      <c r="B5" s="28" t="s">
        <v>2279</v>
      </c>
      <c r="C5" s="7">
        <v>4</v>
      </c>
      <c r="D5" s="70" t="s">
        <v>2283</v>
      </c>
      <c r="E5" s="16" t="s">
        <v>2284</v>
      </c>
      <c r="F5" s="7">
        <v>1</v>
      </c>
      <c r="G5" s="19" t="s">
        <v>2272</v>
      </c>
      <c r="H5" s="8" t="s">
        <v>2273</v>
      </c>
      <c r="I5" s="53">
        <f t="shared" si="0"/>
        <v>44712</v>
      </c>
      <c r="J5" s="8" t="s">
        <v>2285</v>
      </c>
      <c r="K5" s="16" t="s">
        <v>2286</v>
      </c>
      <c r="L5" s="8"/>
      <c r="M5" s="8"/>
      <c r="N5" s="8"/>
      <c r="O5" s="8"/>
      <c r="P5" s="8"/>
      <c r="Q5" s="8"/>
      <c r="R5" s="8"/>
      <c r="S5" s="8"/>
      <c r="T5" s="8"/>
      <c r="U5" s="8"/>
      <c r="V5" s="8"/>
      <c r="W5" s="8"/>
      <c r="X5" s="8"/>
      <c r="Y5" s="8"/>
      <c r="Z5" s="8"/>
      <c r="AA5" s="8"/>
      <c r="AB5" s="8"/>
      <c r="AC5" s="8"/>
    </row>
    <row r="6" spans="1:29">
      <c r="A6" s="7">
        <v>5</v>
      </c>
      <c r="B6" s="28" t="s">
        <v>2279</v>
      </c>
      <c r="C6" s="7">
        <v>5</v>
      </c>
      <c r="D6" s="19" t="s">
        <v>2287</v>
      </c>
      <c r="E6" s="8" t="s">
        <v>2288</v>
      </c>
      <c r="F6" s="7">
        <v>1</v>
      </c>
      <c r="G6" s="19" t="s">
        <v>2272</v>
      </c>
      <c r="H6" s="8" t="s">
        <v>2273</v>
      </c>
      <c r="I6" s="53">
        <f t="shared" si="0"/>
        <v>44712</v>
      </c>
      <c r="J6" s="8" t="s">
        <v>2285</v>
      </c>
      <c r="K6" s="16" t="s">
        <v>2289</v>
      </c>
      <c r="L6" s="8"/>
      <c r="M6" s="8"/>
      <c r="N6" s="8"/>
      <c r="O6" s="8"/>
      <c r="P6" s="8"/>
      <c r="Q6" s="8"/>
      <c r="R6" s="8"/>
      <c r="S6" s="8"/>
      <c r="T6" s="8"/>
      <c r="U6" s="8"/>
      <c r="V6" s="8"/>
      <c r="W6" s="8"/>
      <c r="X6" s="8"/>
      <c r="Y6" s="8"/>
      <c r="Z6" s="8"/>
      <c r="AA6" s="8"/>
      <c r="AB6" s="8"/>
      <c r="AC6" s="8"/>
    </row>
    <row r="7" spans="1:29">
      <c r="A7" s="7">
        <v>6</v>
      </c>
      <c r="B7" s="10" t="s">
        <v>2290</v>
      </c>
      <c r="C7" s="7">
        <v>6</v>
      </c>
      <c r="D7" s="19" t="s">
        <v>2291</v>
      </c>
      <c r="E7" s="8" t="s">
        <v>2292</v>
      </c>
      <c r="F7" s="7">
        <v>3</v>
      </c>
      <c r="G7" s="19" t="s">
        <v>2293</v>
      </c>
      <c r="H7" s="8" t="s">
        <v>2294</v>
      </c>
      <c r="I7" s="53">
        <f t="shared" si="0"/>
        <v>44712</v>
      </c>
      <c r="J7" s="8" t="s">
        <v>1347</v>
      </c>
      <c r="K7" s="8"/>
      <c r="L7" s="8"/>
      <c r="M7" s="8"/>
      <c r="N7" s="8"/>
      <c r="O7" s="8"/>
      <c r="P7" s="8"/>
      <c r="Q7" s="8"/>
      <c r="R7" s="8"/>
      <c r="S7" s="8"/>
      <c r="T7" s="8"/>
      <c r="U7" s="8"/>
      <c r="V7" s="8"/>
      <c r="W7" s="8"/>
      <c r="X7" s="8"/>
      <c r="Y7" s="8"/>
      <c r="Z7" s="8"/>
      <c r="AA7" s="8"/>
      <c r="AB7" s="8"/>
      <c r="AC7" s="8"/>
    </row>
    <row r="8" spans="1:29">
      <c r="A8" s="7">
        <v>7</v>
      </c>
      <c r="B8" s="10" t="s">
        <v>2295</v>
      </c>
      <c r="C8" s="7">
        <v>7</v>
      </c>
      <c r="D8" s="19" t="s">
        <v>2296</v>
      </c>
      <c r="E8" s="8" t="s">
        <v>2297</v>
      </c>
      <c r="F8" s="7">
        <v>3</v>
      </c>
      <c r="G8" s="19" t="s">
        <v>2293</v>
      </c>
      <c r="H8" s="8" t="s">
        <v>2294</v>
      </c>
      <c r="I8" s="53">
        <f t="shared" si="0"/>
        <v>44712</v>
      </c>
      <c r="J8" s="8" t="s">
        <v>1347</v>
      </c>
      <c r="K8" s="8"/>
      <c r="L8" s="8"/>
      <c r="M8" s="8"/>
      <c r="N8" s="8"/>
      <c r="O8" s="8"/>
      <c r="P8" s="8"/>
      <c r="Q8" s="8"/>
      <c r="R8" s="8"/>
      <c r="S8" s="8"/>
      <c r="T8" s="8"/>
      <c r="U8" s="8"/>
      <c r="V8" s="8"/>
      <c r="W8" s="8"/>
      <c r="X8" s="8"/>
      <c r="Y8" s="8"/>
      <c r="Z8" s="8"/>
      <c r="AA8" s="8"/>
      <c r="AB8" s="8"/>
      <c r="AC8" s="8"/>
    </row>
    <row r="9" spans="1:29">
      <c r="A9" s="7">
        <v>8</v>
      </c>
      <c r="B9" s="10" t="s">
        <v>2298</v>
      </c>
      <c r="C9" s="7">
        <v>8</v>
      </c>
      <c r="D9" s="19" t="s">
        <v>2299</v>
      </c>
      <c r="E9" s="8" t="s">
        <v>2300</v>
      </c>
      <c r="F9" s="7">
        <v>3</v>
      </c>
      <c r="G9" s="19" t="s">
        <v>2293</v>
      </c>
      <c r="H9" s="8" t="s">
        <v>2294</v>
      </c>
      <c r="I9" s="53">
        <f t="shared" si="0"/>
        <v>44712</v>
      </c>
      <c r="J9" s="8" t="s">
        <v>1347</v>
      </c>
      <c r="K9" s="8"/>
      <c r="L9" s="8"/>
      <c r="M9" s="8"/>
      <c r="N9" s="8"/>
      <c r="O9" s="8"/>
      <c r="P9" s="8"/>
      <c r="Q9" s="8"/>
      <c r="R9" s="8"/>
      <c r="S9" s="8"/>
      <c r="T9" s="8"/>
      <c r="U9" s="8"/>
      <c r="V9" s="8"/>
      <c r="W9" s="8"/>
      <c r="X9" s="8"/>
      <c r="Y9" s="8"/>
      <c r="Z9" s="8"/>
      <c r="AA9" s="8"/>
      <c r="AB9" s="8"/>
      <c r="AC9" s="8"/>
    </row>
    <row r="10" spans="1:29">
      <c r="A10" s="7">
        <v>9</v>
      </c>
      <c r="B10" s="10" t="s">
        <v>2301</v>
      </c>
      <c r="C10" s="7">
        <v>9</v>
      </c>
      <c r="D10" s="19" t="s">
        <v>2302</v>
      </c>
      <c r="E10" s="8" t="s">
        <v>2303</v>
      </c>
      <c r="F10" s="7">
        <v>3</v>
      </c>
      <c r="G10" s="19" t="s">
        <v>2293</v>
      </c>
      <c r="H10" s="8" t="s">
        <v>2294</v>
      </c>
      <c r="I10" s="53">
        <f t="shared" si="0"/>
        <v>44712</v>
      </c>
      <c r="J10" s="8" t="s">
        <v>1347</v>
      </c>
      <c r="K10" s="8"/>
      <c r="L10" s="8"/>
      <c r="M10" s="8"/>
      <c r="N10" s="8"/>
      <c r="O10" s="8"/>
      <c r="P10" s="8"/>
      <c r="Q10" s="8"/>
      <c r="R10" s="8"/>
      <c r="S10" s="8"/>
      <c r="T10" s="8"/>
      <c r="U10" s="8"/>
      <c r="V10" s="8"/>
      <c r="W10" s="8"/>
      <c r="X10" s="8"/>
      <c r="Y10" s="8"/>
      <c r="Z10" s="8"/>
      <c r="AA10" s="8"/>
      <c r="AB10" s="8"/>
      <c r="AC10" s="8"/>
    </row>
    <row r="11" spans="1:29">
      <c r="A11" s="7">
        <v>10</v>
      </c>
      <c r="B11" s="10" t="s">
        <v>2304</v>
      </c>
      <c r="C11" s="7">
        <v>10</v>
      </c>
      <c r="D11" s="19" t="s">
        <v>2305</v>
      </c>
      <c r="E11" s="8" t="s">
        <v>2306</v>
      </c>
      <c r="F11" s="7">
        <v>4</v>
      </c>
      <c r="G11" s="19" t="s">
        <v>2307</v>
      </c>
      <c r="H11" s="8" t="s">
        <v>2308</v>
      </c>
      <c r="I11" s="53">
        <f t="shared" si="0"/>
        <v>44712</v>
      </c>
      <c r="J11" s="8" t="s">
        <v>1347</v>
      </c>
      <c r="K11" s="8"/>
      <c r="L11" s="8"/>
      <c r="M11" s="8"/>
      <c r="N11" s="8"/>
      <c r="O11" s="8"/>
      <c r="P11" s="8"/>
      <c r="Q11" s="8"/>
      <c r="R11" s="8"/>
      <c r="S11" s="8"/>
      <c r="T11" s="8"/>
      <c r="U11" s="8"/>
      <c r="V11" s="8"/>
      <c r="W11" s="8"/>
      <c r="X11" s="8"/>
      <c r="Y11" s="8"/>
      <c r="Z11" s="8"/>
      <c r="AA11" s="8"/>
      <c r="AB11" s="8"/>
      <c r="AC11" s="8"/>
    </row>
    <row r="12" spans="1:29">
      <c r="A12" s="7">
        <v>11</v>
      </c>
      <c r="B12" s="10" t="s">
        <v>2309</v>
      </c>
      <c r="C12" s="7">
        <v>11</v>
      </c>
      <c r="D12" s="19" t="s">
        <v>2310</v>
      </c>
      <c r="E12" s="8" t="s">
        <v>2311</v>
      </c>
      <c r="F12" s="7">
        <v>3</v>
      </c>
      <c r="G12" s="19" t="s">
        <v>2293</v>
      </c>
      <c r="H12" s="8" t="s">
        <v>2294</v>
      </c>
      <c r="I12" s="53">
        <f t="shared" si="0"/>
        <v>44712</v>
      </c>
      <c r="J12" s="8" t="s">
        <v>1347</v>
      </c>
      <c r="K12" s="8"/>
      <c r="L12" s="8"/>
      <c r="M12" s="8"/>
      <c r="N12" s="8"/>
      <c r="O12" s="8"/>
      <c r="P12" s="8"/>
      <c r="Q12" s="8"/>
      <c r="R12" s="8"/>
      <c r="S12" s="8"/>
      <c r="T12" s="8"/>
      <c r="U12" s="8"/>
      <c r="V12" s="8"/>
      <c r="W12" s="8"/>
      <c r="X12" s="8"/>
      <c r="Y12" s="8"/>
      <c r="Z12" s="8"/>
      <c r="AA12" s="8"/>
      <c r="AB12" s="8"/>
      <c r="AC12" s="8"/>
    </row>
    <row r="13" spans="1:29">
      <c r="A13" s="7">
        <v>12</v>
      </c>
      <c r="B13" s="10" t="s">
        <v>2312</v>
      </c>
      <c r="C13" s="8" t="s">
        <v>2313</v>
      </c>
      <c r="D13" s="19" t="s">
        <v>2314</v>
      </c>
      <c r="E13" s="8" t="s">
        <v>2315</v>
      </c>
      <c r="F13" s="7">
        <v>6</v>
      </c>
      <c r="G13" s="19" t="s">
        <v>2316</v>
      </c>
      <c r="H13" s="8" t="s">
        <v>2317</v>
      </c>
      <c r="I13" s="53">
        <f t="shared" si="0"/>
        <v>44712</v>
      </c>
      <c r="J13" s="8" t="s">
        <v>2318</v>
      </c>
      <c r="K13" s="8"/>
      <c r="L13" s="8"/>
      <c r="M13" s="8"/>
      <c r="N13" s="8"/>
      <c r="O13" s="8"/>
      <c r="P13" s="8"/>
      <c r="Q13" s="8"/>
      <c r="R13" s="8"/>
      <c r="S13" s="8"/>
      <c r="T13" s="8"/>
      <c r="U13" s="8"/>
      <c r="V13" s="8"/>
      <c r="W13" s="8"/>
      <c r="X13" s="8"/>
      <c r="Y13" s="8"/>
      <c r="Z13" s="8"/>
      <c r="AA13" s="8"/>
      <c r="AB13" s="8"/>
      <c r="AC13" s="8"/>
    </row>
    <row r="14" spans="1:29">
      <c r="A14" s="7">
        <v>13</v>
      </c>
      <c r="B14" s="10" t="s">
        <v>2319</v>
      </c>
      <c r="C14" s="8" t="s">
        <v>2313</v>
      </c>
      <c r="D14" s="19" t="s">
        <v>2314</v>
      </c>
      <c r="E14" s="8" t="s">
        <v>2315</v>
      </c>
      <c r="F14" s="7">
        <v>7</v>
      </c>
      <c r="G14" s="19" t="s">
        <v>2320</v>
      </c>
      <c r="H14" s="8" t="s">
        <v>2321</v>
      </c>
      <c r="I14" s="53">
        <f t="shared" si="0"/>
        <v>44712</v>
      </c>
      <c r="J14" s="8" t="s">
        <v>2318</v>
      </c>
      <c r="K14" s="8"/>
      <c r="L14" s="8"/>
      <c r="M14" s="8"/>
      <c r="N14" s="8"/>
      <c r="O14" s="8"/>
      <c r="P14" s="8"/>
      <c r="Q14" s="8"/>
      <c r="R14" s="8"/>
      <c r="S14" s="8"/>
      <c r="T14" s="8"/>
      <c r="U14" s="8"/>
      <c r="V14" s="8"/>
      <c r="W14" s="8"/>
      <c r="X14" s="8"/>
      <c r="Y14" s="8"/>
      <c r="Z14" s="8"/>
      <c r="AA14" s="8"/>
      <c r="AB14" s="8"/>
      <c r="AC14" s="8"/>
    </row>
    <row r="15" spans="1:29">
      <c r="A15" s="7">
        <v>14</v>
      </c>
      <c r="B15" s="10" t="s">
        <v>2322</v>
      </c>
      <c r="C15" s="8" t="s">
        <v>2313</v>
      </c>
      <c r="D15" s="19" t="s">
        <v>2314</v>
      </c>
      <c r="E15" s="8" t="s">
        <v>2315</v>
      </c>
      <c r="F15" s="7">
        <v>8</v>
      </c>
      <c r="G15" s="19" t="s">
        <v>2323</v>
      </c>
      <c r="H15" s="8" t="s">
        <v>2324</v>
      </c>
      <c r="I15" s="53">
        <f t="shared" si="0"/>
        <v>44712</v>
      </c>
      <c r="J15" s="8" t="s">
        <v>2318</v>
      </c>
      <c r="K15" s="8"/>
      <c r="L15" s="8"/>
      <c r="M15" s="8"/>
      <c r="N15" s="8"/>
      <c r="O15" s="8"/>
      <c r="P15" s="8"/>
      <c r="Q15" s="8"/>
      <c r="R15" s="8"/>
      <c r="S15" s="8"/>
      <c r="T15" s="8"/>
      <c r="U15" s="8"/>
      <c r="V15" s="8"/>
      <c r="W15" s="8"/>
      <c r="X15" s="8"/>
      <c r="Y15" s="8"/>
      <c r="Z15" s="8"/>
      <c r="AA15" s="8"/>
      <c r="AB15" s="8"/>
      <c r="AC15" s="8"/>
    </row>
    <row r="16" spans="1:29">
      <c r="A16" s="7">
        <v>15</v>
      </c>
      <c r="B16" s="10" t="s">
        <v>2325</v>
      </c>
      <c r="C16" s="8" t="s">
        <v>2313</v>
      </c>
      <c r="D16" s="19" t="s">
        <v>2314</v>
      </c>
      <c r="E16" s="8" t="s">
        <v>2315</v>
      </c>
      <c r="F16" s="8" t="s">
        <v>2326</v>
      </c>
      <c r="G16" s="8"/>
      <c r="H16" s="8"/>
      <c r="I16" s="53">
        <f t="shared" si="0"/>
        <v>44712</v>
      </c>
      <c r="J16" s="8" t="s">
        <v>2318</v>
      </c>
      <c r="K16" s="8"/>
      <c r="L16" s="8"/>
      <c r="M16" s="8"/>
      <c r="N16" s="8"/>
      <c r="O16" s="8"/>
      <c r="P16" s="8"/>
      <c r="Q16" s="8"/>
      <c r="R16" s="8"/>
      <c r="S16" s="8"/>
      <c r="T16" s="8"/>
      <c r="U16" s="8"/>
      <c r="V16" s="8"/>
      <c r="W16" s="8"/>
      <c r="X16" s="8"/>
      <c r="Y16" s="8"/>
      <c r="Z16" s="8"/>
      <c r="AA16" s="8"/>
      <c r="AB16" s="8"/>
      <c r="AC16" s="8"/>
    </row>
    <row r="17" spans="1:29">
      <c r="A17" s="7">
        <v>16</v>
      </c>
      <c r="B17" s="10" t="s">
        <v>2327</v>
      </c>
      <c r="C17" s="7">
        <v>16</v>
      </c>
      <c r="D17" s="19" t="s">
        <v>2328</v>
      </c>
      <c r="E17" s="8" t="s">
        <v>2329</v>
      </c>
      <c r="F17" s="7">
        <v>3</v>
      </c>
      <c r="G17" s="19" t="s">
        <v>2293</v>
      </c>
      <c r="H17" s="8" t="s">
        <v>2294</v>
      </c>
      <c r="I17" s="53">
        <v>44721</v>
      </c>
      <c r="J17" s="8" t="s">
        <v>2285</v>
      </c>
      <c r="K17" s="8"/>
      <c r="L17" s="8"/>
      <c r="M17" s="8"/>
      <c r="N17" s="8"/>
      <c r="O17" s="8"/>
      <c r="P17" s="8"/>
      <c r="Q17" s="8"/>
      <c r="R17" s="8"/>
      <c r="S17" s="8"/>
      <c r="T17" s="8"/>
      <c r="U17" s="8"/>
      <c r="V17" s="8"/>
      <c r="W17" s="8"/>
      <c r="X17" s="8"/>
      <c r="Y17" s="8"/>
      <c r="Z17" s="8"/>
      <c r="AA17" s="8"/>
      <c r="AB17" s="8"/>
      <c r="AC17" s="8"/>
    </row>
    <row r="18" spans="1:29">
      <c r="A18" s="16">
        <v>17</v>
      </c>
      <c r="B18" s="16" t="s">
        <v>2330</v>
      </c>
      <c r="C18" s="8" t="s">
        <v>2313</v>
      </c>
      <c r="D18" s="19" t="s">
        <v>2314</v>
      </c>
      <c r="E18" s="8" t="s">
        <v>2315</v>
      </c>
      <c r="F18" s="7">
        <v>4</v>
      </c>
      <c r="G18" s="19" t="s">
        <v>2307</v>
      </c>
      <c r="H18" s="8" t="s">
        <v>2308</v>
      </c>
      <c r="I18" s="57">
        <v>45170</v>
      </c>
      <c r="J18" s="58"/>
      <c r="K18" s="8"/>
      <c r="L18" s="8"/>
      <c r="M18" s="8"/>
      <c r="N18" s="8"/>
      <c r="O18" s="8"/>
      <c r="P18" s="8"/>
      <c r="Q18" s="8"/>
      <c r="R18" s="8"/>
      <c r="S18" s="8"/>
      <c r="T18" s="8"/>
      <c r="U18" s="8"/>
      <c r="V18" s="8"/>
      <c r="W18" s="8"/>
      <c r="X18" s="8"/>
      <c r="Y18" s="8"/>
      <c r="Z18" s="8"/>
      <c r="AA18" s="8"/>
      <c r="AB18" s="8"/>
      <c r="AC18" s="8"/>
    </row>
    <row r="19" spans="1:29">
      <c r="A19" s="16">
        <v>18</v>
      </c>
      <c r="B19" s="16" t="s">
        <v>2331</v>
      </c>
      <c r="C19" s="8" t="s">
        <v>2313</v>
      </c>
      <c r="D19" s="19" t="s">
        <v>2314</v>
      </c>
      <c r="E19" s="8" t="s">
        <v>2315</v>
      </c>
      <c r="F19" s="8" t="s">
        <v>2326</v>
      </c>
      <c r="G19" s="8"/>
      <c r="H19" s="8"/>
      <c r="I19" s="57">
        <v>45464</v>
      </c>
      <c r="J19" s="58"/>
      <c r="K19" s="8"/>
      <c r="L19" s="8"/>
      <c r="M19" s="8"/>
      <c r="N19" s="8"/>
      <c r="O19" s="8"/>
      <c r="P19" s="8"/>
      <c r="Q19" s="8"/>
      <c r="R19" s="8"/>
      <c r="S19" s="8"/>
      <c r="T19" s="8"/>
      <c r="U19" s="8"/>
      <c r="V19" s="8"/>
      <c r="W19" s="8"/>
      <c r="X19" s="8"/>
      <c r="Y19" s="8"/>
      <c r="Z19" s="8"/>
      <c r="AA19" s="8"/>
      <c r="AB19" s="8"/>
      <c r="AC19" s="8"/>
    </row>
    <row r="20" spans="1:29">
      <c r="A20" s="16">
        <v>19</v>
      </c>
      <c r="B20" s="16" t="s">
        <v>2332</v>
      </c>
      <c r="C20" s="8" t="s">
        <v>2313</v>
      </c>
      <c r="D20" s="19" t="s">
        <v>2314</v>
      </c>
      <c r="E20" s="8" t="s">
        <v>2315</v>
      </c>
      <c r="F20" s="8" t="s">
        <v>2326</v>
      </c>
      <c r="G20" s="8"/>
      <c r="H20" s="8"/>
      <c r="I20" s="57">
        <v>45494</v>
      </c>
      <c r="J20" s="58"/>
      <c r="K20" s="8"/>
      <c r="L20" s="8"/>
      <c r="M20" s="8"/>
      <c r="N20" s="8"/>
      <c r="O20" s="8"/>
      <c r="P20" s="8"/>
      <c r="Q20" s="8"/>
      <c r="R20" s="8"/>
      <c r="S20" s="8"/>
      <c r="T20" s="8"/>
      <c r="U20" s="8"/>
      <c r="V20" s="8"/>
      <c r="W20" s="8"/>
      <c r="X20" s="8"/>
      <c r="Y20" s="8"/>
      <c r="Z20" s="8"/>
      <c r="AA20" s="8"/>
      <c r="AB20" s="8"/>
      <c r="AC20" s="8"/>
    </row>
  </sheetData>
  <hyperlinks>
    <hyperlink ref="D2" r:id="rId1" xr:uid="{00000000-0004-0000-0700-000000000000}"/>
    <hyperlink ref="G2" r:id="rId2" xr:uid="{00000000-0004-0000-0700-000001000000}"/>
    <hyperlink ref="D3" r:id="rId3" xr:uid="{00000000-0004-0000-0700-000002000000}"/>
    <hyperlink ref="G3" r:id="rId4" xr:uid="{00000000-0004-0000-0700-000003000000}"/>
    <hyperlink ref="D4" r:id="rId5" xr:uid="{00000000-0004-0000-0700-000004000000}"/>
    <hyperlink ref="G4" r:id="rId6" xr:uid="{00000000-0004-0000-0700-000005000000}"/>
    <hyperlink ref="D5" r:id="rId7" xr:uid="{00000000-0004-0000-0700-000006000000}"/>
    <hyperlink ref="G5" r:id="rId8" xr:uid="{00000000-0004-0000-0700-000007000000}"/>
    <hyperlink ref="D6" r:id="rId9" xr:uid="{00000000-0004-0000-0700-000008000000}"/>
    <hyperlink ref="G6" r:id="rId10" xr:uid="{00000000-0004-0000-0700-000009000000}"/>
    <hyperlink ref="D7" r:id="rId11" xr:uid="{00000000-0004-0000-0700-00000A000000}"/>
    <hyperlink ref="G7" r:id="rId12" xr:uid="{00000000-0004-0000-0700-00000B000000}"/>
    <hyperlink ref="D8" r:id="rId13" xr:uid="{00000000-0004-0000-0700-00000C000000}"/>
    <hyperlink ref="G8" r:id="rId14" xr:uid="{00000000-0004-0000-0700-00000D000000}"/>
    <hyperlink ref="D9" r:id="rId15" xr:uid="{00000000-0004-0000-0700-00000E000000}"/>
    <hyperlink ref="G9" r:id="rId16" xr:uid="{00000000-0004-0000-0700-00000F000000}"/>
    <hyperlink ref="D10" r:id="rId17" xr:uid="{00000000-0004-0000-0700-000010000000}"/>
    <hyperlink ref="G10" r:id="rId18" xr:uid="{00000000-0004-0000-0700-000011000000}"/>
    <hyperlink ref="D11" r:id="rId19" xr:uid="{00000000-0004-0000-0700-000012000000}"/>
    <hyperlink ref="G11" r:id="rId20" xr:uid="{00000000-0004-0000-0700-000013000000}"/>
    <hyperlink ref="D12" r:id="rId21" xr:uid="{00000000-0004-0000-0700-000014000000}"/>
    <hyperlink ref="G12" r:id="rId22" xr:uid="{00000000-0004-0000-0700-000015000000}"/>
    <hyperlink ref="D13" r:id="rId23" xr:uid="{00000000-0004-0000-0700-000016000000}"/>
    <hyperlink ref="G13" r:id="rId24" xr:uid="{00000000-0004-0000-0700-000017000000}"/>
    <hyperlink ref="D14" r:id="rId25" xr:uid="{00000000-0004-0000-0700-000018000000}"/>
    <hyperlink ref="G14" r:id="rId26" xr:uid="{00000000-0004-0000-0700-000019000000}"/>
    <hyperlink ref="D15" r:id="rId27" xr:uid="{00000000-0004-0000-0700-00001A000000}"/>
    <hyperlink ref="G15" r:id="rId28" xr:uid="{00000000-0004-0000-0700-00001B000000}"/>
    <hyperlink ref="D16" r:id="rId29" xr:uid="{00000000-0004-0000-0700-00001C000000}"/>
    <hyperlink ref="D17" r:id="rId30" xr:uid="{00000000-0004-0000-0700-00001D000000}"/>
    <hyperlink ref="G17" r:id="rId31" xr:uid="{00000000-0004-0000-0700-00001E000000}"/>
    <hyperlink ref="D18" r:id="rId32" xr:uid="{00000000-0004-0000-0700-00001F000000}"/>
    <hyperlink ref="G18" r:id="rId33" xr:uid="{00000000-0004-0000-0700-000020000000}"/>
    <hyperlink ref="D19" r:id="rId34" xr:uid="{00000000-0004-0000-0700-000021000000}"/>
    <hyperlink ref="D20" r:id="rId35" xr:uid="{00000000-0004-0000-0700-000022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6640625" defaultRowHeight="15.75" customHeight="1"/>
  <sheetData>
    <row r="1" spans="1:26">
      <c r="A1" s="2" t="s">
        <v>2333</v>
      </c>
      <c r="B1" s="71" t="s">
        <v>2334</v>
      </c>
      <c r="C1" s="2" t="s">
        <v>2252</v>
      </c>
      <c r="D1" s="50" t="s">
        <v>10</v>
      </c>
      <c r="E1" s="50" t="s">
        <v>11</v>
      </c>
      <c r="F1" s="72"/>
      <c r="G1" s="6"/>
      <c r="H1" s="6"/>
      <c r="I1" s="6"/>
      <c r="J1" s="6"/>
      <c r="K1" s="6"/>
      <c r="L1" s="6"/>
      <c r="M1" s="6"/>
      <c r="N1" s="6"/>
      <c r="O1" s="6"/>
      <c r="P1" s="6"/>
      <c r="Q1" s="6"/>
      <c r="R1" s="6"/>
      <c r="S1" s="6"/>
      <c r="T1" s="6"/>
      <c r="U1" s="6"/>
      <c r="V1" s="6"/>
      <c r="W1" s="6"/>
      <c r="X1" s="6"/>
      <c r="Y1" s="6"/>
      <c r="Z1" s="6"/>
    </row>
    <row r="2" spans="1:26">
      <c r="A2" s="7">
        <v>1</v>
      </c>
      <c r="B2" s="73">
        <v>1</v>
      </c>
      <c r="C2" s="8" t="s">
        <v>2335</v>
      </c>
      <c r="D2" s="53">
        <v>44712</v>
      </c>
      <c r="E2" s="58"/>
      <c r="F2" s="74"/>
    </row>
    <row r="3" spans="1:26">
      <c r="A3" s="7">
        <v>2</v>
      </c>
      <c r="B3" s="75">
        <v>3</v>
      </c>
      <c r="C3" s="8" t="s">
        <v>2336</v>
      </c>
      <c r="D3" s="53">
        <f t="shared" ref="D3:D23" si="0">D2</f>
        <v>44712</v>
      </c>
    </row>
    <row r="4" spans="1:26">
      <c r="A4" s="7">
        <v>3</v>
      </c>
      <c r="B4" s="75">
        <v>4</v>
      </c>
      <c r="C4" s="8" t="s">
        <v>2337</v>
      </c>
      <c r="D4" s="53">
        <f t="shared" si="0"/>
        <v>44712</v>
      </c>
      <c r="E4" s="58"/>
    </row>
    <row r="5" spans="1:26">
      <c r="A5" s="7">
        <v>4</v>
      </c>
      <c r="B5" s="75">
        <v>5</v>
      </c>
      <c r="C5" s="8" t="s">
        <v>2338</v>
      </c>
      <c r="D5" s="53">
        <f t="shared" si="0"/>
        <v>44712</v>
      </c>
      <c r="E5" s="58"/>
    </row>
    <row r="6" spans="1:26">
      <c r="A6" s="7">
        <v>5</v>
      </c>
      <c r="B6" s="75">
        <v>6</v>
      </c>
      <c r="C6" s="8" t="s">
        <v>2339</v>
      </c>
      <c r="D6" s="53">
        <f t="shared" si="0"/>
        <v>44712</v>
      </c>
      <c r="E6" s="58"/>
    </row>
    <row r="7" spans="1:26">
      <c r="A7" s="7">
        <v>6</v>
      </c>
      <c r="B7" s="75">
        <v>7</v>
      </c>
      <c r="C7" s="8" t="s">
        <v>2340</v>
      </c>
      <c r="D7" s="53">
        <f t="shared" si="0"/>
        <v>44712</v>
      </c>
      <c r="E7" s="58"/>
    </row>
    <row r="8" spans="1:26">
      <c r="A8" s="7">
        <v>7</v>
      </c>
      <c r="B8" s="75">
        <v>8</v>
      </c>
      <c r="C8" s="8" t="s">
        <v>2341</v>
      </c>
      <c r="D8" s="53">
        <f t="shared" si="0"/>
        <v>44712</v>
      </c>
      <c r="E8" s="58"/>
    </row>
    <row r="9" spans="1:26">
      <c r="A9" s="7">
        <v>8</v>
      </c>
      <c r="B9" s="75">
        <v>9</v>
      </c>
      <c r="C9" s="8" t="s">
        <v>2342</v>
      </c>
      <c r="D9" s="53">
        <f t="shared" si="0"/>
        <v>44712</v>
      </c>
      <c r="E9" s="58"/>
    </row>
    <row r="10" spans="1:26">
      <c r="A10" s="7">
        <v>9</v>
      </c>
      <c r="B10" s="75">
        <v>12</v>
      </c>
      <c r="C10" s="8" t="s">
        <v>2343</v>
      </c>
      <c r="D10" s="53">
        <f t="shared" si="0"/>
        <v>44712</v>
      </c>
      <c r="E10" s="58"/>
    </row>
    <row r="11" spans="1:26">
      <c r="A11" s="7">
        <v>10</v>
      </c>
      <c r="B11" s="75">
        <v>13</v>
      </c>
      <c r="C11" s="8" t="s">
        <v>2344</v>
      </c>
      <c r="D11" s="53">
        <f t="shared" si="0"/>
        <v>44712</v>
      </c>
      <c r="E11" s="58"/>
    </row>
    <row r="12" spans="1:26">
      <c r="A12" s="7">
        <v>11</v>
      </c>
      <c r="B12" s="75">
        <v>14</v>
      </c>
      <c r="C12" s="8" t="s">
        <v>2345</v>
      </c>
      <c r="D12" s="53">
        <f t="shared" si="0"/>
        <v>44712</v>
      </c>
      <c r="E12" s="58"/>
    </row>
    <row r="13" spans="1:26">
      <c r="A13" s="7">
        <v>12</v>
      </c>
      <c r="B13" s="75">
        <v>16</v>
      </c>
      <c r="C13" s="8" t="s">
        <v>2346</v>
      </c>
      <c r="D13" s="53">
        <f t="shared" si="0"/>
        <v>44712</v>
      </c>
      <c r="E13" s="58"/>
    </row>
    <row r="14" spans="1:26">
      <c r="A14" s="7">
        <v>13</v>
      </c>
      <c r="B14" s="75">
        <v>17</v>
      </c>
      <c r="C14" s="8" t="s">
        <v>2347</v>
      </c>
      <c r="D14" s="53">
        <f t="shared" si="0"/>
        <v>44712</v>
      </c>
      <c r="E14" s="58"/>
    </row>
    <row r="15" spans="1:26">
      <c r="A15" s="7">
        <v>14</v>
      </c>
      <c r="B15" s="75">
        <v>19</v>
      </c>
      <c r="C15" s="8" t="s">
        <v>2348</v>
      </c>
      <c r="D15" s="53">
        <f t="shared" si="0"/>
        <v>44712</v>
      </c>
      <c r="E15" s="58"/>
    </row>
    <row r="16" spans="1:26">
      <c r="A16" s="7">
        <v>15</v>
      </c>
      <c r="B16" s="75">
        <v>20</v>
      </c>
      <c r="C16" s="8" t="s">
        <v>2349</v>
      </c>
      <c r="D16" s="53">
        <f t="shared" si="0"/>
        <v>44712</v>
      </c>
      <c r="E16" s="58"/>
    </row>
    <row r="17" spans="1:6">
      <c r="A17" s="7">
        <v>16</v>
      </c>
      <c r="B17" s="75">
        <v>21</v>
      </c>
      <c r="C17" s="8" t="s">
        <v>2350</v>
      </c>
      <c r="D17" s="53">
        <f t="shared" si="0"/>
        <v>44712</v>
      </c>
      <c r="E17" s="58"/>
    </row>
    <row r="18" spans="1:6">
      <c r="A18" s="7">
        <v>17</v>
      </c>
      <c r="B18" s="75">
        <v>22</v>
      </c>
      <c r="C18" s="8" t="s">
        <v>2351</v>
      </c>
      <c r="D18" s="53">
        <f t="shared" si="0"/>
        <v>44712</v>
      </c>
      <c r="E18" s="58"/>
    </row>
    <row r="19" spans="1:6">
      <c r="A19" s="7">
        <v>18</v>
      </c>
      <c r="B19" s="75">
        <v>23</v>
      </c>
      <c r="C19" s="8" t="s">
        <v>2352</v>
      </c>
      <c r="D19" s="53">
        <f t="shared" si="0"/>
        <v>44712</v>
      </c>
      <c r="E19" s="58"/>
    </row>
    <row r="20" spans="1:6">
      <c r="A20" s="7">
        <v>19</v>
      </c>
      <c r="B20" s="75">
        <v>11</v>
      </c>
      <c r="C20" s="8" t="s">
        <v>2353</v>
      </c>
      <c r="D20" s="53">
        <f t="shared" si="0"/>
        <v>44712</v>
      </c>
      <c r="E20" s="58"/>
    </row>
    <row r="21" spans="1:6">
      <c r="A21" s="7">
        <v>20</v>
      </c>
      <c r="B21" s="75">
        <v>18</v>
      </c>
      <c r="C21" s="8" t="s">
        <v>2354</v>
      </c>
      <c r="D21" s="53">
        <f t="shared" si="0"/>
        <v>44712</v>
      </c>
      <c r="E21" s="58"/>
    </row>
    <row r="22" spans="1:6">
      <c r="A22" s="7">
        <v>21</v>
      </c>
      <c r="B22" s="75">
        <v>10</v>
      </c>
      <c r="C22" s="8" t="s">
        <v>2355</v>
      </c>
      <c r="D22" s="53">
        <f t="shared" si="0"/>
        <v>44712</v>
      </c>
      <c r="E22" s="58"/>
    </row>
    <row r="23" spans="1:6">
      <c r="A23" s="7">
        <v>22</v>
      </c>
      <c r="B23" s="75">
        <v>24</v>
      </c>
      <c r="C23" s="8" t="s">
        <v>2356</v>
      </c>
      <c r="D23" s="53">
        <f t="shared" si="0"/>
        <v>44712</v>
      </c>
      <c r="E23" s="58"/>
    </row>
    <row r="24" spans="1:6">
      <c r="A24" s="7">
        <v>23</v>
      </c>
      <c r="B24" s="75">
        <v>15</v>
      </c>
      <c r="C24" s="8" t="s">
        <v>2357</v>
      </c>
      <c r="D24" s="53">
        <v>44748</v>
      </c>
      <c r="E24" s="58"/>
    </row>
    <row r="25" spans="1:6">
      <c r="A25" s="29">
        <v>24</v>
      </c>
      <c r="B25" s="29">
        <v>2</v>
      </c>
      <c r="C25" s="29" t="s">
        <v>2358</v>
      </c>
      <c r="D25" s="60">
        <v>45466</v>
      </c>
      <c r="F25" s="74"/>
    </row>
    <row r="26" spans="1:6">
      <c r="A26" s="29">
        <v>25</v>
      </c>
      <c r="B26" s="74"/>
      <c r="C26" s="29" t="s">
        <v>2359</v>
      </c>
      <c r="D26" s="40">
        <v>45558</v>
      </c>
      <c r="F26" s="74"/>
    </row>
    <row r="27" spans="1:6">
      <c r="A27" s="29">
        <v>26</v>
      </c>
      <c r="B27" s="74"/>
      <c r="C27" s="29" t="s">
        <v>2360</v>
      </c>
      <c r="D27" s="76">
        <v>45988</v>
      </c>
      <c r="F27" s="74"/>
    </row>
    <row r="28" spans="1:6">
      <c r="B28" s="74"/>
      <c r="F28" s="74"/>
    </row>
    <row r="29" spans="1:6">
      <c r="B29" s="74"/>
      <c r="F29" s="74"/>
    </row>
    <row r="30" spans="1:6">
      <c r="B30" s="74"/>
      <c r="F30" s="74"/>
    </row>
    <row r="31" spans="1:6">
      <c r="B31" s="74"/>
      <c r="F31" s="74"/>
    </row>
    <row r="32" spans="1:6">
      <c r="B32" s="74"/>
      <c r="F32" s="74"/>
    </row>
    <row r="33" spans="2:6">
      <c r="B33" s="74"/>
      <c r="F33" s="74"/>
    </row>
    <row r="34" spans="2:6">
      <c r="B34" s="74"/>
      <c r="F34" s="74"/>
    </row>
    <row r="35" spans="2:6">
      <c r="B35" s="74"/>
      <c r="F35" s="74"/>
    </row>
    <row r="36" spans="2:6">
      <c r="B36" s="74"/>
      <c r="F36" s="74"/>
    </row>
    <row r="37" spans="2:6">
      <c r="B37" s="74"/>
      <c r="F37" s="74"/>
    </row>
    <row r="38" spans="2:6">
      <c r="B38" s="74"/>
      <c r="F38" s="74"/>
    </row>
    <row r="39" spans="2:6">
      <c r="B39" s="74"/>
      <c r="F39" s="74"/>
    </row>
    <row r="40" spans="2:6">
      <c r="B40" s="74"/>
      <c r="F40" s="74"/>
    </row>
    <row r="41" spans="2:6">
      <c r="B41" s="74"/>
      <c r="F41" s="74"/>
    </row>
    <row r="42" spans="2:6">
      <c r="B42" s="74"/>
      <c r="F42" s="74"/>
    </row>
    <row r="43" spans="2:6">
      <c r="B43" s="74"/>
      <c r="F43" s="74"/>
    </row>
    <row r="44" spans="2:6">
      <c r="B44" s="74"/>
      <c r="F44" s="74"/>
    </row>
    <row r="45" spans="2:6">
      <c r="B45" s="74"/>
      <c r="F45" s="74"/>
    </row>
    <row r="46" spans="2:6">
      <c r="B46" s="74"/>
      <c r="F46" s="74"/>
    </row>
    <row r="47" spans="2:6">
      <c r="B47" s="74"/>
      <c r="F47" s="74"/>
    </row>
    <row r="48" spans="2:6">
      <c r="B48" s="74"/>
      <c r="F48" s="74"/>
    </row>
    <row r="49" spans="2:6">
      <c r="B49" s="74"/>
      <c r="F49" s="74"/>
    </row>
    <row r="50" spans="2:6">
      <c r="B50" s="74"/>
      <c r="F50" s="74"/>
    </row>
    <row r="51" spans="2:6">
      <c r="B51" s="74"/>
      <c r="F51" s="74"/>
    </row>
    <row r="52" spans="2:6">
      <c r="B52" s="74"/>
      <c r="F52" s="74"/>
    </row>
    <row r="53" spans="2:6">
      <c r="B53" s="74"/>
      <c r="F53" s="74"/>
    </row>
    <row r="54" spans="2:6">
      <c r="B54" s="74"/>
      <c r="F54" s="74"/>
    </row>
    <row r="55" spans="2:6">
      <c r="B55" s="74"/>
      <c r="F55" s="74"/>
    </row>
    <row r="56" spans="2:6">
      <c r="B56" s="74"/>
      <c r="F56" s="74"/>
    </row>
    <row r="57" spans="2:6">
      <c r="B57" s="74"/>
      <c r="F57" s="74"/>
    </row>
    <row r="58" spans="2:6">
      <c r="B58" s="74"/>
      <c r="F58" s="74"/>
    </row>
    <row r="59" spans="2:6">
      <c r="B59" s="74"/>
      <c r="F59" s="74"/>
    </row>
    <row r="60" spans="2:6">
      <c r="B60" s="74"/>
      <c r="F60" s="74"/>
    </row>
    <row r="61" spans="2:6">
      <c r="B61" s="74"/>
      <c r="F61" s="74"/>
    </row>
    <row r="62" spans="2:6">
      <c r="B62" s="74"/>
      <c r="F62" s="74"/>
    </row>
    <row r="63" spans="2:6">
      <c r="B63" s="74"/>
      <c r="F63" s="74"/>
    </row>
    <row r="64" spans="2:6">
      <c r="B64" s="74"/>
      <c r="F64" s="74"/>
    </row>
    <row r="65" spans="2:6">
      <c r="B65" s="74"/>
      <c r="F65" s="74"/>
    </row>
    <row r="66" spans="2:6">
      <c r="B66" s="74"/>
      <c r="F66" s="74"/>
    </row>
    <row r="67" spans="2:6">
      <c r="B67" s="74"/>
      <c r="F67" s="74"/>
    </row>
    <row r="68" spans="2:6">
      <c r="B68" s="74"/>
      <c r="F68" s="74"/>
    </row>
    <row r="69" spans="2:6">
      <c r="B69" s="74"/>
      <c r="F69" s="74"/>
    </row>
    <row r="70" spans="2:6">
      <c r="B70" s="74"/>
      <c r="F70" s="74"/>
    </row>
    <row r="71" spans="2:6">
      <c r="B71" s="74"/>
      <c r="F71" s="74"/>
    </row>
    <row r="72" spans="2:6">
      <c r="B72" s="74"/>
      <c r="F72" s="74"/>
    </row>
    <row r="73" spans="2:6">
      <c r="B73" s="74"/>
      <c r="F73" s="74"/>
    </row>
    <row r="74" spans="2:6">
      <c r="B74" s="74"/>
      <c r="F74" s="74"/>
    </row>
    <row r="75" spans="2:6">
      <c r="B75" s="74"/>
      <c r="F75" s="74"/>
    </row>
    <row r="76" spans="2:6">
      <c r="B76" s="74"/>
      <c r="F76" s="74"/>
    </row>
    <row r="77" spans="2:6">
      <c r="B77" s="74"/>
      <c r="F77" s="74"/>
    </row>
    <row r="78" spans="2:6">
      <c r="B78" s="74"/>
      <c r="F78" s="74"/>
    </row>
    <row r="79" spans="2:6">
      <c r="B79" s="74"/>
      <c r="F79" s="74"/>
    </row>
    <row r="80" spans="2:6">
      <c r="B80" s="74"/>
      <c r="F80" s="74"/>
    </row>
    <row r="81" spans="2:6">
      <c r="B81" s="74"/>
      <c r="F81" s="74"/>
    </row>
    <row r="82" spans="2:6">
      <c r="B82" s="74"/>
      <c r="F82" s="74"/>
    </row>
    <row r="83" spans="2:6">
      <c r="B83" s="74"/>
      <c r="F83" s="74"/>
    </row>
    <row r="84" spans="2:6">
      <c r="B84" s="74"/>
      <c r="F84" s="74"/>
    </row>
    <row r="85" spans="2:6">
      <c r="B85" s="74"/>
      <c r="F85" s="74"/>
    </row>
    <row r="86" spans="2:6">
      <c r="B86" s="74"/>
      <c r="F86" s="74"/>
    </row>
    <row r="87" spans="2:6">
      <c r="B87" s="74"/>
      <c r="F87" s="74"/>
    </row>
    <row r="88" spans="2:6">
      <c r="B88" s="74"/>
      <c r="F88" s="74"/>
    </row>
    <row r="89" spans="2:6">
      <c r="B89" s="74"/>
      <c r="F89" s="74"/>
    </row>
    <row r="90" spans="2:6">
      <c r="B90" s="74"/>
      <c r="F90" s="74"/>
    </row>
    <row r="91" spans="2:6">
      <c r="B91" s="74"/>
      <c r="F91" s="74"/>
    </row>
    <row r="92" spans="2:6">
      <c r="B92" s="74"/>
      <c r="F92" s="74"/>
    </row>
    <row r="93" spans="2:6">
      <c r="B93" s="74"/>
      <c r="F93" s="74"/>
    </row>
    <row r="94" spans="2:6">
      <c r="B94" s="74"/>
      <c r="F94" s="74"/>
    </row>
    <row r="95" spans="2:6">
      <c r="B95" s="74"/>
      <c r="F95" s="74"/>
    </row>
    <row r="96" spans="2:6">
      <c r="B96" s="74"/>
      <c r="F96" s="74"/>
    </row>
    <row r="97" spans="2:6">
      <c r="B97" s="74"/>
      <c r="F97" s="74"/>
    </row>
    <row r="98" spans="2:6">
      <c r="B98" s="74"/>
      <c r="F98" s="74"/>
    </row>
    <row r="99" spans="2:6">
      <c r="B99" s="74"/>
      <c r="F99" s="74"/>
    </row>
    <row r="100" spans="2:6">
      <c r="B100" s="74"/>
      <c r="F100" s="74"/>
    </row>
    <row r="101" spans="2:6">
      <c r="B101" s="74"/>
      <c r="F101" s="74"/>
    </row>
    <row r="102" spans="2:6">
      <c r="B102" s="74"/>
      <c r="F102" s="74"/>
    </row>
    <row r="103" spans="2:6">
      <c r="B103" s="74"/>
      <c r="F103" s="74"/>
    </row>
    <row r="104" spans="2:6">
      <c r="B104" s="74"/>
      <c r="F104" s="74"/>
    </row>
    <row r="105" spans="2:6">
      <c r="B105" s="74"/>
      <c r="F105" s="74"/>
    </row>
    <row r="106" spans="2:6">
      <c r="B106" s="74"/>
      <c r="F106" s="74"/>
    </row>
    <row r="107" spans="2:6">
      <c r="B107" s="74"/>
      <c r="F107" s="74"/>
    </row>
    <row r="108" spans="2:6">
      <c r="B108" s="74"/>
      <c r="F108" s="74"/>
    </row>
    <row r="109" spans="2:6">
      <c r="B109" s="74"/>
      <c r="F109" s="74"/>
    </row>
    <row r="110" spans="2:6">
      <c r="B110" s="74"/>
      <c r="F110" s="74"/>
    </row>
    <row r="111" spans="2:6">
      <c r="B111" s="74"/>
      <c r="F111" s="74"/>
    </row>
    <row r="112" spans="2:6">
      <c r="B112" s="74"/>
      <c r="F112" s="74"/>
    </row>
    <row r="113" spans="2:6">
      <c r="B113" s="74"/>
      <c r="F113" s="74"/>
    </row>
    <row r="114" spans="2:6">
      <c r="B114" s="74"/>
      <c r="F114" s="74"/>
    </row>
    <row r="115" spans="2:6">
      <c r="B115" s="74"/>
      <c r="F115" s="74"/>
    </row>
    <row r="116" spans="2:6">
      <c r="B116" s="74"/>
      <c r="F116" s="74"/>
    </row>
    <row r="117" spans="2:6">
      <c r="B117" s="74"/>
      <c r="F117" s="74"/>
    </row>
    <row r="118" spans="2:6">
      <c r="B118" s="74"/>
      <c r="F118" s="74"/>
    </row>
    <row r="119" spans="2:6">
      <c r="B119" s="74"/>
      <c r="F119" s="74"/>
    </row>
    <row r="120" spans="2:6">
      <c r="B120" s="74"/>
      <c r="F120" s="74"/>
    </row>
    <row r="121" spans="2:6">
      <c r="B121" s="74"/>
      <c r="F121" s="74"/>
    </row>
    <row r="122" spans="2:6">
      <c r="B122" s="74"/>
      <c r="F122" s="74"/>
    </row>
    <row r="123" spans="2:6">
      <c r="B123" s="74"/>
      <c r="F123" s="74"/>
    </row>
    <row r="124" spans="2:6">
      <c r="B124" s="74"/>
      <c r="F124" s="74"/>
    </row>
    <row r="125" spans="2:6">
      <c r="B125" s="74"/>
      <c r="F125" s="74"/>
    </row>
    <row r="126" spans="2:6">
      <c r="B126" s="74"/>
      <c r="F126" s="74"/>
    </row>
    <row r="127" spans="2:6">
      <c r="B127" s="74"/>
      <c r="F127" s="74"/>
    </row>
    <row r="128" spans="2:6">
      <c r="B128" s="74"/>
      <c r="F128" s="74"/>
    </row>
    <row r="129" spans="2:6">
      <c r="B129" s="74"/>
      <c r="F129" s="74"/>
    </row>
    <row r="130" spans="2:6">
      <c r="B130" s="74"/>
      <c r="F130" s="74"/>
    </row>
    <row r="131" spans="2:6">
      <c r="B131" s="74"/>
      <c r="F131" s="74"/>
    </row>
    <row r="132" spans="2:6">
      <c r="B132" s="74"/>
      <c r="F132" s="74"/>
    </row>
    <row r="133" spans="2:6">
      <c r="B133" s="74"/>
      <c r="F133" s="74"/>
    </row>
    <row r="134" spans="2:6">
      <c r="B134" s="74"/>
      <c r="F134" s="74"/>
    </row>
    <row r="135" spans="2:6">
      <c r="B135" s="74"/>
      <c r="F135" s="74"/>
    </row>
    <row r="136" spans="2:6">
      <c r="B136" s="74"/>
      <c r="F136" s="74"/>
    </row>
    <row r="137" spans="2:6">
      <c r="B137" s="74"/>
      <c r="F137" s="74"/>
    </row>
    <row r="138" spans="2:6">
      <c r="B138" s="74"/>
      <c r="F138" s="74"/>
    </row>
    <row r="139" spans="2:6">
      <c r="B139" s="74"/>
      <c r="F139" s="74"/>
    </row>
    <row r="140" spans="2:6">
      <c r="B140" s="74"/>
      <c r="F140" s="74"/>
    </row>
    <row r="141" spans="2:6">
      <c r="B141" s="74"/>
      <c r="F141" s="74"/>
    </row>
    <row r="142" spans="2:6">
      <c r="B142" s="74"/>
      <c r="F142" s="74"/>
    </row>
    <row r="143" spans="2:6">
      <c r="B143" s="74"/>
      <c r="F143" s="74"/>
    </row>
    <row r="144" spans="2:6">
      <c r="B144" s="74"/>
      <c r="F144" s="74"/>
    </row>
    <row r="145" spans="2:6">
      <c r="B145" s="74"/>
      <c r="F145" s="74"/>
    </row>
    <row r="146" spans="2:6">
      <c r="B146" s="74"/>
      <c r="F146" s="74"/>
    </row>
    <row r="147" spans="2:6">
      <c r="B147" s="74"/>
      <c r="F147" s="74"/>
    </row>
    <row r="148" spans="2:6">
      <c r="B148" s="74"/>
      <c r="F148" s="74"/>
    </row>
    <row r="149" spans="2:6">
      <c r="B149" s="74"/>
      <c r="F149" s="74"/>
    </row>
    <row r="150" spans="2:6">
      <c r="B150" s="74"/>
      <c r="F150" s="74"/>
    </row>
    <row r="151" spans="2:6">
      <c r="B151" s="74"/>
      <c r="F151" s="74"/>
    </row>
    <row r="152" spans="2:6">
      <c r="B152" s="74"/>
      <c r="F152" s="74"/>
    </row>
    <row r="153" spans="2:6">
      <c r="B153" s="74"/>
      <c r="F153" s="74"/>
    </row>
    <row r="154" spans="2:6">
      <c r="B154" s="74"/>
      <c r="F154" s="74"/>
    </row>
    <row r="155" spans="2:6">
      <c r="B155" s="74"/>
      <c r="F155" s="74"/>
    </row>
    <row r="156" spans="2:6">
      <c r="B156" s="74"/>
      <c r="F156" s="74"/>
    </row>
    <row r="157" spans="2:6">
      <c r="B157" s="74"/>
      <c r="F157" s="74"/>
    </row>
    <row r="158" spans="2:6">
      <c r="B158" s="74"/>
      <c r="F158" s="74"/>
    </row>
    <row r="159" spans="2:6">
      <c r="B159" s="74"/>
      <c r="F159" s="74"/>
    </row>
    <row r="160" spans="2:6">
      <c r="B160" s="74"/>
      <c r="F160" s="74"/>
    </row>
    <row r="161" spans="2:6">
      <c r="B161" s="74"/>
      <c r="F161" s="74"/>
    </row>
    <row r="162" spans="2:6">
      <c r="B162" s="74"/>
      <c r="F162" s="74"/>
    </row>
    <row r="163" spans="2:6">
      <c r="B163" s="74"/>
      <c r="F163" s="74"/>
    </row>
    <row r="164" spans="2:6">
      <c r="B164" s="74"/>
      <c r="F164" s="74"/>
    </row>
    <row r="165" spans="2:6">
      <c r="B165" s="74"/>
      <c r="F165" s="74"/>
    </row>
    <row r="166" spans="2:6">
      <c r="B166" s="74"/>
      <c r="F166" s="74"/>
    </row>
    <row r="167" spans="2:6">
      <c r="B167" s="74"/>
      <c r="F167" s="74"/>
    </row>
    <row r="168" spans="2:6">
      <c r="B168" s="74"/>
      <c r="F168" s="74"/>
    </row>
    <row r="169" spans="2:6">
      <c r="B169" s="74"/>
      <c r="F169" s="74"/>
    </row>
    <row r="170" spans="2:6">
      <c r="B170" s="74"/>
      <c r="F170" s="74"/>
    </row>
    <row r="171" spans="2:6">
      <c r="B171" s="74"/>
      <c r="F171" s="74"/>
    </row>
    <row r="172" spans="2:6">
      <c r="B172" s="74"/>
      <c r="F172" s="74"/>
    </row>
    <row r="173" spans="2:6">
      <c r="B173" s="74"/>
      <c r="F173" s="74"/>
    </row>
    <row r="174" spans="2:6">
      <c r="B174" s="74"/>
      <c r="F174" s="74"/>
    </row>
    <row r="175" spans="2:6">
      <c r="B175" s="74"/>
      <c r="F175" s="74"/>
    </row>
    <row r="176" spans="2:6">
      <c r="B176" s="74"/>
      <c r="F176" s="74"/>
    </row>
    <row r="177" spans="2:6">
      <c r="B177" s="74"/>
      <c r="F177" s="74"/>
    </row>
    <row r="178" spans="2:6">
      <c r="B178" s="74"/>
      <c r="F178" s="74"/>
    </row>
    <row r="179" spans="2:6">
      <c r="B179" s="74"/>
      <c r="F179" s="74"/>
    </row>
    <row r="180" spans="2:6">
      <c r="B180" s="74"/>
      <c r="F180" s="74"/>
    </row>
    <row r="181" spans="2:6">
      <c r="B181" s="74"/>
      <c r="F181" s="74"/>
    </row>
    <row r="182" spans="2:6">
      <c r="B182" s="74"/>
      <c r="F182" s="74"/>
    </row>
    <row r="183" spans="2:6">
      <c r="B183" s="74"/>
      <c r="F183" s="74"/>
    </row>
    <row r="184" spans="2:6">
      <c r="B184" s="74"/>
      <c r="F184" s="74"/>
    </row>
    <row r="185" spans="2:6">
      <c r="B185" s="74"/>
      <c r="F185" s="74"/>
    </row>
    <row r="186" spans="2:6">
      <c r="B186" s="74"/>
      <c r="F186" s="74"/>
    </row>
    <row r="187" spans="2:6">
      <c r="B187" s="74"/>
      <c r="F187" s="74"/>
    </row>
    <row r="188" spans="2:6">
      <c r="B188" s="74"/>
      <c r="F188" s="74"/>
    </row>
    <row r="189" spans="2:6">
      <c r="B189" s="74"/>
      <c r="F189" s="74"/>
    </row>
    <row r="190" spans="2:6">
      <c r="B190" s="74"/>
      <c r="F190" s="74"/>
    </row>
    <row r="191" spans="2:6">
      <c r="B191" s="74"/>
      <c r="F191" s="74"/>
    </row>
    <row r="192" spans="2:6">
      <c r="B192" s="74"/>
      <c r="F192" s="74"/>
    </row>
    <row r="193" spans="2:6">
      <c r="B193" s="74"/>
      <c r="F193" s="74"/>
    </row>
    <row r="194" spans="2:6">
      <c r="B194" s="74"/>
      <c r="F194" s="74"/>
    </row>
    <row r="195" spans="2:6">
      <c r="B195" s="74"/>
      <c r="F195" s="74"/>
    </row>
    <row r="196" spans="2:6">
      <c r="B196" s="74"/>
      <c r="F196" s="74"/>
    </row>
    <row r="197" spans="2:6">
      <c r="B197" s="74"/>
      <c r="F197" s="74"/>
    </row>
    <row r="198" spans="2:6">
      <c r="B198" s="74"/>
      <c r="F198" s="74"/>
    </row>
    <row r="199" spans="2:6">
      <c r="B199" s="74"/>
      <c r="F199" s="74"/>
    </row>
    <row r="200" spans="2:6">
      <c r="B200" s="74"/>
      <c r="F200" s="74"/>
    </row>
    <row r="201" spans="2:6">
      <c r="B201" s="74"/>
      <c r="F201" s="74"/>
    </row>
    <row r="202" spans="2:6">
      <c r="B202" s="74"/>
      <c r="F202" s="74"/>
    </row>
    <row r="203" spans="2:6">
      <c r="B203" s="74"/>
      <c r="F203" s="74"/>
    </row>
    <row r="204" spans="2:6">
      <c r="B204" s="74"/>
      <c r="F204" s="74"/>
    </row>
    <row r="205" spans="2:6">
      <c r="B205" s="74"/>
      <c r="F205" s="74"/>
    </row>
    <row r="206" spans="2:6">
      <c r="B206" s="74"/>
      <c r="F206" s="74"/>
    </row>
    <row r="207" spans="2:6">
      <c r="B207" s="74"/>
      <c r="F207" s="74"/>
    </row>
    <row r="208" spans="2:6">
      <c r="B208" s="74"/>
      <c r="F208" s="74"/>
    </row>
    <row r="209" spans="2:6">
      <c r="B209" s="74"/>
      <c r="F209" s="74"/>
    </row>
    <row r="210" spans="2:6">
      <c r="B210" s="74"/>
      <c r="F210" s="74"/>
    </row>
    <row r="211" spans="2:6">
      <c r="B211" s="74"/>
      <c r="F211" s="74"/>
    </row>
    <row r="212" spans="2:6">
      <c r="B212" s="74"/>
      <c r="F212" s="74"/>
    </row>
    <row r="213" spans="2:6">
      <c r="B213" s="74"/>
      <c r="F213" s="74"/>
    </row>
    <row r="214" spans="2:6">
      <c r="B214" s="74"/>
      <c r="F214" s="74"/>
    </row>
    <row r="215" spans="2:6">
      <c r="B215" s="74"/>
      <c r="F215" s="74"/>
    </row>
    <row r="216" spans="2:6">
      <c r="B216" s="74"/>
      <c r="F216" s="74"/>
    </row>
    <row r="217" spans="2:6">
      <c r="B217" s="74"/>
      <c r="F217" s="74"/>
    </row>
    <row r="218" spans="2:6">
      <c r="B218" s="74"/>
      <c r="F218" s="74"/>
    </row>
    <row r="219" spans="2:6">
      <c r="B219" s="74"/>
      <c r="F219" s="74"/>
    </row>
    <row r="220" spans="2:6">
      <c r="B220" s="74"/>
      <c r="F220" s="74"/>
    </row>
    <row r="221" spans="2:6">
      <c r="B221" s="74"/>
      <c r="F221" s="74"/>
    </row>
    <row r="222" spans="2:6">
      <c r="B222" s="74"/>
      <c r="F222" s="74"/>
    </row>
    <row r="223" spans="2:6">
      <c r="B223" s="74"/>
      <c r="F223" s="74"/>
    </row>
    <row r="224" spans="2:6">
      <c r="B224" s="74"/>
      <c r="F224" s="74"/>
    </row>
    <row r="225" spans="2:6">
      <c r="B225" s="74"/>
      <c r="F225" s="74"/>
    </row>
    <row r="226" spans="2:6">
      <c r="B226" s="74"/>
      <c r="F226" s="74"/>
    </row>
    <row r="227" spans="2:6">
      <c r="B227" s="74"/>
      <c r="F227" s="74"/>
    </row>
    <row r="228" spans="2:6">
      <c r="B228" s="74"/>
      <c r="F228" s="74"/>
    </row>
    <row r="229" spans="2:6">
      <c r="B229" s="74"/>
      <c r="F229" s="74"/>
    </row>
    <row r="230" spans="2:6">
      <c r="B230" s="74"/>
      <c r="F230" s="74"/>
    </row>
    <row r="231" spans="2:6">
      <c r="B231" s="74"/>
      <c r="F231" s="74"/>
    </row>
    <row r="232" spans="2:6">
      <c r="B232" s="74"/>
      <c r="F232" s="74"/>
    </row>
    <row r="233" spans="2:6">
      <c r="B233" s="74"/>
      <c r="F233" s="74"/>
    </row>
    <row r="234" spans="2:6">
      <c r="B234" s="74"/>
      <c r="F234" s="74"/>
    </row>
    <row r="235" spans="2:6">
      <c r="B235" s="74"/>
      <c r="F235" s="74"/>
    </row>
    <row r="236" spans="2:6">
      <c r="B236" s="74"/>
      <c r="F236" s="74"/>
    </row>
    <row r="237" spans="2:6">
      <c r="B237" s="74"/>
      <c r="F237" s="74"/>
    </row>
    <row r="238" spans="2:6">
      <c r="B238" s="74"/>
      <c r="F238" s="74"/>
    </row>
    <row r="239" spans="2:6">
      <c r="B239" s="74"/>
      <c r="F239" s="74"/>
    </row>
    <row r="240" spans="2:6">
      <c r="B240" s="74"/>
      <c r="F240" s="74"/>
    </row>
    <row r="241" spans="2:6">
      <c r="B241" s="74"/>
      <c r="F241" s="74"/>
    </row>
    <row r="242" spans="2:6">
      <c r="B242" s="74"/>
      <c r="F242" s="74"/>
    </row>
    <row r="243" spans="2:6">
      <c r="B243" s="74"/>
      <c r="F243" s="74"/>
    </row>
    <row r="244" spans="2:6">
      <c r="B244" s="74"/>
      <c r="F244" s="74"/>
    </row>
    <row r="245" spans="2:6">
      <c r="B245" s="74"/>
      <c r="F245" s="74"/>
    </row>
    <row r="246" spans="2:6">
      <c r="B246" s="74"/>
      <c r="F246" s="74"/>
    </row>
    <row r="247" spans="2:6">
      <c r="B247" s="74"/>
      <c r="F247" s="74"/>
    </row>
    <row r="248" spans="2:6">
      <c r="B248" s="74"/>
      <c r="F248" s="74"/>
    </row>
    <row r="249" spans="2:6">
      <c r="B249" s="74"/>
      <c r="F249" s="74"/>
    </row>
    <row r="250" spans="2:6">
      <c r="B250" s="74"/>
      <c r="F250" s="74"/>
    </row>
    <row r="251" spans="2:6">
      <c r="B251" s="74"/>
      <c r="F251" s="74"/>
    </row>
    <row r="252" spans="2:6">
      <c r="B252" s="74"/>
      <c r="F252" s="74"/>
    </row>
    <row r="253" spans="2:6">
      <c r="B253" s="74"/>
      <c r="F253" s="74"/>
    </row>
    <row r="254" spans="2:6">
      <c r="B254" s="74"/>
      <c r="F254" s="74"/>
    </row>
    <row r="255" spans="2:6">
      <c r="B255" s="74"/>
      <c r="F255" s="74"/>
    </row>
    <row r="256" spans="2:6">
      <c r="B256" s="74"/>
      <c r="F256" s="74"/>
    </row>
    <row r="257" spans="2:6">
      <c r="B257" s="74"/>
      <c r="F257" s="74"/>
    </row>
    <row r="258" spans="2:6">
      <c r="B258" s="74"/>
      <c r="F258" s="74"/>
    </row>
    <row r="259" spans="2:6">
      <c r="B259" s="74"/>
      <c r="F259" s="74"/>
    </row>
    <row r="260" spans="2:6">
      <c r="B260" s="74"/>
      <c r="F260" s="74"/>
    </row>
    <row r="261" spans="2:6">
      <c r="B261" s="74"/>
      <c r="F261" s="74"/>
    </row>
    <row r="262" spans="2:6">
      <c r="B262" s="74"/>
      <c r="F262" s="74"/>
    </row>
    <row r="263" spans="2:6">
      <c r="B263" s="74"/>
      <c r="F263" s="74"/>
    </row>
    <row r="264" spans="2:6">
      <c r="B264" s="74"/>
      <c r="F264" s="74"/>
    </row>
    <row r="265" spans="2:6">
      <c r="B265" s="74"/>
      <c r="F265" s="74"/>
    </row>
    <row r="266" spans="2:6">
      <c r="B266" s="74"/>
      <c r="F266" s="74"/>
    </row>
    <row r="267" spans="2:6">
      <c r="B267" s="74"/>
      <c r="F267" s="74"/>
    </row>
    <row r="268" spans="2:6">
      <c r="B268" s="74"/>
      <c r="F268" s="74"/>
    </row>
    <row r="269" spans="2:6">
      <c r="B269" s="74"/>
      <c r="F269" s="74"/>
    </row>
    <row r="270" spans="2:6">
      <c r="B270" s="74"/>
      <c r="F270" s="74"/>
    </row>
    <row r="271" spans="2:6">
      <c r="B271" s="74"/>
      <c r="F271" s="74"/>
    </row>
    <row r="272" spans="2:6">
      <c r="B272" s="74"/>
      <c r="F272" s="74"/>
    </row>
    <row r="273" spans="2:6">
      <c r="B273" s="74"/>
      <c r="F273" s="74"/>
    </row>
    <row r="274" spans="2:6">
      <c r="B274" s="74"/>
      <c r="F274" s="74"/>
    </row>
    <row r="275" spans="2:6">
      <c r="B275" s="74"/>
      <c r="F275" s="74"/>
    </row>
    <row r="276" spans="2:6">
      <c r="B276" s="74"/>
      <c r="F276" s="74"/>
    </row>
    <row r="277" spans="2:6">
      <c r="B277" s="74"/>
      <c r="F277" s="74"/>
    </row>
    <row r="278" spans="2:6">
      <c r="B278" s="74"/>
      <c r="F278" s="74"/>
    </row>
    <row r="279" spans="2:6">
      <c r="B279" s="74"/>
      <c r="F279" s="74"/>
    </row>
    <row r="280" spans="2:6">
      <c r="B280" s="74"/>
      <c r="F280" s="74"/>
    </row>
    <row r="281" spans="2:6">
      <c r="B281" s="74"/>
      <c r="F281" s="74"/>
    </row>
    <row r="282" spans="2:6">
      <c r="B282" s="74"/>
      <c r="F282" s="74"/>
    </row>
    <row r="283" spans="2:6">
      <c r="B283" s="74"/>
      <c r="F283" s="74"/>
    </row>
    <row r="284" spans="2:6">
      <c r="B284" s="74"/>
      <c r="F284" s="74"/>
    </row>
    <row r="285" spans="2:6">
      <c r="B285" s="74"/>
      <c r="F285" s="74"/>
    </row>
    <row r="286" spans="2:6">
      <c r="B286" s="74"/>
      <c r="F286" s="74"/>
    </row>
    <row r="287" spans="2:6">
      <c r="B287" s="74"/>
      <c r="F287" s="74"/>
    </row>
    <row r="288" spans="2:6">
      <c r="B288" s="74"/>
      <c r="F288" s="74"/>
    </row>
    <row r="289" spans="2:6">
      <c r="B289" s="74"/>
      <c r="F289" s="74"/>
    </row>
    <row r="290" spans="2:6">
      <c r="B290" s="74"/>
      <c r="F290" s="74"/>
    </row>
    <row r="291" spans="2:6">
      <c r="B291" s="74"/>
      <c r="F291" s="74"/>
    </row>
    <row r="292" spans="2:6">
      <c r="B292" s="74"/>
      <c r="F292" s="74"/>
    </row>
    <row r="293" spans="2:6">
      <c r="B293" s="74"/>
      <c r="F293" s="74"/>
    </row>
    <row r="294" spans="2:6">
      <c r="B294" s="74"/>
      <c r="F294" s="74"/>
    </row>
    <row r="295" spans="2:6">
      <c r="B295" s="74"/>
      <c r="F295" s="74"/>
    </row>
    <row r="296" spans="2:6">
      <c r="B296" s="74"/>
      <c r="F296" s="74"/>
    </row>
    <row r="297" spans="2:6">
      <c r="B297" s="74"/>
      <c r="F297" s="74"/>
    </row>
    <row r="298" spans="2:6">
      <c r="B298" s="74"/>
      <c r="F298" s="74"/>
    </row>
    <row r="299" spans="2:6">
      <c r="B299" s="74"/>
      <c r="F299" s="74"/>
    </row>
    <row r="300" spans="2:6">
      <c r="B300" s="74"/>
      <c r="F300" s="74"/>
    </row>
    <row r="301" spans="2:6">
      <c r="B301" s="74"/>
      <c r="F301" s="74"/>
    </row>
    <row r="302" spans="2:6">
      <c r="B302" s="74"/>
      <c r="F302" s="74"/>
    </row>
    <row r="303" spans="2:6">
      <c r="B303" s="74"/>
      <c r="F303" s="74"/>
    </row>
    <row r="304" spans="2:6">
      <c r="B304" s="74"/>
      <c r="F304" s="74"/>
    </row>
    <row r="305" spans="2:6">
      <c r="B305" s="74"/>
      <c r="F305" s="74"/>
    </row>
    <row r="306" spans="2:6">
      <c r="B306" s="74"/>
      <c r="F306" s="74"/>
    </row>
    <row r="307" spans="2:6">
      <c r="B307" s="74"/>
      <c r="F307" s="74"/>
    </row>
    <row r="308" spans="2:6">
      <c r="B308" s="74"/>
      <c r="F308" s="74"/>
    </row>
    <row r="309" spans="2:6">
      <c r="B309" s="74"/>
      <c r="F309" s="74"/>
    </row>
    <row r="310" spans="2:6">
      <c r="B310" s="74"/>
      <c r="F310" s="74"/>
    </row>
    <row r="311" spans="2:6">
      <c r="B311" s="74"/>
      <c r="F311" s="74"/>
    </row>
    <row r="312" spans="2:6">
      <c r="B312" s="74"/>
      <c r="F312" s="74"/>
    </row>
    <row r="313" spans="2:6">
      <c r="B313" s="74"/>
      <c r="F313" s="74"/>
    </row>
    <row r="314" spans="2:6">
      <c r="B314" s="74"/>
      <c r="F314" s="74"/>
    </row>
    <row r="315" spans="2:6">
      <c r="B315" s="74"/>
      <c r="F315" s="74"/>
    </row>
    <row r="316" spans="2:6">
      <c r="B316" s="74"/>
      <c r="F316" s="74"/>
    </row>
    <row r="317" spans="2:6">
      <c r="B317" s="74"/>
      <c r="F317" s="74"/>
    </row>
    <row r="318" spans="2:6">
      <c r="B318" s="74"/>
      <c r="F318" s="74"/>
    </row>
    <row r="319" spans="2:6">
      <c r="B319" s="74"/>
      <c r="F319" s="74"/>
    </row>
    <row r="320" spans="2:6">
      <c r="B320" s="74"/>
      <c r="F320" s="74"/>
    </row>
    <row r="321" spans="2:6">
      <c r="B321" s="74"/>
      <c r="F321" s="74"/>
    </row>
    <row r="322" spans="2:6">
      <c r="B322" s="74"/>
      <c r="F322" s="74"/>
    </row>
    <row r="323" spans="2:6">
      <c r="B323" s="74"/>
      <c r="F323" s="74"/>
    </row>
    <row r="324" spans="2:6">
      <c r="B324" s="74"/>
      <c r="F324" s="74"/>
    </row>
    <row r="325" spans="2:6">
      <c r="B325" s="74"/>
      <c r="F325" s="74"/>
    </row>
    <row r="326" spans="2:6">
      <c r="B326" s="74"/>
      <c r="F326" s="74"/>
    </row>
    <row r="327" spans="2:6">
      <c r="B327" s="74"/>
      <c r="F327" s="74"/>
    </row>
    <row r="328" spans="2:6">
      <c r="B328" s="74"/>
      <c r="F328" s="74"/>
    </row>
    <row r="329" spans="2:6">
      <c r="B329" s="74"/>
      <c r="F329" s="74"/>
    </row>
    <row r="330" spans="2:6">
      <c r="B330" s="74"/>
      <c r="F330" s="74"/>
    </row>
    <row r="331" spans="2:6">
      <c r="B331" s="74"/>
      <c r="F331" s="74"/>
    </row>
    <row r="332" spans="2:6">
      <c r="B332" s="74"/>
      <c r="F332" s="74"/>
    </row>
    <row r="333" spans="2:6">
      <c r="B333" s="74"/>
      <c r="F333" s="74"/>
    </row>
    <row r="334" spans="2:6">
      <c r="B334" s="74"/>
      <c r="F334" s="74"/>
    </row>
    <row r="335" spans="2:6">
      <c r="B335" s="74"/>
      <c r="F335" s="74"/>
    </row>
    <row r="336" spans="2:6">
      <c r="B336" s="74"/>
      <c r="F336" s="74"/>
    </row>
    <row r="337" spans="2:6">
      <c r="B337" s="74"/>
      <c r="F337" s="74"/>
    </row>
    <row r="338" spans="2:6">
      <c r="B338" s="74"/>
      <c r="F338" s="74"/>
    </row>
    <row r="339" spans="2:6">
      <c r="B339" s="74"/>
      <c r="F339" s="74"/>
    </row>
    <row r="340" spans="2:6">
      <c r="B340" s="74"/>
      <c r="F340" s="74"/>
    </row>
    <row r="341" spans="2:6">
      <c r="B341" s="74"/>
      <c r="F341" s="74"/>
    </row>
    <row r="342" spans="2:6">
      <c r="B342" s="74"/>
      <c r="F342" s="74"/>
    </row>
    <row r="343" spans="2:6">
      <c r="B343" s="74"/>
      <c r="F343" s="74"/>
    </row>
    <row r="344" spans="2:6">
      <c r="B344" s="74"/>
      <c r="F344" s="74"/>
    </row>
    <row r="345" spans="2:6">
      <c r="B345" s="74"/>
      <c r="F345" s="74"/>
    </row>
    <row r="346" spans="2:6">
      <c r="B346" s="74"/>
      <c r="F346" s="74"/>
    </row>
    <row r="347" spans="2:6">
      <c r="B347" s="74"/>
      <c r="F347" s="74"/>
    </row>
    <row r="348" spans="2:6">
      <c r="B348" s="74"/>
      <c r="F348" s="74"/>
    </row>
    <row r="349" spans="2:6">
      <c r="B349" s="74"/>
      <c r="F349" s="74"/>
    </row>
    <row r="350" spans="2:6">
      <c r="B350" s="74"/>
      <c r="F350" s="74"/>
    </row>
    <row r="351" spans="2:6">
      <c r="B351" s="74"/>
      <c r="F351" s="74"/>
    </row>
    <row r="352" spans="2:6">
      <c r="B352" s="74"/>
      <c r="F352" s="74"/>
    </row>
    <row r="353" spans="2:6">
      <c r="B353" s="74"/>
      <c r="F353" s="74"/>
    </row>
    <row r="354" spans="2:6">
      <c r="B354" s="74"/>
      <c r="F354" s="74"/>
    </row>
    <row r="355" spans="2:6">
      <c r="B355" s="74"/>
      <c r="F355" s="74"/>
    </row>
    <row r="356" spans="2:6">
      <c r="B356" s="74"/>
      <c r="F356" s="74"/>
    </row>
    <row r="357" spans="2:6">
      <c r="B357" s="74"/>
      <c r="F357" s="74"/>
    </row>
    <row r="358" spans="2:6">
      <c r="B358" s="74"/>
      <c r="F358" s="74"/>
    </row>
    <row r="359" spans="2:6">
      <c r="B359" s="74"/>
      <c r="F359" s="74"/>
    </row>
    <row r="360" spans="2:6">
      <c r="B360" s="74"/>
      <c r="F360" s="74"/>
    </row>
    <row r="361" spans="2:6">
      <c r="B361" s="74"/>
      <c r="F361" s="74"/>
    </row>
    <row r="362" spans="2:6">
      <c r="B362" s="74"/>
      <c r="F362" s="74"/>
    </row>
    <row r="363" spans="2:6">
      <c r="B363" s="74"/>
      <c r="F363" s="74"/>
    </row>
    <row r="364" spans="2:6">
      <c r="B364" s="74"/>
      <c r="F364" s="74"/>
    </row>
    <row r="365" spans="2:6">
      <c r="B365" s="74"/>
      <c r="F365" s="74"/>
    </row>
    <row r="366" spans="2:6">
      <c r="B366" s="74"/>
      <c r="F366" s="74"/>
    </row>
    <row r="367" spans="2:6">
      <c r="B367" s="74"/>
      <c r="F367" s="74"/>
    </row>
    <row r="368" spans="2:6">
      <c r="B368" s="74"/>
      <c r="F368" s="74"/>
    </row>
    <row r="369" spans="2:6">
      <c r="B369" s="74"/>
      <c r="F369" s="74"/>
    </row>
    <row r="370" spans="2:6">
      <c r="B370" s="74"/>
      <c r="F370" s="74"/>
    </row>
    <row r="371" spans="2:6">
      <c r="B371" s="74"/>
      <c r="F371" s="74"/>
    </row>
    <row r="372" spans="2:6">
      <c r="B372" s="74"/>
      <c r="F372" s="74"/>
    </row>
    <row r="373" spans="2:6">
      <c r="B373" s="74"/>
      <c r="F373" s="74"/>
    </row>
    <row r="374" spans="2:6">
      <c r="B374" s="74"/>
      <c r="F374" s="74"/>
    </row>
    <row r="375" spans="2:6">
      <c r="B375" s="74"/>
      <c r="F375" s="74"/>
    </row>
    <row r="376" spans="2:6">
      <c r="B376" s="74"/>
      <c r="F376" s="74"/>
    </row>
    <row r="377" spans="2:6">
      <c r="B377" s="74"/>
      <c r="F377" s="74"/>
    </row>
    <row r="378" spans="2:6">
      <c r="B378" s="74"/>
      <c r="F378" s="74"/>
    </row>
    <row r="379" spans="2:6">
      <c r="B379" s="74"/>
      <c r="F379" s="74"/>
    </row>
    <row r="380" spans="2:6">
      <c r="B380" s="74"/>
      <c r="F380" s="74"/>
    </row>
    <row r="381" spans="2:6">
      <c r="B381" s="74"/>
      <c r="F381" s="74"/>
    </row>
    <row r="382" spans="2:6">
      <c r="B382" s="74"/>
      <c r="F382" s="74"/>
    </row>
    <row r="383" spans="2:6">
      <c r="B383" s="74"/>
      <c r="F383" s="74"/>
    </row>
    <row r="384" spans="2:6">
      <c r="B384" s="74"/>
      <c r="F384" s="74"/>
    </row>
    <row r="385" spans="2:6">
      <c r="B385" s="74"/>
      <c r="F385" s="74"/>
    </row>
    <row r="386" spans="2:6">
      <c r="B386" s="74"/>
      <c r="F386" s="74"/>
    </row>
    <row r="387" spans="2:6">
      <c r="B387" s="74"/>
      <c r="F387" s="74"/>
    </row>
    <row r="388" spans="2:6">
      <c r="B388" s="74"/>
      <c r="F388" s="74"/>
    </row>
    <row r="389" spans="2:6">
      <c r="B389" s="74"/>
      <c r="F389" s="74"/>
    </row>
    <row r="390" spans="2:6">
      <c r="B390" s="74"/>
      <c r="F390" s="74"/>
    </row>
    <row r="391" spans="2:6">
      <c r="B391" s="74"/>
      <c r="F391" s="74"/>
    </row>
    <row r="392" spans="2:6">
      <c r="B392" s="74"/>
      <c r="F392" s="74"/>
    </row>
    <row r="393" spans="2:6">
      <c r="B393" s="74"/>
      <c r="F393" s="74"/>
    </row>
    <row r="394" spans="2:6">
      <c r="B394" s="74"/>
      <c r="F394" s="74"/>
    </row>
    <row r="395" spans="2:6">
      <c r="B395" s="74"/>
      <c r="F395" s="74"/>
    </row>
    <row r="396" spans="2:6">
      <c r="B396" s="74"/>
      <c r="F396" s="74"/>
    </row>
    <row r="397" spans="2:6">
      <c r="B397" s="74"/>
      <c r="F397" s="74"/>
    </row>
    <row r="398" spans="2:6">
      <c r="B398" s="74"/>
      <c r="F398" s="74"/>
    </row>
    <row r="399" spans="2:6">
      <c r="B399" s="74"/>
      <c r="F399" s="74"/>
    </row>
    <row r="400" spans="2:6">
      <c r="B400" s="74"/>
      <c r="F400" s="74"/>
    </row>
    <row r="401" spans="2:6">
      <c r="B401" s="74"/>
      <c r="F401" s="74"/>
    </row>
    <row r="402" spans="2:6">
      <c r="B402" s="74"/>
      <c r="F402" s="74"/>
    </row>
    <row r="403" spans="2:6">
      <c r="B403" s="74"/>
      <c r="F403" s="74"/>
    </row>
    <row r="404" spans="2:6">
      <c r="B404" s="74"/>
      <c r="F404" s="74"/>
    </row>
    <row r="405" spans="2:6">
      <c r="B405" s="74"/>
      <c r="F405" s="74"/>
    </row>
    <row r="406" spans="2:6">
      <c r="B406" s="74"/>
      <c r="F406" s="74"/>
    </row>
    <row r="407" spans="2:6">
      <c r="B407" s="74"/>
      <c r="F407" s="74"/>
    </row>
    <row r="408" spans="2:6">
      <c r="B408" s="74"/>
      <c r="F408" s="74"/>
    </row>
    <row r="409" spans="2:6">
      <c r="B409" s="74"/>
      <c r="F409" s="74"/>
    </row>
    <row r="410" spans="2:6">
      <c r="B410" s="74"/>
      <c r="F410" s="74"/>
    </row>
    <row r="411" spans="2:6">
      <c r="B411" s="74"/>
      <c r="F411" s="74"/>
    </row>
    <row r="412" spans="2:6">
      <c r="B412" s="74"/>
      <c r="F412" s="74"/>
    </row>
    <row r="413" spans="2:6">
      <c r="B413" s="74"/>
      <c r="F413" s="74"/>
    </row>
    <row r="414" spans="2:6">
      <c r="B414" s="74"/>
      <c r="F414" s="74"/>
    </row>
    <row r="415" spans="2:6">
      <c r="B415" s="74"/>
      <c r="F415" s="74"/>
    </row>
    <row r="416" spans="2:6">
      <c r="B416" s="74"/>
      <c r="F416" s="74"/>
    </row>
    <row r="417" spans="2:6">
      <c r="B417" s="74"/>
      <c r="F417" s="74"/>
    </row>
    <row r="418" spans="2:6">
      <c r="B418" s="74"/>
      <c r="F418" s="74"/>
    </row>
    <row r="419" spans="2:6">
      <c r="B419" s="74"/>
      <c r="F419" s="74"/>
    </row>
    <row r="420" spans="2:6">
      <c r="B420" s="74"/>
      <c r="F420" s="74"/>
    </row>
    <row r="421" spans="2:6">
      <c r="B421" s="74"/>
      <c r="F421" s="74"/>
    </row>
    <row r="422" spans="2:6">
      <c r="B422" s="74"/>
      <c r="F422" s="74"/>
    </row>
    <row r="423" spans="2:6">
      <c r="B423" s="74"/>
      <c r="F423" s="74"/>
    </row>
    <row r="424" spans="2:6">
      <c r="B424" s="74"/>
      <c r="F424" s="74"/>
    </row>
    <row r="425" spans="2:6">
      <c r="B425" s="74"/>
      <c r="F425" s="74"/>
    </row>
    <row r="426" spans="2:6">
      <c r="B426" s="74"/>
      <c r="F426" s="74"/>
    </row>
    <row r="427" spans="2:6">
      <c r="B427" s="74"/>
      <c r="F427" s="74"/>
    </row>
    <row r="428" spans="2:6">
      <c r="B428" s="74"/>
      <c r="F428" s="74"/>
    </row>
    <row r="429" spans="2:6">
      <c r="B429" s="74"/>
      <c r="F429" s="74"/>
    </row>
    <row r="430" spans="2:6">
      <c r="B430" s="74"/>
      <c r="F430" s="74"/>
    </row>
    <row r="431" spans="2:6">
      <c r="B431" s="74"/>
      <c r="F431" s="74"/>
    </row>
    <row r="432" spans="2:6">
      <c r="B432" s="74"/>
      <c r="F432" s="74"/>
    </row>
    <row r="433" spans="2:6">
      <c r="B433" s="74"/>
      <c r="F433" s="74"/>
    </row>
    <row r="434" spans="2:6">
      <c r="B434" s="74"/>
      <c r="F434" s="74"/>
    </row>
    <row r="435" spans="2:6">
      <c r="B435" s="74"/>
      <c r="F435" s="74"/>
    </row>
    <row r="436" spans="2:6">
      <c r="B436" s="74"/>
      <c r="F436" s="74"/>
    </row>
    <row r="437" spans="2:6">
      <c r="B437" s="74"/>
      <c r="F437" s="74"/>
    </row>
    <row r="438" spans="2:6">
      <c r="B438" s="74"/>
      <c r="F438" s="74"/>
    </row>
    <row r="439" spans="2:6">
      <c r="B439" s="74"/>
      <c r="F439" s="74"/>
    </row>
    <row r="440" spans="2:6">
      <c r="B440" s="74"/>
      <c r="F440" s="74"/>
    </row>
    <row r="441" spans="2:6">
      <c r="B441" s="74"/>
      <c r="F441" s="74"/>
    </row>
    <row r="442" spans="2:6">
      <c r="B442" s="74"/>
      <c r="F442" s="74"/>
    </row>
    <row r="443" spans="2:6">
      <c r="B443" s="74"/>
      <c r="F443" s="74"/>
    </row>
    <row r="444" spans="2:6">
      <c r="B444" s="74"/>
      <c r="F444" s="74"/>
    </row>
    <row r="445" spans="2:6">
      <c r="B445" s="74"/>
      <c r="F445" s="74"/>
    </row>
    <row r="446" spans="2:6">
      <c r="B446" s="74"/>
      <c r="F446" s="74"/>
    </row>
    <row r="447" spans="2:6">
      <c r="B447" s="74"/>
      <c r="F447" s="74"/>
    </row>
    <row r="448" spans="2:6">
      <c r="B448" s="74"/>
      <c r="F448" s="74"/>
    </row>
    <row r="449" spans="2:6">
      <c r="B449" s="74"/>
      <c r="F449" s="74"/>
    </row>
    <row r="450" spans="2:6">
      <c r="B450" s="74"/>
      <c r="F450" s="74"/>
    </row>
    <row r="451" spans="2:6">
      <c r="B451" s="74"/>
      <c r="F451" s="74"/>
    </row>
    <row r="452" spans="2:6">
      <c r="B452" s="74"/>
      <c r="F452" s="74"/>
    </row>
    <row r="453" spans="2:6">
      <c r="B453" s="74"/>
      <c r="F453" s="74"/>
    </row>
    <row r="454" spans="2:6">
      <c r="B454" s="74"/>
      <c r="F454" s="74"/>
    </row>
    <row r="455" spans="2:6">
      <c r="B455" s="74"/>
      <c r="F455" s="74"/>
    </row>
    <row r="456" spans="2:6">
      <c r="B456" s="74"/>
      <c r="F456" s="74"/>
    </row>
    <row r="457" spans="2:6">
      <c r="B457" s="74"/>
      <c r="F457" s="74"/>
    </row>
    <row r="458" spans="2:6">
      <c r="B458" s="74"/>
      <c r="F458" s="74"/>
    </row>
    <row r="459" spans="2:6">
      <c r="B459" s="74"/>
      <c r="F459" s="74"/>
    </row>
    <row r="460" spans="2:6">
      <c r="B460" s="74"/>
      <c r="F460" s="74"/>
    </row>
    <row r="461" spans="2:6">
      <c r="B461" s="74"/>
      <c r="F461" s="74"/>
    </row>
    <row r="462" spans="2:6">
      <c r="B462" s="74"/>
      <c r="F462" s="74"/>
    </row>
    <row r="463" spans="2:6">
      <c r="B463" s="74"/>
      <c r="F463" s="74"/>
    </row>
    <row r="464" spans="2:6">
      <c r="B464" s="74"/>
      <c r="F464" s="74"/>
    </row>
    <row r="465" spans="2:6">
      <c r="B465" s="74"/>
      <c r="F465" s="74"/>
    </row>
    <row r="466" spans="2:6">
      <c r="B466" s="74"/>
      <c r="F466" s="74"/>
    </row>
    <row r="467" spans="2:6">
      <c r="B467" s="74"/>
      <c r="F467" s="74"/>
    </row>
    <row r="468" spans="2:6">
      <c r="B468" s="74"/>
      <c r="F468" s="74"/>
    </row>
    <row r="469" spans="2:6">
      <c r="B469" s="74"/>
      <c r="F469" s="74"/>
    </row>
    <row r="470" spans="2:6">
      <c r="B470" s="74"/>
      <c r="F470" s="74"/>
    </row>
    <row r="471" spans="2:6">
      <c r="B471" s="74"/>
      <c r="F471" s="74"/>
    </row>
    <row r="472" spans="2:6">
      <c r="B472" s="74"/>
      <c r="F472" s="74"/>
    </row>
    <row r="473" spans="2:6">
      <c r="B473" s="74"/>
      <c r="F473" s="74"/>
    </row>
    <row r="474" spans="2:6">
      <c r="B474" s="74"/>
      <c r="F474" s="74"/>
    </row>
    <row r="475" spans="2:6">
      <c r="B475" s="74"/>
      <c r="F475" s="74"/>
    </row>
    <row r="476" spans="2:6">
      <c r="B476" s="74"/>
      <c r="F476" s="74"/>
    </row>
    <row r="477" spans="2:6">
      <c r="B477" s="74"/>
      <c r="F477" s="74"/>
    </row>
    <row r="478" spans="2:6">
      <c r="B478" s="74"/>
      <c r="F478" s="74"/>
    </row>
    <row r="479" spans="2:6">
      <c r="B479" s="74"/>
      <c r="F479" s="74"/>
    </row>
    <row r="480" spans="2:6">
      <c r="B480" s="74"/>
      <c r="F480" s="74"/>
    </row>
    <row r="481" spans="2:6">
      <c r="B481" s="74"/>
      <c r="F481" s="74"/>
    </row>
    <row r="482" spans="2:6">
      <c r="B482" s="74"/>
      <c r="F482" s="74"/>
    </row>
    <row r="483" spans="2:6">
      <c r="B483" s="74"/>
      <c r="F483" s="74"/>
    </row>
    <row r="484" spans="2:6">
      <c r="B484" s="74"/>
      <c r="F484" s="74"/>
    </row>
    <row r="485" spans="2:6">
      <c r="B485" s="74"/>
      <c r="F485" s="74"/>
    </row>
    <row r="486" spans="2:6">
      <c r="B486" s="74"/>
      <c r="F486" s="74"/>
    </row>
    <row r="487" spans="2:6">
      <c r="B487" s="74"/>
      <c r="F487" s="74"/>
    </row>
    <row r="488" spans="2:6">
      <c r="B488" s="74"/>
      <c r="F488" s="74"/>
    </row>
    <row r="489" spans="2:6">
      <c r="B489" s="74"/>
      <c r="F489" s="74"/>
    </row>
    <row r="490" spans="2:6">
      <c r="B490" s="74"/>
      <c r="F490" s="74"/>
    </row>
    <row r="491" spans="2:6">
      <c r="B491" s="74"/>
      <c r="F491" s="74"/>
    </row>
    <row r="492" spans="2:6">
      <c r="B492" s="74"/>
      <c r="F492" s="74"/>
    </row>
    <row r="493" spans="2:6">
      <c r="B493" s="74"/>
      <c r="F493" s="74"/>
    </row>
    <row r="494" spans="2:6">
      <c r="B494" s="74"/>
      <c r="F494" s="74"/>
    </row>
    <row r="495" spans="2:6">
      <c r="B495" s="74"/>
      <c r="F495" s="74"/>
    </row>
    <row r="496" spans="2:6">
      <c r="B496" s="74"/>
      <c r="F496" s="74"/>
    </row>
    <row r="497" spans="2:6">
      <c r="B497" s="74"/>
      <c r="F497" s="74"/>
    </row>
    <row r="498" spans="2:6">
      <c r="B498" s="74"/>
      <c r="F498" s="74"/>
    </row>
    <row r="499" spans="2:6">
      <c r="B499" s="74"/>
      <c r="F499" s="74"/>
    </row>
    <row r="500" spans="2:6">
      <c r="B500" s="74"/>
      <c r="F500" s="74"/>
    </row>
    <row r="501" spans="2:6">
      <c r="B501" s="74"/>
      <c r="F501" s="74"/>
    </row>
    <row r="502" spans="2:6">
      <c r="B502" s="74"/>
      <c r="F502" s="74"/>
    </row>
    <row r="503" spans="2:6">
      <c r="B503" s="74"/>
      <c r="F503" s="74"/>
    </row>
    <row r="504" spans="2:6">
      <c r="B504" s="74"/>
      <c r="F504" s="74"/>
    </row>
    <row r="505" spans="2:6">
      <c r="B505" s="74"/>
      <c r="F505" s="74"/>
    </row>
    <row r="506" spans="2:6">
      <c r="B506" s="74"/>
      <c r="F506" s="74"/>
    </row>
    <row r="507" spans="2:6">
      <c r="B507" s="74"/>
      <c r="F507" s="74"/>
    </row>
    <row r="508" spans="2:6">
      <c r="B508" s="74"/>
      <c r="F508" s="74"/>
    </row>
    <row r="509" spans="2:6">
      <c r="B509" s="74"/>
      <c r="F509" s="74"/>
    </row>
    <row r="510" spans="2:6">
      <c r="B510" s="74"/>
      <c r="F510" s="74"/>
    </row>
    <row r="511" spans="2:6">
      <c r="B511" s="74"/>
      <c r="F511" s="74"/>
    </row>
    <row r="512" spans="2:6">
      <c r="B512" s="74"/>
      <c r="F512" s="74"/>
    </row>
    <row r="513" spans="2:6">
      <c r="B513" s="74"/>
      <c r="F513" s="74"/>
    </row>
    <row r="514" spans="2:6">
      <c r="B514" s="74"/>
      <c r="F514" s="74"/>
    </row>
    <row r="515" spans="2:6">
      <c r="B515" s="74"/>
      <c r="F515" s="74"/>
    </row>
    <row r="516" spans="2:6">
      <c r="B516" s="74"/>
      <c r="F516" s="74"/>
    </row>
    <row r="517" spans="2:6">
      <c r="B517" s="74"/>
      <c r="F517" s="74"/>
    </row>
    <row r="518" spans="2:6">
      <c r="B518" s="74"/>
      <c r="F518" s="74"/>
    </row>
    <row r="519" spans="2:6">
      <c r="B519" s="74"/>
      <c r="F519" s="74"/>
    </row>
    <row r="520" spans="2:6">
      <c r="B520" s="74"/>
      <c r="F520" s="74"/>
    </row>
    <row r="521" spans="2:6">
      <c r="B521" s="74"/>
      <c r="F521" s="74"/>
    </row>
    <row r="522" spans="2:6">
      <c r="B522" s="74"/>
      <c r="F522" s="74"/>
    </row>
    <row r="523" spans="2:6">
      <c r="B523" s="74"/>
      <c r="F523" s="74"/>
    </row>
    <row r="524" spans="2:6">
      <c r="B524" s="74"/>
      <c r="F524" s="74"/>
    </row>
    <row r="525" spans="2:6">
      <c r="B525" s="74"/>
      <c r="F525" s="74"/>
    </row>
    <row r="526" spans="2:6">
      <c r="B526" s="74"/>
      <c r="F526" s="74"/>
    </row>
    <row r="527" spans="2:6">
      <c r="B527" s="74"/>
      <c r="F527" s="74"/>
    </row>
    <row r="528" spans="2:6">
      <c r="B528" s="74"/>
      <c r="F528" s="74"/>
    </row>
    <row r="529" spans="2:6">
      <c r="B529" s="74"/>
      <c r="F529" s="74"/>
    </row>
    <row r="530" spans="2:6">
      <c r="B530" s="74"/>
      <c r="F530" s="74"/>
    </row>
    <row r="531" spans="2:6">
      <c r="B531" s="74"/>
      <c r="F531" s="74"/>
    </row>
    <row r="532" spans="2:6">
      <c r="B532" s="74"/>
      <c r="F532" s="74"/>
    </row>
    <row r="533" spans="2:6">
      <c r="B533" s="74"/>
      <c r="F533" s="74"/>
    </row>
    <row r="534" spans="2:6">
      <c r="B534" s="74"/>
      <c r="F534" s="74"/>
    </row>
    <row r="535" spans="2:6">
      <c r="B535" s="74"/>
      <c r="F535" s="74"/>
    </row>
    <row r="536" spans="2:6">
      <c r="B536" s="74"/>
      <c r="F536" s="74"/>
    </row>
    <row r="537" spans="2:6">
      <c r="B537" s="74"/>
      <c r="F537" s="74"/>
    </row>
    <row r="538" spans="2:6">
      <c r="B538" s="74"/>
      <c r="F538" s="74"/>
    </row>
    <row r="539" spans="2:6">
      <c r="B539" s="74"/>
      <c r="F539" s="74"/>
    </row>
    <row r="540" spans="2:6">
      <c r="B540" s="74"/>
      <c r="F540" s="74"/>
    </row>
    <row r="541" spans="2:6">
      <c r="B541" s="74"/>
      <c r="F541" s="74"/>
    </row>
    <row r="542" spans="2:6">
      <c r="B542" s="74"/>
      <c r="F542" s="74"/>
    </row>
    <row r="543" spans="2:6">
      <c r="B543" s="74"/>
      <c r="F543" s="74"/>
    </row>
    <row r="544" spans="2:6">
      <c r="B544" s="74"/>
      <c r="F544" s="74"/>
    </row>
    <row r="545" spans="2:6">
      <c r="B545" s="74"/>
      <c r="F545" s="74"/>
    </row>
    <row r="546" spans="2:6">
      <c r="B546" s="74"/>
      <c r="F546" s="74"/>
    </row>
    <row r="547" spans="2:6">
      <c r="B547" s="74"/>
      <c r="F547" s="74"/>
    </row>
    <row r="548" spans="2:6">
      <c r="B548" s="74"/>
      <c r="F548" s="74"/>
    </row>
    <row r="549" spans="2:6">
      <c r="B549" s="74"/>
      <c r="F549" s="74"/>
    </row>
    <row r="550" spans="2:6">
      <c r="B550" s="74"/>
      <c r="F550" s="74"/>
    </row>
    <row r="551" spans="2:6">
      <c r="B551" s="74"/>
      <c r="F551" s="74"/>
    </row>
    <row r="552" spans="2:6">
      <c r="B552" s="74"/>
      <c r="F552" s="74"/>
    </row>
    <row r="553" spans="2:6">
      <c r="B553" s="74"/>
      <c r="F553" s="74"/>
    </row>
    <row r="554" spans="2:6">
      <c r="B554" s="74"/>
      <c r="F554" s="74"/>
    </row>
    <row r="555" spans="2:6">
      <c r="B555" s="74"/>
      <c r="F555" s="74"/>
    </row>
    <row r="556" spans="2:6">
      <c r="B556" s="74"/>
      <c r="F556" s="74"/>
    </row>
    <row r="557" spans="2:6">
      <c r="B557" s="74"/>
      <c r="F557" s="74"/>
    </row>
    <row r="558" spans="2:6">
      <c r="B558" s="74"/>
      <c r="F558" s="74"/>
    </row>
    <row r="559" spans="2:6">
      <c r="B559" s="74"/>
      <c r="F559" s="74"/>
    </row>
    <row r="560" spans="2:6">
      <c r="B560" s="74"/>
      <c r="F560" s="74"/>
    </row>
    <row r="561" spans="2:6">
      <c r="B561" s="74"/>
      <c r="F561" s="74"/>
    </row>
    <row r="562" spans="2:6">
      <c r="B562" s="74"/>
      <c r="F562" s="74"/>
    </row>
    <row r="563" spans="2:6">
      <c r="B563" s="74"/>
      <c r="F563" s="74"/>
    </row>
    <row r="564" spans="2:6">
      <c r="B564" s="74"/>
      <c r="F564" s="74"/>
    </row>
    <row r="565" spans="2:6">
      <c r="B565" s="74"/>
      <c r="F565" s="74"/>
    </row>
    <row r="566" spans="2:6">
      <c r="B566" s="74"/>
      <c r="F566" s="74"/>
    </row>
    <row r="567" spans="2:6">
      <c r="B567" s="74"/>
      <c r="F567" s="74"/>
    </row>
    <row r="568" spans="2:6">
      <c r="B568" s="74"/>
      <c r="F568" s="74"/>
    </row>
    <row r="569" spans="2:6">
      <c r="B569" s="74"/>
      <c r="F569" s="74"/>
    </row>
    <row r="570" spans="2:6">
      <c r="B570" s="74"/>
      <c r="F570" s="74"/>
    </row>
    <row r="571" spans="2:6">
      <c r="B571" s="74"/>
      <c r="F571" s="74"/>
    </row>
    <row r="572" spans="2:6">
      <c r="B572" s="74"/>
      <c r="F572" s="74"/>
    </row>
    <row r="573" spans="2:6">
      <c r="B573" s="74"/>
      <c r="F573" s="74"/>
    </row>
    <row r="574" spans="2:6">
      <c r="B574" s="74"/>
      <c r="F574" s="74"/>
    </row>
    <row r="575" spans="2:6">
      <c r="B575" s="74"/>
      <c r="F575" s="74"/>
    </row>
    <row r="576" spans="2:6">
      <c r="B576" s="74"/>
      <c r="F576" s="74"/>
    </row>
    <row r="577" spans="2:6">
      <c r="B577" s="74"/>
      <c r="F577" s="74"/>
    </row>
    <row r="578" spans="2:6">
      <c r="B578" s="74"/>
      <c r="F578" s="74"/>
    </row>
    <row r="579" spans="2:6">
      <c r="B579" s="74"/>
      <c r="F579" s="74"/>
    </row>
    <row r="580" spans="2:6">
      <c r="B580" s="74"/>
      <c r="F580" s="74"/>
    </row>
    <row r="581" spans="2:6">
      <c r="B581" s="74"/>
      <c r="F581" s="74"/>
    </row>
    <row r="582" spans="2:6">
      <c r="B582" s="74"/>
      <c r="F582" s="74"/>
    </row>
    <row r="583" spans="2:6">
      <c r="B583" s="74"/>
      <c r="F583" s="74"/>
    </row>
    <row r="584" spans="2:6">
      <c r="B584" s="74"/>
      <c r="F584" s="74"/>
    </row>
    <row r="585" spans="2:6">
      <c r="B585" s="74"/>
      <c r="F585" s="74"/>
    </row>
    <row r="586" spans="2:6">
      <c r="B586" s="74"/>
      <c r="F586" s="74"/>
    </row>
    <row r="587" spans="2:6">
      <c r="B587" s="74"/>
      <c r="F587" s="74"/>
    </row>
    <row r="588" spans="2:6">
      <c r="B588" s="74"/>
      <c r="F588" s="74"/>
    </row>
    <row r="589" spans="2:6">
      <c r="B589" s="74"/>
      <c r="F589" s="74"/>
    </row>
    <row r="590" spans="2:6">
      <c r="B590" s="74"/>
      <c r="F590" s="74"/>
    </row>
    <row r="591" spans="2:6">
      <c r="B591" s="74"/>
      <c r="F591" s="74"/>
    </row>
    <row r="592" spans="2:6">
      <c r="B592" s="74"/>
      <c r="F592" s="74"/>
    </row>
    <row r="593" spans="2:6">
      <c r="B593" s="74"/>
      <c r="F593" s="74"/>
    </row>
    <row r="594" spans="2:6">
      <c r="B594" s="74"/>
      <c r="F594" s="74"/>
    </row>
    <row r="595" spans="2:6">
      <c r="B595" s="74"/>
      <c r="F595" s="74"/>
    </row>
    <row r="596" spans="2:6">
      <c r="B596" s="74"/>
      <c r="F596" s="74"/>
    </row>
    <row r="597" spans="2:6">
      <c r="B597" s="74"/>
      <c r="F597" s="74"/>
    </row>
    <row r="598" spans="2:6">
      <c r="B598" s="74"/>
      <c r="F598" s="74"/>
    </row>
    <row r="599" spans="2:6">
      <c r="B599" s="74"/>
      <c r="F599" s="74"/>
    </row>
    <row r="600" spans="2:6">
      <c r="B600" s="74"/>
      <c r="F600" s="74"/>
    </row>
    <row r="601" spans="2:6">
      <c r="B601" s="74"/>
      <c r="F601" s="74"/>
    </row>
    <row r="602" spans="2:6">
      <c r="B602" s="74"/>
      <c r="F602" s="74"/>
    </row>
    <row r="603" spans="2:6">
      <c r="B603" s="74"/>
      <c r="F603" s="74"/>
    </row>
    <row r="604" spans="2:6">
      <c r="B604" s="74"/>
      <c r="F604" s="74"/>
    </row>
    <row r="605" spans="2:6">
      <c r="B605" s="74"/>
      <c r="F605" s="74"/>
    </row>
    <row r="606" spans="2:6">
      <c r="B606" s="74"/>
      <c r="F606" s="74"/>
    </row>
    <row r="607" spans="2:6">
      <c r="B607" s="74"/>
      <c r="F607" s="74"/>
    </row>
    <row r="608" spans="2:6">
      <c r="B608" s="74"/>
      <c r="F608" s="74"/>
    </row>
    <row r="609" spans="2:6">
      <c r="B609" s="74"/>
      <c r="F609" s="74"/>
    </row>
    <row r="610" spans="2:6">
      <c r="B610" s="74"/>
      <c r="F610" s="74"/>
    </row>
    <row r="611" spans="2:6">
      <c r="B611" s="74"/>
      <c r="F611" s="74"/>
    </row>
    <row r="612" spans="2:6">
      <c r="B612" s="74"/>
      <c r="F612" s="74"/>
    </row>
    <row r="613" spans="2:6">
      <c r="B613" s="74"/>
      <c r="F613" s="74"/>
    </row>
    <row r="614" spans="2:6">
      <c r="B614" s="74"/>
      <c r="F614" s="74"/>
    </row>
    <row r="615" spans="2:6">
      <c r="B615" s="74"/>
      <c r="F615" s="74"/>
    </row>
    <row r="616" spans="2:6">
      <c r="B616" s="74"/>
      <c r="F616" s="74"/>
    </row>
    <row r="617" spans="2:6">
      <c r="B617" s="74"/>
      <c r="F617" s="74"/>
    </row>
    <row r="618" spans="2:6">
      <c r="B618" s="74"/>
      <c r="F618" s="74"/>
    </row>
    <row r="619" spans="2:6">
      <c r="B619" s="74"/>
      <c r="F619" s="74"/>
    </row>
    <row r="620" spans="2:6">
      <c r="B620" s="74"/>
      <c r="F620" s="74"/>
    </row>
    <row r="621" spans="2:6">
      <c r="B621" s="74"/>
      <c r="F621" s="74"/>
    </row>
    <row r="622" spans="2:6">
      <c r="B622" s="74"/>
      <c r="F622" s="74"/>
    </row>
    <row r="623" spans="2:6">
      <c r="B623" s="74"/>
      <c r="F623" s="74"/>
    </row>
    <row r="624" spans="2:6">
      <c r="B624" s="74"/>
      <c r="F624" s="74"/>
    </row>
    <row r="625" spans="2:6">
      <c r="B625" s="74"/>
      <c r="F625" s="74"/>
    </row>
    <row r="626" spans="2:6">
      <c r="B626" s="74"/>
      <c r="F626" s="74"/>
    </row>
    <row r="627" spans="2:6">
      <c r="B627" s="74"/>
      <c r="F627" s="74"/>
    </row>
    <row r="628" spans="2:6">
      <c r="B628" s="74"/>
      <c r="F628" s="74"/>
    </row>
    <row r="629" spans="2:6">
      <c r="B629" s="74"/>
      <c r="F629" s="74"/>
    </row>
    <row r="630" spans="2:6">
      <c r="B630" s="74"/>
      <c r="F630" s="74"/>
    </row>
    <row r="631" spans="2:6">
      <c r="B631" s="74"/>
      <c r="F631" s="74"/>
    </row>
    <row r="632" spans="2:6">
      <c r="B632" s="74"/>
      <c r="F632" s="74"/>
    </row>
    <row r="633" spans="2:6">
      <c r="B633" s="74"/>
      <c r="F633" s="74"/>
    </row>
    <row r="634" spans="2:6">
      <c r="B634" s="74"/>
      <c r="F634" s="74"/>
    </row>
    <row r="635" spans="2:6">
      <c r="B635" s="74"/>
      <c r="F635" s="74"/>
    </row>
    <row r="636" spans="2:6">
      <c r="B636" s="74"/>
      <c r="F636" s="74"/>
    </row>
    <row r="637" spans="2:6">
      <c r="B637" s="74"/>
      <c r="F637" s="74"/>
    </row>
    <row r="638" spans="2:6">
      <c r="B638" s="74"/>
      <c r="F638" s="74"/>
    </row>
    <row r="639" spans="2:6">
      <c r="B639" s="74"/>
      <c r="F639" s="74"/>
    </row>
    <row r="640" spans="2:6">
      <c r="B640" s="74"/>
      <c r="F640" s="74"/>
    </row>
    <row r="641" spans="2:6">
      <c r="B641" s="74"/>
      <c r="F641" s="74"/>
    </row>
    <row r="642" spans="2:6">
      <c r="B642" s="74"/>
      <c r="F642" s="74"/>
    </row>
    <row r="643" spans="2:6">
      <c r="B643" s="74"/>
      <c r="F643" s="74"/>
    </row>
    <row r="644" spans="2:6">
      <c r="B644" s="74"/>
      <c r="F644" s="74"/>
    </row>
    <row r="645" spans="2:6">
      <c r="B645" s="74"/>
      <c r="F645" s="74"/>
    </row>
    <row r="646" spans="2:6">
      <c r="B646" s="74"/>
      <c r="F646" s="74"/>
    </row>
    <row r="647" spans="2:6">
      <c r="B647" s="74"/>
      <c r="F647" s="74"/>
    </row>
    <row r="648" spans="2:6">
      <c r="B648" s="74"/>
      <c r="F648" s="74"/>
    </row>
    <row r="649" spans="2:6">
      <c r="B649" s="74"/>
      <c r="F649" s="74"/>
    </row>
    <row r="650" spans="2:6">
      <c r="B650" s="74"/>
      <c r="F650" s="74"/>
    </row>
    <row r="651" spans="2:6">
      <c r="B651" s="74"/>
      <c r="F651" s="74"/>
    </row>
    <row r="652" spans="2:6">
      <c r="B652" s="74"/>
      <c r="F652" s="74"/>
    </row>
    <row r="653" spans="2:6">
      <c r="B653" s="74"/>
      <c r="F653" s="74"/>
    </row>
    <row r="654" spans="2:6">
      <c r="B654" s="74"/>
      <c r="F654" s="74"/>
    </row>
    <row r="655" spans="2:6">
      <c r="B655" s="74"/>
      <c r="F655" s="74"/>
    </row>
    <row r="656" spans="2:6">
      <c r="B656" s="74"/>
      <c r="F656" s="74"/>
    </row>
    <row r="657" spans="2:6">
      <c r="B657" s="74"/>
      <c r="F657" s="74"/>
    </row>
    <row r="658" spans="2:6">
      <c r="B658" s="74"/>
      <c r="F658" s="74"/>
    </row>
    <row r="659" spans="2:6">
      <c r="B659" s="74"/>
      <c r="F659" s="74"/>
    </row>
    <row r="660" spans="2:6">
      <c r="B660" s="74"/>
      <c r="F660" s="74"/>
    </row>
    <row r="661" spans="2:6">
      <c r="B661" s="74"/>
      <c r="F661" s="74"/>
    </row>
    <row r="662" spans="2:6">
      <c r="B662" s="74"/>
      <c r="F662" s="74"/>
    </row>
    <row r="663" spans="2:6">
      <c r="B663" s="74"/>
      <c r="F663" s="74"/>
    </row>
    <row r="664" spans="2:6">
      <c r="B664" s="74"/>
      <c r="F664" s="74"/>
    </row>
    <row r="665" spans="2:6">
      <c r="B665" s="74"/>
      <c r="F665" s="74"/>
    </row>
    <row r="666" spans="2:6">
      <c r="B666" s="74"/>
      <c r="F666" s="74"/>
    </row>
    <row r="667" spans="2:6">
      <c r="B667" s="74"/>
      <c r="F667" s="74"/>
    </row>
    <row r="668" spans="2:6">
      <c r="B668" s="74"/>
      <c r="F668" s="74"/>
    </row>
    <row r="669" spans="2:6">
      <c r="B669" s="74"/>
      <c r="F669" s="74"/>
    </row>
    <row r="670" spans="2:6">
      <c r="B670" s="74"/>
      <c r="F670" s="74"/>
    </row>
    <row r="671" spans="2:6">
      <c r="B671" s="74"/>
      <c r="F671" s="74"/>
    </row>
    <row r="672" spans="2:6">
      <c r="B672" s="74"/>
      <c r="F672" s="74"/>
    </row>
    <row r="673" spans="2:6">
      <c r="B673" s="74"/>
      <c r="F673" s="74"/>
    </row>
    <row r="674" spans="2:6">
      <c r="B674" s="74"/>
      <c r="F674" s="74"/>
    </row>
    <row r="675" spans="2:6">
      <c r="B675" s="74"/>
      <c r="F675" s="74"/>
    </row>
    <row r="676" spans="2:6">
      <c r="B676" s="74"/>
      <c r="F676" s="74"/>
    </row>
    <row r="677" spans="2:6">
      <c r="B677" s="74"/>
      <c r="F677" s="74"/>
    </row>
    <row r="678" spans="2:6">
      <c r="B678" s="74"/>
      <c r="F678" s="74"/>
    </row>
    <row r="679" spans="2:6">
      <c r="B679" s="74"/>
      <c r="F679" s="74"/>
    </row>
    <row r="680" spans="2:6">
      <c r="B680" s="74"/>
      <c r="F680" s="74"/>
    </row>
    <row r="681" spans="2:6">
      <c r="B681" s="74"/>
      <c r="F681" s="74"/>
    </row>
    <row r="682" spans="2:6">
      <c r="B682" s="74"/>
      <c r="F682" s="74"/>
    </row>
    <row r="683" spans="2:6">
      <c r="B683" s="74"/>
      <c r="F683" s="74"/>
    </row>
    <row r="684" spans="2:6">
      <c r="B684" s="74"/>
      <c r="F684" s="74"/>
    </row>
    <row r="685" spans="2:6">
      <c r="B685" s="74"/>
      <c r="F685" s="74"/>
    </row>
    <row r="686" spans="2:6">
      <c r="B686" s="74"/>
      <c r="F686" s="74"/>
    </row>
    <row r="687" spans="2:6">
      <c r="B687" s="74"/>
      <c r="F687" s="74"/>
    </row>
    <row r="688" spans="2:6">
      <c r="B688" s="74"/>
      <c r="F688" s="74"/>
    </row>
    <row r="689" spans="2:6">
      <c r="B689" s="74"/>
      <c r="F689" s="74"/>
    </row>
    <row r="690" spans="2:6">
      <c r="B690" s="74"/>
      <c r="F690" s="74"/>
    </row>
    <row r="691" spans="2:6">
      <c r="B691" s="74"/>
      <c r="F691" s="74"/>
    </row>
    <row r="692" spans="2:6">
      <c r="B692" s="74"/>
      <c r="F692" s="74"/>
    </row>
    <row r="693" spans="2:6">
      <c r="B693" s="74"/>
      <c r="F693" s="74"/>
    </row>
    <row r="694" spans="2:6">
      <c r="B694" s="74"/>
      <c r="F694" s="74"/>
    </row>
    <row r="695" spans="2:6">
      <c r="B695" s="74"/>
      <c r="F695" s="74"/>
    </row>
    <row r="696" spans="2:6">
      <c r="B696" s="74"/>
      <c r="F696" s="74"/>
    </row>
    <row r="697" spans="2:6">
      <c r="B697" s="74"/>
      <c r="F697" s="74"/>
    </row>
    <row r="698" spans="2:6">
      <c r="B698" s="74"/>
      <c r="F698" s="74"/>
    </row>
    <row r="699" spans="2:6">
      <c r="B699" s="74"/>
      <c r="F699" s="74"/>
    </row>
    <row r="700" spans="2:6">
      <c r="B700" s="74"/>
      <c r="F700" s="74"/>
    </row>
    <row r="701" spans="2:6">
      <c r="B701" s="74"/>
      <c r="F701" s="74"/>
    </row>
    <row r="702" spans="2:6">
      <c r="B702" s="74"/>
      <c r="F702" s="74"/>
    </row>
    <row r="703" spans="2:6">
      <c r="B703" s="74"/>
      <c r="F703" s="74"/>
    </row>
    <row r="704" spans="2:6">
      <c r="B704" s="74"/>
      <c r="F704" s="74"/>
    </row>
    <row r="705" spans="2:6">
      <c r="B705" s="74"/>
      <c r="F705" s="74"/>
    </row>
    <row r="706" spans="2:6">
      <c r="B706" s="74"/>
      <c r="F706" s="74"/>
    </row>
    <row r="707" spans="2:6">
      <c r="B707" s="74"/>
      <c r="F707" s="74"/>
    </row>
    <row r="708" spans="2:6">
      <c r="B708" s="74"/>
      <c r="F708" s="74"/>
    </row>
    <row r="709" spans="2:6">
      <c r="B709" s="74"/>
      <c r="F709" s="74"/>
    </row>
    <row r="710" spans="2:6">
      <c r="B710" s="74"/>
      <c r="F710" s="74"/>
    </row>
    <row r="711" spans="2:6">
      <c r="B711" s="74"/>
      <c r="F711" s="74"/>
    </row>
    <row r="712" spans="2:6">
      <c r="B712" s="74"/>
      <c r="F712" s="74"/>
    </row>
    <row r="713" spans="2:6">
      <c r="B713" s="74"/>
      <c r="F713" s="74"/>
    </row>
    <row r="714" spans="2:6">
      <c r="B714" s="74"/>
      <c r="F714" s="74"/>
    </row>
    <row r="715" spans="2:6">
      <c r="B715" s="74"/>
      <c r="F715" s="74"/>
    </row>
    <row r="716" spans="2:6">
      <c r="B716" s="74"/>
      <c r="F716" s="74"/>
    </row>
    <row r="717" spans="2:6">
      <c r="B717" s="74"/>
      <c r="F717" s="74"/>
    </row>
    <row r="718" spans="2:6">
      <c r="B718" s="74"/>
      <c r="F718" s="74"/>
    </row>
    <row r="719" spans="2:6">
      <c r="B719" s="74"/>
      <c r="F719" s="74"/>
    </row>
    <row r="720" spans="2:6">
      <c r="B720" s="74"/>
      <c r="F720" s="74"/>
    </row>
    <row r="721" spans="2:6">
      <c r="B721" s="74"/>
      <c r="F721" s="74"/>
    </row>
    <row r="722" spans="2:6">
      <c r="B722" s="74"/>
      <c r="F722" s="74"/>
    </row>
    <row r="723" spans="2:6">
      <c r="B723" s="74"/>
      <c r="F723" s="74"/>
    </row>
    <row r="724" spans="2:6">
      <c r="B724" s="74"/>
      <c r="F724" s="74"/>
    </row>
    <row r="725" spans="2:6">
      <c r="B725" s="74"/>
      <c r="F725" s="74"/>
    </row>
    <row r="726" spans="2:6">
      <c r="B726" s="74"/>
      <c r="F726" s="74"/>
    </row>
    <row r="727" spans="2:6">
      <c r="B727" s="74"/>
      <c r="F727" s="74"/>
    </row>
    <row r="728" spans="2:6">
      <c r="B728" s="74"/>
      <c r="F728" s="74"/>
    </row>
    <row r="729" spans="2:6">
      <c r="B729" s="74"/>
      <c r="F729" s="74"/>
    </row>
    <row r="730" spans="2:6">
      <c r="B730" s="74"/>
      <c r="F730" s="74"/>
    </row>
    <row r="731" spans="2:6">
      <c r="B731" s="74"/>
      <c r="F731" s="74"/>
    </row>
    <row r="732" spans="2:6">
      <c r="B732" s="74"/>
      <c r="F732" s="74"/>
    </row>
    <row r="733" spans="2:6">
      <c r="B733" s="74"/>
      <c r="F733" s="74"/>
    </row>
    <row r="734" spans="2:6">
      <c r="B734" s="74"/>
      <c r="F734" s="74"/>
    </row>
    <row r="735" spans="2:6">
      <c r="B735" s="74"/>
      <c r="F735" s="74"/>
    </row>
    <row r="736" spans="2:6">
      <c r="B736" s="74"/>
      <c r="F736" s="74"/>
    </row>
    <row r="737" spans="2:6">
      <c r="B737" s="74"/>
      <c r="F737" s="74"/>
    </row>
    <row r="738" spans="2:6">
      <c r="B738" s="74"/>
      <c r="F738" s="74"/>
    </row>
    <row r="739" spans="2:6">
      <c r="B739" s="74"/>
      <c r="F739" s="74"/>
    </row>
    <row r="740" spans="2:6">
      <c r="B740" s="74"/>
      <c r="F740" s="74"/>
    </row>
    <row r="741" spans="2:6">
      <c r="B741" s="74"/>
      <c r="F741" s="74"/>
    </row>
    <row r="742" spans="2:6">
      <c r="B742" s="74"/>
      <c r="F742" s="74"/>
    </row>
    <row r="743" spans="2:6">
      <c r="B743" s="74"/>
      <c r="F743" s="74"/>
    </row>
    <row r="744" spans="2:6">
      <c r="B744" s="74"/>
      <c r="F744" s="74"/>
    </row>
    <row r="745" spans="2:6">
      <c r="B745" s="74"/>
      <c r="F745" s="74"/>
    </row>
    <row r="746" spans="2:6">
      <c r="B746" s="74"/>
      <c r="F746" s="74"/>
    </row>
    <row r="747" spans="2:6">
      <c r="B747" s="74"/>
      <c r="F747" s="74"/>
    </row>
    <row r="748" spans="2:6">
      <c r="B748" s="74"/>
      <c r="F748" s="74"/>
    </row>
    <row r="749" spans="2:6">
      <c r="B749" s="74"/>
      <c r="F749" s="74"/>
    </row>
    <row r="750" spans="2:6">
      <c r="B750" s="74"/>
      <c r="F750" s="74"/>
    </row>
    <row r="751" spans="2:6">
      <c r="B751" s="74"/>
      <c r="F751" s="74"/>
    </row>
    <row r="752" spans="2:6">
      <c r="B752" s="74"/>
      <c r="F752" s="74"/>
    </row>
    <row r="753" spans="2:6">
      <c r="B753" s="74"/>
      <c r="F753" s="74"/>
    </row>
    <row r="754" spans="2:6">
      <c r="B754" s="74"/>
      <c r="F754" s="74"/>
    </row>
    <row r="755" spans="2:6">
      <c r="B755" s="74"/>
      <c r="F755" s="74"/>
    </row>
    <row r="756" spans="2:6">
      <c r="B756" s="74"/>
      <c r="F756" s="74"/>
    </row>
    <row r="757" spans="2:6">
      <c r="B757" s="74"/>
      <c r="F757" s="74"/>
    </row>
    <row r="758" spans="2:6">
      <c r="B758" s="74"/>
      <c r="F758" s="74"/>
    </row>
    <row r="759" spans="2:6">
      <c r="B759" s="74"/>
      <c r="F759" s="74"/>
    </row>
    <row r="760" spans="2:6">
      <c r="B760" s="74"/>
      <c r="F760" s="74"/>
    </row>
    <row r="761" spans="2:6">
      <c r="B761" s="74"/>
      <c r="F761" s="74"/>
    </row>
    <row r="762" spans="2:6">
      <c r="B762" s="74"/>
      <c r="F762" s="74"/>
    </row>
    <row r="763" spans="2:6">
      <c r="B763" s="74"/>
      <c r="F763" s="74"/>
    </row>
    <row r="764" spans="2:6">
      <c r="B764" s="74"/>
      <c r="F764" s="74"/>
    </row>
    <row r="765" spans="2:6">
      <c r="B765" s="74"/>
      <c r="F765" s="74"/>
    </row>
    <row r="766" spans="2:6">
      <c r="B766" s="74"/>
      <c r="F766" s="74"/>
    </row>
    <row r="767" spans="2:6">
      <c r="B767" s="74"/>
      <c r="F767" s="74"/>
    </row>
    <row r="768" spans="2:6">
      <c r="B768" s="74"/>
      <c r="F768" s="74"/>
    </row>
    <row r="769" spans="2:6">
      <c r="B769" s="74"/>
      <c r="F769" s="74"/>
    </row>
    <row r="770" spans="2:6">
      <c r="B770" s="74"/>
      <c r="F770" s="74"/>
    </row>
    <row r="771" spans="2:6">
      <c r="B771" s="74"/>
      <c r="F771" s="74"/>
    </row>
    <row r="772" spans="2:6">
      <c r="B772" s="74"/>
      <c r="F772" s="74"/>
    </row>
    <row r="773" spans="2:6">
      <c r="B773" s="74"/>
      <c r="F773" s="74"/>
    </row>
    <row r="774" spans="2:6">
      <c r="B774" s="74"/>
      <c r="F774" s="74"/>
    </row>
    <row r="775" spans="2:6">
      <c r="B775" s="74"/>
      <c r="F775" s="74"/>
    </row>
    <row r="776" spans="2:6">
      <c r="B776" s="74"/>
      <c r="F776" s="74"/>
    </row>
    <row r="777" spans="2:6">
      <c r="B777" s="74"/>
      <c r="F777" s="74"/>
    </row>
    <row r="778" spans="2:6">
      <c r="B778" s="74"/>
      <c r="F778" s="74"/>
    </row>
    <row r="779" spans="2:6">
      <c r="B779" s="74"/>
      <c r="F779" s="74"/>
    </row>
    <row r="780" spans="2:6">
      <c r="B780" s="74"/>
      <c r="F780" s="74"/>
    </row>
    <row r="781" spans="2:6">
      <c r="B781" s="74"/>
      <c r="F781" s="74"/>
    </row>
    <row r="782" spans="2:6">
      <c r="B782" s="74"/>
      <c r="F782" s="74"/>
    </row>
    <row r="783" spans="2:6">
      <c r="B783" s="74"/>
      <c r="F783" s="74"/>
    </row>
    <row r="784" spans="2:6">
      <c r="B784" s="74"/>
      <c r="F784" s="74"/>
    </row>
    <row r="785" spans="2:6">
      <c r="B785" s="74"/>
      <c r="F785" s="74"/>
    </row>
    <row r="786" spans="2:6">
      <c r="B786" s="74"/>
      <c r="F786" s="74"/>
    </row>
    <row r="787" spans="2:6">
      <c r="B787" s="74"/>
      <c r="F787" s="74"/>
    </row>
    <row r="788" spans="2:6">
      <c r="B788" s="74"/>
      <c r="F788" s="74"/>
    </row>
    <row r="789" spans="2:6">
      <c r="B789" s="74"/>
      <c r="F789" s="74"/>
    </row>
    <row r="790" spans="2:6">
      <c r="B790" s="74"/>
      <c r="F790" s="74"/>
    </row>
    <row r="791" spans="2:6">
      <c r="B791" s="74"/>
      <c r="F791" s="74"/>
    </row>
    <row r="792" spans="2:6">
      <c r="B792" s="74"/>
      <c r="F792" s="74"/>
    </row>
    <row r="793" spans="2:6">
      <c r="B793" s="74"/>
      <c r="F793" s="74"/>
    </row>
    <row r="794" spans="2:6">
      <c r="B794" s="74"/>
      <c r="F794" s="74"/>
    </row>
    <row r="795" spans="2:6">
      <c r="B795" s="74"/>
      <c r="F795" s="74"/>
    </row>
    <row r="796" spans="2:6">
      <c r="B796" s="74"/>
      <c r="F796" s="74"/>
    </row>
    <row r="797" spans="2:6">
      <c r="B797" s="74"/>
      <c r="F797" s="74"/>
    </row>
    <row r="798" spans="2:6">
      <c r="B798" s="74"/>
      <c r="F798" s="74"/>
    </row>
    <row r="799" spans="2:6">
      <c r="B799" s="74"/>
      <c r="F799" s="74"/>
    </row>
    <row r="800" spans="2:6">
      <c r="B800" s="74"/>
      <c r="F800" s="74"/>
    </row>
    <row r="801" spans="2:6">
      <c r="B801" s="74"/>
      <c r="F801" s="74"/>
    </row>
    <row r="802" spans="2:6">
      <c r="B802" s="74"/>
      <c r="F802" s="74"/>
    </row>
    <row r="803" spans="2:6">
      <c r="B803" s="74"/>
      <c r="F803" s="74"/>
    </row>
    <row r="804" spans="2:6">
      <c r="B804" s="74"/>
      <c r="F804" s="74"/>
    </row>
    <row r="805" spans="2:6">
      <c r="B805" s="74"/>
      <c r="F805" s="74"/>
    </row>
    <row r="806" spans="2:6">
      <c r="B806" s="74"/>
      <c r="F806" s="74"/>
    </row>
    <row r="807" spans="2:6">
      <c r="B807" s="74"/>
      <c r="F807" s="74"/>
    </row>
    <row r="808" spans="2:6">
      <c r="B808" s="74"/>
      <c r="F808" s="74"/>
    </row>
    <row r="809" spans="2:6">
      <c r="B809" s="74"/>
      <c r="F809" s="74"/>
    </row>
    <row r="810" spans="2:6">
      <c r="B810" s="74"/>
      <c r="F810" s="74"/>
    </row>
    <row r="811" spans="2:6">
      <c r="B811" s="74"/>
      <c r="F811" s="74"/>
    </row>
    <row r="812" spans="2:6">
      <c r="B812" s="74"/>
      <c r="F812" s="74"/>
    </row>
    <row r="813" spans="2:6">
      <c r="B813" s="74"/>
      <c r="F813" s="74"/>
    </row>
    <row r="814" spans="2:6">
      <c r="B814" s="74"/>
      <c r="F814" s="74"/>
    </row>
    <row r="815" spans="2:6">
      <c r="B815" s="74"/>
      <c r="F815" s="74"/>
    </row>
    <row r="816" spans="2:6">
      <c r="B816" s="74"/>
      <c r="F816" s="74"/>
    </row>
    <row r="817" spans="2:6">
      <c r="B817" s="74"/>
      <c r="F817" s="74"/>
    </row>
    <row r="818" spans="2:6">
      <c r="B818" s="74"/>
      <c r="F818" s="74"/>
    </row>
    <row r="819" spans="2:6">
      <c r="B819" s="74"/>
      <c r="F819" s="74"/>
    </row>
    <row r="820" spans="2:6">
      <c r="B820" s="74"/>
      <c r="F820" s="74"/>
    </row>
    <row r="821" spans="2:6">
      <c r="B821" s="74"/>
      <c r="F821" s="74"/>
    </row>
    <row r="822" spans="2:6">
      <c r="B822" s="74"/>
      <c r="F822" s="74"/>
    </row>
    <row r="823" spans="2:6">
      <c r="B823" s="74"/>
      <c r="F823" s="74"/>
    </row>
    <row r="824" spans="2:6">
      <c r="B824" s="74"/>
      <c r="F824" s="74"/>
    </row>
    <row r="825" spans="2:6">
      <c r="B825" s="74"/>
      <c r="F825" s="74"/>
    </row>
    <row r="826" spans="2:6">
      <c r="B826" s="74"/>
      <c r="F826" s="74"/>
    </row>
    <row r="827" spans="2:6">
      <c r="B827" s="74"/>
      <c r="F827" s="74"/>
    </row>
    <row r="828" spans="2:6">
      <c r="B828" s="74"/>
      <c r="F828" s="74"/>
    </row>
    <row r="829" spans="2:6">
      <c r="B829" s="74"/>
      <c r="F829" s="74"/>
    </row>
    <row r="830" spans="2:6">
      <c r="B830" s="74"/>
      <c r="F830" s="74"/>
    </row>
    <row r="831" spans="2:6">
      <c r="B831" s="74"/>
      <c r="F831" s="74"/>
    </row>
    <row r="832" spans="2:6">
      <c r="B832" s="74"/>
      <c r="F832" s="74"/>
    </row>
    <row r="833" spans="2:6">
      <c r="B833" s="74"/>
      <c r="F833" s="74"/>
    </row>
    <row r="834" spans="2:6">
      <c r="B834" s="74"/>
      <c r="F834" s="74"/>
    </row>
    <row r="835" spans="2:6">
      <c r="B835" s="74"/>
      <c r="F835" s="74"/>
    </row>
    <row r="836" spans="2:6">
      <c r="B836" s="74"/>
      <c r="F836" s="74"/>
    </row>
    <row r="837" spans="2:6">
      <c r="B837" s="74"/>
      <c r="F837" s="74"/>
    </row>
    <row r="838" spans="2:6">
      <c r="B838" s="74"/>
      <c r="F838" s="74"/>
    </row>
    <row r="839" spans="2:6">
      <c r="B839" s="74"/>
      <c r="F839" s="74"/>
    </row>
    <row r="840" spans="2:6">
      <c r="B840" s="74"/>
      <c r="F840" s="74"/>
    </row>
    <row r="841" spans="2:6">
      <c r="B841" s="74"/>
      <c r="F841" s="74"/>
    </row>
    <row r="842" spans="2:6">
      <c r="B842" s="74"/>
      <c r="F842" s="74"/>
    </row>
    <row r="843" spans="2:6">
      <c r="B843" s="74"/>
      <c r="F843" s="74"/>
    </row>
    <row r="844" spans="2:6">
      <c r="B844" s="74"/>
      <c r="F844" s="74"/>
    </row>
    <row r="845" spans="2:6">
      <c r="B845" s="74"/>
      <c r="F845" s="74"/>
    </row>
    <row r="846" spans="2:6">
      <c r="B846" s="74"/>
      <c r="F846" s="74"/>
    </row>
    <row r="847" spans="2:6">
      <c r="B847" s="74"/>
      <c r="F847" s="74"/>
    </row>
    <row r="848" spans="2:6">
      <c r="B848" s="74"/>
      <c r="F848" s="74"/>
    </row>
    <row r="849" spans="2:6">
      <c r="B849" s="74"/>
      <c r="F849" s="74"/>
    </row>
    <row r="850" spans="2:6">
      <c r="B850" s="74"/>
      <c r="F850" s="74"/>
    </row>
    <row r="851" spans="2:6">
      <c r="B851" s="74"/>
      <c r="F851" s="74"/>
    </row>
    <row r="852" spans="2:6">
      <c r="B852" s="74"/>
      <c r="F852" s="74"/>
    </row>
    <row r="853" spans="2:6">
      <c r="B853" s="74"/>
      <c r="F853" s="74"/>
    </row>
    <row r="854" spans="2:6">
      <c r="B854" s="74"/>
      <c r="F854" s="74"/>
    </row>
    <row r="855" spans="2:6">
      <c r="B855" s="74"/>
      <c r="F855" s="74"/>
    </row>
    <row r="856" spans="2:6">
      <c r="B856" s="74"/>
      <c r="F856" s="74"/>
    </row>
    <row r="857" spans="2:6">
      <c r="B857" s="74"/>
      <c r="F857" s="74"/>
    </row>
    <row r="858" spans="2:6">
      <c r="B858" s="74"/>
      <c r="F858" s="74"/>
    </row>
    <row r="859" spans="2:6">
      <c r="B859" s="74"/>
      <c r="F859" s="74"/>
    </row>
    <row r="860" spans="2:6">
      <c r="B860" s="74"/>
      <c r="F860" s="74"/>
    </row>
    <row r="861" spans="2:6">
      <c r="B861" s="74"/>
      <c r="F861" s="74"/>
    </row>
    <row r="862" spans="2:6">
      <c r="B862" s="74"/>
      <c r="F862" s="74"/>
    </row>
    <row r="863" spans="2:6">
      <c r="B863" s="74"/>
      <c r="F863" s="74"/>
    </row>
    <row r="864" spans="2:6">
      <c r="B864" s="74"/>
      <c r="F864" s="74"/>
    </row>
    <row r="865" spans="2:6">
      <c r="B865" s="74"/>
      <c r="F865" s="74"/>
    </row>
    <row r="866" spans="2:6">
      <c r="B866" s="74"/>
      <c r="F866" s="74"/>
    </row>
    <row r="867" spans="2:6">
      <c r="B867" s="74"/>
      <c r="F867" s="74"/>
    </row>
    <row r="868" spans="2:6">
      <c r="B868" s="74"/>
      <c r="F868" s="74"/>
    </row>
    <row r="869" spans="2:6">
      <c r="B869" s="74"/>
      <c r="F869" s="74"/>
    </row>
    <row r="870" spans="2:6">
      <c r="B870" s="74"/>
      <c r="F870" s="74"/>
    </row>
    <row r="871" spans="2:6">
      <c r="B871" s="74"/>
      <c r="F871" s="74"/>
    </row>
    <row r="872" spans="2:6">
      <c r="B872" s="74"/>
      <c r="F872" s="74"/>
    </row>
    <row r="873" spans="2:6">
      <c r="B873" s="74"/>
      <c r="F873" s="74"/>
    </row>
    <row r="874" spans="2:6">
      <c r="B874" s="74"/>
      <c r="F874" s="74"/>
    </row>
    <row r="875" spans="2:6">
      <c r="B875" s="74"/>
      <c r="F875" s="74"/>
    </row>
    <row r="876" spans="2:6">
      <c r="B876" s="74"/>
      <c r="F876" s="74"/>
    </row>
    <row r="877" spans="2:6">
      <c r="B877" s="74"/>
      <c r="F877" s="74"/>
    </row>
    <row r="878" spans="2:6">
      <c r="B878" s="74"/>
      <c r="F878" s="74"/>
    </row>
    <row r="879" spans="2:6">
      <c r="B879" s="74"/>
      <c r="F879" s="74"/>
    </row>
    <row r="880" spans="2:6">
      <c r="B880" s="74"/>
      <c r="F880" s="74"/>
    </row>
    <row r="881" spans="2:6">
      <c r="B881" s="74"/>
      <c r="F881" s="74"/>
    </row>
    <row r="882" spans="2:6">
      <c r="B882" s="74"/>
      <c r="F882" s="74"/>
    </row>
    <row r="883" spans="2:6">
      <c r="B883" s="74"/>
      <c r="F883" s="74"/>
    </row>
    <row r="884" spans="2:6">
      <c r="B884" s="74"/>
      <c r="F884" s="74"/>
    </row>
    <row r="885" spans="2:6">
      <c r="B885" s="74"/>
      <c r="F885" s="74"/>
    </row>
    <row r="886" spans="2:6">
      <c r="B886" s="74"/>
      <c r="F886" s="74"/>
    </row>
    <row r="887" spans="2:6">
      <c r="B887" s="74"/>
      <c r="F887" s="74"/>
    </row>
    <row r="888" spans="2:6">
      <c r="B888" s="74"/>
      <c r="F888" s="74"/>
    </row>
    <row r="889" spans="2:6">
      <c r="B889" s="74"/>
      <c r="F889" s="74"/>
    </row>
    <row r="890" spans="2:6">
      <c r="B890" s="74"/>
      <c r="F890" s="74"/>
    </row>
    <row r="891" spans="2:6">
      <c r="B891" s="74"/>
      <c r="F891" s="74"/>
    </row>
    <row r="892" spans="2:6">
      <c r="B892" s="74"/>
      <c r="F892" s="74"/>
    </row>
    <row r="893" spans="2:6">
      <c r="B893" s="74"/>
      <c r="F893" s="74"/>
    </row>
    <row r="894" spans="2:6">
      <c r="B894" s="74"/>
      <c r="F894" s="74"/>
    </row>
    <row r="895" spans="2:6">
      <c r="B895" s="74"/>
      <c r="F895" s="74"/>
    </row>
    <row r="896" spans="2:6">
      <c r="B896" s="74"/>
      <c r="F896" s="74"/>
    </row>
    <row r="897" spans="2:6">
      <c r="B897" s="74"/>
      <c r="F897" s="74"/>
    </row>
    <row r="898" spans="2:6">
      <c r="B898" s="74"/>
      <c r="F898" s="74"/>
    </row>
    <row r="899" spans="2:6">
      <c r="B899" s="74"/>
      <c r="F899" s="74"/>
    </row>
    <row r="900" spans="2:6">
      <c r="B900" s="74"/>
      <c r="F900" s="74"/>
    </row>
    <row r="901" spans="2:6">
      <c r="B901" s="74"/>
      <c r="F901" s="74"/>
    </row>
    <row r="902" spans="2:6">
      <c r="B902" s="74"/>
      <c r="F902" s="74"/>
    </row>
    <row r="903" spans="2:6">
      <c r="B903" s="74"/>
      <c r="F903" s="74"/>
    </row>
    <row r="904" spans="2:6">
      <c r="B904" s="74"/>
      <c r="F904" s="74"/>
    </row>
    <row r="905" spans="2:6">
      <c r="B905" s="74"/>
      <c r="F905" s="74"/>
    </row>
    <row r="906" spans="2:6">
      <c r="B906" s="74"/>
      <c r="F906" s="74"/>
    </row>
    <row r="907" spans="2:6">
      <c r="B907" s="74"/>
      <c r="F907" s="74"/>
    </row>
    <row r="908" spans="2:6">
      <c r="B908" s="74"/>
      <c r="F908" s="74"/>
    </row>
    <row r="909" spans="2:6">
      <c r="B909" s="74"/>
      <c r="F909" s="74"/>
    </row>
    <row r="910" spans="2:6">
      <c r="B910" s="74"/>
      <c r="F910" s="74"/>
    </row>
    <row r="911" spans="2:6">
      <c r="B911" s="74"/>
      <c r="F911" s="74"/>
    </row>
    <row r="912" spans="2:6">
      <c r="B912" s="74"/>
      <c r="F912" s="74"/>
    </row>
    <row r="913" spans="2:6">
      <c r="B913" s="74"/>
      <c r="F913" s="74"/>
    </row>
    <row r="914" spans="2:6">
      <c r="B914" s="74"/>
      <c r="F914" s="74"/>
    </row>
    <row r="915" spans="2:6">
      <c r="B915" s="74"/>
      <c r="F915" s="74"/>
    </row>
    <row r="916" spans="2:6">
      <c r="B916" s="74"/>
      <c r="F916" s="74"/>
    </row>
    <row r="917" spans="2:6">
      <c r="B917" s="74"/>
      <c r="F917" s="74"/>
    </row>
    <row r="918" spans="2:6">
      <c r="B918" s="74"/>
      <c r="F918" s="74"/>
    </row>
    <row r="919" spans="2:6">
      <c r="B919" s="74"/>
      <c r="F919" s="74"/>
    </row>
    <row r="920" spans="2:6">
      <c r="B920" s="74"/>
      <c r="F920" s="74"/>
    </row>
    <row r="921" spans="2:6">
      <c r="B921" s="74"/>
      <c r="F921" s="74"/>
    </row>
    <row r="922" spans="2:6">
      <c r="B922" s="74"/>
      <c r="F922" s="74"/>
    </row>
    <row r="923" spans="2:6">
      <c r="B923" s="74"/>
      <c r="F923" s="74"/>
    </row>
    <row r="924" spans="2:6">
      <c r="B924" s="74"/>
      <c r="F924" s="74"/>
    </row>
    <row r="925" spans="2:6">
      <c r="B925" s="74"/>
      <c r="F925" s="74"/>
    </row>
    <row r="926" spans="2:6">
      <c r="B926" s="74"/>
      <c r="F926" s="74"/>
    </row>
    <row r="927" spans="2:6">
      <c r="B927" s="74"/>
      <c r="F927" s="74"/>
    </row>
    <row r="928" spans="2:6">
      <c r="B928" s="74"/>
      <c r="F928" s="74"/>
    </row>
    <row r="929" spans="2:6">
      <c r="B929" s="74"/>
      <c r="F929" s="74"/>
    </row>
    <row r="930" spans="2:6">
      <c r="B930" s="74"/>
      <c r="F930" s="74"/>
    </row>
    <row r="931" spans="2:6">
      <c r="B931" s="74"/>
      <c r="F931" s="74"/>
    </row>
    <row r="932" spans="2:6">
      <c r="B932" s="74"/>
      <c r="F932" s="74"/>
    </row>
    <row r="933" spans="2:6">
      <c r="B933" s="74"/>
      <c r="F933" s="74"/>
    </row>
    <row r="934" spans="2:6">
      <c r="B934" s="74"/>
      <c r="F934" s="74"/>
    </row>
    <row r="935" spans="2:6">
      <c r="B935" s="74"/>
      <c r="F935" s="74"/>
    </row>
    <row r="936" spans="2:6">
      <c r="B936" s="74"/>
      <c r="F936" s="74"/>
    </row>
    <row r="937" spans="2:6">
      <c r="B937" s="74"/>
      <c r="F937" s="74"/>
    </row>
    <row r="938" spans="2:6">
      <c r="B938" s="74"/>
      <c r="F938" s="74"/>
    </row>
    <row r="939" spans="2:6">
      <c r="B939" s="74"/>
      <c r="F939" s="74"/>
    </row>
    <row r="940" spans="2:6">
      <c r="B940" s="74"/>
      <c r="F940" s="74"/>
    </row>
    <row r="941" spans="2:6">
      <c r="B941" s="74"/>
      <c r="F941" s="74"/>
    </row>
    <row r="942" spans="2:6">
      <c r="B942" s="74"/>
      <c r="F942" s="74"/>
    </row>
    <row r="943" spans="2:6">
      <c r="B943" s="74"/>
      <c r="F943" s="74"/>
    </row>
    <row r="944" spans="2:6">
      <c r="B944" s="74"/>
      <c r="F944" s="74"/>
    </row>
    <row r="945" spans="2:6">
      <c r="B945" s="74"/>
      <c r="F945" s="74"/>
    </row>
    <row r="946" spans="2:6">
      <c r="B946" s="74"/>
      <c r="F946" s="74"/>
    </row>
    <row r="947" spans="2:6">
      <c r="B947" s="74"/>
      <c r="F947" s="74"/>
    </row>
    <row r="948" spans="2:6">
      <c r="B948" s="74"/>
      <c r="F948" s="74"/>
    </row>
    <row r="949" spans="2:6">
      <c r="B949" s="74"/>
      <c r="F949" s="74"/>
    </row>
    <row r="950" spans="2:6">
      <c r="B950" s="74"/>
      <c r="F950" s="74"/>
    </row>
    <row r="951" spans="2:6">
      <c r="B951" s="74"/>
      <c r="F951" s="74"/>
    </row>
    <row r="952" spans="2:6">
      <c r="B952" s="74"/>
      <c r="F952" s="74"/>
    </row>
    <row r="953" spans="2:6">
      <c r="B953" s="74"/>
      <c r="F953" s="74"/>
    </row>
    <row r="954" spans="2:6">
      <c r="B954" s="74"/>
      <c r="F954" s="74"/>
    </row>
    <row r="955" spans="2:6">
      <c r="B955" s="74"/>
      <c r="F955" s="74"/>
    </row>
    <row r="956" spans="2:6">
      <c r="B956" s="74"/>
      <c r="F956" s="74"/>
    </row>
    <row r="957" spans="2:6">
      <c r="B957" s="74"/>
      <c r="F957" s="74"/>
    </row>
    <row r="958" spans="2:6">
      <c r="B958" s="74"/>
      <c r="F958" s="74"/>
    </row>
    <row r="959" spans="2:6">
      <c r="B959" s="74"/>
      <c r="F959" s="74"/>
    </row>
    <row r="960" spans="2:6">
      <c r="B960" s="74"/>
      <c r="F960" s="74"/>
    </row>
    <row r="961" spans="2:6">
      <c r="B961" s="74"/>
      <c r="F961" s="74"/>
    </row>
    <row r="962" spans="2:6">
      <c r="B962" s="74"/>
      <c r="F962" s="74"/>
    </row>
    <row r="963" spans="2:6">
      <c r="B963" s="74"/>
      <c r="F963" s="74"/>
    </row>
    <row r="964" spans="2:6">
      <c r="B964" s="74"/>
      <c r="F964" s="74"/>
    </row>
    <row r="965" spans="2:6">
      <c r="B965" s="74"/>
      <c r="F965" s="74"/>
    </row>
    <row r="966" spans="2:6">
      <c r="B966" s="74"/>
      <c r="F966" s="74"/>
    </row>
    <row r="967" spans="2:6">
      <c r="B967" s="74"/>
      <c r="F967" s="74"/>
    </row>
    <row r="968" spans="2:6">
      <c r="B968" s="74"/>
      <c r="F968" s="74"/>
    </row>
    <row r="969" spans="2:6">
      <c r="B969" s="74"/>
      <c r="F969" s="74"/>
    </row>
    <row r="970" spans="2:6">
      <c r="B970" s="74"/>
      <c r="F970" s="74"/>
    </row>
    <row r="971" spans="2:6">
      <c r="B971" s="74"/>
      <c r="F971" s="74"/>
    </row>
    <row r="972" spans="2:6">
      <c r="B972" s="74"/>
      <c r="F972" s="74"/>
    </row>
    <row r="973" spans="2:6">
      <c r="B973" s="74"/>
      <c r="F973" s="74"/>
    </row>
    <row r="974" spans="2:6">
      <c r="B974" s="74"/>
      <c r="F974" s="74"/>
    </row>
    <row r="975" spans="2:6">
      <c r="B975" s="74"/>
      <c r="F975" s="74"/>
    </row>
    <row r="976" spans="2:6">
      <c r="B976" s="74"/>
      <c r="F976" s="74"/>
    </row>
    <row r="977" spans="2:6">
      <c r="B977" s="74"/>
      <c r="F977" s="74"/>
    </row>
    <row r="978" spans="2:6">
      <c r="B978" s="74"/>
      <c r="F978" s="74"/>
    </row>
    <row r="979" spans="2:6">
      <c r="B979" s="74"/>
      <c r="F979" s="74"/>
    </row>
    <row r="980" spans="2:6">
      <c r="B980" s="74"/>
      <c r="F980" s="74"/>
    </row>
    <row r="981" spans="2:6">
      <c r="B981" s="74"/>
      <c r="F981" s="74"/>
    </row>
    <row r="982" spans="2:6">
      <c r="B982" s="74"/>
      <c r="F982" s="74"/>
    </row>
    <row r="983" spans="2:6">
      <c r="B983" s="74"/>
      <c r="F983" s="74"/>
    </row>
    <row r="984" spans="2:6">
      <c r="B984" s="74"/>
      <c r="F984" s="74"/>
    </row>
    <row r="985" spans="2:6">
      <c r="B985" s="74"/>
      <c r="F985" s="74"/>
    </row>
    <row r="986" spans="2:6">
      <c r="B986" s="74"/>
      <c r="F986" s="74"/>
    </row>
    <row r="987" spans="2:6">
      <c r="B987" s="74"/>
      <c r="F987" s="74"/>
    </row>
    <row r="988" spans="2:6">
      <c r="B988" s="74"/>
      <c r="F988" s="74"/>
    </row>
    <row r="989" spans="2:6">
      <c r="B989" s="74"/>
      <c r="F989" s="74"/>
    </row>
    <row r="990" spans="2:6">
      <c r="B990" s="74"/>
      <c r="F990" s="74"/>
    </row>
    <row r="991" spans="2:6">
      <c r="B991" s="74"/>
      <c r="F991" s="74"/>
    </row>
    <row r="992" spans="2:6">
      <c r="B992" s="74"/>
      <c r="F992" s="74"/>
    </row>
    <row r="993" spans="2:6">
      <c r="B993" s="74"/>
      <c r="F993" s="74"/>
    </row>
    <row r="994" spans="2:6">
      <c r="B994" s="74"/>
      <c r="F994" s="74"/>
    </row>
    <row r="995" spans="2:6">
      <c r="B995" s="74"/>
      <c r="F995" s="74"/>
    </row>
    <row r="996" spans="2:6">
      <c r="B996" s="74"/>
      <c r="F996" s="74"/>
    </row>
    <row r="997" spans="2:6">
      <c r="B997" s="74"/>
      <c r="F997" s="74"/>
    </row>
    <row r="998" spans="2:6">
      <c r="B998" s="74"/>
      <c r="F998" s="74"/>
    </row>
    <row r="999" spans="2:6">
      <c r="B999" s="74"/>
      <c r="F999" s="74"/>
    </row>
    <row r="1000" spans="2:6">
      <c r="B1000" s="74"/>
      <c r="F1000" s="7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A1000"/>
  <sheetViews>
    <sheetView workbookViewId="0">
      <pane ySplit="1" topLeftCell="A2" activePane="bottomLeft" state="frozen"/>
      <selection pane="bottomLeft" activeCell="B3" sqref="B3"/>
    </sheetView>
  </sheetViews>
  <sheetFormatPr defaultColWidth="12.6640625" defaultRowHeight="15.75" customHeight="1"/>
  <cols>
    <col min="1" max="1" width="15.77734375" customWidth="1"/>
  </cols>
  <sheetData>
    <row r="1" spans="1:27">
      <c r="A1" s="2" t="s">
        <v>2361</v>
      </c>
      <c r="B1" s="2" t="s">
        <v>2362</v>
      </c>
      <c r="C1" s="2" t="s">
        <v>2254</v>
      </c>
      <c r="D1" s="50" t="s">
        <v>10</v>
      </c>
      <c r="E1" s="50" t="s">
        <v>11</v>
      </c>
      <c r="F1" s="10"/>
      <c r="G1" s="10"/>
      <c r="H1" s="10"/>
      <c r="I1" s="10"/>
      <c r="J1" s="10"/>
      <c r="K1" s="10"/>
      <c r="L1" s="10"/>
      <c r="M1" s="10"/>
      <c r="N1" s="10"/>
      <c r="O1" s="10"/>
      <c r="P1" s="10"/>
      <c r="Q1" s="10"/>
      <c r="R1" s="10"/>
      <c r="S1" s="10"/>
      <c r="T1" s="10"/>
      <c r="U1" s="10"/>
      <c r="V1" s="10"/>
      <c r="W1" s="10"/>
      <c r="X1" s="10"/>
      <c r="Y1" s="10"/>
      <c r="Z1" s="10"/>
      <c r="AA1" s="10"/>
    </row>
    <row r="2" spans="1:27">
      <c r="A2" s="77">
        <v>1</v>
      </c>
      <c r="B2" s="77">
        <v>2</v>
      </c>
      <c r="C2" s="10" t="s">
        <v>2363</v>
      </c>
      <c r="D2" s="78">
        <v>44712</v>
      </c>
      <c r="E2" s="79"/>
      <c r="F2" s="10"/>
      <c r="G2" s="10"/>
      <c r="H2" s="10"/>
      <c r="I2" s="10"/>
      <c r="J2" s="10"/>
      <c r="K2" s="10"/>
      <c r="L2" s="10"/>
      <c r="M2" s="10"/>
      <c r="N2" s="10"/>
      <c r="O2" s="10"/>
      <c r="P2" s="10"/>
      <c r="Q2" s="10"/>
      <c r="R2" s="10"/>
      <c r="S2" s="10"/>
      <c r="T2" s="10"/>
      <c r="U2" s="10"/>
      <c r="V2" s="10"/>
      <c r="W2" s="10"/>
      <c r="X2" s="10"/>
      <c r="Y2" s="10"/>
      <c r="Z2" s="10"/>
      <c r="AA2" s="10"/>
    </row>
    <row r="3" spans="1:27">
      <c r="A3" s="77">
        <v>2</v>
      </c>
      <c r="B3" s="77">
        <v>9</v>
      </c>
      <c r="C3" s="10" t="s">
        <v>2344</v>
      </c>
      <c r="D3" s="78">
        <f t="shared" ref="D3:D21" si="0">D2</f>
        <v>44712</v>
      </c>
      <c r="E3" s="79"/>
      <c r="F3" s="10"/>
      <c r="G3" s="10"/>
      <c r="H3" s="10"/>
      <c r="I3" s="10"/>
      <c r="J3" s="10"/>
      <c r="K3" s="10"/>
      <c r="L3" s="10"/>
      <c r="M3" s="10"/>
      <c r="N3" s="10"/>
      <c r="O3" s="10"/>
      <c r="P3" s="10"/>
      <c r="Q3" s="10"/>
      <c r="R3" s="10"/>
      <c r="S3" s="10"/>
      <c r="T3" s="10"/>
      <c r="U3" s="10"/>
      <c r="V3" s="10"/>
      <c r="W3" s="10"/>
      <c r="X3" s="10"/>
      <c r="Y3" s="10"/>
      <c r="Z3" s="10"/>
      <c r="AA3" s="10"/>
    </row>
    <row r="4" spans="1:27">
      <c r="A4" s="77">
        <v>3</v>
      </c>
      <c r="B4" s="77">
        <v>10</v>
      </c>
      <c r="C4" s="10" t="s">
        <v>2364</v>
      </c>
      <c r="D4" s="78">
        <f t="shared" si="0"/>
        <v>44712</v>
      </c>
      <c r="E4" s="79"/>
      <c r="F4" s="10"/>
      <c r="G4" s="10"/>
      <c r="H4" s="10"/>
      <c r="I4" s="10"/>
      <c r="J4" s="10"/>
      <c r="K4" s="10"/>
      <c r="L4" s="10"/>
      <c r="M4" s="10"/>
      <c r="N4" s="10"/>
      <c r="O4" s="10"/>
      <c r="P4" s="10"/>
      <c r="Q4" s="10"/>
      <c r="R4" s="10"/>
      <c r="S4" s="10"/>
      <c r="T4" s="10"/>
      <c r="U4" s="10"/>
      <c r="V4" s="10"/>
      <c r="W4" s="10"/>
      <c r="X4" s="10"/>
      <c r="Y4" s="10"/>
      <c r="Z4" s="10"/>
      <c r="AA4" s="10"/>
    </row>
    <row r="5" spans="1:27">
      <c r="A5" s="77">
        <v>4</v>
      </c>
      <c r="B5" s="77">
        <v>12</v>
      </c>
      <c r="C5" s="10" t="s">
        <v>2357</v>
      </c>
      <c r="D5" s="78">
        <f t="shared" si="0"/>
        <v>44712</v>
      </c>
      <c r="E5" s="79"/>
      <c r="F5" s="10"/>
      <c r="G5" s="10"/>
      <c r="H5" s="10"/>
      <c r="I5" s="10"/>
      <c r="J5" s="10"/>
      <c r="K5" s="10"/>
      <c r="L5" s="10"/>
      <c r="M5" s="10"/>
      <c r="N5" s="10"/>
      <c r="O5" s="10"/>
      <c r="P5" s="10"/>
      <c r="Q5" s="10"/>
      <c r="R5" s="10"/>
      <c r="S5" s="10"/>
      <c r="T5" s="10"/>
      <c r="U5" s="10"/>
      <c r="V5" s="10"/>
      <c r="W5" s="10"/>
      <c r="X5" s="10"/>
      <c r="Y5" s="10"/>
      <c r="Z5" s="10"/>
      <c r="AA5" s="10"/>
    </row>
    <row r="6" spans="1:27">
      <c r="A6" s="77">
        <v>5</v>
      </c>
      <c r="B6" s="77">
        <v>15</v>
      </c>
      <c r="C6" s="10" t="s">
        <v>2365</v>
      </c>
      <c r="D6" s="78">
        <f t="shared" si="0"/>
        <v>44712</v>
      </c>
      <c r="E6" s="79"/>
      <c r="F6" s="10"/>
      <c r="G6" s="10"/>
      <c r="H6" s="10"/>
      <c r="I6" s="10"/>
      <c r="J6" s="10"/>
      <c r="K6" s="10"/>
      <c r="L6" s="10"/>
      <c r="M6" s="10"/>
      <c r="N6" s="10"/>
      <c r="O6" s="10"/>
      <c r="P6" s="10"/>
      <c r="Q6" s="10"/>
      <c r="R6" s="10"/>
      <c r="S6" s="10"/>
      <c r="T6" s="10"/>
      <c r="U6" s="10"/>
      <c r="V6" s="10"/>
      <c r="W6" s="10"/>
      <c r="X6" s="10"/>
      <c r="Y6" s="10"/>
      <c r="Z6" s="10"/>
      <c r="AA6" s="10"/>
    </row>
    <row r="7" spans="1:27">
      <c r="A7" s="77">
        <v>6</v>
      </c>
      <c r="B7" s="77">
        <v>16</v>
      </c>
      <c r="C7" s="10" t="s">
        <v>2366</v>
      </c>
      <c r="D7" s="78">
        <f t="shared" si="0"/>
        <v>44712</v>
      </c>
      <c r="E7" s="79"/>
      <c r="F7" s="10"/>
      <c r="G7" s="10"/>
      <c r="H7" s="10"/>
      <c r="I7" s="10"/>
      <c r="J7" s="10"/>
      <c r="K7" s="10"/>
      <c r="L7" s="10"/>
      <c r="M7" s="10"/>
      <c r="N7" s="10"/>
      <c r="O7" s="10"/>
      <c r="P7" s="10"/>
      <c r="Q7" s="10"/>
      <c r="R7" s="10"/>
      <c r="S7" s="10"/>
      <c r="T7" s="10"/>
      <c r="U7" s="10"/>
      <c r="V7" s="10"/>
      <c r="W7" s="10"/>
      <c r="X7" s="10"/>
      <c r="Y7" s="10"/>
      <c r="Z7" s="10"/>
      <c r="AA7" s="10"/>
    </row>
    <row r="8" spans="1:27">
      <c r="A8" s="77">
        <v>7</v>
      </c>
      <c r="B8" s="77">
        <v>18</v>
      </c>
      <c r="C8" s="10" t="s">
        <v>2367</v>
      </c>
      <c r="D8" s="78">
        <f t="shared" si="0"/>
        <v>44712</v>
      </c>
      <c r="E8" s="79"/>
      <c r="F8" s="10"/>
      <c r="G8" s="10"/>
      <c r="H8" s="10"/>
      <c r="I8" s="10"/>
      <c r="J8" s="10"/>
      <c r="K8" s="10"/>
      <c r="L8" s="10"/>
      <c r="M8" s="10"/>
      <c r="N8" s="10"/>
      <c r="O8" s="10"/>
      <c r="P8" s="10"/>
      <c r="Q8" s="10"/>
      <c r="R8" s="10"/>
      <c r="S8" s="10"/>
      <c r="T8" s="10"/>
      <c r="U8" s="10"/>
      <c r="V8" s="10"/>
      <c r="W8" s="10"/>
      <c r="X8" s="10"/>
      <c r="Y8" s="10"/>
      <c r="Z8" s="10"/>
      <c r="AA8" s="10"/>
    </row>
    <row r="9" spans="1:27">
      <c r="A9" s="77">
        <v>8</v>
      </c>
      <c r="B9" s="77">
        <v>19</v>
      </c>
      <c r="C9" s="10" t="s">
        <v>2368</v>
      </c>
      <c r="D9" s="78">
        <f t="shared" si="0"/>
        <v>44712</v>
      </c>
      <c r="E9" s="79"/>
      <c r="F9" s="10"/>
      <c r="G9" s="10"/>
      <c r="H9" s="10"/>
      <c r="I9" s="10"/>
      <c r="J9" s="10"/>
      <c r="K9" s="10"/>
      <c r="L9" s="10"/>
      <c r="M9" s="10"/>
      <c r="N9" s="10"/>
      <c r="O9" s="10"/>
      <c r="P9" s="10"/>
      <c r="Q9" s="10"/>
      <c r="R9" s="10"/>
      <c r="S9" s="10"/>
      <c r="T9" s="10"/>
      <c r="U9" s="10"/>
      <c r="V9" s="10"/>
      <c r="W9" s="10"/>
      <c r="X9" s="10"/>
      <c r="Y9" s="10"/>
      <c r="Z9" s="10"/>
      <c r="AA9" s="10"/>
    </row>
    <row r="10" spans="1:27">
      <c r="A10" s="77">
        <v>9</v>
      </c>
      <c r="B10" s="77">
        <v>20</v>
      </c>
      <c r="C10" s="10" t="s">
        <v>2369</v>
      </c>
      <c r="D10" s="78">
        <f t="shared" si="0"/>
        <v>44712</v>
      </c>
      <c r="E10" s="79"/>
      <c r="F10" s="10"/>
      <c r="G10" s="10"/>
      <c r="H10" s="10"/>
      <c r="I10" s="10"/>
      <c r="J10" s="10"/>
      <c r="K10" s="10"/>
      <c r="L10" s="10"/>
      <c r="M10" s="10"/>
      <c r="N10" s="10"/>
      <c r="O10" s="10"/>
      <c r="P10" s="10"/>
      <c r="Q10" s="10"/>
      <c r="R10" s="10"/>
      <c r="S10" s="10"/>
      <c r="T10" s="10"/>
      <c r="U10" s="10"/>
      <c r="V10" s="10"/>
      <c r="W10" s="10"/>
      <c r="X10" s="10"/>
      <c r="Y10" s="10"/>
      <c r="Z10" s="10"/>
      <c r="AA10" s="10"/>
    </row>
    <row r="11" spans="1:27">
      <c r="A11" s="77">
        <v>10</v>
      </c>
      <c r="B11" s="77">
        <v>21</v>
      </c>
      <c r="C11" s="10" t="s">
        <v>2370</v>
      </c>
      <c r="D11" s="78">
        <f t="shared" si="0"/>
        <v>44712</v>
      </c>
      <c r="E11" s="79"/>
      <c r="F11" s="10"/>
      <c r="G11" s="10"/>
      <c r="H11" s="10"/>
      <c r="I11" s="10"/>
      <c r="J11" s="10"/>
      <c r="K11" s="10"/>
      <c r="L11" s="10"/>
      <c r="M11" s="10"/>
      <c r="N11" s="10"/>
      <c r="O11" s="10"/>
      <c r="P11" s="10"/>
      <c r="Q11" s="10"/>
      <c r="R11" s="10"/>
      <c r="S11" s="10"/>
      <c r="T11" s="10"/>
      <c r="U11" s="10"/>
      <c r="V11" s="10"/>
      <c r="W11" s="10"/>
      <c r="X11" s="10"/>
      <c r="Y11" s="10"/>
      <c r="Z11" s="10"/>
      <c r="AA11" s="10"/>
    </row>
    <row r="12" spans="1:27">
      <c r="A12" s="77">
        <v>11</v>
      </c>
      <c r="B12" s="77">
        <v>22</v>
      </c>
      <c r="C12" s="10" t="s">
        <v>2371</v>
      </c>
      <c r="D12" s="78">
        <f t="shared" si="0"/>
        <v>44712</v>
      </c>
      <c r="E12" s="79"/>
      <c r="F12" s="10"/>
      <c r="G12" s="10"/>
      <c r="H12" s="10"/>
      <c r="I12" s="10"/>
      <c r="J12" s="10"/>
      <c r="K12" s="10"/>
      <c r="L12" s="10"/>
      <c r="M12" s="10"/>
      <c r="N12" s="10"/>
      <c r="O12" s="10"/>
      <c r="P12" s="10"/>
      <c r="Q12" s="10"/>
      <c r="R12" s="10"/>
      <c r="S12" s="10"/>
      <c r="T12" s="10"/>
      <c r="U12" s="10"/>
      <c r="V12" s="10"/>
      <c r="W12" s="10"/>
      <c r="X12" s="10"/>
      <c r="Y12" s="10"/>
      <c r="Z12" s="10"/>
      <c r="AA12" s="10"/>
    </row>
    <row r="13" spans="1:27">
      <c r="A13" s="77">
        <v>12</v>
      </c>
      <c r="B13" s="77">
        <v>23</v>
      </c>
      <c r="C13" s="10" t="s">
        <v>2372</v>
      </c>
      <c r="D13" s="78">
        <f t="shared" si="0"/>
        <v>44712</v>
      </c>
      <c r="E13" s="79"/>
      <c r="F13" s="10"/>
      <c r="G13" s="10"/>
      <c r="H13" s="10"/>
      <c r="I13" s="10"/>
      <c r="J13" s="10"/>
      <c r="K13" s="10"/>
      <c r="L13" s="10"/>
      <c r="M13" s="10"/>
      <c r="N13" s="10"/>
      <c r="O13" s="10"/>
      <c r="P13" s="10"/>
      <c r="Q13" s="10"/>
      <c r="R13" s="10"/>
      <c r="S13" s="10"/>
      <c r="T13" s="10"/>
      <c r="U13" s="10"/>
      <c r="V13" s="10"/>
      <c r="W13" s="10"/>
      <c r="X13" s="10"/>
      <c r="Y13" s="10"/>
      <c r="Z13" s="10"/>
      <c r="AA13" s="10"/>
    </row>
    <row r="14" spans="1:27">
      <c r="A14" s="77">
        <v>13</v>
      </c>
      <c r="B14" s="77">
        <v>24</v>
      </c>
      <c r="C14" s="10" t="s">
        <v>2373</v>
      </c>
      <c r="D14" s="78">
        <f t="shared" si="0"/>
        <v>44712</v>
      </c>
      <c r="E14" s="79"/>
      <c r="F14" s="10"/>
      <c r="G14" s="10"/>
      <c r="H14" s="10"/>
      <c r="I14" s="10"/>
      <c r="J14" s="10"/>
      <c r="K14" s="10"/>
      <c r="L14" s="10"/>
      <c r="M14" s="10"/>
      <c r="N14" s="10"/>
      <c r="O14" s="10"/>
      <c r="P14" s="10"/>
      <c r="Q14" s="10"/>
      <c r="R14" s="10"/>
      <c r="S14" s="10"/>
      <c r="T14" s="10"/>
      <c r="U14" s="10"/>
      <c r="V14" s="10"/>
      <c r="W14" s="10"/>
      <c r="X14" s="10"/>
      <c r="Y14" s="10"/>
      <c r="Z14" s="10"/>
      <c r="AA14" s="10"/>
    </row>
    <row r="15" spans="1:27">
      <c r="A15" s="77">
        <v>14</v>
      </c>
      <c r="B15" s="77">
        <v>6</v>
      </c>
      <c r="C15" s="10" t="s">
        <v>2343</v>
      </c>
      <c r="D15" s="78">
        <f t="shared" si="0"/>
        <v>44712</v>
      </c>
      <c r="E15" s="79"/>
      <c r="F15" s="10"/>
      <c r="G15" s="10"/>
      <c r="H15" s="10"/>
      <c r="I15" s="10"/>
      <c r="J15" s="10"/>
      <c r="K15" s="10"/>
      <c r="L15" s="10"/>
      <c r="M15" s="10"/>
      <c r="N15" s="10"/>
      <c r="O15" s="10"/>
      <c r="P15" s="10"/>
      <c r="Q15" s="10"/>
      <c r="R15" s="10"/>
      <c r="S15" s="10"/>
      <c r="T15" s="10"/>
      <c r="U15" s="10"/>
      <c r="V15" s="10"/>
      <c r="W15" s="10"/>
      <c r="X15" s="10"/>
      <c r="Y15" s="10"/>
      <c r="Z15" s="10"/>
      <c r="AA15" s="10"/>
    </row>
    <row r="16" spans="1:27">
      <c r="A16" s="77">
        <v>15</v>
      </c>
      <c r="B16" s="77">
        <v>13</v>
      </c>
      <c r="C16" s="10" t="s">
        <v>2347</v>
      </c>
      <c r="D16" s="78">
        <f t="shared" si="0"/>
        <v>44712</v>
      </c>
      <c r="E16" s="79"/>
      <c r="F16" s="10"/>
      <c r="G16" s="10"/>
      <c r="H16" s="10"/>
      <c r="I16" s="10"/>
      <c r="J16" s="10"/>
      <c r="K16" s="10"/>
      <c r="L16" s="10"/>
      <c r="M16" s="10"/>
      <c r="N16" s="10"/>
      <c r="O16" s="10"/>
      <c r="P16" s="10"/>
      <c r="Q16" s="10"/>
      <c r="R16" s="10"/>
      <c r="S16" s="10"/>
      <c r="T16" s="10"/>
      <c r="U16" s="10"/>
      <c r="V16" s="10"/>
      <c r="W16" s="10"/>
      <c r="X16" s="10"/>
      <c r="Y16" s="10"/>
      <c r="Z16" s="10"/>
      <c r="AA16" s="10"/>
    </row>
    <row r="17" spans="1:27">
      <c r="A17" s="77">
        <v>16</v>
      </c>
      <c r="B17" s="77">
        <v>4</v>
      </c>
      <c r="C17" s="10" t="s">
        <v>2374</v>
      </c>
      <c r="D17" s="78">
        <f t="shared" si="0"/>
        <v>44712</v>
      </c>
      <c r="E17" s="79"/>
      <c r="F17" s="10"/>
      <c r="G17" s="10"/>
      <c r="H17" s="10"/>
      <c r="I17" s="10"/>
      <c r="J17" s="10"/>
      <c r="K17" s="10"/>
      <c r="L17" s="10"/>
      <c r="M17" s="10"/>
      <c r="N17" s="10"/>
      <c r="O17" s="10"/>
      <c r="P17" s="10"/>
      <c r="Q17" s="10"/>
      <c r="R17" s="10"/>
      <c r="S17" s="10"/>
      <c r="T17" s="10"/>
      <c r="U17" s="10"/>
      <c r="V17" s="10"/>
      <c r="W17" s="10"/>
      <c r="X17" s="10"/>
      <c r="Y17" s="10"/>
      <c r="Z17" s="10"/>
      <c r="AA17" s="10"/>
    </row>
    <row r="18" spans="1:27">
      <c r="A18" s="77">
        <v>17</v>
      </c>
      <c r="B18" s="77">
        <v>17</v>
      </c>
      <c r="C18" s="10" t="s">
        <v>2352</v>
      </c>
      <c r="D18" s="78">
        <f t="shared" si="0"/>
        <v>44712</v>
      </c>
      <c r="E18" s="79"/>
      <c r="F18" s="10"/>
      <c r="G18" s="10"/>
      <c r="H18" s="10"/>
      <c r="I18" s="10"/>
      <c r="J18" s="10"/>
      <c r="K18" s="10"/>
      <c r="L18" s="10"/>
      <c r="M18" s="10"/>
      <c r="N18" s="10"/>
      <c r="O18" s="10"/>
      <c r="P18" s="10"/>
      <c r="Q18" s="10"/>
      <c r="R18" s="10"/>
      <c r="S18" s="10"/>
      <c r="T18" s="10"/>
      <c r="U18" s="10"/>
      <c r="V18" s="10"/>
      <c r="W18" s="10"/>
      <c r="X18" s="10"/>
      <c r="Y18" s="10"/>
      <c r="Z18" s="10"/>
      <c r="AA18" s="10"/>
    </row>
    <row r="19" spans="1:27">
      <c r="A19" s="77">
        <v>18</v>
      </c>
      <c r="B19" s="77">
        <v>7</v>
      </c>
      <c r="C19" s="10" t="s">
        <v>2375</v>
      </c>
      <c r="D19" s="78">
        <f t="shared" si="0"/>
        <v>44712</v>
      </c>
      <c r="E19" s="79"/>
      <c r="F19" s="10"/>
      <c r="G19" s="10"/>
      <c r="H19" s="10"/>
      <c r="I19" s="10"/>
      <c r="J19" s="10"/>
      <c r="K19" s="10"/>
      <c r="L19" s="10"/>
      <c r="M19" s="10"/>
      <c r="N19" s="10"/>
      <c r="O19" s="10"/>
      <c r="P19" s="10"/>
      <c r="Q19" s="10"/>
      <c r="R19" s="10"/>
      <c r="S19" s="10"/>
      <c r="T19" s="10"/>
      <c r="U19" s="10"/>
      <c r="V19" s="10"/>
      <c r="W19" s="10"/>
      <c r="X19" s="10"/>
      <c r="Y19" s="10"/>
      <c r="Z19" s="10"/>
      <c r="AA19" s="10"/>
    </row>
    <row r="20" spans="1:27">
      <c r="A20" s="77">
        <v>19</v>
      </c>
      <c r="B20" s="77">
        <v>8</v>
      </c>
      <c r="C20" s="10" t="s">
        <v>2376</v>
      </c>
      <c r="D20" s="78">
        <f t="shared" si="0"/>
        <v>44712</v>
      </c>
      <c r="E20" s="79"/>
      <c r="F20" s="10"/>
      <c r="G20" s="10"/>
      <c r="H20" s="10"/>
      <c r="I20" s="10"/>
      <c r="J20" s="10"/>
      <c r="K20" s="10"/>
      <c r="L20" s="10"/>
      <c r="M20" s="10"/>
      <c r="N20" s="10"/>
      <c r="O20" s="10"/>
      <c r="P20" s="10"/>
      <c r="Q20" s="10"/>
      <c r="R20" s="10"/>
      <c r="S20" s="10"/>
      <c r="T20" s="10"/>
      <c r="U20" s="10"/>
      <c r="V20" s="10"/>
      <c r="W20" s="10"/>
      <c r="X20" s="10"/>
      <c r="Y20" s="10"/>
      <c r="Z20" s="10"/>
      <c r="AA20" s="10"/>
    </row>
    <row r="21" spans="1:27">
      <c r="A21" s="77">
        <v>20</v>
      </c>
      <c r="B21" s="77">
        <v>3</v>
      </c>
      <c r="C21" s="10" t="s">
        <v>2377</v>
      </c>
      <c r="D21" s="78">
        <f t="shared" si="0"/>
        <v>44712</v>
      </c>
      <c r="E21" s="79"/>
      <c r="F21" s="10"/>
      <c r="G21" s="10"/>
      <c r="H21" s="10"/>
      <c r="I21" s="10"/>
      <c r="J21" s="10"/>
      <c r="K21" s="10"/>
      <c r="L21" s="10"/>
      <c r="M21" s="10"/>
      <c r="N21" s="10"/>
      <c r="O21" s="10"/>
      <c r="P21" s="10"/>
      <c r="Q21" s="10"/>
      <c r="R21" s="10"/>
      <c r="S21" s="10"/>
      <c r="T21" s="10"/>
      <c r="U21" s="10"/>
      <c r="V21" s="10"/>
      <c r="W21" s="10"/>
      <c r="X21" s="10"/>
      <c r="Y21" s="10"/>
      <c r="Z21" s="10"/>
      <c r="AA21" s="10"/>
    </row>
    <row r="22" spans="1:27">
      <c r="A22" s="77">
        <v>21</v>
      </c>
      <c r="B22" s="77">
        <v>10</v>
      </c>
      <c r="C22" s="10" t="s">
        <v>2378</v>
      </c>
      <c r="D22" s="78">
        <v>44748</v>
      </c>
      <c r="E22" s="79"/>
      <c r="F22" s="10"/>
      <c r="G22" s="10"/>
      <c r="H22" s="10"/>
      <c r="I22" s="10"/>
      <c r="J22" s="10"/>
      <c r="K22" s="10"/>
      <c r="L22" s="10"/>
      <c r="M22" s="10"/>
      <c r="N22" s="10"/>
      <c r="O22" s="10"/>
      <c r="P22" s="10"/>
      <c r="Q22" s="10"/>
      <c r="R22" s="10"/>
      <c r="S22" s="10"/>
      <c r="T22" s="10"/>
      <c r="U22" s="10"/>
      <c r="V22" s="10"/>
      <c r="W22" s="10"/>
      <c r="X22" s="10"/>
      <c r="Y22" s="10"/>
      <c r="Z22" s="10"/>
      <c r="AA22" s="10"/>
    </row>
    <row r="23" spans="1:27">
      <c r="A23" s="77">
        <v>22</v>
      </c>
      <c r="B23" s="77">
        <v>5</v>
      </c>
      <c r="C23" s="10" t="s">
        <v>2379</v>
      </c>
      <c r="D23" s="78">
        <v>45079</v>
      </c>
      <c r="E23" s="79"/>
      <c r="F23" s="10"/>
      <c r="G23" s="10"/>
      <c r="H23" s="10"/>
      <c r="I23" s="10"/>
      <c r="J23" s="10"/>
      <c r="K23" s="10"/>
      <c r="L23" s="10"/>
      <c r="M23" s="10"/>
      <c r="N23" s="10"/>
      <c r="O23" s="10"/>
      <c r="P23" s="10"/>
      <c r="Q23" s="10"/>
      <c r="R23" s="10"/>
      <c r="S23" s="10"/>
      <c r="T23" s="10"/>
      <c r="U23" s="10"/>
      <c r="V23" s="10"/>
      <c r="W23" s="10"/>
      <c r="X23" s="10"/>
      <c r="Y23" s="10"/>
      <c r="Z23" s="10"/>
      <c r="AA23" s="10"/>
    </row>
    <row r="24" spans="1:27">
      <c r="A24" s="77">
        <v>23</v>
      </c>
      <c r="B24" s="77">
        <v>14</v>
      </c>
      <c r="C24" s="10" t="s">
        <v>2380</v>
      </c>
      <c r="D24" s="78">
        <v>45083</v>
      </c>
      <c r="E24" s="79"/>
      <c r="F24" s="10"/>
      <c r="G24" s="10"/>
      <c r="H24" s="10"/>
      <c r="I24" s="10"/>
      <c r="J24" s="10"/>
      <c r="K24" s="10"/>
      <c r="L24" s="10"/>
      <c r="M24" s="10"/>
      <c r="N24" s="10"/>
      <c r="O24" s="10"/>
      <c r="P24" s="10"/>
      <c r="Q24" s="10"/>
      <c r="R24" s="10"/>
      <c r="S24" s="10"/>
      <c r="T24" s="10"/>
      <c r="U24" s="10"/>
      <c r="V24" s="10"/>
      <c r="W24" s="10"/>
      <c r="X24" s="10"/>
      <c r="Y24" s="10"/>
      <c r="Z24" s="10"/>
      <c r="AA24" s="10"/>
    </row>
    <row r="25" spans="1:27">
      <c r="A25" s="28">
        <v>24</v>
      </c>
      <c r="B25" s="28">
        <v>1</v>
      </c>
      <c r="C25" s="28" t="s">
        <v>2381</v>
      </c>
      <c r="D25" s="80">
        <v>45460</v>
      </c>
      <c r="E25" s="79"/>
      <c r="F25" s="10"/>
      <c r="G25" s="10"/>
      <c r="H25" s="10"/>
      <c r="I25" s="10"/>
      <c r="J25" s="10"/>
      <c r="K25" s="10"/>
      <c r="L25" s="10"/>
      <c r="M25" s="10"/>
      <c r="N25" s="10"/>
      <c r="O25" s="10"/>
      <c r="P25" s="10"/>
      <c r="Q25" s="10"/>
      <c r="R25" s="10"/>
      <c r="S25" s="10"/>
      <c r="T25" s="10"/>
      <c r="U25" s="10"/>
      <c r="V25" s="10"/>
      <c r="W25" s="10"/>
      <c r="X25" s="10"/>
      <c r="Y25" s="10"/>
      <c r="Z25" s="10"/>
      <c r="AA25" s="10"/>
    </row>
    <row r="26" spans="1:27">
      <c r="A26" s="28">
        <v>25</v>
      </c>
      <c r="B26" s="10"/>
      <c r="C26" s="28" t="s">
        <v>2382</v>
      </c>
      <c r="D26" s="80">
        <v>45489</v>
      </c>
      <c r="E26" s="79"/>
      <c r="F26" s="10"/>
      <c r="G26" s="10"/>
      <c r="H26" s="10"/>
      <c r="I26" s="10"/>
      <c r="J26" s="10"/>
      <c r="K26" s="10"/>
      <c r="L26" s="10"/>
      <c r="M26" s="10"/>
      <c r="N26" s="10"/>
      <c r="O26" s="10"/>
      <c r="P26" s="10"/>
      <c r="Q26" s="10"/>
      <c r="R26" s="10"/>
      <c r="S26" s="10"/>
      <c r="T26" s="10"/>
      <c r="U26" s="10"/>
      <c r="V26" s="10"/>
      <c r="W26" s="10"/>
      <c r="X26" s="10"/>
      <c r="Y26" s="10"/>
      <c r="Z26" s="10"/>
      <c r="AA26" s="10"/>
    </row>
    <row r="27" spans="1:27">
      <c r="A27" s="28">
        <v>26</v>
      </c>
      <c r="B27" s="10"/>
      <c r="C27" s="28" t="s">
        <v>2383</v>
      </c>
      <c r="D27" s="80">
        <v>45755</v>
      </c>
      <c r="E27" s="79"/>
      <c r="F27" s="10"/>
      <c r="G27" s="10"/>
      <c r="H27" s="10"/>
      <c r="I27" s="10"/>
      <c r="J27" s="10"/>
      <c r="K27" s="10"/>
      <c r="L27" s="10"/>
      <c r="M27" s="10"/>
      <c r="N27" s="10"/>
      <c r="O27" s="10"/>
      <c r="P27" s="10"/>
      <c r="Q27" s="10"/>
      <c r="R27" s="10"/>
      <c r="S27" s="10"/>
      <c r="T27" s="10"/>
      <c r="U27" s="10"/>
      <c r="V27" s="10"/>
      <c r="W27" s="10"/>
      <c r="X27" s="10"/>
      <c r="Y27" s="10"/>
      <c r="Z27" s="10"/>
      <c r="AA27" s="10"/>
    </row>
    <row r="28" spans="1:27">
      <c r="A28" s="10"/>
      <c r="B28" s="10"/>
      <c r="C28" s="10"/>
      <c r="D28" s="79"/>
      <c r="E28" s="79"/>
      <c r="F28" s="10"/>
      <c r="G28" s="10"/>
      <c r="H28" s="10"/>
      <c r="I28" s="10"/>
      <c r="J28" s="10"/>
      <c r="K28" s="10"/>
      <c r="L28" s="10"/>
      <c r="M28" s="10"/>
      <c r="N28" s="10"/>
      <c r="O28" s="10"/>
      <c r="P28" s="10"/>
      <c r="Q28" s="10"/>
      <c r="R28" s="10"/>
      <c r="S28" s="10"/>
      <c r="T28" s="10"/>
      <c r="U28" s="10"/>
      <c r="V28" s="10"/>
      <c r="W28" s="10"/>
      <c r="X28" s="10"/>
      <c r="Y28" s="10"/>
      <c r="Z28" s="10"/>
      <c r="AA28" s="10"/>
    </row>
    <row r="29" spans="1:27">
      <c r="A29" s="10"/>
      <c r="B29" s="10"/>
      <c r="C29" s="10"/>
      <c r="D29" s="79"/>
      <c r="E29" s="79"/>
      <c r="F29" s="10"/>
      <c r="G29" s="10"/>
      <c r="H29" s="10"/>
      <c r="I29" s="10"/>
      <c r="J29" s="10"/>
      <c r="K29" s="10"/>
      <c r="L29" s="10"/>
      <c r="M29" s="10"/>
      <c r="N29" s="10"/>
      <c r="O29" s="10"/>
      <c r="P29" s="10"/>
      <c r="Q29" s="10"/>
      <c r="R29" s="10"/>
      <c r="S29" s="10"/>
      <c r="T29" s="10"/>
      <c r="U29" s="10"/>
      <c r="V29" s="10"/>
      <c r="W29" s="10"/>
      <c r="X29" s="10"/>
      <c r="Y29" s="10"/>
      <c r="Z29" s="10"/>
      <c r="AA29" s="10"/>
    </row>
    <row r="30" spans="1:27">
      <c r="A30" s="10"/>
      <c r="B30" s="10"/>
      <c r="C30" s="10"/>
      <c r="D30" s="79"/>
      <c r="E30" s="79"/>
      <c r="F30" s="10"/>
      <c r="G30" s="10"/>
      <c r="H30" s="10"/>
      <c r="I30" s="10"/>
      <c r="J30" s="10"/>
      <c r="K30" s="10"/>
      <c r="L30" s="10"/>
      <c r="M30" s="10"/>
      <c r="N30" s="10"/>
      <c r="O30" s="10"/>
      <c r="P30" s="10"/>
      <c r="Q30" s="10"/>
      <c r="R30" s="10"/>
      <c r="S30" s="10"/>
      <c r="T30" s="10"/>
      <c r="U30" s="10"/>
      <c r="V30" s="10"/>
      <c r="W30" s="10"/>
      <c r="X30" s="10"/>
      <c r="Y30" s="10"/>
      <c r="Z30" s="10"/>
      <c r="AA30" s="10"/>
    </row>
    <row r="31" spans="1:27">
      <c r="A31" s="10"/>
      <c r="B31" s="10"/>
      <c r="C31" s="10"/>
      <c r="D31" s="79"/>
      <c r="E31" s="79"/>
      <c r="F31" s="10"/>
      <c r="G31" s="10"/>
      <c r="H31" s="10"/>
      <c r="I31" s="10"/>
      <c r="J31" s="10"/>
      <c r="K31" s="10"/>
      <c r="L31" s="10"/>
      <c r="M31" s="10"/>
      <c r="N31" s="10"/>
      <c r="O31" s="10"/>
      <c r="P31" s="10"/>
      <c r="Q31" s="10"/>
      <c r="R31" s="10"/>
      <c r="S31" s="10"/>
      <c r="T31" s="10"/>
      <c r="U31" s="10"/>
      <c r="V31" s="10"/>
      <c r="W31" s="10"/>
      <c r="X31" s="10"/>
      <c r="Y31" s="10"/>
      <c r="Z31" s="10"/>
      <c r="AA31" s="10"/>
    </row>
    <row r="32" spans="1:27">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27">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spans="1:27">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spans="1:27">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spans="1:27">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spans="1:27">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spans="1:27">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spans="1:27">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spans="1:27">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spans="1:27">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spans="1:27">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spans="1:27">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spans="1:27">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spans="1:27">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spans="1:27">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spans="1:27">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spans="1:27">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spans="1:27">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spans="1:27">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spans="1:27">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spans="1:27">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spans="1:27">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spans="1:27">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spans="1:27">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spans="1:27">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spans="1:27">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spans="1:2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spans="1:27">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spans="1:27">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spans="1:27">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spans="1:27">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spans="1:27">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spans="1:27">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spans="1:27">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spans="1:27">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spans="1:27">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spans="1:27">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spans="1:27">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spans="1:27">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spans="1:27">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spans="1:27">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spans="1:27">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spans="1:27">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spans="1:2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spans="1:27">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spans="1:27">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spans="1:27">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spans="1:27">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spans="1:27">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spans="1:27">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spans="1:27">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spans="1:27">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spans="1:27">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spans="1:27">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spans="1:27">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spans="1:27">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spans="1:27">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spans="1:27">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spans="1:27">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spans="1:27">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spans="1:27">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spans="1:27">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spans="1:2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spans="1:27">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spans="1:27">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spans="1:27">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spans="1:27">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spans="1:27">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spans="1:27">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spans="1:27">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spans="1:27">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spans="1:27">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spans="1:2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spans="1:27">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spans="1:27">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spans="1:27">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spans="1:27">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spans="1:27">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spans="1:27">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spans="1:27">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spans="1:27">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spans="1:27">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spans="1:2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spans="1:27">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spans="1:27">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spans="1:27">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spans="1:27">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spans="1:27">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spans="1:27">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spans="1:27">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spans="1:27">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spans="1:27">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spans="1:2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spans="1:27">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spans="1:27">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spans="1:27">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L997"/>
  <sheetViews>
    <sheetView workbookViewId="0">
      <pane ySplit="1" topLeftCell="A2" activePane="bottomLeft" state="frozen"/>
      <selection pane="bottomLeft" activeCell="F15" sqref="F15"/>
    </sheetView>
  </sheetViews>
  <sheetFormatPr defaultColWidth="12.6640625" defaultRowHeight="15.75" customHeight="1"/>
  <cols>
    <col min="1" max="1" width="10.44140625" customWidth="1"/>
    <col min="2" max="2" width="22.77734375" customWidth="1"/>
    <col min="8" max="8" width="26.21875" customWidth="1"/>
  </cols>
  <sheetData>
    <row r="1" spans="1:12">
      <c r="A1" s="68" t="s">
        <v>2249</v>
      </c>
      <c r="B1" s="2" t="s">
        <v>2384</v>
      </c>
      <c r="C1" s="68" t="s">
        <v>2251</v>
      </c>
      <c r="D1" s="68" t="s">
        <v>2252</v>
      </c>
      <c r="E1" s="68" t="s">
        <v>2253</v>
      </c>
      <c r="F1" s="68" t="s">
        <v>2254</v>
      </c>
      <c r="G1" s="68" t="s">
        <v>2385</v>
      </c>
      <c r="H1" s="2" t="s">
        <v>2386</v>
      </c>
      <c r="I1" s="68" t="s">
        <v>2387</v>
      </c>
      <c r="J1" s="3" t="s">
        <v>10</v>
      </c>
      <c r="K1" s="50" t="s">
        <v>11</v>
      </c>
      <c r="L1" s="81" t="s">
        <v>2388</v>
      </c>
    </row>
    <row r="2" spans="1:12">
      <c r="A2" s="7">
        <v>1</v>
      </c>
      <c r="B2" s="10" t="str">
        <f>VLOOKUP(A2,vaccines!A:B,2)</f>
        <v>BCG_Microgen</v>
      </c>
      <c r="C2" s="7">
        <v>1</v>
      </c>
      <c r="D2" s="8" t="str">
        <f>VLOOKUP(C2,ages_from_list!A:C,3)</f>
        <v>0 дней</v>
      </c>
      <c r="E2" s="54">
        <v>15</v>
      </c>
      <c r="F2" s="8" t="str">
        <f>VLOOKUP(E2,ages_through_list!A:C,3)</f>
        <v>7 лет</v>
      </c>
      <c r="G2" s="70" t="s">
        <v>2389</v>
      </c>
      <c r="H2" s="28" t="s">
        <v>2390</v>
      </c>
      <c r="I2" s="8"/>
      <c r="J2" s="11">
        <v>44712</v>
      </c>
      <c r="K2" s="82">
        <v>45132</v>
      </c>
      <c r="L2" s="8"/>
    </row>
    <row r="3" spans="1:12">
      <c r="A3" s="7">
        <v>2</v>
      </c>
      <c r="B3" s="10" t="str">
        <f>VLOOKUP(A3,vaccines!A:B,2)</f>
        <v>BCG_M_Microgen</v>
      </c>
      <c r="C3" s="7">
        <v>1</v>
      </c>
      <c r="D3" s="8" t="str">
        <f>VLOOKUP(C3,ages_from_list!A:C,3)</f>
        <v>0 дней</v>
      </c>
      <c r="E3" s="54">
        <v>15</v>
      </c>
      <c r="F3" s="8" t="str">
        <f>VLOOKUP(E3,ages_through_list!A:C,3)</f>
        <v>7 лет</v>
      </c>
      <c r="G3" s="70" t="s">
        <v>2389</v>
      </c>
      <c r="H3" s="28" t="s">
        <v>2390</v>
      </c>
      <c r="I3" s="8"/>
      <c r="J3" s="11">
        <f t="shared" ref="J3:J30" si="0">J2</f>
        <v>44712</v>
      </c>
      <c r="K3" s="82">
        <v>45132</v>
      </c>
      <c r="L3" s="8"/>
    </row>
    <row r="4" spans="1:12">
      <c r="A4" s="7">
        <v>3</v>
      </c>
      <c r="B4" s="10" t="str">
        <f>VLOOKUP(A4,vaccines!A:B,2)</f>
        <v>BCG_Gamaleya</v>
      </c>
      <c r="C4" s="7">
        <v>1</v>
      </c>
      <c r="D4" s="8" t="str">
        <f>VLOOKUP(C4,ages_from_list!A:C,3)</f>
        <v>0 дней</v>
      </c>
      <c r="E4" s="54">
        <v>15</v>
      </c>
      <c r="F4" s="8" t="str">
        <f>VLOOKUP(E4,ages_through_list!A:C,3)</f>
        <v>7 лет</v>
      </c>
      <c r="G4" s="70" t="s">
        <v>2389</v>
      </c>
      <c r="H4" s="28" t="s">
        <v>2390</v>
      </c>
      <c r="I4" s="8"/>
      <c r="J4" s="11">
        <f t="shared" si="0"/>
        <v>44712</v>
      </c>
      <c r="K4" s="82">
        <v>45132</v>
      </c>
      <c r="L4" s="8"/>
    </row>
    <row r="5" spans="1:12">
      <c r="A5" s="7">
        <v>4</v>
      </c>
      <c r="B5" s="10" t="str">
        <f>VLOOKUP(A5,vaccines!A:B,2)</f>
        <v>BCG_M_Gamaleya</v>
      </c>
      <c r="C5" s="7">
        <v>1</v>
      </c>
      <c r="D5" s="8" t="str">
        <f>VLOOKUP(C5,ages_from_list!A:C,3)</f>
        <v>0 дней</v>
      </c>
      <c r="E5" s="54">
        <v>15</v>
      </c>
      <c r="F5" s="8" t="str">
        <f>VLOOKUP(E5,ages_through_list!A:C,3)</f>
        <v>7 лет</v>
      </c>
      <c r="G5" s="70" t="s">
        <v>2389</v>
      </c>
      <c r="H5" s="28" t="s">
        <v>2390</v>
      </c>
      <c r="I5" s="8"/>
      <c r="J5" s="11">
        <f t="shared" si="0"/>
        <v>44712</v>
      </c>
      <c r="K5" s="82">
        <v>45132</v>
      </c>
      <c r="L5" s="8"/>
    </row>
    <row r="6" spans="1:12">
      <c r="A6" s="7">
        <v>5</v>
      </c>
      <c r="B6" s="10" t="str">
        <f>VLOOKUP(A6,vaccines!A:B,2)</f>
        <v>Infanrix</v>
      </c>
      <c r="C6" s="7">
        <v>3</v>
      </c>
      <c r="D6" s="8" t="str">
        <f>VLOOKUP(C6,ages_from_list!A:C,3)</f>
        <v>2 месяцев</v>
      </c>
      <c r="E6" s="7">
        <v>15</v>
      </c>
      <c r="F6" s="8" t="str">
        <f>VLOOKUP(E6,ages_through_list!A:C,3)</f>
        <v>7 лет</v>
      </c>
      <c r="G6" s="8"/>
      <c r="H6" s="10"/>
      <c r="I6" s="8"/>
      <c r="J6" s="11">
        <f t="shared" si="0"/>
        <v>44712</v>
      </c>
      <c r="K6" s="53">
        <v>44904</v>
      </c>
      <c r="L6" s="83" t="s">
        <v>2391</v>
      </c>
    </row>
    <row r="7" spans="1:12">
      <c r="A7" s="7">
        <v>6</v>
      </c>
      <c r="B7" s="10" t="str">
        <f>VLOOKUP(A7,vaccines!A:B,2)</f>
        <v>AKDS_Microgen</v>
      </c>
      <c r="C7" s="7">
        <v>4</v>
      </c>
      <c r="D7" s="8" t="str">
        <f>VLOOKUP(C7,ages_from_list!A:C,3)</f>
        <v>3 месяцев</v>
      </c>
      <c r="E7" s="7">
        <v>3</v>
      </c>
      <c r="F7" s="8" t="str">
        <f>VLOOKUP(E7,ages_through_list!A:C,3)</f>
        <v>3 лет 11 месяцев</v>
      </c>
      <c r="G7" s="8"/>
      <c r="H7" s="10"/>
      <c r="I7" s="8"/>
      <c r="J7" s="11">
        <f t="shared" si="0"/>
        <v>44712</v>
      </c>
      <c r="K7" s="58"/>
      <c r="L7" s="8"/>
    </row>
    <row r="8" spans="1:12">
      <c r="A8" s="7">
        <v>7</v>
      </c>
      <c r="B8" s="10" t="str">
        <f>VLOOKUP(A8,vaccines!A:B,2)</f>
        <v>AKDS_Biomed</v>
      </c>
      <c r="C8" s="7">
        <v>4</v>
      </c>
      <c r="D8" s="8" t="str">
        <f>VLOOKUP(C8,ages_from_list!A:C,3)</f>
        <v>3 месяцев</v>
      </c>
      <c r="E8" s="7">
        <v>3</v>
      </c>
      <c r="F8" s="8" t="str">
        <f>VLOOKUP(E8,ages_through_list!A:C,3)</f>
        <v>3 лет 11 месяцев</v>
      </c>
      <c r="G8" s="8"/>
      <c r="H8" s="10"/>
      <c r="I8" s="8"/>
      <c r="J8" s="11">
        <f t="shared" si="0"/>
        <v>44712</v>
      </c>
      <c r="K8" s="58"/>
      <c r="L8" s="8"/>
    </row>
    <row r="9" spans="1:12">
      <c r="A9" s="7">
        <v>8</v>
      </c>
      <c r="B9" s="10" t="str">
        <f>VLOOKUP(A9,vaccines!A:B,2)</f>
        <v>Bubo_kok</v>
      </c>
      <c r="C9" s="7">
        <v>1</v>
      </c>
      <c r="D9" s="8" t="str">
        <f>VLOOKUP(C9,ages_from_list!A:C,3)</f>
        <v>0 дней</v>
      </c>
      <c r="E9" s="7">
        <v>3</v>
      </c>
      <c r="F9" s="8" t="str">
        <f>VLOOKUP(E9,ages_through_list!A:C,3)</f>
        <v>3 лет 11 месяцев</v>
      </c>
      <c r="G9" s="8"/>
      <c r="H9" s="10"/>
      <c r="I9" s="8"/>
      <c r="J9" s="11">
        <f t="shared" si="0"/>
        <v>44712</v>
      </c>
      <c r="K9" s="58"/>
      <c r="L9" s="8"/>
    </row>
    <row r="10" spans="1:12">
      <c r="A10" s="7">
        <v>9</v>
      </c>
      <c r="B10" s="10" t="str">
        <f>VLOOKUP(A10,vaccines!A:B,2)</f>
        <v>Pentaxim</v>
      </c>
      <c r="C10" s="7">
        <v>3</v>
      </c>
      <c r="D10" s="8" t="str">
        <f>VLOOKUP(C10,ages_from_list!A:C,3)</f>
        <v>2 месяцев</v>
      </c>
      <c r="E10" s="7">
        <v>4</v>
      </c>
      <c r="F10" s="8" t="str">
        <f>VLOOKUP(E10,ages_through_list!A:C,3)</f>
        <v>5 лет</v>
      </c>
      <c r="G10" s="83" t="s">
        <v>2391</v>
      </c>
      <c r="H10" s="10"/>
      <c r="I10" s="8"/>
      <c r="J10" s="11">
        <f t="shared" si="0"/>
        <v>44712</v>
      </c>
      <c r="K10" s="58"/>
      <c r="L10" s="8"/>
    </row>
    <row r="11" spans="1:12">
      <c r="A11" s="7">
        <v>10</v>
      </c>
      <c r="B11" s="10" t="str">
        <f>VLOOKUP(A11,vaccines!A:B,2)</f>
        <v>Infanrix_Hexa</v>
      </c>
      <c r="C11" s="7">
        <v>3</v>
      </c>
      <c r="D11" s="8" t="str">
        <f>VLOOKUP(C11,ages_from_list!A:C,3)</f>
        <v>2 месяцев</v>
      </c>
      <c r="E11" s="54">
        <v>14</v>
      </c>
      <c r="F11" s="8" t="str">
        <f>VLOOKUP(E11,ages_through_list!A:C,3)</f>
        <v>24 месяцев (2 лет)</v>
      </c>
      <c r="G11" s="8"/>
      <c r="H11" s="10"/>
      <c r="I11" s="8"/>
      <c r="J11" s="11">
        <f t="shared" si="0"/>
        <v>44712</v>
      </c>
      <c r="K11" s="12">
        <v>46000</v>
      </c>
      <c r="L11" s="8"/>
    </row>
    <row r="12" spans="1:12">
      <c r="A12" s="7">
        <v>11</v>
      </c>
      <c r="B12" s="10" t="str">
        <f>VLOOKUP(A12,vaccines!A:B,2)</f>
        <v>Bubo_M</v>
      </c>
      <c r="C12" s="7">
        <v>12</v>
      </c>
      <c r="D12" s="8" t="str">
        <f>VLOOKUP(C12,ages_from_list!A:C,3)</f>
        <v>6 лет</v>
      </c>
      <c r="E12" s="7">
        <v>13</v>
      </c>
      <c r="F12" s="8" t="str">
        <f>VLOOKUP(E12,ages_through_list!A:C,3)</f>
        <v>∞</v>
      </c>
      <c r="G12" s="8"/>
      <c r="H12" s="10"/>
      <c r="I12" s="8"/>
      <c r="J12" s="11">
        <f t="shared" si="0"/>
        <v>44712</v>
      </c>
      <c r="K12" s="58"/>
      <c r="L12" s="8"/>
    </row>
    <row r="13" spans="1:12">
      <c r="A13" s="7">
        <v>12</v>
      </c>
      <c r="B13" s="10" t="str">
        <f>VLOOKUP(A13,vaccines!A:B,2)</f>
        <v>AD_M_Microgen</v>
      </c>
      <c r="C13" s="7">
        <v>12</v>
      </c>
      <c r="D13" s="8" t="str">
        <f>VLOOKUP(C13,ages_from_list!A:C,3)</f>
        <v>6 лет</v>
      </c>
      <c r="E13" s="7">
        <v>13</v>
      </c>
      <c r="F13" s="8" t="str">
        <f>VLOOKUP(E13,ages_through_list!A:C,3)</f>
        <v>∞</v>
      </c>
      <c r="G13" s="8"/>
      <c r="H13" s="10"/>
      <c r="I13" s="8"/>
      <c r="J13" s="11">
        <f t="shared" si="0"/>
        <v>44712</v>
      </c>
      <c r="K13" s="58"/>
      <c r="L13" s="8"/>
    </row>
    <row r="14" spans="1:12">
      <c r="A14" s="7">
        <v>13</v>
      </c>
      <c r="B14" s="10" t="str">
        <f>VLOOKUP(A14,vaccines!A:B,2)</f>
        <v>ADS_Microgen</v>
      </c>
      <c r="C14" s="7">
        <v>4</v>
      </c>
      <c r="D14" s="8" t="str">
        <f>VLOOKUP(C14,ages_from_list!A:C,3)</f>
        <v>3 месяцев</v>
      </c>
      <c r="E14" s="7">
        <v>4</v>
      </c>
      <c r="F14" s="8" t="str">
        <f>VLOOKUP(E14,ages_through_list!A:C,3)</f>
        <v>5 лет</v>
      </c>
      <c r="G14" s="8"/>
      <c r="H14" s="10" t="s">
        <v>2392</v>
      </c>
      <c r="I14" s="8" t="s">
        <v>2393</v>
      </c>
      <c r="J14" s="11">
        <f t="shared" si="0"/>
        <v>44712</v>
      </c>
      <c r="K14" s="58"/>
      <c r="L14" s="8"/>
    </row>
    <row r="15" spans="1:12">
      <c r="A15" s="7">
        <v>14</v>
      </c>
      <c r="B15" s="10" t="str">
        <f>VLOOKUP(A15,vaccines!A:B,2)</f>
        <v>ADS_M_Microgen</v>
      </c>
      <c r="C15" s="54">
        <v>5</v>
      </c>
      <c r="D15" s="8" t="str">
        <f>VLOOKUP(C15,ages_from_list!A:C,3)</f>
        <v>6 месяцев</v>
      </c>
      <c r="E15" s="7">
        <v>13</v>
      </c>
      <c r="F15" s="8" t="str">
        <f>VLOOKUP(E15,ages_through_list!A:C,3)</f>
        <v>∞</v>
      </c>
      <c r="G15" s="8"/>
      <c r="H15" s="10"/>
      <c r="I15" s="8"/>
      <c r="J15" s="11">
        <f t="shared" si="0"/>
        <v>44712</v>
      </c>
      <c r="K15" s="58"/>
      <c r="L15" s="8"/>
    </row>
    <row r="16" spans="1:12">
      <c r="A16" s="7">
        <v>15</v>
      </c>
      <c r="B16" s="10" t="str">
        <f>VLOOKUP(A16,vaccines!A:B,2)</f>
        <v>ADS_M_Biomed</v>
      </c>
      <c r="C16" s="7">
        <v>12</v>
      </c>
      <c r="D16" s="8" t="str">
        <f>VLOOKUP(C16,ages_from_list!A:C,3)</f>
        <v>6 лет</v>
      </c>
      <c r="E16" s="7">
        <v>13</v>
      </c>
      <c r="F16" s="8" t="str">
        <f>VLOOKUP(E16,ages_through_list!A:C,3)</f>
        <v>∞</v>
      </c>
      <c r="G16" s="8"/>
      <c r="H16" s="10"/>
      <c r="I16" s="8"/>
      <c r="J16" s="11">
        <f t="shared" si="0"/>
        <v>44712</v>
      </c>
      <c r="K16" s="58"/>
      <c r="L16" s="8"/>
    </row>
    <row r="17" spans="1:12">
      <c r="A17" s="7">
        <v>16</v>
      </c>
      <c r="B17" s="10" t="str">
        <f>VLOOKUP(A17,vaccines!A:B,2)</f>
        <v>Adacel</v>
      </c>
      <c r="C17" s="7">
        <v>11</v>
      </c>
      <c r="D17" s="8" t="str">
        <f>VLOOKUP(C17,ages_from_list!A:C,3)</f>
        <v>4 лет</v>
      </c>
      <c r="E17" s="54">
        <v>13</v>
      </c>
      <c r="F17" s="8" t="str">
        <f>VLOOKUP(E17,ages_through_list!A:C,3)</f>
        <v>∞</v>
      </c>
      <c r="G17" s="8"/>
      <c r="H17" s="10"/>
      <c r="I17" s="8"/>
      <c r="J17" s="11">
        <f t="shared" si="0"/>
        <v>44712</v>
      </c>
      <c r="K17" s="57">
        <v>45240</v>
      </c>
      <c r="L17" s="8"/>
    </row>
    <row r="18" spans="1:12">
      <c r="A18" s="7">
        <v>17</v>
      </c>
      <c r="B18" s="10" t="str">
        <f>VLOOKUP(A18,vaccines!A:B,2)</f>
        <v>Algavac_M</v>
      </c>
      <c r="C18" s="7">
        <v>10</v>
      </c>
      <c r="D18" s="8" t="str">
        <f>VLOOKUP(C18,ages_from_list!A:C,3)</f>
        <v>36 месяцев (3 лет)</v>
      </c>
      <c r="E18" s="7">
        <v>13</v>
      </c>
      <c r="F18" s="8" t="str">
        <f>VLOOKUP(E18,ages_through_list!A:C,3)</f>
        <v>∞</v>
      </c>
      <c r="G18" s="8"/>
      <c r="H18" s="10"/>
      <c r="I18" s="8"/>
      <c r="J18" s="11">
        <f t="shared" si="0"/>
        <v>44712</v>
      </c>
      <c r="K18" s="58"/>
      <c r="L18" s="8"/>
    </row>
    <row r="19" spans="1:12">
      <c r="A19" s="7">
        <v>18</v>
      </c>
      <c r="B19" s="10" t="str">
        <f>VLOOKUP(A19,vaccines!A:B,2)</f>
        <v>Algavac</v>
      </c>
      <c r="C19" s="7">
        <v>18</v>
      </c>
      <c r="D19" s="8" t="str">
        <f>VLOOKUP(C19,ages_from_list!A:C,3)</f>
        <v>18 лет</v>
      </c>
      <c r="E19" s="7">
        <v>8</v>
      </c>
      <c r="F19" s="8" t="str">
        <f>VLOOKUP(E19,ages_through_list!A:C,3)</f>
        <v>50 лет</v>
      </c>
      <c r="G19" s="8"/>
      <c r="H19" s="10"/>
      <c r="I19" s="8"/>
      <c r="J19" s="11">
        <f t="shared" si="0"/>
        <v>44712</v>
      </c>
      <c r="K19" s="58"/>
      <c r="L19" s="8"/>
    </row>
    <row r="20" spans="1:12">
      <c r="A20" s="7">
        <v>19</v>
      </c>
      <c r="B20" s="10" t="str">
        <f>VLOOKUP(A20,vaccines!A:B,2)</f>
        <v>Havrix_720</v>
      </c>
      <c r="C20" s="7">
        <v>8</v>
      </c>
      <c r="D20" s="8" t="str">
        <f>VLOOKUP(C20,ages_from_list!A:C,3)</f>
        <v>12 месяцев</v>
      </c>
      <c r="E20" s="7">
        <v>5</v>
      </c>
      <c r="F20" s="8" t="str">
        <f>VLOOKUP(E20,ages_through_list!A:C,3)</f>
        <v>15 лет</v>
      </c>
      <c r="G20" s="8"/>
      <c r="H20" s="10"/>
      <c r="I20" s="8"/>
      <c r="J20" s="11">
        <f t="shared" si="0"/>
        <v>44712</v>
      </c>
      <c r="K20" s="58"/>
      <c r="L20" s="8"/>
    </row>
    <row r="21" spans="1:12">
      <c r="A21" s="7">
        <v>20</v>
      </c>
      <c r="B21" s="10" t="str">
        <f>VLOOKUP(A21,vaccines!A:B,2)</f>
        <v>Havrix_1440</v>
      </c>
      <c r="C21" s="7">
        <v>17</v>
      </c>
      <c r="D21" s="8" t="str">
        <f>VLOOKUP(C21,ages_from_list!A:C,3)</f>
        <v>16 лет</v>
      </c>
      <c r="E21" s="7">
        <v>13</v>
      </c>
      <c r="F21" s="8" t="str">
        <f>VLOOKUP(E21,ages_through_list!A:C,3)</f>
        <v>∞</v>
      </c>
      <c r="G21" s="8"/>
      <c r="H21" s="10"/>
      <c r="I21" s="8"/>
      <c r="J21" s="11">
        <f t="shared" si="0"/>
        <v>44712</v>
      </c>
      <c r="K21" s="58"/>
      <c r="L21" s="8"/>
    </row>
    <row r="22" spans="1:12">
      <c r="A22" s="7">
        <v>21</v>
      </c>
      <c r="B22" s="10" t="str">
        <f>VLOOKUP(A22,vaccines!A:B,2)</f>
        <v>Avaxim_80</v>
      </c>
      <c r="C22" s="7">
        <v>8</v>
      </c>
      <c r="D22" s="8" t="str">
        <f>VLOOKUP(C22,ages_from_list!A:C,3)</f>
        <v>12 месяцев</v>
      </c>
      <c r="E22" s="7">
        <v>5</v>
      </c>
      <c r="F22" s="8" t="str">
        <f>VLOOKUP(E22,ages_through_list!A:C,3)</f>
        <v>15 лет</v>
      </c>
      <c r="G22" s="8"/>
      <c r="H22" s="10"/>
      <c r="I22" s="8"/>
      <c r="J22" s="11">
        <f t="shared" si="0"/>
        <v>44712</v>
      </c>
      <c r="K22" s="58"/>
      <c r="L22" s="8"/>
    </row>
    <row r="23" spans="1:12">
      <c r="A23" s="7">
        <v>22</v>
      </c>
      <c r="B23" s="10" t="str">
        <f>VLOOKUP(A23,vaccines!A:B,2)</f>
        <v>Avaxim_160</v>
      </c>
      <c r="C23" s="7">
        <v>17</v>
      </c>
      <c r="D23" s="8" t="str">
        <f>VLOOKUP(C23,ages_from_list!A:C,3)</f>
        <v>16 лет</v>
      </c>
      <c r="E23" s="7">
        <v>13</v>
      </c>
      <c r="F23" s="8" t="str">
        <f>VLOOKUP(E23,ages_through_list!A:C,3)</f>
        <v>∞</v>
      </c>
      <c r="G23" s="8"/>
      <c r="H23" s="10"/>
      <c r="I23" s="8"/>
      <c r="J23" s="11">
        <f t="shared" si="0"/>
        <v>44712</v>
      </c>
      <c r="K23" s="58"/>
      <c r="L23" s="8"/>
    </row>
    <row r="24" spans="1:12">
      <c r="A24" s="7">
        <v>23</v>
      </c>
      <c r="B24" s="10" t="str">
        <f>VLOOKUP(A24,vaccines!A:B,2)</f>
        <v>Regevac_0_5</v>
      </c>
      <c r="C24" s="7">
        <v>1</v>
      </c>
      <c r="D24" s="8" t="str">
        <f>VLOOKUP(C24,ages_from_list!A:C,3)</f>
        <v>0 дней</v>
      </c>
      <c r="E24" s="7">
        <v>17</v>
      </c>
      <c r="F24" s="8" t="str">
        <f>VLOOKUP(E24,ages_through_list!A:C,3)</f>
        <v>18 лет</v>
      </c>
      <c r="G24" s="8"/>
      <c r="H24" s="10"/>
      <c r="I24" s="8"/>
      <c r="J24" s="11">
        <f t="shared" si="0"/>
        <v>44712</v>
      </c>
      <c r="K24" s="58"/>
      <c r="L24" s="8"/>
    </row>
    <row r="25" spans="1:12">
      <c r="A25" s="7">
        <v>24</v>
      </c>
      <c r="B25" s="10" t="str">
        <f>VLOOKUP(A25,vaccines!A:B,2)</f>
        <v>HepB_Combiotech_0_5</v>
      </c>
      <c r="C25" s="7">
        <v>1</v>
      </c>
      <c r="D25" s="8" t="str">
        <f>VLOOKUP(C25,ages_from_list!A:C,3)</f>
        <v>0 дней</v>
      </c>
      <c r="E25" s="7">
        <v>17</v>
      </c>
      <c r="F25" s="8" t="str">
        <f>VLOOKUP(E25,ages_through_list!A:C,3)</f>
        <v>18 лет</v>
      </c>
      <c r="G25" s="8"/>
      <c r="H25" s="10"/>
      <c r="I25" s="8"/>
      <c r="J25" s="11">
        <f t="shared" si="0"/>
        <v>44712</v>
      </c>
      <c r="K25" s="58"/>
      <c r="L25" s="8"/>
    </row>
    <row r="26" spans="1:12">
      <c r="A26" s="7">
        <v>25</v>
      </c>
      <c r="B26" s="10" t="str">
        <f>VLOOKUP(A26,vaccines!A:B,2)</f>
        <v>Euvax_B_0_5</v>
      </c>
      <c r="C26" s="7">
        <v>1</v>
      </c>
      <c r="D26" s="8" t="str">
        <f>VLOOKUP(C26,ages_from_list!A:C,3)</f>
        <v>0 дней</v>
      </c>
      <c r="E26" s="7">
        <v>5</v>
      </c>
      <c r="F26" s="8" t="str">
        <f>VLOOKUP(E26,ages_through_list!A:C,3)</f>
        <v>15 лет</v>
      </c>
      <c r="G26" s="8"/>
      <c r="H26" s="10"/>
      <c r="I26" s="8"/>
      <c r="J26" s="11">
        <f t="shared" si="0"/>
        <v>44712</v>
      </c>
      <c r="K26" s="58"/>
      <c r="L26" s="8"/>
    </row>
    <row r="27" spans="1:12">
      <c r="A27" s="7">
        <v>26</v>
      </c>
      <c r="B27" s="10" t="str">
        <f>VLOOKUP(A27,vaccines!A:B,2)</f>
        <v>Euvax_B_1_0</v>
      </c>
      <c r="C27" s="7">
        <v>17</v>
      </c>
      <c r="D27" s="8" t="str">
        <f>VLOOKUP(C27,ages_from_list!A:C,3)</f>
        <v>16 лет</v>
      </c>
      <c r="E27" s="7">
        <v>13</v>
      </c>
      <c r="F27" s="8" t="str">
        <f>VLOOKUP(E27,ages_through_list!A:C,3)</f>
        <v>∞</v>
      </c>
      <c r="G27" s="8"/>
      <c r="H27" s="10"/>
      <c r="I27" s="8"/>
      <c r="J27" s="11">
        <f t="shared" si="0"/>
        <v>44712</v>
      </c>
      <c r="K27" s="53">
        <v>45063</v>
      </c>
      <c r="L27" s="8"/>
    </row>
    <row r="28" spans="1:12">
      <c r="A28" s="7">
        <v>27</v>
      </c>
      <c r="B28" s="10" t="str">
        <f>VLOOKUP(A28,vaccines!A:B,2)</f>
        <v>Cervarix</v>
      </c>
      <c r="C28" s="7">
        <v>14</v>
      </c>
      <c r="D28" s="8" t="str">
        <f>VLOOKUP(C28,ages_from_list!A:C,3)</f>
        <v>9 лет</v>
      </c>
      <c r="E28" s="7">
        <v>7</v>
      </c>
      <c r="F28" s="8" t="str">
        <f>VLOOKUP(E28,ages_through_list!A:C,3)</f>
        <v>45 лет</v>
      </c>
      <c r="G28" s="8"/>
      <c r="H28" s="10"/>
      <c r="I28" s="8"/>
      <c r="J28" s="11">
        <f t="shared" si="0"/>
        <v>44712</v>
      </c>
      <c r="K28" s="58"/>
      <c r="L28" s="8"/>
    </row>
    <row r="29" spans="1:12">
      <c r="A29" s="7">
        <v>28</v>
      </c>
      <c r="B29" s="10" t="str">
        <f>VLOOKUP(A29,vaccines!A:B,2)</f>
        <v>Gardasil_4</v>
      </c>
      <c r="C29" s="7">
        <v>14</v>
      </c>
      <c r="D29" s="8" t="str">
        <f>VLOOKUP(C29,ages_from_list!A:C,3)</f>
        <v>9 лет</v>
      </c>
      <c r="E29" s="7">
        <v>13</v>
      </c>
      <c r="F29" s="8" t="str">
        <f>VLOOKUP(E29,ages_through_list!A:C,3)</f>
        <v>∞</v>
      </c>
      <c r="G29" s="8"/>
      <c r="H29" s="10"/>
      <c r="I29" s="8"/>
      <c r="J29" s="11">
        <f t="shared" si="0"/>
        <v>44712</v>
      </c>
      <c r="K29" s="58"/>
      <c r="L29" s="8"/>
    </row>
    <row r="30" spans="1:12">
      <c r="A30" s="7">
        <v>29</v>
      </c>
      <c r="B30" s="10" t="str">
        <f>VLOOKUP(A30,vaccines!A:B,2)</f>
        <v>Sputnik</v>
      </c>
      <c r="C30" s="7">
        <v>18</v>
      </c>
      <c r="D30" s="8" t="str">
        <f>VLOOKUP(C30,ages_from_list!A:C,3)</f>
        <v>18 лет</v>
      </c>
      <c r="E30" s="7">
        <v>13</v>
      </c>
      <c r="F30" s="8" t="str">
        <f>VLOOKUP(E30,ages_through_list!A:C,3)</f>
        <v>∞</v>
      </c>
      <c r="G30" s="8"/>
      <c r="H30" s="10"/>
      <c r="I30" s="8"/>
      <c r="J30" s="11">
        <f t="shared" si="0"/>
        <v>44712</v>
      </c>
      <c r="K30" s="58"/>
      <c r="L30" s="8"/>
    </row>
    <row r="31" spans="1:12">
      <c r="A31" s="7">
        <v>30</v>
      </c>
      <c r="B31" s="10" t="str">
        <f>VLOOKUP(A31,vaccines!A:B,2)</f>
        <v>Sputnik_Lyo</v>
      </c>
      <c r="C31" s="7">
        <v>18</v>
      </c>
      <c r="D31" s="8" t="str">
        <f>VLOOKUP(C31,ages_from_list!A:C,3)</f>
        <v>18 лет</v>
      </c>
      <c r="E31" s="7">
        <v>11</v>
      </c>
      <c r="F31" s="8" t="str">
        <f>VLOOKUP(E31,ages_through_list!A:C,3)</f>
        <v>60 лет</v>
      </c>
      <c r="G31" s="8"/>
      <c r="H31" s="10"/>
      <c r="I31" s="8"/>
      <c r="J31" s="11">
        <v>44904</v>
      </c>
      <c r="K31" s="58"/>
      <c r="L31" s="8"/>
    </row>
    <row r="32" spans="1:12">
      <c r="A32" s="7">
        <v>31</v>
      </c>
      <c r="B32" s="10" t="str">
        <f>VLOOKUP(A32,vaccines!A:B,2)</f>
        <v>EpiVacCorona</v>
      </c>
      <c r="C32" s="7">
        <v>18</v>
      </c>
      <c r="D32" s="8" t="str">
        <f>VLOOKUP(C32,ages_from_list!A:C,3)</f>
        <v>18 лет</v>
      </c>
      <c r="E32" s="7">
        <v>13</v>
      </c>
      <c r="F32" s="8" t="str">
        <f>VLOOKUP(E32,ages_through_list!A:C,3)</f>
        <v>∞</v>
      </c>
      <c r="G32" s="8"/>
      <c r="H32" s="10"/>
      <c r="I32" s="8"/>
      <c r="J32" s="11">
        <f>J30</f>
        <v>44712</v>
      </c>
      <c r="K32" s="58"/>
      <c r="L32" s="8"/>
    </row>
    <row r="33" spans="1:12">
      <c r="A33" s="7">
        <v>32</v>
      </c>
      <c r="B33" s="10" t="str">
        <f>VLOOKUP(A33,vaccines!A:B,2)</f>
        <v>Grippol_Microgen</v>
      </c>
      <c r="C33" s="7">
        <v>5</v>
      </c>
      <c r="D33" s="8" t="str">
        <f>VLOOKUP(C33,ages_from_list!A:C,3)</f>
        <v>6 месяцев</v>
      </c>
      <c r="E33" s="7">
        <v>13</v>
      </c>
      <c r="F33" s="8" t="str">
        <f>VLOOKUP(E33,ages_through_list!A:C,3)</f>
        <v>∞</v>
      </c>
      <c r="G33" s="8"/>
      <c r="H33" s="10"/>
      <c r="I33" s="8"/>
      <c r="J33" s="11">
        <f t="shared" ref="J33:J106" si="1">J32</f>
        <v>44712</v>
      </c>
      <c r="K33" s="58"/>
      <c r="L33" s="8"/>
    </row>
    <row r="34" spans="1:12">
      <c r="A34" s="7">
        <v>33</v>
      </c>
      <c r="B34" s="10" t="str">
        <f>VLOOKUP(A34,vaccines!A:B,2)</f>
        <v>Grippol_Petrovax</v>
      </c>
      <c r="C34" s="7">
        <v>5</v>
      </c>
      <c r="D34" s="8" t="str">
        <f>VLOOKUP(C34,ages_from_list!A:C,3)</f>
        <v>6 месяцев</v>
      </c>
      <c r="E34" s="7">
        <v>13</v>
      </c>
      <c r="F34" s="8" t="str">
        <f>VLOOKUP(E34,ages_through_list!A:C,3)</f>
        <v>∞</v>
      </c>
      <c r="G34" s="8"/>
      <c r="H34" s="10"/>
      <c r="I34" s="8"/>
      <c r="J34" s="11">
        <f t="shared" si="1"/>
        <v>44712</v>
      </c>
      <c r="K34" s="58"/>
      <c r="L34" s="8"/>
    </row>
    <row r="35" spans="1:12">
      <c r="A35" s="7">
        <v>34</v>
      </c>
      <c r="B35" s="10" t="str">
        <f>VLOOKUP(A35,vaccines!A:B,2)</f>
        <v>Grippol_plus_0_5</v>
      </c>
      <c r="C35" s="7">
        <v>10</v>
      </c>
      <c r="D35" s="8" t="str">
        <f>VLOOKUP(C35,ages_from_list!A:C,3)</f>
        <v>36 месяцев (3 лет)</v>
      </c>
      <c r="E35" s="7">
        <v>13</v>
      </c>
      <c r="F35" s="8" t="str">
        <f>VLOOKUP(E35,ages_through_list!A:C,3)</f>
        <v>∞</v>
      </c>
      <c r="G35" s="8"/>
      <c r="H35" s="10"/>
      <c r="I35" s="8"/>
      <c r="J35" s="11">
        <f t="shared" si="1"/>
        <v>44712</v>
      </c>
      <c r="K35" s="58"/>
      <c r="L35" s="8"/>
    </row>
    <row r="36" spans="1:12">
      <c r="A36" s="7">
        <v>35</v>
      </c>
      <c r="B36" s="10" t="str">
        <f>VLOOKUP(A36,vaccines!A:B,2)</f>
        <v>Sovigripp</v>
      </c>
      <c r="C36" s="7">
        <v>5</v>
      </c>
      <c r="D36" s="8" t="str">
        <f>VLOOKUP(C36,ages_from_list!A:C,3)</f>
        <v>6 месяцев</v>
      </c>
      <c r="E36" s="7">
        <v>13</v>
      </c>
      <c r="F36" s="8" t="str">
        <f>VLOOKUP(E36,ages_through_list!A:C,3)</f>
        <v>∞</v>
      </c>
      <c r="G36" s="8"/>
      <c r="H36" s="10"/>
      <c r="I36" s="8"/>
      <c r="J36" s="11">
        <f t="shared" si="1"/>
        <v>44712</v>
      </c>
      <c r="K36" s="58"/>
      <c r="L36" s="8"/>
    </row>
    <row r="37" spans="1:12">
      <c r="A37" s="7">
        <v>36</v>
      </c>
      <c r="B37" s="10" t="str">
        <f>VLOOKUP(A37,vaccines!A:B,2)</f>
        <v>Ultrix</v>
      </c>
      <c r="C37" s="7">
        <v>5</v>
      </c>
      <c r="D37" s="8" t="str">
        <f>VLOOKUP(C37,ages_from_list!A:C,3)</f>
        <v>6 месяцев</v>
      </c>
      <c r="E37" s="7">
        <v>13</v>
      </c>
      <c r="F37" s="8" t="str">
        <f>VLOOKUP(E37,ages_through_list!A:C,3)</f>
        <v>∞</v>
      </c>
      <c r="G37" s="8"/>
      <c r="H37" s="10"/>
      <c r="I37" s="8"/>
      <c r="J37" s="11">
        <f t="shared" si="1"/>
        <v>44712</v>
      </c>
      <c r="K37" s="58"/>
      <c r="L37" s="8"/>
    </row>
    <row r="38" spans="1:12">
      <c r="A38" s="7">
        <v>37</v>
      </c>
      <c r="B38" s="10" t="str">
        <f>VLOOKUP(A38,vaccines!A:B,2)</f>
        <v>Flu_M</v>
      </c>
      <c r="C38" s="54">
        <v>5</v>
      </c>
      <c r="D38" s="8" t="str">
        <f>VLOOKUP(C38,ages_from_list!A:C,3)</f>
        <v>6 месяцев</v>
      </c>
      <c r="E38" s="7">
        <v>13</v>
      </c>
      <c r="F38" s="8" t="str">
        <f>VLOOKUP(E38,ages_through_list!A:C,3)</f>
        <v>∞</v>
      </c>
      <c r="G38" s="8"/>
      <c r="H38" s="10"/>
      <c r="I38" s="8"/>
      <c r="J38" s="11">
        <f t="shared" si="1"/>
        <v>44712</v>
      </c>
      <c r="K38" s="57">
        <v>45203</v>
      </c>
      <c r="L38" s="8"/>
    </row>
    <row r="39" spans="1:12">
      <c r="A39" s="7">
        <v>38</v>
      </c>
      <c r="B39" s="10" t="str">
        <f>VLOOKUP(A39,vaccines!A:B,2)</f>
        <v>Vaxigrip</v>
      </c>
      <c r="C39" s="7">
        <v>5</v>
      </c>
      <c r="D39" s="8" t="str">
        <f>VLOOKUP(C39,ages_from_list!A:C,3)</f>
        <v>6 месяцев</v>
      </c>
      <c r="E39" s="7">
        <v>13</v>
      </c>
      <c r="F39" s="8" t="str">
        <f>VLOOKUP(E39,ages_through_list!A:C,3)</f>
        <v>∞</v>
      </c>
      <c r="G39" s="8"/>
      <c r="H39" s="10"/>
      <c r="I39" s="8"/>
      <c r="J39" s="11">
        <f t="shared" si="1"/>
        <v>44712</v>
      </c>
      <c r="K39" s="58"/>
      <c r="L39" s="8"/>
    </row>
    <row r="40" spans="1:12">
      <c r="A40" s="7">
        <v>39</v>
      </c>
      <c r="B40" s="10" t="str">
        <f>VLOOKUP(A40,vaccines!A:B,2)</f>
        <v>Influvac</v>
      </c>
      <c r="C40" s="7">
        <v>5</v>
      </c>
      <c r="D40" s="8" t="str">
        <f>VLOOKUP(C40,ages_from_list!A:C,3)</f>
        <v>6 месяцев</v>
      </c>
      <c r="E40" s="7">
        <v>13</v>
      </c>
      <c r="F40" s="8" t="str">
        <f>VLOOKUP(E40,ages_through_list!A:C,3)</f>
        <v>∞</v>
      </c>
      <c r="G40" s="8"/>
      <c r="H40" s="10"/>
      <c r="I40" s="8"/>
      <c r="J40" s="11">
        <f t="shared" si="1"/>
        <v>44712</v>
      </c>
      <c r="K40" s="58"/>
      <c r="L40" s="8"/>
    </row>
    <row r="41" spans="1:12">
      <c r="A41" s="7">
        <v>40</v>
      </c>
      <c r="B41" s="10" t="str">
        <f>VLOOKUP(A41,vaccines!A:B,2)</f>
        <v>Ultrix_quadri</v>
      </c>
      <c r="C41" s="7">
        <v>5</v>
      </c>
      <c r="D41" s="8" t="str">
        <f>VLOOKUP(C41,ages_from_list!A:C,3)</f>
        <v>6 месяцев</v>
      </c>
      <c r="E41" s="7">
        <v>13</v>
      </c>
      <c r="F41" s="8" t="str">
        <f>VLOOKUP(E41,ages_through_list!A:C,3)</f>
        <v>∞</v>
      </c>
      <c r="G41" s="8"/>
      <c r="H41" s="10"/>
      <c r="I41" s="8"/>
      <c r="J41" s="11">
        <f t="shared" si="1"/>
        <v>44712</v>
      </c>
      <c r="K41" s="58"/>
      <c r="L41" s="8"/>
    </row>
    <row r="42" spans="1:12">
      <c r="A42" s="7">
        <v>41</v>
      </c>
      <c r="B42" s="10" t="str">
        <f>VLOOKUP(A42,vaccines!A:B,2)</f>
        <v>Grippol_quadrivalent</v>
      </c>
      <c r="C42" s="54">
        <v>5</v>
      </c>
      <c r="D42" s="8" t="str">
        <f>VLOOKUP(C42,ages_from_list!A:C,3)</f>
        <v>6 месяцев</v>
      </c>
      <c r="E42" s="7">
        <v>11</v>
      </c>
      <c r="F42" s="8" t="str">
        <f>VLOOKUP(E42,ages_through_list!A:C,3)</f>
        <v>60 лет</v>
      </c>
      <c r="G42" s="8"/>
      <c r="H42" s="10"/>
      <c r="I42" s="8"/>
      <c r="J42" s="11">
        <f t="shared" si="1"/>
        <v>44712</v>
      </c>
      <c r="K42" s="57">
        <v>45510</v>
      </c>
      <c r="L42" s="8"/>
    </row>
    <row r="43" spans="1:12">
      <c r="A43" s="7">
        <v>42</v>
      </c>
      <c r="B43" s="10" t="str">
        <f>VLOOKUP(A43,vaccines!A:B,2)</f>
        <v>measles_Microgen</v>
      </c>
      <c r="C43" s="7">
        <v>6</v>
      </c>
      <c r="D43" s="8" t="str">
        <f>VLOOKUP(C43,ages_from_list!A:C,3)</f>
        <v>8 месяцев</v>
      </c>
      <c r="E43" s="7">
        <v>13</v>
      </c>
      <c r="F43" s="8" t="str">
        <f>VLOOKUP(E43,ages_through_list!A:C,3)</f>
        <v>∞</v>
      </c>
      <c r="G43" s="8"/>
      <c r="H43" s="10"/>
      <c r="I43" s="8"/>
      <c r="J43" s="11">
        <f t="shared" si="1"/>
        <v>44712</v>
      </c>
      <c r="K43" s="58"/>
      <c r="L43" s="8"/>
    </row>
    <row r="44" spans="1:12">
      <c r="A44" s="7">
        <v>43</v>
      </c>
      <c r="B44" s="10" t="str">
        <f>VLOOKUP(A44,vaccines!A:B,2)</f>
        <v>measles_Serum_India</v>
      </c>
      <c r="C44" s="54">
        <v>8</v>
      </c>
      <c r="D44" s="8" t="str">
        <f>VLOOKUP(C44,ages_from_list!A:C,3)</f>
        <v>12 месяцев</v>
      </c>
      <c r="E44" s="7">
        <v>13</v>
      </c>
      <c r="F44" s="8" t="str">
        <f>VLOOKUP(E44,ages_through_list!A:C,3)</f>
        <v>∞</v>
      </c>
      <c r="G44" s="8"/>
      <c r="H44" s="10"/>
      <c r="I44" s="8"/>
      <c r="J44" s="11">
        <f t="shared" si="1"/>
        <v>44712</v>
      </c>
      <c r="K44" s="58"/>
      <c r="L44" s="8"/>
    </row>
    <row r="45" spans="1:12">
      <c r="A45" s="7">
        <v>44</v>
      </c>
      <c r="B45" s="10" t="str">
        <f>VLOOKUP(A45,vaccines!A:B,2)</f>
        <v>measles_Vector</v>
      </c>
      <c r="C45" s="7">
        <v>6</v>
      </c>
      <c r="D45" s="8" t="str">
        <f>VLOOKUP(C45,ages_from_list!A:C,3)</f>
        <v>8 месяцев</v>
      </c>
      <c r="E45" s="7">
        <v>13</v>
      </c>
      <c r="F45" s="8" t="str">
        <f>VLOOKUP(E45,ages_through_list!A:C,3)</f>
        <v>∞</v>
      </c>
      <c r="G45" s="8"/>
      <c r="H45" s="10"/>
      <c r="I45" s="8"/>
      <c r="J45" s="11">
        <f t="shared" si="1"/>
        <v>44712</v>
      </c>
      <c r="K45" s="58"/>
      <c r="L45" s="8"/>
    </row>
    <row r="46" spans="1:12">
      <c r="A46" s="7">
        <v>45</v>
      </c>
      <c r="B46" s="10" t="str">
        <f>VLOOKUP(A46,vaccines!A:B,2)</f>
        <v>measles_mumps_Microgen</v>
      </c>
      <c r="C46" s="7">
        <v>8</v>
      </c>
      <c r="D46" s="8" t="str">
        <f>VLOOKUP(C46,ages_from_list!A:C,3)</f>
        <v>12 месяцев</v>
      </c>
      <c r="E46" s="7">
        <v>13</v>
      </c>
      <c r="F46" s="8" t="str">
        <f>VLOOKUP(E46,ages_through_list!A:C,3)</f>
        <v>∞</v>
      </c>
      <c r="G46" s="8"/>
      <c r="H46" s="10"/>
      <c r="I46" s="8"/>
      <c r="J46" s="11">
        <f t="shared" si="1"/>
        <v>44712</v>
      </c>
      <c r="K46" s="58"/>
      <c r="L46" s="8"/>
    </row>
    <row r="47" spans="1:12">
      <c r="A47" s="7">
        <v>46</v>
      </c>
      <c r="B47" s="10" t="str">
        <f>VLOOKUP(A47,vaccines!A:B,2)</f>
        <v>Vactrivir</v>
      </c>
      <c r="C47" s="7">
        <v>8</v>
      </c>
      <c r="D47" s="8" t="str">
        <f>VLOOKUP(C47,ages_from_list!A:C,3)</f>
        <v>12 месяцев</v>
      </c>
      <c r="E47" s="7">
        <v>13</v>
      </c>
      <c r="F47" s="8" t="str">
        <f>VLOOKUP(E47,ages_through_list!A:C,3)</f>
        <v>∞</v>
      </c>
      <c r="G47" s="8"/>
      <c r="H47" s="10"/>
      <c r="I47" s="8"/>
      <c r="J47" s="11">
        <f t="shared" si="1"/>
        <v>44712</v>
      </c>
      <c r="K47" s="58"/>
      <c r="L47" s="8"/>
    </row>
    <row r="48" spans="1:12">
      <c r="A48" s="7">
        <v>47</v>
      </c>
      <c r="B48" s="10" t="str">
        <f>VLOOKUP(A48,vaccines!A:B,2)</f>
        <v>MMR_II</v>
      </c>
      <c r="C48" s="7">
        <v>8</v>
      </c>
      <c r="D48" s="8" t="str">
        <f>VLOOKUP(C48,ages_from_list!A:C,3)</f>
        <v>12 месяцев</v>
      </c>
      <c r="E48" s="7">
        <v>13</v>
      </c>
      <c r="F48" s="8" t="str">
        <f>VLOOKUP(E48,ages_through_list!A:C,3)</f>
        <v>∞</v>
      </c>
      <c r="G48" s="8"/>
      <c r="H48" s="10"/>
      <c r="I48" s="8"/>
      <c r="J48" s="11">
        <f t="shared" si="1"/>
        <v>44712</v>
      </c>
      <c r="K48" s="58"/>
      <c r="L48" s="8"/>
    </row>
    <row r="49" spans="1:12">
      <c r="A49" s="7">
        <v>48</v>
      </c>
      <c r="B49" s="10" t="str">
        <f>VLOOKUP(A49,vaccines!A:B,2)</f>
        <v>MenA_Microgen</v>
      </c>
      <c r="C49" s="7">
        <v>8</v>
      </c>
      <c r="D49" s="8" t="str">
        <f>VLOOKUP(C49,ages_from_list!A:C,3)</f>
        <v>12 месяцев</v>
      </c>
      <c r="E49" s="7">
        <v>13</v>
      </c>
      <c r="F49" s="8" t="str">
        <f>VLOOKUP(E49,ages_through_list!A:C,3)</f>
        <v>∞</v>
      </c>
      <c r="G49" s="8"/>
      <c r="H49" s="10"/>
      <c r="I49" s="8"/>
      <c r="J49" s="11">
        <f t="shared" si="1"/>
        <v>44712</v>
      </c>
      <c r="K49" s="58"/>
      <c r="L49" s="8"/>
    </row>
    <row r="50" spans="1:12">
      <c r="A50" s="7">
        <v>49</v>
      </c>
      <c r="B50" s="10" t="str">
        <f>VLOOKUP(A50,vaccines!A:B,2)</f>
        <v>MeningoVac_A_C</v>
      </c>
      <c r="C50" s="7">
        <v>18</v>
      </c>
      <c r="D50" s="8" t="str">
        <f>VLOOKUP(C50,ages_from_list!A:C,3)</f>
        <v>18 лет</v>
      </c>
      <c r="E50" s="7">
        <v>11</v>
      </c>
      <c r="F50" s="8" t="str">
        <f>VLOOKUP(E50,ages_through_list!A:C,3)</f>
        <v>60 лет</v>
      </c>
      <c r="G50" s="8"/>
      <c r="H50" s="10"/>
      <c r="I50" s="8"/>
      <c r="J50" s="11">
        <f t="shared" si="1"/>
        <v>44712</v>
      </c>
      <c r="K50" s="58"/>
      <c r="L50" s="8"/>
    </row>
    <row r="51" spans="1:12">
      <c r="A51" s="7">
        <v>50</v>
      </c>
      <c r="B51" s="10" t="str">
        <f>VLOOKUP(A51,vaccines!A:B,2)</f>
        <v>Menactra</v>
      </c>
      <c r="C51" s="7">
        <v>7</v>
      </c>
      <c r="D51" s="8" t="str">
        <f>VLOOKUP(C51,ages_from_list!A:C,3)</f>
        <v>9 месяцев</v>
      </c>
      <c r="E51" s="7">
        <v>9</v>
      </c>
      <c r="F51" s="8" t="str">
        <f>VLOOKUP(E51,ages_through_list!A:C,3)</f>
        <v>55 лет</v>
      </c>
      <c r="G51" s="8"/>
      <c r="H51" s="10"/>
      <c r="I51" s="8"/>
      <c r="J51" s="11">
        <f t="shared" si="1"/>
        <v>44712</v>
      </c>
      <c r="K51" s="58"/>
      <c r="L51" s="8"/>
    </row>
    <row r="52" spans="1:12">
      <c r="A52" s="7">
        <v>51</v>
      </c>
      <c r="B52" s="10" t="str">
        <f>VLOOKUP(A52,vaccines!A:B,2)</f>
        <v>mumps_Microgen</v>
      </c>
      <c r="C52" s="7">
        <v>8</v>
      </c>
      <c r="D52" s="8" t="str">
        <f>VLOOKUP(C52,ages_from_list!A:C,3)</f>
        <v>12 месяцев</v>
      </c>
      <c r="E52" s="7">
        <v>13</v>
      </c>
      <c r="F52" s="8" t="str">
        <f>VLOOKUP(E52,ages_through_list!A:C,3)</f>
        <v>∞</v>
      </c>
      <c r="G52" s="8"/>
      <c r="H52" s="10"/>
      <c r="I52" s="8"/>
      <c r="J52" s="11">
        <f t="shared" si="1"/>
        <v>44712</v>
      </c>
      <c r="K52" s="58"/>
      <c r="L52" s="8"/>
    </row>
    <row r="53" spans="1:12">
      <c r="A53" s="7">
        <v>52</v>
      </c>
      <c r="B53" s="10" t="str">
        <f>VLOOKUP(A53,vaccines!A:B,2)</f>
        <v>Prevenar_13</v>
      </c>
      <c r="C53" s="54">
        <v>2</v>
      </c>
      <c r="D53" s="8" t="str">
        <f>VLOOKUP(C53,ages_from_list!A:C,3)</f>
        <v>6 недель</v>
      </c>
      <c r="E53" s="7">
        <v>13</v>
      </c>
      <c r="F53" s="8" t="str">
        <f>VLOOKUP(E53,ages_through_list!A:C,3)</f>
        <v>∞</v>
      </c>
      <c r="G53" s="8"/>
      <c r="H53" s="10"/>
      <c r="I53" s="8"/>
      <c r="J53" s="11">
        <f t="shared" si="1"/>
        <v>44712</v>
      </c>
      <c r="K53" s="57">
        <v>45481</v>
      </c>
      <c r="L53" s="8"/>
    </row>
    <row r="54" spans="1:12">
      <c r="A54" s="7">
        <v>53</v>
      </c>
      <c r="B54" s="10" t="str">
        <f>VLOOKUP(A54,vaccines!A:B,2)</f>
        <v>Synflorix</v>
      </c>
      <c r="C54" s="7">
        <v>2</v>
      </c>
      <c r="D54" s="8" t="str">
        <f>VLOOKUP(C54,ages_from_list!A:C,3)</f>
        <v>6 недель</v>
      </c>
      <c r="E54" s="7">
        <v>4</v>
      </c>
      <c r="F54" s="8" t="str">
        <f>VLOOKUP(E54,ages_through_list!A:C,3)</f>
        <v>5 лет</v>
      </c>
      <c r="G54" s="8"/>
      <c r="H54" s="10"/>
      <c r="I54" s="8"/>
      <c r="J54" s="11">
        <f t="shared" si="1"/>
        <v>44712</v>
      </c>
      <c r="K54" s="58"/>
      <c r="L54" s="8"/>
    </row>
    <row r="55" spans="1:12">
      <c r="A55" s="7">
        <v>54</v>
      </c>
      <c r="B55" s="10" t="str">
        <f>VLOOKUP(A55,vaccines!A:B,2)</f>
        <v>Pneumovax_23</v>
      </c>
      <c r="C55" s="7">
        <v>9</v>
      </c>
      <c r="D55" s="8" t="str">
        <f>VLOOKUP(C55,ages_from_list!A:C,3)</f>
        <v>24 месяцев (2 лет)</v>
      </c>
      <c r="E55" s="7">
        <v>13</v>
      </c>
      <c r="F55" s="8" t="str">
        <f>VLOOKUP(E55,ages_through_list!A:C,3)</f>
        <v>∞</v>
      </c>
      <c r="G55" s="8"/>
      <c r="H55" s="10"/>
      <c r="I55" s="8"/>
      <c r="J55" s="11">
        <f t="shared" si="1"/>
        <v>44712</v>
      </c>
      <c r="K55" s="58"/>
      <c r="L55" s="8"/>
    </row>
    <row r="56" spans="1:12">
      <c r="A56" s="7">
        <v>55</v>
      </c>
      <c r="B56" s="10" t="str">
        <f>VLOOKUP(A56,vaccines!A:B,2)</f>
        <v>MonoVac_Polio</v>
      </c>
      <c r="C56" s="54">
        <v>4</v>
      </c>
      <c r="D56" s="8" t="str">
        <f>VLOOKUP(C56,ages_from_list!A:C,3)</f>
        <v>3 месяцев</v>
      </c>
      <c r="E56" s="7">
        <v>13</v>
      </c>
      <c r="F56" s="8" t="str">
        <f>VLOOKUP(E56,ages_through_list!A:C,3)</f>
        <v>∞</v>
      </c>
      <c r="G56" s="8"/>
      <c r="H56" s="10"/>
      <c r="I56" s="8"/>
      <c r="J56" s="11">
        <f t="shared" si="1"/>
        <v>44712</v>
      </c>
      <c r="K56" s="57">
        <v>45581</v>
      </c>
      <c r="L56" s="8"/>
    </row>
    <row r="57" spans="1:12">
      <c r="A57" s="7">
        <v>56</v>
      </c>
      <c r="B57" s="10" t="str">
        <f>VLOOKUP(A57,vaccines!A:B,2)</f>
        <v>BiVac_Polio</v>
      </c>
      <c r="C57" s="54">
        <v>26</v>
      </c>
      <c r="D57" s="8" t="str">
        <f>VLOOKUP(C57,ages_from_list!A:C,3)</f>
        <v>20 месяцев</v>
      </c>
      <c r="E57" s="7">
        <v>13</v>
      </c>
      <c r="F57" s="8" t="str">
        <f>VLOOKUP(E57,ages_through_list!A:C,3)</f>
        <v>∞</v>
      </c>
      <c r="G57" s="8"/>
      <c r="H57" s="10"/>
      <c r="I57" s="8"/>
      <c r="J57" s="11">
        <f t="shared" si="1"/>
        <v>44712</v>
      </c>
      <c r="K57" s="57">
        <v>45988</v>
      </c>
      <c r="L57" s="8"/>
    </row>
    <row r="58" spans="1:12">
      <c r="A58" s="7">
        <v>57</v>
      </c>
      <c r="B58" s="10" t="str">
        <f>VLOOKUP(A58,vaccines!A:B,2)</f>
        <v>Polymilex</v>
      </c>
      <c r="C58" s="54">
        <v>4</v>
      </c>
      <c r="D58" s="8" t="str">
        <f>VLOOKUP(C58,ages_from_list!A:C,3)</f>
        <v>3 месяцев</v>
      </c>
      <c r="E58" s="7">
        <v>13</v>
      </c>
      <c r="F58" s="8" t="str">
        <f>VLOOKUP(E58,ages_through_list!A:C,3)</f>
        <v>∞</v>
      </c>
      <c r="G58" s="8"/>
      <c r="H58" s="10"/>
      <c r="I58" s="8"/>
      <c r="J58" s="11">
        <f t="shared" si="1"/>
        <v>44712</v>
      </c>
      <c r="K58" s="57">
        <v>45581</v>
      </c>
      <c r="L58" s="8"/>
    </row>
    <row r="59" spans="1:12">
      <c r="A59" s="7">
        <v>58</v>
      </c>
      <c r="B59" s="10" t="str">
        <f>VLOOKUP(A59,vaccines!A:B,2)</f>
        <v>COCAV</v>
      </c>
      <c r="C59" s="7">
        <v>1</v>
      </c>
      <c r="D59" s="8" t="str">
        <f>VLOOKUP(C59,ages_from_list!A:C,3)</f>
        <v>0 дней</v>
      </c>
      <c r="E59" s="7">
        <v>13</v>
      </c>
      <c r="F59" s="8" t="str">
        <f>VLOOKUP(E59,ages_through_list!A:C,3)</f>
        <v>∞</v>
      </c>
      <c r="G59" s="8"/>
      <c r="H59" s="10"/>
      <c r="I59" s="8"/>
      <c r="J59" s="11">
        <f t="shared" si="1"/>
        <v>44712</v>
      </c>
      <c r="K59" s="58"/>
      <c r="L59" s="8"/>
    </row>
    <row r="60" spans="1:12">
      <c r="A60" s="7">
        <v>59</v>
      </c>
      <c r="B60" s="10" t="str">
        <f>VLOOKUP(A60,vaccines!A:B,2)</f>
        <v>rabies_Chumakov</v>
      </c>
      <c r="C60" s="7">
        <v>1</v>
      </c>
      <c r="D60" s="8" t="str">
        <f>VLOOKUP(C60,ages_from_list!A:C,3)</f>
        <v>0 дней</v>
      </c>
      <c r="E60" s="7">
        <v>13</v>
      </c>
      <c r="F60" s="8" t="str">
        <f>VLOOKUP(E60,ages_through_list!A:C,3)</f>
        <v>∞</v>
      </c>
      <c r="G60" s="8"/>
      <c r="H60" s="10"/>
      <c r="I60" s="8"/>
      <c r="J60" s="11">
        <f t="shared" si="1"/>
        <v>44712</v>
      </c>
      <c r="K60" s="58"/>
      <c r="L60" s="8"/>
    </row>
    <row r="61" spans="1:12">
      <c r="A61" s="7">
        <v>60</v>
      </c>
      <c r="B61" s="10" t="str">
        <f>VLOOKUP(A61,vaccines!A:B,2)</f>
        <v>Rabivac_Vnukovo_32</v>
      </c>
      <c r="C61" s="7">
        <v>1</v>
      </c>
      <c r="D61" s="8" t="str">
        <f>VLOOKUP(C61,ages_from_list!A:C,3)</f>
        <v>0 дней</v>
      </c>
      <c r="E61" s="7">
        <v>13</v>
      </c>
      <c r="F61" s="8" t="str">
        <f>VLOOKUP(E61,ages_through_list!A:C,3)</f>
        <v>∞</v>
      </c>
      <c r="G61" s="8"/>
      <c r="H61" s="10"/>
      <c r="I61" s="8"/>
      <c r="J61" s="11">
        <f t="shared" si="1"/>
        <v>44712</v>
      </c>
      <c r="K61" s="58"/>
      <c r="L61" s="8"/>
    </row>
    <row r="62" spans="1:12">
      <c r="A62" s="7">
        <v>61</v>
      </c>
      <c r="B62" s="10" t="str">
        <f>VLOOKUP(A62,vaccines!A:B,2)</f>
        <v>RotaTeq</v>
      </c>
      <c r="C62" s="7">
        <v>2</v>
      </c>
      <c r="D62" s="8" t="str">
        <f>VLOOKUP(C62,ages_from_list!A:C,3)</f>
        <v>6 недель</v>
      </c>
      <c r="E62" s="7">
        <v>1</v>
      </c>
      <c r="F62" s="8" t="str">
        <f>VLOOKUP(E62,ages_through_list!A:C,3)</f>
        <v>32 недель</v>
      </c>
      <c r="G62" s="8"/>
      <c r="H62" s="10"/>
      <c r="I62" s="8"/>
      <c r="J62" s="11">
        <f t="shared" si="1"/>
        <v>44712</v>
      </c>
      <c r="K62" s="58"/>
      <c r="L62" s="8"/>
    </row>
    <row r="63" spans="1:12">
      <c r="A63" s="7">
        <v>62</v>
      </c>
      <c r="B63" s="10" t="str">
        <f>VLOOKUP(A63,vaccines!A:B,2)</f>
        <v>rubella_Microgen</v>
      </c>
      <c r="C63" s="54">
        <v>8</v>
      </c>
      <c r="D63" s="8" t="str">
        <f>VLOOKUP(C63,ages_from_list!A:C,3)</f>
        <v>12 месяцев</v>
      </c>
      <c r="E63" s="7">
        <v>13</v>
      </c>
      <c r="F63" s="8" t="str">
        <f>VLOOKUP(E63,ages_through_list!A:C,3)</f>
        <v>∞</v>
      </c>
      <c r="G63" s="8"/>
      <c r="H63" s="10"/>
      <c r="I63" s="8"/>
      <c r="J63" s="11">
        <f t="shared" si="1"/>
        <v>44712</v>
      </c>
      <c r="K63" s="58"/>
      <c r="L63" s="8"/>
    </row>
    <row r="64" spans="1:12">
      <c r="A64" s="7">
        <v>63</v>
      </c>
      <c r="B64" s="10" t="str">
        <f>VLOOKUP(A64,vaccines!A:B,2)</f>
        <v>rubella_Serum</v>
      </c>
      <c r="C64" s="7">
        <v>8</v>
      </c>
      <c r="D64" s="8" t="str">
        <f>VLOOKUP(C64,ages_from_list!A:C,3)</f>
        <v>12 месяцев</v>
      </c>
      <c r="E64" s="7">
        <v>13</v>
      </c>
      <c r="F64" s="8" t="str">
        <f>VLOOKUP(E64,ages_through_list!A:C,3)</f>
        <v>∞</v>
      </c>
      <c r="G64" s="8"/>
      <c r="H64" s="10"/>
      <c r="I64" s="8"/>
      <c r="J64" s="11">
        <f t="shared" si="1"/>
        <v>44712</v>
      </c>
      <c r="K64" s="53">
        <v>45079</v>
      </c>
      <c r="L64" s="8"/>
    </row>
    <row r="65" spans="1:12">
      <c r="A65" s="7">
        <v>64</v>
      </c>
      <c r="B65" s="10" t="str">
        <f>VLOOKUP(A65,vaccines!A:B,2)</f>
        <v>AS_Microgen</v>
      </c>
      <c r="C65" s="54">
        <v>5</v>
      </c>
      <c r="D65" s="8" t="str">
        <f>VLOOKUP(C65,ages_from_list!A:C,3)</f>
        <v>6 месяцев</v>
      </c>
      <c r="E65" s="7">
        <v>13</v>
      </c>
      <c r="F65" s="8" t="str">
        <f>VLOOKUP(E65,ages_through_list!A:C,3)</f>
        <v>∞</v>
      </c>
      <c r="G65" s="8"/>
      <c r="H65" s="10"/>
      <c r="I65" s="8"/>
      <c r="J65" s="11">
        <f t="shared" si="1"/>
        <v>44712</v>
      </c>
      <c r="K65" s="57">
        <v>45517</v>
      </c>
      <c r="L65" s="8"/>
    </row>
    <row r="66" spans="1:12">
      <c r="A66" s="7">
        <v>65</v>
      </c>
      <c r="B66" s="10" t="str">
        <f>VLOOKUP(A66,vaccines!A:B,2)</f>
        <v>AS_Biomed</v>
      </c>
      <c r="C66" s="7">
        <v>1</v>
      </c>
      <c r="D66" s="8" t="str">
        <f>VLOOKUP(C66,ages_from_list!A:C,3)</f>
        <v>0 дней</v>
      </c>
      <c r="E66" s="7">
        <v>13</v>
      </c>
      <c r="F66" s="8" t="str">
        <f>VLOOKUP(E66,ages_through_list!A:C,3)</f>
        <v>∞</v>
      </c>
      <c r="G66" s="8"/>
      <c r="H66" s="10"/>
      <c r="I66" s="8"/>
      <c r="J66" s="11">
        <f t="shared" si="1"/>
        <v>44712</v>
      </c>
      <c r="K66" s="58"/>
      <c r="L66" s="8"/>
    </row>
    <row r="67" spans="1:12">
      <c r="A67" s="7">
        <v>66</v>
      </c>
      <c r="B67" s="10" t="str">
        <f>VLOOKUP(A67,vaccines!A:B,2)</f>
        <v>Vaqta_25</v>
      </c>
      <c r="C67" s="7">
        <v>8</v>
      </c>
      <c r="D67" s="8" t="str">
        <f>VLOOKUP(C67,ages_from_list!A:C,3)</f>
        <v>12 месяцев</v>
      </c>
      <c r="E67" s="7">
        <v>6</v>
      </c>
      <c r="F67" s="8" t="str">
        <f>VLOOKUP(E67,ages_through_list!A:C,3)</f>
        <v>17 лет</v>
      </c>
      <c r="G67" s="8"/>
      <c r="H67" s="10"/>
      <c r="I67" s="8"/>
      <c r="J67" s="11">
        <f t="shared" si="1"/>
        <v>44712</v>
      </c>
      <c r="K67" s="58"/>
      <c r="L67" s="8"/>
    </row>
    <row r="68" spans="1:12">
      <c r="A68" s="7">
        <v>67</v>
      </c>
      <c r="B68" s="10" t="str">
        <f>VLOOKUP(A68,vaccines!A:B,2)</f>
        <v>Vaqta_50</v>
      </c>
      <c r="C68" s="7">
        <v>18</v>
      </c>
      <c r="D68" s="8" t="str">
        <f>VLOOKUP(C68,ages_from_list!A:C,3)</f>
        <v>18 лет</v>
      </c>
      <c r="E68" s="7">
        <v>13</v>
      </c>
      <c r="F68" s="8" t="str">
        <f>VLOOKUP(E68,ages_through_list!A:C,3)</f>
        <v>∞</v>
      </c>
      <c r="G68" s="8"/>
      <c r="H68" s="10"/>
      <c r="I68" s="8"/>
      <c r="J68" s="11">
        <f t="shared" si="1"/>
        <v>44712</v>
      </c>
      <c r="K68" s="58"/>
      <c r="L68" s="8"/>
    </row>
    <row r="69" spans="1:12">
      <c r="A69" s="7">
        <v>68</v>
      </c>
      <c r="B69" s="10" t="str">
        <f>VLOOKUP(A69,vaccines!A:B,2)</f>
        <v>Klesh_E_Vac_0_5</v>
      </c>
      <c r="C69" s="7">
        <v>17</v>
      </c>
      <c r="D69" s="8" t="str">
        <f>VLOOKUP(C69,ages_from_list!A:C,3)</f>
        <v>16 лет</v>
      </c>
      <c r="E69" s="7">
        <v>13</v>
      </c>
      <c r="F69" s="8" t="str">
        <f>VLOOKUP(E69,ages_through_list!A:C,3)</f>
        <v>∞</v>
      </c>
      <c r="G69" s="8"/>
      <c r="H69" s="10"/>
      <c r="I69" s="8"/>
      <c r="J69" s="11">
        <f t="shared" si="1"/>
        <v>44712</v>
      </c>
      <c r="K69" s="58"/>
      <c r="L69" s="8"/>
    </row>
    <row r="70" spans="1:12">
      <c r="A70" s="7">
        <v>69</v>
      </c>
      <c r="B70" s="10" t="str">
        <f>VLOOKUP(A70,vaccines!A:B,2)</f>
        <v>Klesh_E_Vac_0_25</v>
      </c>
      <c r="C70" s="7">
        <v>8</v>
      </c>
      <c r="D70" s="8" t="str">
        <f>VLOOKUP(C70,ages_from_list!A:C,3)</f>
        <v>12 месяцев</v>
      </c>
      <c r="E70" s="7">
        <v>5</v>
      </c>
      <c r="F70" s="8" t="str">
        <f>VLOOKUP(E70,ages_through_list!A:C,3)</f>
        <v>15 лет</v>
      </c>
      <c r="G70" s="8"/>
      <c r="H70" s="10"/>
      <c r="I70" s="8"/>
      <c r="J70" s="11">
        <f t="shared" si="1"/>
        <v>44712</v>
      </c>
      <c r="K70" s="58"/>
      <c r="L70" s="8"/>
    </row>
    <row r="71" spans="1:12">
      <c r="A71" s="7">
        <v>70</v>
      </c>
      <c r="B71" s="10" t="str">
        <f>VLOOKUP(A71,vaccines!A:B,2)</f>
        <v>EnceVir_0_5</v>
      </c>
      <c r="C71" s="7">
        <v>18</v>
      </c>
      <c r="D71" s="8" t="str">
        <f>VLOOKUP(C71,ages_from_list!A:C,3)</f>
        <v>18 лет</v>
      </c>
      <c r="E71" s="7">
        <v>13</v>
      </c>
      <c r="F71" s="8" t="str">
        <f>VLOOKUP(E71,ages_through_list!A:C,3)</f>
        <v>∞</v>
      </c>
      <c r="G71" s="8"/>
      <c r="H71" s="10"/>
      <c r="I71" s="8"/>
      <c r="J71" s="11">
        <f t="shared" si="1"/>
        <v>44712</v>
      </c>
      <c r="K71" s="58"/>
      <c r="L71" s="8"/>
    </row>
    <row r="72" spans="1:12">
      <c r="A72" s="7">
        <v>71</v>
      </c>
      <c r="B72" s="10" t="str">
        <f>VLOOKUP(A72,vaccines!A:B,2)</f>
        <v>EnceVir_Neo_kids</v>
      </c>
      <c r="C72" s="7">
        <v>10</v>
      </c>
      <c r="D72" s="8" t="str">
        <f>VLOOKUP(C72,ages_from_list!A:C,3)</f>
        <v>36 месяцев (3 лет)</v>
      </c>
      <c r="E72" s="7">
        <v>6</v>
      </c>
      <c r="F72" s="8" t="str">
        <f>VLOOKUP(E72,ages_through_list!A:C,3)</f>
        <v>17 лет</v>
      </c>
      <c r="G72" s="8"/>
      <c r="H72" s="10"/>
      <c r="I72" s="8"/>
      <c r="J72" s="11">
        <f t="shared" si="1"/>
        <v>44712</v>
      </c>
      <c r="K72" s="58"/>
      <c r="L72" s="8"/>
    </row>
    <row r="73" spans="1:12">
      <c r="A73" s="7">
        <v>72</v>
      </c>
      <c r="B73" s="10" t="str">
        <f>VLOOKUP(A73,vaccines!A:B,2)</f>
        <v>TBE_Chumakov_lyo</v>
      </c>
      <c r="C73" s="7">
        <v>10</v>
      </c>
      <c r="D73" s="8" t="str">
        <f>VLOOKUP(C73,ages_from_list!A:C,3)</f>
        <v>36 месяцев (3 лет)</v>
      </c>
      <c r="E73" s="7">
        <v>13</v>
      </c>
      <c r="F73" s="8" t="str">
        <f>VLOOKUP(E73,ages_through_list!A:C,3)</f>
        <v>∞</v>
      </c>
      <c r="G73" s="8"/>
      <c r="H73" s="10"/>
      <c r="I73" s="8"/>
      <c r="J73" s="11">
        <f t="shared" si="1"/>
        <v>44712</v>
      </c>
      <c r="K73" s="58"/>
      <c r="L73" s="8"/>
    </row>
    <row r="74" spans="1:12">
      <c r="A74" s="7">
        <v>73</v>
      </c>
      <c r="B74" s="10" t="str">
        <f>VLOOKUP(A74,vaccines!A:B,2)</f>
        <v>Varilrix</v>
      </c>
      <c r="C74" s="7">
        <v>7</v>
      </c>
      <c r="D74" s="8" t="str">
        <f>VLOOKUP(C74,ages_from_list!A:C,3)</f>
        <v>9 месяцев</v>
      </c>
      <c r="E74" s="7">
        <v>13</v>
      </c>
      <c r="F74" s="8" t="str">
        <f>VLOOKUP(E74,ages_through_list!A:C,3)</f>
        <v>∞</v>
      </c>
      <c r="G74" s="8"/>
      <c r="H74" s="10"/>
      <c r="I74" s="8"/>
      <c r="J74" s="11">
        <f t="shared" si="1"/>
        <v>44712</v>
      </c>
      <c r="K74" s="58"/>
      <c r="L74" s="8"/>
    </row>
    <row r="75" spans="1:12">
      <c r="A75" s="7">
        <v>74</v>
      </c>
      <c r="B75" s="10" t="str">
        <f>VLOOKUP(A75,vaccines!A:B,2)</f>
        <v>YF_Chumakov_lyo</v>
      </c>
      <c r="C75" s="7">
        <v>7</v>
      </c>
      <c r="D75" s="8" t="str">
        <f>VLOOKUP(C75,ages_from_list!A:C,3)</f>
        <v>9 месяцев</v>
      </c>
      <c r="E75" s="7">
        <v>13</v>
      </c>
      <c r="F75" s="8" t="str">
        <f>VLOOKUP(E75,ages_through_list!A:C,3)</f>
        <v>∞</v>
      </c>
      <c r="G75" s="8"/>
      <c r="H75" s="10"/>
      <c r="I75" s="8"/>
      <c r="J75" s="11">
        <f t="shared" si="1"/>
        <v>44712</v>
      </c>
      <c r="K75" s="58"/>
      <c r="L75" s="8"/>
    </row>
    <row r="76" spans="1:12">
      <c r="A76" s="7">
        <v>75</v>
      </c>
      <c r="B76" s="10" t="str">
        <f>VLOOKUP(A76,vaccines!A:B,2)</f>
        <v>tularemia_Microgen</v>
      </c>
      <c r="C76" s="7">
        <v>13</v>
      </c>
      <c r="D76" s="8" t="str">
        <f>VLOOKUP(C76,ages_from_list!A:C,3)</f>
        <v>7 лет</v>
      </c>
      <c r="E76" s="7">
        <v>13</v>
      </c>
      <c r="F76" s="8" t="str">
        <f>VLOOKUP(E76,ages_through_list!A:C,3)</f>
        <v>∞</v>
      </c>
      <c r="G76" s="8"/>
      <c r="H76" s="10"/>
      <c r="I76" s="8"/>
      <c r="J76" s="11">
        <f t="shared" si="1"/>
        <v>44712</v>
      </c>
      <c r="K76" s="58"/>
      <c r="L76" s="8"/>
    </row>
    <row r="77" spans="1:12">
      <c r="A77" s="7">
        <v>76</v>
      </c>
      <c r="B77" s="10" t="str">
        <f>VLOOKUP(A77,vaccines!A:B,2)</f>
        <v>plague_molecular_lyo_RPN</v>
      </c>
      <c r="C77" s="7">
        <v>18</v>
      </c>
      <c r="D77" s="8" t="str">
        <f>VLOOKUP(C77,ages_from_list!A:C,3)</f>
        <v>18 лет</v>
      </c>
      <c r="E77" s="7">
        <v>10</v>
      </c>
      <c r="F77" s="8" t="str">
        <f>VLOOKUP(E77,ages_through_list!A:C,3)</f>
        <v>58 лет</v>
      </c>
      <c r="G77" s="8"/>
      <c r="H77" s="10"/>
      <c r="I77" s="8"/>
      <c r="J77" s="11">
        <f t="shared" si="1"/>
        <v>44712</v>
      </c>
      <c r="K77" s="58"/>
      <c r="L77" s="8"/>
    </row>
    <row r="78" spans="1:12">
      <c r="A78" s="7">
        <v>77</v>
      </c>
      <c r="B78" s="10" t="str">
        <f>VLOOKUP(A78,vaccines!A:B,2)</f>
        <v>plague_live_lyo_48_NII_Minoborony</v>
      </c>
      <c r="C78" s="7">
        <v>9</v>
      </c>
      <c r="D78" s="8" t="str">
        <f>VLOOKUP(C78,ages_from_list!A:C,3)</f>
        <v>24 месяцев (2 лет)</v>
      </c>
      <c r="E78" s="7">
        <v>13</v>
      </c>
      <c r="F78" s="8" t="str">
        <f>VLOOKUP(E78,ages_through_list!A:C,3)</f>
        <v>∞</v>
      </c>
      <c r="G78" s="8"/>
      <c r="H78" s="10"/>
      <c r="I78" s="8"/>
      <c r="J78" s="11">
        <f t="shared" si="1"/>
        <v>44712</v>
      </c>
      <c r="K78" s="58"/>
      <c r="L78" s="8"/>
    </row>
    <row r="79" spans="1:12">
      <c r="A79" s="7">
        <v>78</v>
      </c>
      <c r="B79" s="10" t="str">
        <f>VLOOKUP(A79,vaccines!A:B,2)</f>
        <v>plague_live_tablets_48_NII_Minoborony</v>
      </c>
      <c r="C79" s="7">
        <v>16</v>
      </c>
      <c r="D79" s="8" t="str">
        <f>VLOOKUP(C79,ages_from_list!A:C,3)</f>
        <v>14 лет</v>
      </c>
      <c r="E79" s="7">
        <v>13</v>
      </c>
      <c r="F79" s="8" t="str">
        <f>VLOOKUP(E79,ages_through_list!A:C,3)</f>
        <v>∞</v>
      </c>
      <c r="G79" s="8"/>
      <c r="H79" s="10"/>
      <c r="I79" s="8"/>
      <c r="J79" s="11">
        <f t="shared" si="1"/>
        <v>44712</v>
      </c>
      <c r="K79" s="58"/>
      <c r="L79" s="8"/>
    </row>
    <row r="80" spans="1:12">
      <c r="A80" s="7">
        <v>79</v>
      </c>
      <c r="B80" s="10" t="str">
        <f>VLOOKUP(A80,vaccines!A:B,2)</f>
        <v>plague_live_lyo_RPN</v>
      </c>
      <c r="C80" s="7">
        <v>9</v>
      </c>
      <c r="D80" s="8" t="str">
        <f>VLOOKUP(C80,ages_from_list!A:C,3)</f>
        <v>24 месяцев (2 лет)</v>
      </c>
      <c r="E80" s="7">
        <v>13</v>
      </c>
      <c r="F80" s="8" t="str">
        <f>VLOOKUP(E80,ages_through_list!A:C,3)</f>
        <v>∞</v>
      </c>
      <c r="G80" s="8"/>
      <c r="H80" s="10"/>
      <c r="I80" s="8"/>
      <c r="J80" s="11">
        <f t="shared" si="1"/>
        <v>44712</v>
      </c>
      <c r="K80" s="58"/>
      <c r="L80" s="8"/>
    </row>
    <row r="81" spans="1:12">
      <c r="A81" s="7">
        <v>80</v>
      </c>
      <c r="B81" s="10" t="str">
        <f>VLOOKUP(A81,vaccines!A:B,2)</f>
        <v>brucellosis_therapeutic_48_NII_Minoborony</v>
      </c>
      <c r="C81" s="7">
        <v>1</v>
      </c>
      <c r="D81" s="8" t="str">
        <f>VLOOKUP(C81,ages_from_list!A:C,3)</f>
        <v>0 дней</v>
      </c>
      <c r="E81" s="7">
        <v>13</v>
      </c>
      <c r="F81" s="8" t="str">
        <f>VLOOKUP(E81,ages_through_list!A:C,3)</f>
        <v>∞</v>
      </c>
      <c r="G81" s="8"/>
      <c r="H81" s="10"/>
      <c r="I81" s="8"/>
      <c r="J81" s="11">
        <f t="shared" si="1"/>
        <v>44712</v>
      </c>
      <c r="K81" s="58"/>
      <c r="L81" s="8"/>
    </row>
    <row r="82" spans="1:12">
      <c r="A82" s="7">
        <v>81</v>
      </c>
      <c r="B82" s="10" t="str">
        <f>VLOOKUP(A82,vaccines!A:B,2)</f>
        <v>brucellosis_prophylactic_Microgen</v>
      </c>
      <c r="C82" s="7">
        <v>18</v>
      </c>
      <c r="D82" s="8" t="str">
        <f>VLOOKUP(C82,ages_from_list!A:C,3)</f>
        <v>18 лет</v>
      </c>
      <c r="E82" s="7">
        <v>13</v>
      </c>
      <c r="F82" s="8" t="str">
        <f>VLOOKUP(E82,ages_through_list!A:C,3)</f>
        <v>∞</v>
      </c>
      <c r="G82" s="8"/>
      <c r="H82" s="10"/>
      <c r="I82" s="8"/>
      <c r="J82" s="11">
        <f t="shared" si="1"/>
        <v>44712</v>
      </c>
      <c r="K82" s="58"/>
      <c r="L82" s="8"/>
    </row>
    <row r="83" spans="1:12">
      <c r="A83" s="7">
        <v>82</v>
      </c>
      <c r="B83" s="10" t="str">
        <f>VLOOKUP(A83,vaccines!A:B,2)</f>
        <v>anthrax_live_48_NII_Minoborony</v>
      </c>
      <c r="C83" s="7">
        <v>16</v>
      </c>
      <c r="D83" s="8" t="str">
        <f>VLOOKUP(C83,ages_from_list!A:C,3)</f>
        <v>14 лет</v>
      </c>
      <c r="E83" s="7">
        <v>13</v>
      </c>
      <c r="F83" s="8" t="str">
        <f>VLOOKUP(E83,ages_through_list!A:C,3)</f>
        <v>∞</v>
      </c>
      <c r="G83" s="8"/>
      <c r="H83" s="10"/>
      <c r="I83" s="8"/>
      <c r="J83" s="11">
        <f t="shared" si="1"/>
        <v>44712</v>
      </c>
      <c r="K83" s="58"/>
      <c r="L83" s="8"/>
    </row>
    <row r="84" spans="1:12">
      <c r="A84" s="7">
        <v>83</v>
      </c>
      <c r="B84" s="10" t="str">
        <f>VLOOKUP(A84,vaccines!A:B,2)</f>
        <v>anthrax_combined_48_NII_Minoborony</v>
      </c>
      <c r="C84" s="7">
        <v>16</v>
      </c>
      <c r="D84" s="8" t="str">
        <f>VLOOKUP(C84,ages_from_list!A:C,3)</f>
        <v>14 лет</v>
      </c>
      <c r="E84" s="7">
        <v>13</v>
      </c>
      <c r="F84" s="8" t="str">
        <f>VLOOKUP(E84,ages_through_list!A:C,3)</f>
        <v>∞</v>
      </c>
      <c r="G84" s="8"/>
      <c r="H84" s="10"/>
      <c r="I84" s="8"/>
      <c r="J84" s="11">
        <f t="shared" si="1"/>
        <v>44712</v>
      </c>
      <c r="K84" s="58"/>
      <c r="L84" s="8"/>
    </row>
    <row r="85" spans="1:12">
      <c r="A85" s="7">
        <v>84</v>
      </c>
      <c r="B85" s="10" t="str">
        <f>VLOOKUP(A85,vaccines!A:B,2)</f>
        <v>Rabipur</v>
      </c>
      <c r="C85" s="7">
        <v>1</v>
      </c>
      <c r="D85" s="8" t="str">
        <f>VLOOKUP(C85,ages_from_list!A:C,3)</f>
        <v>0 дней</v>
      </c>
      <c r="E85" s="7">
        <v>13</v>
      </c>
      <c r="F85" s="8" t="str">
        <f>VLOOKUP(E85,ages_through_list!A:C,3)</f>
        <v>∞</v>
      </c>
      <c r="G85" s="8"/>
      <c r="H85" s="10"/>
      <c r="I85" s="8"/>
      <c r="J85" s="11">
        <f t="shared" si="1"/>
        <v>44712</v>
      </c>
      <c r="K85" s="58"/>
      <c r="L85" s="8"/>
    </row>
    <row r="86" spans="1:12">
      <c r="A86" s="7">
        <v>85</v>
      </c>
      <c r="B86" s="10" t="str">
        <f>VLOOKUP(A86,vaccines!A:B,2)</f>
        <v>leptospirosis_Rostov_NII</v>
      </c>
      <c r="C86" s="7">
        <v>13</v>
      </c>
      <c r="D86" s="8" t="str">
        <f>VLOOKUP(C86,ages_from_list!A:C,3)</f>
        <v>7 лет</v>
      </c>
      <c r="E86" s="7">
        <v>13</v>
      </c>
      <c r="F86" s="8" t="str">
        <f>VLOOKUP(E86,ages_through_list!A:C,3)</f>
        <v>∞</v>
      </c>
      <c r="G86" s="8"/>
      <c r="H86" s="10"/>
      <c r="I86" s="8"/>
      <c r="J86" s="11">
        <f t="shared" si="1"/>
        <v>44712</v>
      </c>
      <c r="K86" s="58"/>
      <c r="L86" s="8"/>
    </row>
    <row r="87" spans="1:12">
      <c r="A87" s="7">
        <v>86</v>
      </c>
      <c r="B87" s="10" t="str">
        <f>VLOOKUP(A87,vaccines!A:B,2)</f>
        <v>Q_fever_M_44_Microgen</v>
      </c>
      <c r="C87" s="7">
        <v>16</v>
      </c>
      <c r="D87" s="8" t="str">
        <f>VLOOKUP(C87,ages_from_list!A:C,3)</f>
        <v>14 лет</v>
      </c>
      <c r="E87" s="7">
        <v>13</v>
      </c>
      <c r="F87" s="8" t="str">
        <f>VLOOKUP(E87,ages_through_list!A:C,3)</f>
        <v>∞</v>
      </c>
      <c r="G87" s="8"/>
      <c r="H87" s="10"/>
      <c r="I87" s="8"/>
      <c r="J87" s="11">
        <f t="shared" si="1"/>
        <v>44712</v>
      </c>
      <c r="K87" s="58"/>
      <c r="L87" s="8"/>
    </row>
    <row r="88" spans="1:12">
      <c r="A88" s="7">
        <v>87</v>
      </c>
      <c r="B88" s="10" t="str">
        <f>VLOOKUP(A88,vaccines!A:B,2)</f>
        <v>cholera_NII_Microb</v>
      </c>
      <c r="C88" s="7">
        <v>9</v>
      </c>
      <c r="D88" s="8" t="str">
        <f>VLOOKUP(C88,ages_from_list!A:C,3)</f>
        <v>24 месяцев (2 лет)</v>
      </c>
      <c r="E88" s="7">
        <v>13</v>
      </c>
      <c r="F88" s="8" t="str">
        <f>VLOOKUP(E88,ages_through_list!A:C,3)</f>
        <v>∞</v>
      </c>
      <c r="G88" s="8"/>
      <c r="H88" s="10"/>
      <c r="I88" s="8"/>
      <c r="J88" s="11">
        <f t="shared" si="1"/>
        <v>44712</v>
      </c>
      <c r="K88" s="58"/>
      <c r="L88" s="8"/>
    </row>
    <row r="89" spans="1:12">
      <c r="A89" s="7">
        <v>88</v>
      </c>
      <c r="B89" s="10" t="str">
        <f>VLOOKUP(A89,vaccines!A:B,2)</f>
        <v>Vianvac</v>
      </c>
      <c r="C89" s="7">
        <v>10</v>
      </c>
      <c r="D89" s="8" t="str">
        <f>VLOOKUP(C89,ages_from_list!A:C,3)</f>
        <v>36 месяцев (3 лет)</v>
      </c>
      <c r="E89" s="7">
        <v>13</v>
      </c>
      <c r="F89" s="8" t="str">
        <f>VLOOKUP(E89,ages_through_list!A:C,3)</f>
        <v>∞</v>
      </c>
      <c r="G89" s="8"/>
      <c r="H89" s="10"/>
      <c r="I89" s="8"/>
      <c r="J89" s="11">
        <f t="shared" si="1"/>
        <v>44712</v>
      </c>
      <c r="K89" s="58"/>
      <c r="L89" s="8"/>
    </row>
    <row r="90" spans="1:12">
      <c r="A90" s="7">
        <v>89</v>
      </c>
      <c r="B90" s="10" t="str">
        <f>VLOOKUP(A90,vaccines!A:B,2)</f>
        <v>Typhivac</v>
      </c>
      <c r="C90" s="7">
        <v>18</v>
      </c>
      <c r="D90" s="8" t="str">
        <f>VLOOKUP(C90,ages_from_list!A:C,3)</f>
        <v>18 лет</v>
      </c>
      <c r="E90" s="7">
        <v>13</v>
      </c>
      <c r="F90" s="8" t="str">
        <f>VLOOKUP(E90,ages_through_list!A:C,3)</f>
        <v>∞</v>
      </c>
      <c r="G90" s="8"/>
      <c r="H90" s="10"/>
      <c r="I90" s="8"/>
      <c r="J90" s="11">
        <f t="shared" si="1"/>
        <v>44712</v>
      </c>
      <c r="K90" s="58"/>
      <c r="L90" s="8"/>
    </row>
    <row r="91" spans="1:12">
      <c r="A91" s="7">
        <v>90</v>
      </c>
      <c r="B91" s="10" t="str">
        <f>VLOOKUP(A91,vaccines!A:B,2)</f>
        <v>Shigellvac</v>
      </c>
      <c r="C91" s="7">
        <v>10</v>
      </c>
      <c r="D91" s="8" t="str">
        <f>VLOOKUP(C91,ages_from_list!A:C,3)</f>
        <v>36 месяцев (3 лет)</v>
      </c>
      <c r="E91" s="7">
        <v>13</v>
      </c>
      <c r="F91" s="8" t="str">
        <f>VLOOKUP(E91,ages_through_list!A:C,3)</f>
        <v>∞</v>
      </c>
      <c r="G91" s="8"/>
      <c r="H91" s="10"/>
      <c r="I91" s="8"/>
      <c r="J91" s="11">
        <f t="shared" si="1"/>
        <v>44712</v>
      </c>
      <c r="K91" s="58"/>
      <c r="L91" s="8"/>
    </row>
    <row r="92" spans="1:12">
      <c r="A92" s="7">
        <v>91</v>
      </c>
      <c r="B92" s="10" t="str">
        <f>VLOOKUP(A92,vaccines!A:B,2)</f>
        <v>CoviVac</v>
      </c>
      <c r="C92" s="7">
        <v>18</v>
      </c>
      <c r="D92" s="8" t="str">
        <f>VLOOKUP(C92,ages_from_list!A:C,3)</f>
        <v>18 лет</v>
      </c>
      <c r="E92" s="7">
        <v>13</v>
      </c>
      <c r="F92" s="8" t="str">
        <f>VLOOKUP(E92,ages_through_list!A:C,3)</f>
        <v>∞</v>
      </c>
      <c r="G92" s="8"/>
      <c r="H92" s="10"/>
      <c r="I92" s="8"/>
      <c r="J92" s="11">
        <f t="shared" si="1"/>
        <v>44712</v>
      </c>
      <c r="K92" s="58"/>
      <c r="L92" s="8"/>
    </row>
    <row r="93" spans="1:12">
      <c r="A93" s="7">
        <v>92</v>
      </c>
      <c r="B93" s="10" t="str">
        <f>VLOOKUP(A93,vaccines!A:B,2)</f>
        <v>Sputnik_light</v>
      </c>
      <c r="C93" s="7">
        <v>18</v>
      </c>
      <c r="D93" s="8" t="str">
        <f>VLOOKUP(C93,ages_from_list!A:C,3)</f>
        <v>18 лет</v>
      </c>
      <c r="E93" s="7">
        <v>13</v>
      </c>
      <c r="F93" s="8" t="str">
        <f>VLOOKUP(E93,ages_through_list!A:C,3)</f>
        <v>∞</v>
      </c>
      <c r="G93" s="8"/>
      <c r="H93" s="10"/>
      <c r="I93" s="8"/>
      <c r="J93" s="11">
        <f t="shared" si="1"/>
        <v>44712</v>
      </c>
      <c r="K93" s="58"/>
      <c r="L93" s="8"/>
    </row>
    <row r="94" spans="1:12">
      <c r="A94" s="7">
        <v>93</v>
      </c>
      <c r="B94" s="10" t="str">
        <f>VLOOKUP(A94,vaccines!A:B,2)</f>
        <v>Sputnik_M</v>
      </c>
      <c r="C94" s="7">
        <v>15</v>
      </c>
      <c r="D94" s="8" t="str">
        <f>VLOOKUP(C94,ages_from_list!A:C,3)</f>
        <v>12 лет</v>
      </c>
      <c r="E94" s="7">
        <v>6</v>
      </c>
      <c r="F94" s="8" t="str">
        <f>VLOOKUP(E94,ages_through_list!A:C,3)</f>
        <v>17 лет</v>
      </c>
      <c r="G94" s="8"/>
      <c r="H94" s="10"/>
      <c r="I94" s="8"/>
      <c r="J94" s="11">
        <f t="shared" si="1"/>
        <v>44712</v>
      </c>
      <c r="K94" s="58"/>
      <c r="L94" s="8"/>
    </row>
    <row r="95" spans="1:12">
      <c r="A95" s="7">
        <v>94</v>
      </c>
      <c r="B95" s="10" t="str">
        <f>VLOOKUP(A95,vaccines!A:B,2)</f>
        <v>Convacel</v>
      </c>
      <c r="C95" s="7">
        <v>18</v>
      </c>
      <c r="D95" s="8" t="str">
        <f>VLOOKUP(C95,ages_from_list!A:C,3)</f>
        <v>18 лет</v>
      </c>
      <c r="E95" s="7">
        <v>13</v>
      </c>
      <c r="F95" s="8" t="str">
        <f>VLOOKUP(E95,ages_through_list!A:C,3)</f>
        <v>∞</v>
      </c>
      <c r="G95" s="8"/>
      <c r="H95" s="10"/>
      <c r="I95" s="8"/>
      <c r="J95" s="11">
        <f t="shared" si="1"/>
        <v>44712</v>
      </c>
      <c r="K95" s="53">
        <v>45036</v>
      </c>
      <c r="L95" s="8"/>
    </row>
    <row r="96" spans="1:12">
      <c r="A96" s="7">
        <v>95</v>
      </c>
      <c r="B96" s="10" t="str">
        <f>VLOOKUP(A96,vaccines!A:B,2)</f>
        <v>Aurora</v>
      </c>
      <c r="C96" s="7">
        <v>18</v>
      </c>
      <c r="D96" s="8" t="str">
        <f>VLOOKUP(C96,ages_from_list!A:C,3)</f>
        <v>18 лет</v>
      </c>
      <c r="E96" s="7">
        <v>11</v>
      </c>
      <c r="F96" s="8" t="str">
        <f>VLOOKUP(E96,ages_through_list!A:C,3)</f>
        <v>60 лет</v>
      </c>
      <c r="G96" s="8"/>
      <c r="H96" s="10"/>
      <c r="I96" s="8"/>
      <c r="J96" s="11">
        <f t="shared" si="1"/>
        <v>44712</v>
      </c>
      <c r="K96" s="58"/>
      <c r="L96" s="8"/>
    </row>
    <row r="97" spans="1:12">
      <c r="A97" s="7">
        <v>96</v>
      </c>
      <c r="B97" s="10" t="str">
        <f>VLOOKUP(A97,vaccines!A:B,2)</f>
        <v>Rota_V_Aid</v>
      </c>
      <c r="C97" s="7">
        <v>2</v>
      </c>
      <c r="D97" s="8" t="str">
        <f>VLOOKUP(C97,ages_from_list!A:C,3)</f>
        <v>6 недель</v>
      </c>
      <c r="E97" s="54">
        <v>14</v>
      </c>
      <c r="F97" s="8" t="str">
        <f>VLOOKUP(E97,ages_through_list!A:C,3)</f>
        <v>24 месяцев (2 лет)</v>
      </c>
      <c r="G97" s="8"/>
      <c r="H97" s="10"/>
      <c r="I97" s="8"/>
      <c r="J97" s="11">
        <f t="shared" si="1"/>
        <v>44712</v>
      </c>
      <c r="K97" s="57">
        <v>45629</v>
      </c>
      <c r="L97" s="8"/>
    </row>
    <row r="98" spans="1:12">
      <c r="A98" s="7">
        <v>97</v>
      </c>
      <c r="B98" s="10" t="str">
        <f>VLOOKUP(A98,vaccines!A:B,2)</f>
        <v>Hib_Rostov</v>
      </c>
      <c r="C98" s="7">
        <v>4</v>
      </c>
      <c r="D98" s="8" t="str">
        <f>VLOOKUP(C98,ages_from_list!A:C,3)</f>
        <v>3 месяцев</v>
      </c>
      <c r="E98" s="7">
        <v>4</v>
      </c>
      <c r="F98" s="8" t="str">
        <f>VLOOKUP(E98,ages_through_list!A:C,3)</f>
        <v>5 лет</v>
      </c>
      <c r="G98" s="8"/>
      <c r="H98" s="10"/>
      <c r="I98" s="8"/>
      <c r="J98" s="11">
        <f t="shared" si="1"/>
        <v>44712</v>
      </c>
      <c r="K98" s="58"/>
      <c r="L98" s="8"/>
    </row>
    <row r="99" spans="1:12">
      <c r="A99" s="7">
        <v>98</v>
      </c>
      <c r="B99" s="10" t="str">
        <f>VLOOKUP(A99,vaccines!A:B,2)</f>
        <v>HepB_Combiotech_1_0</v>
      </c>
      <c r="C99" s="7">
        <v>22</v>
      </c>
      <c r="D99" s="8" t="str">
        <f>VLOOKUP(C99,ages_from_list!A:C,3)</f>
        <v>19 лет</v>
      </c>
      <c r="E99" s="7">
        <v>13</v>
      </c>
      <c r="F99" s="8" t="str">
        <f>VLOOKUP(E99,ages_through_list!A:C,3)</f>
        <v>∞</v>
      </c>
      <c r="G99" s="8"/>
      <c r="H99" s="10"/>
      <c r="I99" s="8"/>
      <c r="J99" s="11">
        <f t="shared" si="1"/>
        <v>44712</v>
      </c>
      <c r="K99" s="58"/>
      <c r="L99" s="8"/>
    </row>
    <row r="100" spans="1:12">
      <c r="A100" s="7">
        <v>99</v>
      </c>
      <c r="B100" s="10" t="str">
        <f>VLOOKUP(A100,vaccines!A:B,2)</f>
        <v>Regevac_1_0</v>
      </c>
      <c r="C100" s="7">
        <v>22</v>
      </c>
      <c r="D100" s="8" t="str">
        <f>VLOOKUP(C100,ages_from_list!A:C,3)</f>
        <v>19 лет</v>
      </c>
      <c r="E100" s="7">
        <v>13</v>
      </c>
      <c r="F100" s="8" t="str">
        <f>VLOOKUP(E100,ages_through_list!A:C,3)</f>
        <v>∞</v>
      </c>
      <c r="G100" s="8"/>
      <c r="H100" s="10"/>
      <c r="I100" s="8"/>
      <c r="J100" s="11">
        <f t="shared" si="1"/>
        <v>44712</v>
      </c>
      <c r="K100" s="58"/>
      <c r="L100" s="8"/>
    </row>
    <row r="101" spans="1:12">
      <c r="A101" s="7">
        <v>100</v>
      </c>
      <c r="B101" s="10" t="str">
        <f>VLOOKUP(A101,vaccines!A:B,2)</f>
        <v>Priorix_Tetra</v>
      </c>
      <c r="C101" s="7">
        <v>7</v>
      </c>
      <c r="D101" s="8" t="str">
        <f>VLOOKUP(C101,ages_from_list!A:C,3)</f>
        <v>9 месяцев</v>
      </c>
      <c r="E101" s="7">
        <v>13</v>
      </c>
      <c r="F101" s="8" t="str">
        <f>VLOOKUP(E101,ages_through_list!A:C,3)</f>
        <v>∞</v>
      </c>
      <c r="G101" s="8"/>
      <c r="H101" s="10"/>
      <c r="I101" s="8"/>
      <c r="J101" s="11">
        <f t="shared" si="1"/>
        <v>44712</v>
      </c>
      <c r="K101" s="53">
        <v>45079</v>
      </c>
      <c r="L101" s="8"/>
    </row>
    <row r="102" spans="1:12">
      <c r="A102" s="7">
        <v>101</v>
      </c>
      <c r="B102" s="10" t="str">
        <f>VLOOKUP(A102,vaccines!A:B,2)</f>
        <v>Menveo</v>
      </c>
      <c r="C102" s="7">
        <v>3</v>
      </c>
      <c r="D102" s="8" t="str">
        <f>VLOOKUP(C102,ages_from_list!A:C,3)</f>
        <v>2 месяцев</v>
      </c>
      <c r="E102" s="7">
        <v>13</v>
      </c>
      <c r="F102" s="8" t="str">
        <f>VLOOKUP(E102,ages_through_list!A:C,3)</f>
        <v>∞</v>
      </c>
      <c r="G102" s="8"/>
      <c r="H102" s="10"/>
      <c r="I102" s="8"/>
      <c r="J102" s="11">
        <f t="shared" si="1"/>
        <v>44712</v>
      </c>
      <c r="K102" s="53">
        <v>45079</v>
      </c>
      <c r="L102" s="8"/>
    </row>
    <row r="103" spans="1:12">
      <c r="A103" s="7">
        <v>102</v>
      </c>
      <c r="B103" s="10" t="str">
        <f>VLOOKUP(A103,vaccines!A:B,2)</f>
        <v>Sputnik_intranasal</v>
      </c>
      <c r="C103" s="7">
        <v>18</v>
      </c>
      <c r="D103" s="8" t="str">
        <f>VLOOKUP(C103,ages_from_list!A:C,3)</f>
        <v>18 лет</v>
      </c>
      <c r="E103" s="7">
        <v>13</v>
      </c>
      <c r="F103" s="8" t="str">
        <f>VLOOKUP(E103,ages_through_list!A:C,3)</f>
        <v>∞</v>
      </c>
      <c r="G103" s="8"/>
      <c r="H103" s="10"/>
      <c r="I103" s="8"/>
      <c r="J103" s="11">
        <f t="shared" si="1"/>
        <v>44712</v>
      </c>
      <c r="K103" s="58"/>
      <c r="L103" s="8"/>
    </row>
    <row r="104" spans="1:12">
      <c r="A104" s="7">
        <v>103</v>
      </c>
      <c r="B104" s="10" t="str">
        <f>VLOOKUP(A104,vaccines!A:B,2)</f>
        <v>Grippol_plus_0_25</v>
      </c>
      <c r="C104" s="7">
        <v>5</v>
      </c>
      <c r="D104" s="8" t="str">
        <f>VLOOKUP(C104,ages_from_list!A:C,3)</f>
        <v>6 месяцев</v>
      </c>
      <c r="E104" s="7">
        <v>19</v>
      </c>
      <c r="F104" s="8" t="str">
        <f>VLOOKUP(E104,ages_through_list!A:C,3)</f>
        <v>35 месяцев (2 лет 11 месяцев)</v>
      </c>
      <c r="G104" s="8"/>
      <c r="H104" s="10"/>
      <c r="I104" s="8"/>
      <c r="J104" s="11">
        <f t="shared" si="1"/>
        <v>44712</v>
      </c>
      <c r="K104" s="58"/>
      <c r="L104" s="8"/>
    </row>
    <row r="105" spans="1:12">
      <c r="A105" s="7">
        <v>104</v>
      </c>
      <c r="B105" s="10" t="str">
        <f>VLOOKUP(A105,vaccines!A:B,2)</f>
        <v>Flu_M_Tetra</v>
      </c>
      <c r="C105" s="54">
        <v>5</v>
      </c>
      <c r="D105" s="8" t="str">
        <f>VLOOKUP(C105,ages_from_list!A:C,3)</f>
        <v>6 месяцев</v>
      </c>
      <c r="E105" s="7">
        <v>13</v>
      </c>
      <c r="F105" s="8" t="str">
        <f>VLOOKUP(E105,ages_through_list!A:C,3)</f>
        <v>∞</v>
      </c>
      <c r="G105" s="8"/>
      <c r="H105" s="10"/>
      <c r="I105" s="8"/>
      <c r="J105" s="11">
        <f t="shared" si="1"/>
        <v>44712</v>
      </c>
      <c r="K105" s="52">
        <v>45510</v>
      </c>
      <c r="L105" s="8"/>
    </row>
    <row r="106" spans="1:12">
      <c r="A106" s="7">
        <v>105</v>
      </c>
      <c r="B106" s="10" t="str">
        <f>VLOOKUP(A106,vaccines!A:B,2)</f>
        <v>Vaxigrip_Tetra</v>
      </c>
      <c r="C106" s="7">
        <v>5</v>
      </c>
      <c r="D106" s="8" t="str">
        <f>VLOOKUP(C106,ages_from_list!A:C,3)</f>
        <v>6 месяцев</v>
      </c>
      <c r="E106" s="7">
        <v>13</v>
      </c>
      <c r="F106" s="8" t="str">
        <f>VLOOKUP(E106,ages_through_list!A:C,3)</f>
        <v>∞</v>
      </c>
      <c r="G106" s="8"/>
      <c r="H106" s="10"/>
      <c r="I106" s="8"/>
      <c r="J106" s="11">
        <f t="shared" si="1"/>
        <v>44712</v>
      </c>
      <c r="K106" s="53">
        <v>45079</v>
      </c>
      <c r="L106" s="8"/>
    </row>
    <row r="107" spans="1:12">
      <c r="A107" s="7">
        <v>106</v>
      </c>
      <c r="B107" s="10" t="str">
        <f>VLOOKUP(A107,vaccines!A:B,2)</f>
        <v>Ocavax</v>
      </c>
      <c r="C107" s="7">
        <v>8</v>
      </c>
      <c r="D107" s="8" t="str">
        <f>VLOOKUP(C107,ages_from_list!A:C,3)</f>
        <v>12 месяцев</v>
      </c>
      <c r="E107" s="7">
        <v>13</v>
      </c>
      <c r="F107" s="8" t="str">
        <f>VLOOKUP(E107,ages_through_list!A:C,3)</f>
        <v>∞</v>
      </c>
      <c r="G107" s="8"/>
      <c r="H107" s="10"/>
      <c r="I107" s="8"/>
      <c r="J107" s="11">
        <v>44902</v>
      </c>
      <c r="K107" s="53">
        <v>45079</v>
      </c>
      <c r="L107" s="8"/>
    </row>
    <row r="108" spans="1:12">
      <c r="A108" s="7">
        <v>107</v>
      </c>
      <c r="B108" s="10" t="str">
        <f>VLOOKUP(A108,vaccines!A:B,2)</f>
        <v>Pneumo_23</v>
      </c>
      <c r="C108" s="7">
        <v>9</v>
      </c>
      <c r="D108" s="8" t="str">
        <f>VLOOKUP(C108,ages_from_list!A:C,3)</f>
        <v>24 месяцев (2 лет)</v>
      </c>
      <c r="E108" s="7">
        <v>13</v>
      </c>
      <c r="F108" s="8" t="str">
        <f>VLOOKUP(E108,ages_through_list!A:C,3)</f>
        <v>∞</v>
      </c>
      <c r="G108" s="8"/>
      <c r="H108" s="10"/>
      <c r="I108" s="8"/>
      <c r="J108" s="11">
        <v>44902</v>
      </c>
      <c r="K108" s="53">
        <v>45079</v>
      </c>
      <c r="L108" s="8"/>
    </row>
    <row r="109" spans="1:12">
      <c r="A109" s="7">
        <v>108</v>
      </c>
      <c r="B109" s="10" t="str">
        <f>VLOOKUP(A109,vaccines!A:B,2)</f>
        <v>Varivax</v>
      </c>
      <c r="C109" s="7">
        <v>8</v>
      </c>
      <c r="D109" s="8" t="str">
        <f>VLOOKUP(C109,ages_from_list!A:C,3)</f>
        <v>12 месяцев</v>
      </c>
      <c r="E109" s="7">
        <v>13</v>
      </c>
      <c r="F109" s="8" t="str">
        <f>VLOOKUP(E109,ages_through_list!A:C,3)</f>
        <v>∞</v>
      </c>
      <c r="G109" s="8"/>
      <c r="H109" s="10"/>
      <c r="I109" s="8"/>
      <c r="J109" s="11">
        <v>44902</v>
      </c>
      <c r="K109" s="58"/>
      <c r="L109" s="8"/>
    </row>
    <row r="110" spans="1:12">
      <c r="A110" s="7">
        <v>109</v>
      </c>
      <c r="B110" s="10" t="str">
        <f>VLOOKUP(A110,vaccines!A:B,2)</f>
        <v>Pneumotex</v>
      </c>
      <c r="C110" s="7">
        <v>3</v>
      </c>
      <c r="D110" s="8" t="str">
        <f>VLOOKUP(C110,ages_from_list!A:C,3)</f>
        <v>2 месяцев</v>
      </c>
      <c r="E110" s="7">
        <v>13</v>
      </c>
      <c r="F110" s="8" t="str">
        <f>VLOOKUP(E110,ages_through_list!A:C,3)</f>
        <v>∞</v>
      </c>
      <c r="G110" s="8"/>
      <c r="H110" s="10"/>
      <c r="I110" s="8"/>
      <c r="J110" s="11">
        <v>45063</v>
      </c>
      <c r="K110" s="58"/>
      <c r="L110" s="8"/>
    </row>
    <row r="111" spans="1:12">
      <c r="A111" s="7">
        <v>110</v>
      </c>
      <c r="B111" s="10" t="str">
        <f>VLOOKUP(A111,vaccines!A:B,2)</f>
        <v>Priorix</v>
      </c>
      <c r="C111" s="7">
        <v>8</v>
      </c>
      <c r="D111" s="8" t="str">
        <f>VLOOKUP(C111,ages_from_list!A:C,3)</f>
        <v>12 месяцев</v>
      </c>
      <c r="E111" s="7">
        <v>13</v>
      </c>
      <c r="F111" s="8" t="str">
        <f>VLOOKUP(E111,ages_through_list!A:C,3)</f>
        <v>∞</v>
      </c>
      <c r="G111" s="8"/>
      <c r="H111" s="10"/>
      <c r="I111" s="8"/>
      <c r="J111" s="11">
        <v>45079</v>
      </c>
      <c r="K111" s="58"/>
      <c r="L111" s="8"/>
    </row>
    <row r="112" spans="1:12">
      <c r="A112" s="7">
        <v>111</v>
      </c>
      <c r="B112" s="10" t="str">
        <f>VLOOKUP(A112,vaccines!A:B,2)</f>
        <v>MenQuadfi</v>
      </c>
      <c r="C112" s="54">
        <v>2</v>
      </c>
      <c r="D112" s="8" t="str">
        <f>VLOOKUP(C112,ages_from_list!A:C,3)</f>
        <v>6 недель</v>
      </c>
      <c r="E112" s="7">
        <v>13</v>
      </c>
      <c r="F112" s="8" t="str">
        <f>VLOOKUP(E112,ages_through_list!A:C,3)</f>
        <v>∞</v>
      </c>
      <c r="G112" s="8"/>
      <c r="H112" s="10"/>
      <c r="I112" s="8"/>
      <c r="J112" s="11">
        <v>45083</v>
      </c>
      <c r="K112" s="57">
        <v>45818</v>
      </c>
      <c r="L112" s="8"/>
    </row>
    <row r="113" spans="1:12">
      <c r="A113" s="7">
        <v>112</v>
      </c>
      <c r="B113" s="10" t="str">
        <f>VLOOKUP(A113,vaccines!A:B,2)</f>
        <v>Bexsero</v>
      </c>
      <c r="C113" s="7">
        <v>3</v>
      </c>
      <c r="D113" s="8" t="str">
        <f>VLOOKUP(C113,ages_from_list!A:C,3)</f>
        <v>2 месяцев</v>
      </c>
      <c r="E113" s="7">
        <v>13</v>
      </c>
      <c r="F113" s="8" t="str">
        <f>VLOOKUP(E113,ages_through_list!A:C,3)</f>
        <v>∞</v>
      </c>
      <c r="G113" s="8"/>
      <c r="H113" s="10"/>
      <c r="I113" s="8"/>
      <c r="J113" s="11">
        <v>45083</v>
      </c>
      <c r="K113" s="58"/>
      <c r="L113" s="8"/>
    </row>
    <row r="114" spans="1:12">
      <c r="A114" s="7">
        <v>113</v>
      </c>
      <c r="B114" s="10" t="str">
        <f>VLOOKUP(A114,vaccines!A:B,2)</f>
        <v>Sputnik_D</v>
      </c>
      <c r="C114" s="7">
        <v>12</v>
      </c>
      <c r="D114" s="8" t="str">
        <f>VLOOKUP(C114,ages_from_list!A:C,3)</f>
        <v>6 лет</v>
      </c>
      <c r="E114" s="7">
        <v>23</v>
      </c>
      <c r="F114" s="8" t="str">
        <f>VLOOKUP(E114,ages_through_list!A:C,3)</f>
        <v>11 лет</v>
      </c>
      <c r="G114" s="8"/>
      <c r="H114" s="10"/>
      <c r="I114" s="8"/>
      <c r="J114" s="11">
        <v>45083</v>
      </c>
      <c r="K114" s="58"/>
      <c r="L114" s="8"/>
    </row>
    <row r="115" spans="1:12">
      <c r="A115" s="7">
        <v>114</v>
      </c>
      <c r="B115" s="10" t="str">
        <f>VLOOKUP(A115,vaccines!A:B,2)</f>
        <v>Encepur_0_25</v>
      </c>
      <c r="C115" s="7">
        <v>8</v>
      </c>
      <c r="D115" s="8" t="str">
        <f>VLOOKUP(C115,ages_from_list!A:C,3)</f>
        <v>12 месяцев</v>
      </c>
      <c r="E115" s="7">
        <v>23</v>
      </c>
      <c r="F115" s="8" t="str">
        <f>VLOOKUP(E115,ages_through_list!A:C,3)</f>
        <v>11 лет</v>
      </c>
      <c r="G115" s="8"/>
      <c r="H115" s="10"/>
      <c r="I115" s="8"/>
      <c r="J115" s="11">
        <v>45083</v>
      </c>
      <c r="K115" s="58"/>
      <c r="L115" s="8"/>
    </row>
    <row r="116" spans="1:12">
      <c r="A116" s="7">
        <v>115</v>
      </c>
      <c r="B116" s="10" t="str">
        <f>VLOOKUP(A116,vaccines!A:B,2)</f>
        <v>Encepur_0_5</v>
      </c>
      <c r="C116" s="7">
        <v>15</v>
      </c>
      <c r="D116" s="8" t="str">
        <f>VLOOKUP(C116,ages_from_list!A:C,3)</f>
        <v>12 лет</v>
      </c>
      <c r="E116" s="7">
        <v>13</v>
      </c>
      <c r="F116" s="8" t="str">
        <f>VLOOKUP(E116,ages_through_list!A:C,3)</f>
        <v>∞</v>
      </c>
      <c r="G116" s="8"/>
      <c r="H116" s="10"/>
      <c r="I116" s="8"/>
      <c r="J116" s="11">
        <v>45083</v>
      </c>
      <c r="K116" s="58"/>
      <c r="L116" s="8"/>
    </row>
    <row r="117" spans="1:12">
      <c r="A117" s="7">
        <v>116</v>
      </c>
      <c r="B117" s="10" t="str">
        <f>VLOOKUP(A117,vaccines!A:B,2)</f>
        <v>Poliovaccine</v>
      </c>
      <c r="C117" s="54">
        <v>4</v>
      </c>
      <c r="D117" s="8" t="str">
        <f>VLOOKUP(C117,ages_from_list!A:C,3)</f>
        <v>3 месяцев</v>
      </c>
      <c r="E117" s="7">
        <v>13</v>
      </c>
      <c r="F117" s="8" t="str">
        <f>VLOOKUP(E117,ages_through_list!A:C,3)</f>
        <v>∞</v>
      </c>
      <c r="G117" s="8"/>
      <c r="H117" s="10"/>
      <c r="I117" s="8"/>
      <c r="J117" s="11">
        <v>45083</v>
      </c>
      <c r="K117" s="57">
        <v>45581</v>
      </c>
      <c r="L117" s="8"/>
    </row>
    <row r="118" spans="1:12">
      <c r="A118" s="7">
        <v>117</v>
      </c>
      <c r="B118" s="10" t="str">
        <f>VLOOKUP(A118,vaccines!A:B,2)</f>
        <v>Act_Hib</v>
      </c>
      <c r="C118" s="7">
        <v>4</v>
      </c>
      <c r="D118" s="8" t="str">
        <f>VLOOKUP(C118,ages_from_list!A:C,3)</f>
        <v>3 месяцев</v>
      </c>
      <c r="E118" s="7">
        <v>4</v>
      </c>
      <c r="F118" s="8" t="str">
        <f>VLOOKUP(E118,ages_through_list!A:C,3)</f>
        <v>5 лет</v>
      </c>
      <c r="G118" s="8"/>
      <c r="H118" s="10"/>
      <c r="I118" s="8"/>
      <c r="J118" s="11">
        <v>45084</v>
      </c>
      <c r="K118" s="58"/>
      <c r="L118" s="8"/>
    </row>
    <row r="119" spans="1:12">
      <c r="A119" s="7">
        <v>118</v>
      </c>
      <c r="B119" s="10" t="str">
        <f>VLOOKUP(A119,vaccines!A:B,2)</f>
        <v>Hiberix</v>
      </c>
      <c r="C119" s="7">
        <v>4</v>
      </c>
      <c r="D119" s="8" t="str">
        <f>VLOOKUP(C119,ages_from_list!A:C,3)</f>
        <v>3 месяцев</v>
      </c>
      <c r="E119" s="7">
        <v>4</v>
      </c>
      <c r="F119" s="8" t="str">
        <f>VLOOKUP(E119,ages_through_list!A:C,3)</f>
        <v>5 лет</v>
      </c>
      <c r="G119" s="8"/>
      <c r="H119" s="10"/>
      <c r="I119" s="8"/>
      <c r="J119" s="11">
        <v>45085</v>
      </c>
      <c r="K119" s="58"/>
      <c r="L119" s="8"/>
    </row>
    <row r="120" spans="1:12">
      <c r="A120" s="7">
        <v>119</v>
      </c>
      <c r="B120" s="10" t="str">
        <f>VLOOKUP(A120,vaccines!A:B,2)</f>
        <v>FSME_Immun_Junior</v>
      </c>
      <c r="C120" s="7">
        <v>8</v>
      </c>
      <c r="D120" s="8" t="str">
        <f>VLOOKUP(C120,ages_from_list!A:C,3)</f>
        <v>12 месяцев</v>
      </c>
      <c r="E120" s="7">
        <v>5</v>
      </c>
      <c r="F120" s="8" t="str">
        <f>VLOOKUP(E120,ages_through_list!A:C,3)</f>
        <v>15 лет</v>
      </c>
      <c r="G120" s="8"/>
      <c r="H120" s="10"/>
      <c r="I120" s="8"/>
      <c r="J120" s="11">
        <v>45085</v>
      </c>
      <c r="K120" s="58"/>
      <c r="L120" s="8"/>
    </row>
    <row r="121" spans="1:12">
      <c r="A121" s="7">
        <v>120</v>
      </c>
      <c r="B121" s="10" t="str">
        <f>VLOOKUP(A121,vaccines!A:B,2)</f>
        <v>FSME_Immun</v>
      </c>
      <c r="C121" s="7">
        <v>17</v>
      </c>
      <c r="D121" s="8" t="str">
        <f>VLOOKUP(C121,ages_from_list!A:C,3)</f>
        <v>16 лет</v>
      </c>
      <c r="E121" s="7">
        <v>13</v>
      </c>
      <c r="F121" s="8" t="str">
        <f>VLOOKUP(E121,ages_through_list!A:C,3)</f>
        <v>∞</v>
      </c>
      <c r="G121" s="8"/>
      <c r="H121" s="10"/>
      <c r="I121" s="8"/>
      <c r="J121" s="11">
        <v>45085</v>
      </c>
      <c r="K121" s="58"/>
      <c r="L121" s="8"/>
    </row>
    <row r="122" spans="1:12">
      <c r="A122" s="7">
        <v>121</v>
      </c>
      <c r="B122" s="10" t="str">
        <f>VLOOKUP(A122,vaccines!A:B,2)</f>
        <v>SciBiVac</v>
      </c>
      <c r="C122" s="7">
        <v>18</v>
      </c>
      <c r="D122" s="8" t="str">
        <f>VLOOKUP(C122,ages_from_list!A:C,3)</f>
        <v>18 лет</v>
      </c>
      <c r="E122" s="7">
        <v>13</v>
      </c>
      <c r="F122" s="8" t="str">
        <f>VLOOKUP(E122,ages_through_list!A:C,3)</f>
        <v>∞</v>
      </c>
      <c r="G122" s="8"/>
      <c r="H122" s="10"/>
      <c r="I122" s="8"/>
      <c r="J122" s="11">
        <v>45085</v>
      </c>
      <c r="K122" s="58"/>
      <c r="L122" s="8"/>
    </row>
    <row r="123" spans="1:12">
      <c r="A123" s="7">
        <v>122</v>
      </c>
      <c r="B123" s="10" t="str">
        <f>VLOOKUP(A123,vaccines!A:B,2)</f>
        <v>Pentavaccina</v>
      </c>
      <c r="C123" s="7">
        <v>5</v>
      </c>
      <c r="D123" s="8" t="str">
        <f>VLOOKUP(C123,ages_from_list!A:C,3)</f>
        <v>6 месяцев</v>
      </c>
      <c r="E123" s="54">
        <v>24</v>
      </c>
      <c r="F123" s="8" t="str">
        <f>VLOOKUP(E123,ages_through_list!A:C,3)</f>
        <v>6 месяцев</v>
      </c>
      <c r="G123" s="8"/>
      <c r="H123" s="10"/>
      <c r="I123" s="8"/>
      <c r="J123" s="11">
        <v>45105</v>
      </c>
      <c r="K123" s="57">
        <v>45460</v>
      </c>
      <c r="L123" s="8"/>
    </row>
    <row r="124" spans="1:12">
      <c r="A124" s="29">
        <v>123</v>
      </c>
      <c r="B124" s="10" t="str">
        <f>VLOOKUP(A124,vaccines!A:B,2)</f>
        <v>Vitagerpavac</v>
      </c>
      <c r="C124" s="29">
        <v>18</v>
      </c>
      <c r="D124" s="8" t="str">
        <f>VLOOKUP(C124,ages_from_list!A:C,3)</f>
        <v>18 лет</v>
      </c>
      <c r="E124" s="29">
        <v>13</v>
      </c>
      <c r="F124" s="8" t="str">
        <f>VLOOKUP(E124,ages_through_list!A:C,3)</f>
        <v>∞</v>
      </c>
      <c r="H124" s="6"/>
      <c r="J124" s="40">
        <v>45169</v>
      </c>
    </row>
    <row r="125" spans="1:12">
      <c r="A125" s="29">
        <v>124</v>
      </c>
      <c r="B125" s="10" t="str">
        <f>VLOOKUP(A125,vaccines!A:B,2)</f>
        <v>Shingrix</v>
      </c>
      <c r="C125" s="29">
        <v>18</v>
      </c>
      <c r="D125" s="8" t="str">
        <f>VLOOKUP(C125,ages_from_list!A:C,3)</f>
        <v>18 лет</v>
      </c>
      <c r="E125" s="29">
        <v>13</v>
      </c>
      <c r="F125" s="8" t="str">
        <f>VLOOKUP(E125,ages_through_list!A:C,3)</f>
        <v>∞</v>
      </c>
      <c r="H125" s="6"/>
      <c r="J125" s="40">
        <v>45377</v>
      </c>
    </row>
    <row r="126" spans="1:12">
      <c r="A126" s="29">
        <v>125</v>
      </c>
      <c r="B126" s="10" t="str">
        <f>VLOOKUP(A126,vaccines!A:B,2)</f>
        <v>Trivaid</v>
      </c>
      <c r="C126" s="29">
        <v>8</v>
      </c>
      <c r="D126" s="8" t="str">
        <f>VLOOKUP(C126,ages_from_list!A:C,3)</f>
        <v>12 месяцев</v>
      </c>
      <c r="E126" s="29">
        <v>13</v>
      </c>
      <c r="F126" s="8" t="str">
        <f>VLOOKUP(E126,ages_through_list!A:C,3)</f>
        <v>∞</v>
      </c>
      <c r="H126" s="6"/>
      <c r="J126" s="40">
        <v>45436</v>
      </c>
    </row>
    <row r="127" spans="1:12">
      <c r="A127" s="29">
        <v>126</v>
      </c>
      <c r="B127" s="10" t="str">
        <f>VLOOKUP(A127,vaccines!A:B,2)</f>
        <v>BabyHib</v>
      </c>
      <c r="C127" s="29">
        <v>4</v>
      </c>
      <c r="D127" s="8" t="str">
        <f>VLOOKUP(C127,ages_from_list!A:C,3)</f>
        <v>3 месяцев</v>
      </c>
      <c r="E127" s="29">
        <v>4</v>
      </c>
      <c r="F127" s="8" t="str">
        <f>VLOOKUP(E127,ages_through_list!A:C,3)</f>
        <v>5 лет</v>
      </c>
      <c r="H127" s="6"/>
      <c r="J127" s="40">
        <v>45436</v>
      </c>
    </row>
    <row r="128" spans="1:12">
      <c r="A128" s="29">
        <v>127</v>
      </c>
      <c r="B128" s="10" t="str">
        <f>VLOOKUP(A128,vaccines!A:B,2)</f>
        <v>AD_M_Biomed</v>
      </c>
      <c r="C128" s="29">
        <v>12</v>
      </c>
      <c r="D128" s="8" t="str">
        <f>VLOOKUP(C128,ages_from_list!A:C,3)</f>
        <v>6 лет</v>
      </c>
      <c r="E128" s="29">
        <v>13</v>
      </c>
      <c r="F128" s="8" t="str">
        <f>VLOOKUP(E128,ages_through_list!A:C,3)</f>
        <v>∞</v>
      </c>
      <c r="H128" s="6"/>
      <c r="J128" s="40">
        <v>45461</v>
      </c>
    </row>
    <row r="129" spans="1:10">
      <c r="A129" s="29">
        <v>128</v>
      </c>
      <c r="B129" s="10" t="str">
        <f>VLOOKUP(A129,vaccines!A:B,2)</f>
        <v>AS_D_Microgen</v>
      </c>
      <c r="C129" s="29">
        <v>18</v>
      </c>
      <c r="D129" s="8" t="str">
        <f>VLOOKUP(C129,ages_from_list!A:C,3)</f>
        <v>18 лет</v>
      </c>
      <c r="E129" s="29">
        <v>13</v>
      </c>
      <c r="F129" s="8" t="str">
        <f>VLOOKUP(E129,ages_through_list!A:C,3)</f>
        <v>∞</v>
      </c>
      <c r="H129" s="6"/>
      <c r="J129" s="40">
        <v>45461</v>
      </c>
    </row>
    <row r="130" spans="1:10">
      <c r="A130" s="29">
        <v>129</v>
      </c>
      <c r="B130" s="10" t="str">
        <f>VLOOKUP(A130,vaccines!A:B,2)</f>
        <v>Variola</v>
      </c>
      <c r="C130" s="29">
        <v>18</v>
      </c>
      <c r="D130" s="8" t="str">
        <f>VLOOKUP(C130,ages_from_list!A:C,3)</f>
        <v>18 лет</v>
      </c>
      <c r="E130" s="29">
        <v>13</v>
      </c>
      <c r="F130" s="8" t="str">
        <f>VLOOKUP(E130,ages_through_list!A:C,3)</f>
        <v>∞</v>
      </c>
      <c r="H130" s="6"/>
      <c r="J130" s="40">
        <v>45461</v>
      </c>
    </row>
    <row r="131" spans="1:10">
      <c r="A131" s="29">
        <v>130</v>
      </c>
      <c r="B131" s="10" t="str">
        <f>VLOOKUP(A131,vaccines!A:B,2)</f>
        <v>AKDS_HepB_Microgen</v>
      </c>
      <c r="C131" s="29">
        <v>4</v>
      </c>
      <c r="D131" s="8" t="str">
        <f>VLOOKUP(C131,ages_from_list!A:C,3)</f>
        <v>3 месяцев</v>
      </c>
      <c r="E131" s="29">
        <v>3</v>
      </c>
      <c r="F131" s="8" t="str">
        <f>VLOOKUP(E131,ages_through_list!A:C,3)</f>
        <v>3 лет 11 месяцев</v>
      </c>
      <c r="H131" s="6"/>
      <c r="J131" s="40">
        <v>45464</v>
      </c>
    </row>
    <row r="132" spans="1:10">
      <c r="A132" s="29">
        <v>131</v>
      </c>
      <c r="B132" s="10" t="str">
        <f>VLOOKUP(A132,vaccines!A:B,2)</f>
        <v>Rickettsia</v>
      </c>
      <c r="C132" s="29">
        <v>18</v>
      </c>
      <c r="D132" s="8" t="str">
        <f>VLOOKUP(C132,ages_from_list!A:C,3)</f>
        <v>18 лет</v>
      </c>
      <c r="E132" s="29">
        <v>11</v>
      </c>
      <c r="F132" s="8" t="str">
        <f>VLOOKUP(E132,ages_through_list!A:C,3)</f>
        <v>60 лет</v>
      </c>
      <c r="H132" s="6"/>
      <c r="J132" s="40">
        <v>45464</v>
      </c>
    </row>
    <row r="133" spans="1:10">
      <c r="A133" s="29">
        <v>132</v>
      </c>
      <c r="B133" s="10" t="str">
        <f>VLOOKUP(A133,vaccines!A:B,2)</f>
        <v>OspaVir</v>
      </c>
      <c r="C133" s="29">
        <v>9</v>
      </c>
      <c r="D133" s="8" t="str">
        <f>VLOOKUP(C133,ages_from_list!A:C,3)</f>
        <v>24 месяцев (2 лет)</v>
      </c>
      <c r="E133" s="29">
        <v>13</v>
      </c>
      <c r="F133" s="8" t="str">
        <f>VLOOKUP(E133,ages_through_list!A:C,3)</f>
        <v>∞</v>
      </c>
      <c r="H133" s="6"/>
      <c r="J133" s="40">
        <v>45464</v>
      </c>
    </row>
    <row r="134" spans="1:10">
      <c r="A134" s="29">
        <v>133</v>
      </c>
      <c r="B134" s="10" t="str">
        <f>VLOOKUP(A134,vaccines!A:B,2)</f>
        <v>Gonovaccina_therapeutic</v>
      </c>
      <c r="C134" s="29">
        <v>10</v>
      </c>
      <c r="D134" s="8" t="str">
        <f>VLOOKUP(C134,ages_from_list!A:C,3)</f>
        <v>36 месяцев (3 лет)</v>
      </c>
      <c r="E134" s="29">
        <v>13</v>
      </c>
      <c r="F134" s="8" t="str">
        <f>VLOOKUP(E134,ages_through_list!A:C,3)</f>
        <v>∞</v>
      </c>
      <c r="H134" s="6"/>
      <c r="J134" s="40">
        <v>45464</v>
      </c>
    </row>
    <row r="135" spans="1:10">
      <c r="A135" s="29">
        <v>134</v>
      </c>
      <c r="B135" s="10" t="str">
        <f>VLOOKUP(A135,vaccines!A:B,2)</f>
        <v>OrtopoxVac</v>
      </c>
      <c r="C135" s="29">
        <v>18</v>
      </c>
      <c r="D135" s="8" t="str">
        <f>VLOOKUP(C135,ages_from_list!A:C,3)</f>
        <v>18 лет</v>
      </c>
      <c r="E135" s="29">
        <v>11</v>
      </c>
      <c r="F135" s="8" t="str">
        <f>VLOOKUP(E135,ages_through_list!A:C,3)</f>
        <v>60 лет</v>
      </c>
      <c r="H135" s="6"/>
      <c r="J135" s="40">
        <v>45465</v>
      </c>
    </row>
    <row r="136" spans="1:10">
      <c r="A136" s="29">
        <v>135</v>
      </c>
      <c r="B136" s="10" t="str">
        <f>VLOOKUP(A136,vaccines!A:B,2)</f>
        <v>FlexVac</v>
      </c>
      <c r="C136" s="29">
        <v>18</v>
      </c>
      <c r="D136" s="8" t="str">
        <f>VLOOKUP(C136,ages_from_list!A:C,3)</f>
        <v>18 лет</v>
      </c>
      <c r="E136" s="29">
        <v>13</v>
      </c>
      <c r="F136" s="8" t="str">
        <f>VLOOKUP(E136,ages_through_list!A:C,3)</f>
        <v>∞</v>
      </c>
      <c r="H136" s="6"/>
      <c r="J136" s="40">
        <v>45465</v>
      </c>
    </row>
    <row r="137" spans="1:10">
      <c r="A137" s="29">
        <v>136</v>
      </c>
      <c r="B137" s="10" t="str">
        <f>VLOOKUP(A137,vaccines!A:B,2)</f>
        <v>SinSaVac</v>
      </c>
      <c r="C137" s="29">
        <v>7</v>
      </c>
      <c r="D137" s="8" t="str">
        <f>VLOOKUP(C137,ages_from_list!A:C,3)</f>
        <v>9 месяцев</v>
      </c>
      <c r="E137" s="29">
        <v>13</v>
      </c>
      <c r="F137" s="8" t="str">
        <f>VLOOKUP(E137,ages_through_list!A:C,3)</f>
        <v>∞</v>
      </c>
      <c r="H137" s="6"/>
      <c r="J137" s="40">
        <v>45465</v>
      </c>
    </row>
    <row r="138" spans="1:10">
      <c r="A138" s="29">
        <v>138</v>
      </c>
      <c r="B138" s="10" t="str">
        <f>VLOOKUP(A138,vaccines!A:B,2)</f>
        <v>EpiVacEbola</v>
      </c>
      <c r="C138" s="29">
        <v>18</v>
      </c>
      <c r="D138" s="8" t="str">
        <f>VLOOKUP(C138,ages_from_list!A:C,3)</f>
        <v>18 лет</v>
      </c>
      <c r="E138" s="29">
        <v>13</v>
      </c>
      <c r="F138" s="8" t="str">
        <f>VLOOKUP(E138,ages_through_list!A:C,3)</f>
        <v>∞</v>
      </c>
      <c r="H138" s="6"/>
      <c r="J138" s="40">
        <v>45465</v>
      </c>
    </row>
    <row r="139" spans="1:10">
      <c r="A139" s="29">
        <v>139</v>
      </c>
      <c r="B139" s="10" t="str">
        <f>VLOOKUP(A139,vaccines!A:B,2)</f>
        <v>GamEvac_Combi</v>
      </c>
      <c r="C139" s="29">
        <v>18</v>
      </c>
      <c r="D139" s="8" t="str">
        <f>VLOOKUP(C139,ages_from_list!A:C,3)</f>
        <v>18 лет</v>
      </c>
      <c r="E139" s="29">
        <v>13</v>
      </c>
      <c r="F139" s="8" t="str">
        <f>VLOOKUP(E139,ages_through_list!A:C,3)</f>
        <v>∞</v>
      </c>
      <c r="H139" s="6"/>
      <c r="J139" s="40">
        <v>46131</v>
      </c>
    </row>
    <row r="140" spans="1:10">
      <c r="A140" s="29">
        <v>141</v>
      </c>
      <c r="B140" s="10" t="str">
        <f>VLOOKUP(A140,vaccines!A:B,2)</f>
        <v>Staphylococcus_therapeutic_Biomed</v>
      </c>
      <c r="C140" s="29">
        <v>5</v>
      </c>
      <c r="D140" s="8" t="str">
        <f>VLOOKUP(C140,ages_from_list!A:C,3)</f>
        <v>6 месяцев</v>
      </c>
      <c r="E140" s="29">
        <v>13</v>
      </c>
      <c r="F140" s="8" t="str">
        <f>VLOOKUP(E140,ages_through_list!A:C,3)</f>
        <v>∞</v>
      </c>
      <c r="H140" s="6"/>
      <c r="J140" s="40">
        <v>45465</v>
      </c>
    </row>
    <row r="141" spans="1:10">
      <c r="A141" s="29">
        <v>142</v>
      </c>
      <c r="B141" s="10" t="str">
        <f>VLOOKUP(A141,vaccines!A:B,2)</f>
        <v>Pseudovac</v>
      </c>
      <c r="C141" s="29">
        <v>24</v>
      </c>
      <c r="D141" s="8" t="str">
        <f>VLOOKUP(C141,ages_from_list!A:C,3)</f>
        <v>1 месяц</v>
      </c>
      <c r="E141" s="29">
        <v>13</v>
      </c>
      <c r="F141" s="8" t="str">
        <f>VLOOKUP(E141,ages_through_list!A:C,3)</f>
        <v>∞</v>
      </c>
      <c r="H141" s="6"/>
      <c r="J141" s="40">
        <v>45466</v>
      </c>
    </row>
    <row r="142" spans="1:10">
      <c r="A142" s="29">
        <v>143</v>
      </c>
      <c r="B142" s="10" t="str">
        <f>VLOOKUP(A142,vaccines!A:B,2)</f>
        <v>SPSA_therapeutic</v>
      </c>
      <c r="C142" s="29">
        <v>18</v>
      </c>
      <c r="D142" s="8" t="str">
        <f>VLOOKUP(C142,ages_from_list!A:C,3)</f>
        <v>18 лет</v>
      </c>
      <c r="E142" s="29">
        <v>11</v>
      </c>
      <c r="F142" s="8" t="str">
        <f>VLOOKUP(E142,ages_through_list!A:C,3)</f>
        <v>60 лет</v>
      </c>
      <c r="H142" s="6"/>
      <c r="J142" s="40">
        <v>45466</v>
      </c>
    </row>
    <row r="143" spans="1:10">
      <c r="A143" s="29">
        <v>144</v>
      </c>
      <c r="B143" s="10" t="str">
        <f>VLOOKUP(A143,vaccines!A:B,2)</f>
        <v>HepB_Serum_India_0_5</v>
      </c>
      <c r="C143" s="29">
        <v>8</v>
      </c>
      <c r="D143" s="8" t="str">
        <f>VLOOKUP(C143,ages_from_list!A:C,3)</f>
        <v>12 месяцев</v>
      </c>
      <c r="E143" s="29">
        <v>17</v>
      </c>
      <c r="F143" s="8" t="str">
        <f>VLOOKUP(E143,ages_through_list!A:C,3)</f>
        <v>18 лет</v>
      </c>
      <c r="H143" s="6"/>
      <c r="J143" s="40">
        <v>45466</v>
      </c>
    </row>
    <row r="144" spans="1:10">
      <c r="A144" s="29">
        <v>145</v>
      </c>
      <c r="B144" s="10" t="str">
        <f>VLOOKUP(A144,vaccines!A:B,2)</f>
        <v>Polio_1_2_3</v>
      </c>
      <c r="C144" s="29">
        <v>4</v>
      </c>
      <c r="D144" s="8" t="str">
        <f>VLOOKUP(C144,ages_from_list!A:C,3)</f>
        <v>3 месяцев</v>
      </c>
      <c r="E144" s="29">
        <v>13</v>
      </c>
      <c r="F144" s="8" t="str">
        <f>VLOOKUP(E144,ages_through_list!A:C,3)</f>
        <v>∞</v>
      </c>
      <c r="H144" s="6"/>
      <c r="J144" s="40">
        <v>45466</v>
      </c>
    </row>
    <row r="145" spans="1:10">
      <c r="A145" s="29">
        <v>146</v>
      </c>
      <c r="B145" s="10" t="str">
        <f>VLOOKUP(A145,vaccines!A:B,2)</f>
        <v>TEOVac_chew_tablets</v>
      </c>
      <c r="C145" s="29">
        <v>18</v>
      </c>
      <c r="D145" s="8" t="str">
        <f>VLOOKUP(C145,ages_from_list!A:C,3)</f>
        <v>18 лет</v>
      </c>
      <c r="E145" s="29">
        <v>13</v>
      </c>
      <c r="F145" s="8" t="str">
        <f>VLOOKUP(E145,ages_through_list!A:C,3)</f>
        <v>∞</v>
      </c>
      <c r="H145" s="6"/>
      <c r="J145" s="40">
        <v>45467</v>
      </c>
    </row>
    <row r="146" spans="1:10">
      <c r="A146" s="29">
        <v>147</v>
      </c>
      <c r="B146" s="10" t="str">
        <f>VLOOKUP(A146,vaccines!A:B,2)</f>
        <v>TEOVac_tablets</v>
      </c>
      <c r="C146" s="29">
        <v>18</v>
      </c>
      <c r="D146" s="8" t="str">
        <f>VLOOKUP(C146,ages_from_list!A:C,3)</f>
        <v>18 лет</v>
      </c>
      <c r="E146" s="29">
        <v>13</v>
      </c>
      <c r="F146" s="8" t="str">
        <f>VLOOKUP(E146,ages_through_list!A:C,3)</f>
        <v>∞</v>
      </c>
      <c r="H146" s="6"/>
      <c r="J146" s="40">
        <v>45467</v>
      </c>
    </row>
    <row r="147" spans="1:10">
      <c r="A147" s="29">
        <v>148</v>
      </c>
      <c r="B147" s="10" t="str">
        <f>VLOOKUP(A147,vaccines!A:B,2)</f>
        <v>Uro_BCG_therapeutic</v>
      </c>
      <c r="C147" s="29">
        <v>18</v>
      </c>
      <c r="D147" s="8" t="str">
        <f>VLOOKUP(C147,ages_from_list!A:C,3)</f>
        <v>18 лет</v>
      </c>
      <c r="E147" s="29">
        <v>13</v>
      </c>
      <c r="F147" s="8" t="str">
        <f>VLOOKUP(E147,ages_through_list!A:C,3)</f>
        <v>∞</v>
      </c>
      <c r="H147" s="6"/>
      <c r="J147" s="40">
        <v>45494</v>
      </c>
    </row>
    <row r="148" spans="1:10">
      <c r="A148" s="29">
        <v>149</v>
      </c>
      <c r="B148" s="10" t="str">
        <f>VLOOKUP(A148,vaccines!A:B,2)</f>
        <v>Flu_Microgen</v>
      </c>
      <c r="C148" s="29">
        <v>18</v>
      </c>
      <c r="D148" s="8" t="str">
        <f>VLOOKUP(C148,ages_from_list!A:C,3)</f>
        <v>18 лет</v>
      </c>
      <c r="E148" s="29">
        <v>13</v>
      </c>
      <c r="F148" s="8" t="str">
        <f>VLOOKUP(E148,ages_through_list!A:C,3)</f>
        <v>∞</v>
      </c>
      <c r="H148" s="6"/>
      <c r="J148" s="40">
        <v>45494</v>
      </c>
    </row>
    <row r="149" spans="1:10">
      <c r="A149" s="29">
        <v>150</v>
      </c>
      <c r="B149" s="10" t="str">
        <f>VLOOKUP(A149,vaccines!A:B,2)</f>
        <v>MonoGrippol_plus</v>
      </c>
      <c r="C149" s="29">
        <v>5</v>
      </c>
      <c r="D149" s="8" t="str">
        <f>VLOOKUP(C149,ages_from_list!A:C,3)</f>
        <v>6 месяцев</v>
      </c>
      <c r="E149" s="29">
        <v>13</v>
      </c>
      <c r="F149" s="8" t="str">
        <f>VLOOKUP(E149,ages_through_list!A:C,3)</f>
        <v>∞</v>
      </c>
      <c r="H149" s="6"/>
      <c r="J149" s="40">
        <v>45494</v>
      </c>
    </row>
    <row r="150" spans="1:10">
      <c r="A150" s="29">
        <v>151</v>
      </c>
      <c r="B150" s="10" t="str">
        <f>VLOOKUP(A150,vaccines!A:B,2)</f>
        <v>MonoGrippol_Neo</v>
      </c>
      <c r="C150" s="29">
        <v>18</v>
      </c>
      <c r="D150" s="8" t="str">
        <f>VLOOKUP(C150,ages_from_list!A:C,3)</f>
        <v>18 лет</v>
      </c>
      <c r="E150" s="29">
        <v>13</v>
      </c>
      <c r="F150" s="8" t="str">
        <f>VLOOKUP(E150,ages_through_list!A:C,3)</f>
        <v>∞</v>
      </c>
      <c r="H150" s="6"/>
      <c r="J150" s="40">
        <v>45494</v>
      </c>
    </row>
    <row r="151" spans="1:10">
      <c r="A151" s="29">
        <v>152</v>
      </c>
      <c r="B151" s="10" t="str">
        <f>VLOOKUP(A151,vaccines!A:B,2)</f>
        <v>MonoGrippol</v>
      </c>
      <c r="C151" s="29">
        <v>18</v>
      </c>
      <c r="D151" s="8" t="str">
        <f>VLOOKUP(C151,ages_from_list!A:C,3)</f>
        <v>18 лет</v>
      </c>
      <c r="E151" s="29">
        <v>13</v>
      </c>
      <c r="F151" s="8" t="str">
        <f>VLOOKUP(E151,ages_through_list!A:C,3)</f>
        <v>∞</v>
      </c>
      <c r="H151" s="6"/>
      <c r="J151" s="40">
        <v>45494</v>
      </c>
    </row>
    <row r="152" spans="1:10">
      <c r="A152" s="29">
        <v>153</v>
      </c>
      <c r="B152" s="10" t="str">
        <f>VLOOKUP(A152,vaccines!A:B,2)</f>
        <v>Influvir</v>
      </c>
      <c r="C152" s="29">
        <v>18</v>
      </c>
      <c r="D152" s="8" t="str">
        <f>VLOOKUP(C152,ages_from_list!A:C,3)</f>
        <v>18 лет</v>
      </c>
      <c r="E152" s="29">
        <v>11</v>
      </c>
      <c r="F152" s="8" t="str">
        <f>VLOOKUP(E152,ages_through_list!A:C,3)</f>
        <v>60 лет</v>
      </c>
      <c r="H152" s="6"/>
      <c r="J152" s="40">
        <v>45494</v>
      </c>
    </row>
    <row r="153" spans="1:10">
      <c r="A153" s="29">
        <v>154</v>
      </c>
      <c r="B153" s="10" t="str">
        <f>VLOOKUP(A153,vaccines!A:B,2)</f>
        <v>Pandeflu</v>
      </c>
      <c r="C153" s="29">
        <v>18</v>
      </c>
      <c r="D153" s="8" t="str">
        <f>VLOOKUP(C153,ages_from_list!A:C,3)</f>
        <v>18 лет</v>
      </c>
      <c r="E153" s="29">
        <v>13</v>
      </c>
      <c r="F153" s="8" t="str">
        <f>VLOOKUP(E153,ages_through_list!A:C,3)</f>
        <v>∞</v>
      </c>
      <c r="H153" s="6"/>
      <c r="J153" s="40">
        <v>45494</v>
      </c>
    </row>
    <row r="154" spans="1:10">
      <c r="A154" s="29">
        <v>155</v>
      </c>
      <c r="B154" s="10" t="str">
        <f>VLOOKUP(A154,vaccines!A:B,2)</f>
        <v>Grippol_Neo</v>
      </c>
      <c r="C154" s="29">
        <v>10</v>
      </c>
      <c r="D154" s="8" t="str">
        <f>VLOOKUP(C154,ages_from_list!A:C,3)</f>
        <v>36 месяцев (3 лет)</v>
      </c>
      <c r="E154" s="29">
        <v>13</v>
      </c>
      <c r="F154" s="8" t="str">
        <f>VLOOKUP(E154,ages_through_list!A:C,3)</f>
        <v>∞</v>
      </c>
      <c r="H154" s="6"/>
      <c r="J154" s="40">
        <v>45494</v>
      </c>
    </row>
    <row r="155" spans="1:10">
      <c r="A155" s="29">
        <v>156</v>
      </c>
      <c r="B155" s="10" t="str">
        <f>VLOOKUP(A155,vaccines!A:B,2)</f>
        <v>Ultravac</v>
      </c>
      <c r="C155" s="29">
        <v>10</v>
      </c>
      <c r="D155" s="8" t="str">
        <f>VLOOKUP(C155,ages_from_list!A:C,3)</f>
        <v>36 месяцев (3 лет)</v>
      </c>
      <c r="E155" s="29">
        <v>13</v>
      </c>
      <c r="F155" s="8" t="str">
        <f>VLOOKUP(E155,ages_through_list!A:C,3)</f>
        <v>∞</v>
      </c>
      <c r="H155" s="6"/>
      <c r="J155" s="40">
        <v>45494</v>
      </c>
    </row>
    <row r="156" spans="1:10">
      <c r="A156" s="29">
        <v>158</v>
      </c>
      <c r="B156" s="10" t="str">
        <f>VLOOKUP(A156,vaccines!A:B,2)</f>
        <v>Gerpovax_therapeutic</v>
      </c>
      <c r="C156" s="29">
        <v>18</v>
      </c>
      <c r="D156" s="8" t="str">
        <f>VLOOKUP(C156,ages_from_list!A:C,3)</f>
        <v>18 лет</v>
      </c>
      <c r="E156" s="29">
        <v>13</v>
      </c>
      <c r="F156" s="8" t="str">
        <f>VLOOKUP(E156,ages_through_list!A:C,3)</f>
        <v>∞</v>
      </c>
      <c r="H156" s="6"/>
      <c r="J156" s="40">
        <v>45496</v>
      </c>
    </row>
    <row r="157" spans="1:10">
      <c r="A157" s="29">
        <v>159</v>
      </c>
      <c r="B157" s="10" t="str">
        <f>VLOOKUP(A157,vaccines!A:B,2)</f>
        <v>Ultragrivac</v>
      </c>
      <c r="C157" s="29">
        <v>18</v>
      </c>
      <c r="D157" s="8" t="str">
        <f>VLOOKUP(C157,ages_from_list!A:C,3)</f>
        <v>18 лет</v>
      </c>
      <c r="E157" s="29">
        <v>11</v>
      </c>
      <c r="F157" s="8" t="str">
        <f>VLOOKUP(E157,ages_through_list!A:C,3)</f>
        <v>60 лет</v>
      </c>
      <c r="H157" s="6"/>
      <c r="J157" s="40">
        <v>45496</v>
      </c>
    </row>
    <row r="158" spans="1:10">
      <c r="A158" s="29">
        <v>160</v>
      </c>
      <c r="B158" s="10" t="str">
        <f>VLOOKUP(A158,vaccines!A:B,2)</f>
        <v>OrniFlu</v>
      </c>
      <c r="C158" s="29">
        <v>18</v>
      </c>
      <c r="D158" s="8" t="str">
        <f>VLOOKUP(C158,ages_from_list!A:C,3)</f>
        <v>18 лет</v>
      </c>
      <c r="E158" s="29">
        <v>11</v>
      </c>
      <c r="F158" s="8" t="str">
        <f>VLOOKUP(E158,ages_through_list!A:C,3)</f>
        <v>60 лет</v>
      </c>
      <c r="H158" s="6"/>
      <c r="J158" s="40">
        <v>45496</v>
      </c>
    </row>
    <row r="159" spans="1:10">
      <c r="A159" s="29">
        <v>161</v>
      </c>
      <c r="B159" s="10" t="str">
        <f>VLOOKUP(A159,vaccines!A:B,2)</f>
        <v>rubella_Croatia</v>
      </c>
      <c r="C159" s="29">
        <v>8</v>
      </c>
      <c r="D159" s="8" t="str">
        <f>VLOOKUP(C159,ages_from_list!A:C,3)</f>
        <v>12 месяцев</v>
      </c>
      <c r="E159" s="29">
        <v>25</v>
      </c>
      <c r="F159" s="8" t="str">
        <f>VLOOKUP(E159,ages_through_list!A:C,3)</f>
        <v>25 лет</v>
      </c>
      <c r="H159" s="6"/>
      <c r="J159" s="40">
        <v>45496</v>
      </c>
    </row>
    <row r="160" spans="1:10">
      <c r="A160" s="29">
        <v>162</v>
      </c>
      <c r="B160" s="10" t="str">
        <f>VLOOKUP(A160,vaccines!A:B,2)</f>
        <v>Tetraanatoxin</v>
      </c>
      <c r="C160" s="29">
        <v>17</v>
      </c>
      <c r="D160" s="8" t="str">
        <f>VLOOKUP(C160,ages_from_list!A:C,3)</f>
        <v>16 лет</v>
      </c>
      <c r="E160" s="29">
        <v>11</v>
      </c>
      <c r="F160" s="8" t="str">
        <f>VLOOKUP(E160,ages_through_list!A:C,3)</f>
        <v>60 лет</v>
      </c>
      <c r="H160" s="6"/>
      <c r="J160" s="40">
        <v>45497</v>
      </c>
    </row>
    <row r="161" spans="1:10">
      <c r="A161" s="29">
        <v>163</v>
      </c>
      <c r="B161" s="10" t="str">
        <f>VLOOKUP(A161,vaccines!A:B,2)</f>
        <v>Staphylococcus_Gamaleya</v>
      </c>
      <c r="C161" s="29">
        <v>18</v>
      </c>
      <c r="D161" s="8" t="str">
        <f>VLOOKUP(C161,ages_from_list!A:C,3)</f>
        <v>18 лет</v>
      </c>
      <c r="E161" s="29">
        <v>13</v>
      </c>
      <c r="F161" s="8" t="str">
        <f>VLOOKUP(E161,ages_through_list!A:C,3)</f>
        <v>∞</v>
      </c>
      <c r="H161" s="6"/>
      <c r="J161" s="40">
        <v>45497</v>
      </c>
    </row>
    <row r="162" spans="1:10">
      <c r="A162" s="29">
        <v>164</v>
      </c>
      <c r="B162" s="10" t="str">
        <f>VLOOKUP(A162,vaccines!A:B,2)</f>
        <v>Staphylococcus_therapeutic_Gamaleya</v>
      </c>
      <c r="C162" s="29">
        <v>18</v>
      </c>
      <c r="D162" s="8" t="str">
        <f>VLOOKUP(C162,ages_from_list!A:C,3)</f>
        <v>18 лет</v>
      </c>
      <c r="E162" s="29">
        <v>13</v>
      </c>
      <c r="F162" s="8" t="str">
        <f>VLOOKUP(E162,ages_through_list!A:C,3)</f>
        <v>∞</v>
      </c>
      <c r="H162" s="6"/>
      <c r="J162" s="40">
        <v>45497</v>
      </c>
    </row>
    <row r="163" spans="1:10">
      <c r="A163" s="29">
        <v>165</v>
      </c>
      <c r="B163" s="10" t="str">
        <f>VLOOKUP(A163,vaccines!A:B,2)</f>
        <v>Imuron_vac_therapeutic</v>
      </c>
      <c r="C163" s="29">
        <v>18</v>
      </c>
      <c r="D163" s="8" t="str">
        <f>VLOOKUP(C163,ages_from_list!A:C,3)</f>
        <v>18 лет</v>
      </c>
      <c r="E163" s="29">
        <v>13</v>
      </c>
      <c r="F163" s="8" t="str">
        <f>VLOOKUP(E163,ages_through_list!A:C,3)</f>
        <v>∞</v>
      </c>
      <c r="H163" s="6"/>
      <c r="J163" s="40">
        <v>45497</v>
      </c>
    </row>
    <row r="164" spans="1:10">
      <c r="A164" s="29">
        <v>166</v>
      </c>
      <c r="B164" s="10" t="str">
        <f>VLOOKUP(A164,vaccines!A:B,2)</f>
        <v>HepB_Serum_India_1_0</v>
      </c>
      <c r="C164" s="29">
        <v>22</v>
      </c>
      <c r="D164" s="8" t="str">
        <f>VLOOKUP(C164,ages_from_list!A:C,3)</f>
        <v>19 лет</v>
      </c>
      <c r="E164" s="29">
        <v>13</v>
      </c>
      <c r="F164" s="8" t="str">
        <f>VLOOKUP(E164,ages_through_list!A:C,3)</f>
        <v>∞</v>
      </c>
      <c r="H164" s="6"/>
      <c r="J164" s="40">
        <v>45466</v>
      </c>
    </row>
    <row r="165" spans="1:10">
      <c r="A165" s="29">
        <v>167</v>
      </c>
      <c r="B165" s="10" t="str">
        <f>VLOOKUP(A165,vaccines!A:B,2)</f>
        <v>Hexaxim</v>
      </c>
      <c r="C165" s="29">
        <v>2</v>
      </c>
      <c r="D165" s="8" t="str">
        <f>VLOOKUP(C165,ages_from_list!A:C,3)</f>
        <v>6 недель</v>
      </c>
      <c r="E165" s="29">
        <v>21</v>
      </c>
      <c r="F165" s="8" t="str">
        <f>VLOOKUP(E165,ages_through_list!A:C,3)</f>
        <v>47 месяцев (4 лет 11 месяцев)</v>
      </c>
      <c r="H165" s="6"/>
      <c r="J165" s="40">
        <v>45558</v>
      </c>
    </row>
    <row r="166" spans="1:10">
      <c r="A166" s="29">
        <v>168</v>
      </c>
      <c r="B166" s="10" t="str">
        <f>VLOOKUP(A166,vaccines!A:B,2)</f>
        <v>Gam_VLP_multivac</v>
      </c>
      <c r="C166" s="29">
        <v>18</v>
      </c>
      <c r="D166" s="8" t="str">
        <f>VLOOKUP(C166,ages_from_list!A:C,3)</f>
        <v>18 лет</v>
      </c>
      <c r="E166" s="29">
        <v>9</v>
      </c>
      <c r="F166" s="8" t="str">
        <f>VLOOKUP(E166,ages_through_list!A:C,3)</f>
        <v>55 лет</v>
      </c>
      <c r="H166" s="6"/>
      <c r="J166" s="40">
        <v>45678</v>
      </c>
    </row>
    <row r="167" spans="1:10">
      <c r="A167" s="29">
        <v>169</v>
      </c>
      <c r="B167" s="10" t="str">
        <f>VLOOKUP(A167,vaccines!A:B,2)</f>
        <v>Gam_VLP_multivac_nasal</v>
      </c>
      <c r="C167" s="29">
        <v>18</v>
      </c>
      <c r="D167" s="8" t="str">
        <f>VLOOKUP(C167,ages_from_list!A:C,3)</f>
        <v>18 лет</v>
      </c>
      <c r="E167" s="29">
        <v>9</v>
      </c>
      <c r="F167" s="8" t="str">
        <f>VLOOKUP(E167,ages_through_list!A:C,3)</f>
        <v>55 лет</v>
      </c>
      <c r="H167" s="6"/>
      <c r="J167" s="40">
        <v>45742</v>
      </c>
    </row>
    <row r="168" spans="1:10">
      <c r="A168" s="29">
        <v>170</v>
      </c>
      <c r="B168" s="10" t="str">
        <f>VLOOKUP(A168,vaccines!A:B,2)</f>
        <v>Cegardex</v>
      </c>
      <c r="C168" s="29">
        <v>18</v>
      </c>
      <c r="D168" s="8" t="str">
        <f>VLOOKUP(C168,ages_from_list!A:C,3)</f>
        <v>18 лет</v>
      </c>
      <c r="E168" s="29">
        <v>7</v>
      </c>
      <c r="F168" s="8" t="str">
        <f>VLOOKUP(E168,ages_through_list!A:C,3)</f>
        <v>45 лет</v>
      </c>
      <c r="H168" s="6"/>
      <c r="J168" s="40">
        <v>45742</v>
      </c>
    </row>
    <row r="169" spans="1:10">
      <c r="A169" s="29">
        <v>171</v>
      </c>
      <c r="B169" s="10" t="str">
        <f>VLOOKUP(A169,vaccines!A:B,2)</f>
        <v>Menvaid</v>
      </c>
      <c r="C169" s="29">
        <v>7</v>
      </c>
      <c r="D169" s="8" t="str">
        <f>VLOOKUP(C169,ages_from_list!A:C,3)</f>
        <v>9 месяцев</v>
      </c>
      <c r="E169" s="29">
        <v>26</v>
      </c>
      <c r="F169" s="8" t="str">
        <f>VLOOKUP(E169,ages_through_list!A:C,3)</f>
        <v>85 лет</v>
      </c>
      <c r="H169" s="6"/>
      <c r="J169" s="40">
        <v>45755</v>
      </c>
    </row>
    <row r="170" spans="1:10">
      <c r="A170" s="29">
        <v>172</v>
      </c>
      <c r="B170" s="10" t="str">
        <f>VLOOKUP(A170,vaccines!A:B,2)</f>
        <v>ChiroRab</v>
      </c>
      <c r="C170" s="7">
        <v>1</v>
      </c>
      <c r="D170" s="8" t="str">
        <f>VLOOKUP(C170,ages_from_list!A:C,3)</f>
        <v>0 дней</v>
      </c>
      <c r="E170" s="7">
        <v>13</v>
      </c>
      <c r="F170" s="8" t="str">
        <f>VLOOKUP(E170,ages_through_list!A:C,3)</f>
        <v>∞</v>
      </c>
      <c r="H170" s="6"/>
      <c r="J170" s="40">
        <v>45818</v>
      </c>
    </row>
    <row r="171" spans="1:10">
      <c r="A171" s="29">
        <v>173</v>
      </c>
      <c r="B171" s="10" t="str">
        <f>VLOOKUP(A171,vaccines!A:B,2)</f>
        <v>Prevenar_20</v>
      </c>
      <c r="C171" s="54">
        <v>2</v>
      </c>
      <c r="D171" s="8" t="str">
        <f>VLOOKUP(C171,ages_from_list!A:C,3)</f>
        <v>6 недель</v>
      </c>
      <c r="E171" s="54">
        <v>13</v>
      </c>
      <c r="F171" s="8" t="str">
        <f>VLOOKUP(E171,ages_through_list!A:C,3)</f>
        <v>∞</v>
      </c>
      <c r="H171" s="6"/>
      <c r="J171" s="40">
        <v>45861</v>
      </c>
    </row>
    <row r="172" spans="1:10">
      <c r="A172" s="29">
        <v>174</v>
      </c>
      <c r="B172" s="10" t="str">
        <f>VLOOKUP(A172,vaccines!A:B,2)</f>
        <v>aAKDS_M</v>
      </c>
      <c r="C172" s="54">
        <v>18</v>
      </c>
      <c r="D172" s="8" t="str">
        <f>VLOOKUP(C172,ages_from_list!A:C,3)</f>
        <v>18 лет</v>
      </c>
      <c r="E172" s="54">
        <v>13</v>
      </c>
      <c r="F172" s="8" t="str">
        <f>VLOOKUP(E172,ages_through_list!A:C,3)</f>
        <v>∞</v>
      </c>
      <c r="H172" s="6"/>
      <c r="J172" s="40">
        <v>46131</v>
      </c>
    </row>
    <row r="173" spans="1:10">
      <c r="A173" s="29">
        <v>175</v>
      </c>
      <c r="B173" s="10" t="str">
        <f>VLOOKUP(A173,vaccines!A:B,2)</f>
        <v>Nimenrix</v>
      </c>
      <c r="C173" s="54">
        <v>2</v>
      </c>
      <c r="D173" s="8" t="str">
        <f>VLOOKUP(C173,ages_from_list!A:C,3)</f>
        <v>6 недель</v>
      </c>
      <c r="E173" s="54">
        <v>13</v>
      </c>
      <c r="F173" s="8" t="str">
        <f>VLOOKUP(E173,ages_through_list!A:C,3)</f>
        <v>∞</v>
      </c>
      <c r="H173" s="6"/>
      <c r="J173" s="40">
        <v>46131</v>
      </c>
    </row>
    <row r="174" spans="1:10">
      <c r="H174" s="6"/>
      <c r="J174" s="43"/>
    </row>
    <row r="175" spans="1:10">
      <c r="H175" s="6"/>
      <c r="J175" s="43"/>
    </row>
    <row r="176" spans="1:10">
      <c r="H176" s="6"/>
      <c r="J176" s="43"/>
    </row>
    <row r="177" spans="8:10">
      <c r="H177" s="6"/>
      <c r="J177" s="43"/>
    </row>
    <row r="178" spans="8:10">
      <c r="H178" s="6"/>
      <c r="J178" s="43"/>
    </row>
    <row r="179" spans="8:10">
      <c r="H179" s="6"/>
      <c r="J179" s="43"/>
    </row>
    <row r="180" spans="8:10">
      <c r="H180" s="6"/>
      <c r="J180" s="43"/>
    </row>
    <row r="181" spans="8:10">
      <c r="H181" s="6"/>
      <c r="J181" s="43"/>
    </row>
    <row r="182" spans="8:10">
      <c r="H182" s="6"/>
      <c r="J182" s="43"/>
    </row>
    <row r="183" spans="8:10">
      <c r="H183" s="6"/>
      <c r="J183" s="43"/>
    </row>
    <row r="184" spans="8:10">
      <c r="H184" s="6"/>
      <c r="J184" s="43"/>
    </row>
    <row r="185" spans="8:10">
      <c r="H185" s="6"/>
      <c r="J185" s="43"/>
    </row>
    <row r="186" spans="8:10">
      <c r="H186" s="6"/>
      <c r="J186" s="43"/>
    </row>
    <row r="187" spans="8:10">
      <c r="H187" s="6"/>
      <c r="J187" s="43"/>
    </row>
    <row r="188" spans="8:10">
      <c r="H188" s="6"/>
      <c r="J188" s="43"/>
    </row>
    <row r="189" spans="8:10">
      <c r="H189" s="6"/>
      <c r="J189" s="43"/>
    </row>
    <row r="190" spans="8:10">
      <c r="H190" s="6"/>
      <c r="J190" s="43"/>
    </row>
    <row r="191" spans="8:10">
      <c r="H191" s="6"/>
      <c r="J191" s="43"/>
    </row>
    <row r="192" spans="8:10">
      <c r="H192" s="6"/>
      <c r="J192" s="43"/>
    </row>
    <row r="193" spans="8:10">
      <c r="H193" s="6"/>
      <c r="J193" s="43"/>
    </row>
    <row r="194" spans="8:10">
      <c r="H194" s="6"/>
      <c r="J194" s="43"/>
    </row>
    <row r="195" spans="8:10">
      <c r="H195" s="6"/>
      <c r="J195" s="43"/>
    </row>
    <row r="196" spans="8:10">
      <c r="H196" s="6"/>
      <c r="J196" s="43"/>
    </row>
    <row r="197" spans="8:10">
      <c r="H197" s="6"/>
      <c r="J197" s="43"/>
    </row>
    <row r="198" spans="8:10">
      <c r="H198" s="6"/>
      <c r="J198" s="43"/>
    </row>
    <row r="199" spans="8:10">
      <c r="H199" s="6"/>
      <c r="J199" s="43"/>
    </row>
    <row r="200" spans="8:10">
      <c r="H200" s="6"/>
      <c r="J200" s="43"/>
    </row>
    <row r="201" spans="8:10">
      <c r="H201" s="6"/>
      <c r="J201" s="43"/>
    </row>
    <row r="202" spans="8:10">
      <c r="H202" s="6"/>
      <c r="J202" s="43"/>
    </row>
    <row r="203" spans="8:10">
      <c r="H203" s="6"/>
      <c r="J203" s="43"/>
    </row>
    <row r="204" spans="8:10">
      <c r="H204" s="6"/>
      <c r="J204" s="43"/>
    </row>
    <row r="205" spans="8:10">
      <c r="H205" s="6"/>
      <c r="J205" s="43"/>
    </row>
    <row r="206" spans="8:10">
      <c r="H206" s="6"/>
      <c r="J206" s="43"/>
    </row>
    <row r="207" spans="8:10">
      <c r="H207" s="6"/>
      <c r="J207" s="43"/>
    </row>
    <row r="208" spans="8:10">
      <c r="H208" s="6"/>
      <c r="J208" s="43"/>
    </row>
    <row r="209" spans="8:10">
      <c r="H209" s="6"/>
      <c r="J209" s="43"/>
    </row>
    <row r="210" spans="8:10">
      <c r="H210" s="6"/>
      <c r="J210" s="43"/>
    </row>
    <row r="211" spans="8:10">
      <c r="H211" s="6"/>
      <c r="J211" s="43"/>
    </row>
    <row r="212" spans="8:10">
      <c r="H212" s="6"/>
      <c r="J212" s="43"/>
    </row>
    <row r="213" spans="8:10">
      <c r="H213" s="6"/>
      <c r="J213" s="43"/>
    </row>
    <row r="214" spans="8:10">
      <c r="H214" s="6"/>
      <c r="J214" s="43"/>
    </row>
    <row r="215" spans="8:10">
      <c r="H215" s="6"/>
      <c r="J215" s="43"/>
    </row>
    <row r="216" spans="8:10">
      <c r="H216" s="6"/>
      <c r="J216" s="43"/>
    </row>
    <row r="217" spans="8:10">
      <c r="H217" s="6"/>
      <c r="J217" s="43"/>
    </row>
    <row r="218" spans="8:10">
      <c r="H218" s="6"/>
      <c r="J218" s="43"/>
    </row>
    <row r="219" spans="8:10">
      <c r="H219" s="6"/>
      <c r="J219" s="43"/>
    </row>
    <row r="220" spans="8:10">
      <c r="H220" s="6"/>
      <c r="J220" s="43"/>
    </row>
    <row r="221" spans="8:10">
      <c r="H221" s="6"/>
      <c r="J221" s="43"/>
    </row>
    <row r="222" spans="8:10">
      <c r="H222" s="6"/>
      <c r="J222" s="43"/>
    </row>
    <row r="223" spans="8:10">
      <c r="H223" s="6"/>
      <c r="J223" s="43"/>
    </row>
    <row r="224" spans="8:10">
      <c r="H224" s="6"/>
      <c r="J224" s="43"/>
    </row>
    <row r="225" spans="8:10">
      <c r="H225" s="6"/>
      <c r="J225" s="43"/>
    </row>
    <row r="226" spans="8:10">
      <c r="H226" s="6"/>
      <c r="J226" s="43"/>
    </row>
    <row r="227" spans="8:10">
      <c r="H227" s="6"/>
      <c r="J227" s="43"/>
    </row>
    <row r="228" spans="8:10">
      <c r="H228" s="6"/>
      <c r="J228" s="43"/>
    </row>
    <row r="229" spans="8:10">
      <c r="H229" s="6"/>
      <c r="J229" s="43"/>
    </row>
    <row r="230" spans="8:10">
      <c r="H230" s="6"/>
      <c r="J230" s="43"/>
    </row>
    <row r="231" spans="8:10">
      <c r="H231" s="6"/>
      <c r="J231" s="43"/>
    </row>
    <row r="232" spans="8:10">
      <c r="H232" s="6"/>
      <c r="J232" s="43"/>
    </row>
    <row r="233" spans="8:10">
      <c r="H233" s="6"/>
      <c r="J233" s="43"/>
    </row>
    <row r="234" spans="8:10">
      <c r="H234" s="6"/>
      <c r="J234" s="43"/>
    </row>
    <row r="235" spans="8:10">
      <c r="H235" s="6"/>
      <c r="J235" s="43"/>
    </row>
    <row r="236" spans="8:10">
      <c r="H236" s="6"/>
      <c r="J236" s="43"/>
    </row>
    <row r="237" spans="8:10">
      <c r="H237" s="6"/>
      <c r="J237" s="43"/>
    </row>
    <row r="238" spans="8:10">
      <c r="H238" s="6"/>
      <c r="J238" s="43"/>
    </row>
    <row r="239" spans="8:10">
      <c r="H239" s="6"/>
      <c r="J239" s="43"/>
    </row>
    <row r="240" spans="8:10">
      <c r="H240" s="6"/>
      <c r="J240" s="43"/>
    </row>
    <row r="241" spans="8:10">
      <c r="H241" s="6"/>
      <c r="J241" s="43"/>
    </row>
    <row r="242" spans="8:10">
      <c r="H242" s="6"/>
      <c r="J242" s="43"/>
    </row>
    <row r="243" spans="8:10">
      <c r="H243" s="6"/>
      <c r="J243" s="43"/>
    </row>
    <row r="244" spans="8:10">
      <c r="H244" s="6"/>
      <c r="J244" s="43"/>
    </row>
    <row r="245" spans="8:10">
      <c r="H245" s="6"/>
      <c r="J245" s="43"/>
    </row>
    <row r="246" spans="8:10">
      <c r="H246" s="6"/>
      <c r="J246" s="43"/>
    </row>
    <row r="247" spans="8:10">
      <c r="H247" s="6"/>
      <c r="J247" s="43"/>
    </row>
    <row r="248" spans="8:10">
      <c r="H248" s="6"/>
      <c r="J248" s="43"/>
    </row>
    <row r="249" spans="8:10">
      <c r="H249" s="6"/>
      <c r="J249" s="43"/>
    </row>
    <row r="250" spans="8:10">
      <c r="H250" s="6"/>
      <c r="J250" s="43"/>
    </row>
    <row r="251" spans="8:10">
      <c r="H251" s="6"/>
      <c r="J251" s="43"/>
    </row>
    <row r="252" spans="8:10">
      <c r="H252" s="6"/>
      <c r="J252" s="43"/>
    </row>
    <row r="253" spans="8:10">
      <c r="H253" s="6"/>
      <c r="J253" s="43"/>
    </row>
    <row r="254" spans="8:10">
      <c r="H254" s="6"/>
      <c r="J254" s="43"/>
    </row>
    <row r="255" spans="8:10">
      <c r="H255" s="6"/>
      <c r="J255" s="43"/>
    </row>
    <row r="256" spans="8:10">
      <c r="H256" s="6"/>
      <c r="J256" s="43"/>
    </row>
    <row r="257" spans="8:10">
      <c r="H257" s="6"/>
      <c r="J257" s="43"/>
    </row>
    <row r="258" spans="8:10">
      <c r="H258" s="6"/>
      <c r="J258" s="43"/>
    </row>
    <row r="259" spans="8:10">
      <c r="H259" s="6"/>
      <c r="J259" s="43"/>
    </row>
    <row r="260" spans="8:10">
      <c r="H260" s="6"/>
      <c r="J260" s="43"/>
    </row>
    <row r="261" spans="8:10">
      <c r="H261" s="6"/>
      <c r="J261" s="43"/>
    </row>
    <row r="262" spans="8:10">
      <c r="H262" s="6"/>
      <c r="J262" s="43"/>
    </row>
    <row r="263" spans="8:10">
      <c r="H263" s="6"/>
      <c r="J263" s="43"/>
    </row>
    <row r="264" spans="8:10">
      <c r="H264" s="6"/>
      <c r="J264" s="43"/>
    </row>
    <row r="265" spans="8:10">
      <c r="H265" s="6"/>
      <c r="J265" s="43"/>
    </row>
    <row r="266" spans="8:10">
      <c r="H266" s="6"/>
      <c r="J266" s="43"/>
    </row>
    <row r="267" spans="8:10">
      <c r="H267" s="6"/>
      <c r="J267" s="43"/>
    </row>
    <row r="268" spans="8:10">
      <c r="H268" s="6"/>
      <c r="J268" s="43"/>
    </row>
    <row r="269" spans="8:10">
      <c r="H269" s="6"/>
      <c r="J269" s="43"/>
    </row>
    <row r="270" spans="8:10">
      <c r="H270" s="6"/>
      <c r="J270" s="43"/>
    </row>
    <row r="271" spans="8:10">
      <c r="H271" s="6"/>
      <c r="J271" s="43"/>
    </row>
    <row r="272" spans="8:10">
      <c r="H272" s="6"/>
      <c r="J272" s="43"/>
    </row>
    <row r="273" spans="8:10">
      <c r="H273" s="6"/>
      <c r="J273" s="43"/>
    </row>
    <row r="274" spans="8:10">
      <c r="H274" s="6"/>
      <c r="J274" s="43"/>
    </row>
    <row r="275" spans="8:10">
      <c r="H275" s="6"/>
      <c r="J275" s="43"/>
    </row>
    <row r="276" spans="8:10">
      <c r="H276" s="6"/>
      <c r="J276" s="43"/>
    </row>
    <row r="277" spans="8:10">
      <c r="H277" s="6"/>
      <c r="J277" s="43"/>
    </row>
    <row r="278" spans="8:10">
      <c r="H278" s="6"/>
      <c r="J278" s="43"/>
    </row>
    <row r="279" spans="8:10">
      <c r="H279" s="6"/>
      <c r="J279" s="43"/>
    </row>
    <row r="280" spans="8:10">
      <c r="H280" s="6"/>
      <c r="J280" s="43"/>
    </row>
    <row r="281" spans="8:10">
      <c r="H281" s="6"/>
      <c r="J281" s="43"/>
    </row>
    <row r="282" spans="8:10">
      <c r="H282" s="6"/>
      <c r="J282" s="43"/>
    </row>
    <row r="283" spans="8:10">
      <c r="H283" s="6"/>
      <c r="J283" s="43"/>
    </row>
    <row r="284" spans="8:10">
      <c r="H284" s="6"/>
      <c r="J284" s="43"/>
    </row>
    <row r="285" spans="8:10">
      <c r="H285" s="6"/>
      <c r="J285" s="43"/>
    </row>
    <row r="286" spans="8:10">
      <c r="H286" s="6"/>
      <c r="J286" s="43"/>
    </row>
    <row r="287" spans="8:10">
      <c r="H287" s="6"/>
      <c r="J287" s="43"/>
    </row>
    <row r="288" spans="8:10">
      <c r="H288" s="6"/>
      <c r="J288" s="43"/>
    </row>
    <row r="289" spans="8:10">
      <c r="H289" s="6"/>
      <c r="J289" s="43"/>
    </row>
    <row r="290" spans="8:10">
      <c r="H290" s="6"/>
      <c r="J290" s="43"/>
    </row>
    <row r="291" spans="8:10">
      <c r="H291" s="6"/>
      <c r="J291" s="43"/>
    </row>
    <row r="292" spans="8:10">
      <c r="H292" s="6"/>
      <c r="J292" s="43"/>
    </row>
    <row r="293" spans="8:10">
      <c r="H293" s="6"/>
      <c r="J293" s="43"/>
    </row>
    <row r="294" spans="8:10">
      <c r="H294" s="6"/>
      <c r="J294" s="43"/>
    </row>
    <row r="295" spans="8:10">
      <c r="H295" s="6"/>
      <c r="J295" s="43"/>
    </row>
    <row r="296" spans="8:10">
      <c r="H296" s="6"/>
      <c r="J296" s="43"/>
    </row>
    <row r="297" spans="8:10">
      <c r="H297" s="6"/>
      <c r="J297" s="43"/>
    </row>
    <row r="298" spans="8:10">
      <c r="H298" s="6"/>
      <c r="J298" s="43"/>
    </row>
    <row r="299" spans="8:10">
      <c r="H299" s="6"/>
      <c r="J299" s="43"/>
    </row>
    <row r="300" spans="8:10">
      <c r="H300" s="6"/>
      <c r="J300" s="43"/>
    </row>
    <row r="301" spans="8:10">
      <c r="H301" s="6"/>
      <c r="J301" s="43"/>
    </row>
    <row r="302" spans="8:10">
      <c r="H302" s="6"/>
      <c r="J302" s="43"/>
    </row>
    <row r="303" spans="8:10">
      <c r="H303" s="6"/>
      <c r="J303" s="43"/>
    </row>
    <row r="304" spans="8:10">
      <c r="H304" s="6"/>
      <c r="J304" s="43"/>
    </row>
    <row r="305" spans="8:10">
      <c r="H305" s="6"/>
      <c r="J305" s="43"/>
    </row>
    <row r="306" spans="8:10">
      <c r="H306" s="6"/>
      <c r="J306" s="43"/>
    </row>
    <row r="307" spans="8:10">
      <c r="H307" s="6"/>
      <c r="J307" s="43"/>
    </row>
    <row r="308" spans="8:10">
      <c r="H308" s="6"/>
      <c r="J308" s="43"/>
    </row>
    <row r="309" spans="8:10">
      <c r="H309" s="6"/>
      <c r="J309" s="43"/>
    </row>
    <row r="310" spans="8:10">
      <c r="H310" s="6"/>
      <c r="J310" s="43"/>
    </row>
    <row r="311" spans="8:10">
      <c r="H311" s="6"/>
      <c r="J311" s="43"/>
    </row>
    <row r="312" spans="8:10">
      <c r="H312" s="6"/>
      <c r="J312" s="43"/>
    </row>
    <row r="313" spans="8:10">
      <c r="H313" s="6"/>
      <c r="J313" s="43"/>
    </row>
    <row r="314" spans="8:10">
      <c r="H314" s="6"/>
      <c r="J314" s="43"/>
    </row>
    <row r="315" spans="8:10">
      <c r="H315" s="6"/>
      <c r="J315" s="43"/>
    </row>
    <row r="316" spans="8:10">
      <c r="H316" s="6"/>
      <c r="J316" s="43"/>
    </row>
    <row r="317" spans="8:10">
      <c r="H317" s="6"/>
      <c r="J317" s="43"/>
    </row>
    <row r="318" spans="8:10">
      <c r="H318" s="6"/>
      <c r="J318" s="43"/>
    </row>
    <row r="319" spans="8:10">
      <c r="H319" s="6"/>
      <c r="J319" s="43"/>
    </row>
    <row r="320" spans="8:10">
      <c r="H320" s="6"/>
      <c r="J320" s="43"/>
    </row>
    <row r="321" spans="8:10">
      <c r="H321" s="6"/>
      <c r="J321" s="43"/>
    </row>
    <row r="322" spans="8:10">
      <c r="H322" s="6"/>
      <c r="J322" s="43"/>
    </row>
    <row r="323" spans="8:10">
      <c r="H323" s="6"/>
      <c r="J323" s="43"/>
    </row>
    <row r="324" spans="8:10">
      <c r="H324" s="6"/>
      <c r="J324" s="43"/>
    </row>
    <row r="325" spans="8:10">
      <c r="H325" s="6"/>
      <c r="J325" s="43"/>
    </row>
    <row r="326" spans="8:10">
      <c r="H326" s="6"/>
      <c r="J326" s="43"/>
    </row>
    <row r="327" spans="8:10">
      <c r="H327" s="6"/>
      <c r="J327" s="43"/>
    </row>
    <row r="328" spans="8:10">
      <c r="H328" s="6"/>
      <c r="J328" s="43"/>
    </row>
    <row r="329" spans="8:10">
      <c r="H329" s="6"/>
      <c r="J329" s="43"/>
    </row>
    <row r="330" spans="8:10">
      <c r="H330" s="6"/>
      <c r="J330" s="43"/>
    </row>
    <row r="331" spans="8:10">
      <c r="H331" s="6"/>
      <c r="J331" s="43"/>
    </row>
    <row r="332" spans="8:10">
      <c r="H332" s="6"/>
      <c r="J332" s="43"/>
    </row>
    <row r="333" spans="8:10">
      <c r="H333" s="6"/>
      <c r="J333" s="43"/>
    </row>
    <row r="334" spans="8:10">
      <c r="H334" s="6"/>
      <c r="J334" s="43"/>
    </row>
    <row r="335" spans="8:10">
      <c r="H335" s="6"/>
      <c r="J335" s="43"/>
    </row>
    <row r="336" spans="8:10">
      <c r="H336" s="6"/>
      <c r="J336" s="43"/>
    </row>
    <row r="337" spans="8:10">
      <c r="H337" s="6"/>
      <c r="J337" s="43"/>
    </row>
    <row r="338" spans="8:10">
      <c r="H338" s="6"/>
      <c r="J338" s="43"/>
    </row>
    <row r="339" spans="8:10">
      <c r="H339" s="6"/>
      <c r="J339" s="43"/>
    </row>
    <row r="340" spans="8:10">
      <c r="H340" s="6"/>
      <c r="J340" s="43"/>
    </row>
    <row r="341" spans="8:10">
      <c r="H341" s="6"/>
      <c r="J341" s="43"/>
    </row>
    <row r="342" spans="8:10">
      <c r="H342" s="6"/>
      <c r="J342" s="43"/>
    </row>
    <row r="343" spans="8:10">
      <c r="H343" s="6"/>
      <c r="J343" s="43"/>
    </row>
    <row r="344" spans="8:10">
      <c r="H344" s="6"/>
      <c r="J344" s="43"/>
    </row>
    <row r="345" spans="8:10">
      <c r="H345" s="6"/>
      <c r="J345" s="43"/>
    </row>
    <row r="346" spans="8:10">
      <c r="H346" s="6"/>
      <c r="J346" s="43"/>
    </row>
    <row r="347" spans="8:10">
      <c r="H347" s="6"/>
      <c r="J347" s="43"/>
    </row>
    <row r="348" spans="8:10">
      <c r="H348" s="6"/>
      <c r="J348" s="43"/>
    </row>
    <row r="349" spans="8:10">
      <c r="H349" s="6"/>
      <c r="J349" s="43"/>
    </row>
    <row r="350" spans="8:10">
      <c r="H350" s="6"/>
      <c r="J350" s="43"/>
    </row>
    <row r="351" spans="8:10">
      <c r="H351" s="6"/>
      <c r="J351" s="43"/>
    </row>
    <row r="352" spans="8:10">
      <c r="H352" s="6"/>
      <c r="J352" s="43"/>
    </row>
    <row r="353" spans="8:10">
      <c r="H353" s="6"/>
      <c r="J353" s="43"/>
    </row>
    <row r="354" spans="8:10">
      <c r="H354" s="6"/>
      <c r="J354" s="43"/>
    </row>
    <row r="355" spans="8:10">
      <c r="H355" s="6"/>
      <c r="J355" s="43"/>
    </row>
    <row r="356" spans="8:10">
      <c r="H356" s="6"/>
      <c r="J356" s="43"/>
    </row>
    <row r="357" spans="8:10">
      <c r="H357" s="6"/>
      <c r="J357" s="43"/>
    </row>
    <row r="358" spans="8:10">
      <c r="H358" s="6"/>
      <c r="J358" s="43"/>
    </row>
    <row r="359" spans="8:10">
      <c r="H359" s="6"/>
      <c r="J359" s="43"/>
    </row>
    <row r="360" spans="8:10">
      <c r="H360" s="6"/>
      <c r="J360" s="43"/>
    </row>
    <row r="361" spans="8:10">
      <c r="H361" s="6"/>
      <c r="J361" s="43"/>
    </row>
    <row r="362" spans="8:10">
      <c r="H362" s="6"/>
      <c r="J362" s="43"/>
    </row>
    <row r="363" spans="8:10">
      <c r="H363" s="6"/>
      <c r="J363" s="43"/>
    </row>
    <row r="364" spans="8:10">
      <c r="H364" s="6"/>
      <c r="J364" s="43"/>
    </row>
    <row r="365" spans="8:10">
      <c r="H365" s="6"/>
      <c r="J365" s="43"/>
    </row>
    <row r="366" spans="8:10">
      <c r="H366" s="6"/>
      <c r="J366" s="43"/>
    </row>
    <row r="367" spans="8:10">
      <c r="H367" s="6"/>
      <c r="J367" s="43"/>
    </row>
    <row r="368" spans="8:10">
      <c r="H368" s="6"/>
      <c r="J368" s="43"/>
    </row>
    <row r="369" spans="8:10">
      <c r="H369" s="6"/>
      <c r="J369" s="43"/>
    </row>
    <row r="370" spans="8:10">
      <c r="H370" s="6"/>
      <c r="J370" s="43"/>
    </row>
    <row r="371" spans="8:10">
      <c r="H371" s="6"/>
      <c r="J371" s="43"/>
    </row>
    <row r="372" spans="8:10">
      <c r="H372" s="6"/>
      <c r="J372" s="43"/>
    </row>
    <row r="373" spans="8:10">
      <c r="H373" s="6"/>
      <c r="J373" s="43"/>
    </row>
    <row r="374" spans="8:10">
      <c r="H374" s="6"/>
      <c r="J374" s="43"/>
    </row>
    <row r="375" spans="8:10">
      <c r="H375" s="6"/>
      <c r="J375" s="43"/>
    </row>
    <row r="376" spans="8:10">
      <c r="H376" s="6"/>
      <c r="J376" s="43"/>
    </row>
    <row r="377" spans="8:10">
      <c r="H377" s="6"/>
      <c r="J377" s="43"/>
    </row>
    <row r="378" spans="8:10">
      <c r="H378" s="6"/>
      <c r="J378" s="43"/>
    </row>
    <row r="379" spans="8:10">
      <c r="H379" s="6"/>
      <c r="J379" s="43"/>
    </row>
    <row r="380" spans="8:10">
      <c r="H380" s="6"/>
      <c r="J380" s="43"/>
    </row>
    <row r="381" spans="8:10">
      <c r="H381" s="6"/>
      <c r="J381" s="43"/>
    </row>
    <row r="382" spans="8:10">
      <c r="H382" s="6"/>
      <c r="J382" s="43"/>
    </row>
    <row r="383" spans="8:10">
      <c r="H383" s="6"/>
      <c r="J383" s="43"/>
    </row>
    <row r="384" spans="8:10">
      <c r="H384" s="6"/>
      <c r="J384" s="43"/>
    </row>
    <row r="385" spans="8:10">
      <c r="H385" s="6"/>
      <c r="J385" s="43"/>
    </row>
    <row r="386" spans="8:10">
      <c r="H386" s="6"/>
      <c r="J386" s="43"/>
    </row>
    <row r="387" spans="8:10">
      <c r="H387" s="6"/>
      <c r="J387" s="43"/>
    </row>
    <row r="388" spans="8:10">
      <c r="H388" s="6"/>
      <c r="J388" s="43"/>
    </row>
    <row r="389" spans="8:10">
      <c r="H389" s="6"/>
      <c r="J389" s="43"/>
    </row>
    <row r="390" spans="8:10">
      <c r="H390" s="6"/>
      <c r="J390" s="43"/>
    </row>
    <row r="391" spans="8:10">
      <c r="H391" s="6"/>
      <c r="J391" s="43"/>
    </row>
    <row r="392" spans="8:10">
      <c r="H392" s="6"/>
      <c r="J392" s="43"/>
    </row>
    <row r="393" spans="8:10">
      <c r="H393" s="6"/>
      <c r="J393" s="43"/>
    </row>
    <row r="394" spans="8:10">
      <c r="H394" s="6"/>
      <c r="J394" s="43"/>
    </row>
    <row r="395" spans="8:10">
      <c r="H395" s="6"/>
      <c r="J395" s="43"/>
    </row>
    <row r="396" spans="8:10">
      <c r="H396" s="6"/>
      <c r="J396" s="43"/>
    </row>
    <row r="397" spans="8:10">
      <c r="H397" s="6"/>
      <c r="J397" s="43"/>
    </row>
    <row r="398" spans="8:10">
      <c r="H398" s="6"/>
      <c r="J398" s="43"/>
    </row>
    <row r="399" spans="8:10">
      <c r="H399" s="6"/>
      <c r="J399" s="43"/>
    </row>
    <row r="400" spans="8:10">
      <c r="H400" s="6"/>
      <c r="J400" s="43"/>
    </row>
    <row r="401" spans="8:10">
      <c r="H401" s="6"/>
      <c r="J401" s="43"/>
    </row>
    <row r="402" spans="8:10">
      <c r="H402" s="6"/>
      <c r="J402" s="43"/>
    </row>
    <row r="403" spans="8:10">
      <c r="H403" s="6"/>
      <c r="J403" s="43"/>
    </row>
    <row r="404" spans="8:10">
      <c r="H404" s="6"/>
      <c r="J404" s="43"/>
    </row>
    <row r="405" spans="8:10">
      <c r="H405" s="6"/>
      <c r="J405" s="43"/>
    </row>
    <row r="406" spans="8:10">
      <c r="H406" s="6"/>
      <c r="J406" s="43"/>
    </row>
    <row r="407" spans="8:10">
      <c r="H407" s="6"/>
      <c r="J407" s="43"/>
    </row>
    <row r="408" spans="8:10">
      <c r="H408" s="6"/>
      <c r="J408" s="43"/>
    </row>
    <row r="409" spans="8:10">
      <c r="H409" s="6"/>
      <c r="J409" s="43"/>
    </row>
    <row r="410" spans="8:10">
      <c r="H410" s="6"/>
      <c r="J410" s="43"/>
    </row>
    <row r="411" spans="8:10">
      <c r="H411" s="6"/>
      <c r="J411" s="43"/>
    </row>
    <row r="412" spans="8:10">
      <c r="H412" s="6"/>
      <c r="J412" s="43"/>
    </row>
    <row r="413" spans="8:10">
      <c r="H413" s="6"/>
      <c r="J413" s="43"/>
    </row>
    <row r="414" spans="8:10">
      <c r="H414" s="6"/>
      <c r="J414" s="43"/>
    </row>
    <row r="415" spans="8:10">
      <c r="H415" s="6"/>
      <c r="J415" s="43"/>
    </row>
    <row r="416" spans="8:10">
      <c r="H416" s="6"/>
      <c r="J416" s="43"/>
    </row>
    <row r="417" spans="8:10">
      <c r="H417" s="6"/>
      <c r="J417" s="43"/>
    </row>
    <row r="418" spans="8:10">
      <c r="H418" s="6"/>
      <c r="J418" s="43"/>
    </row>
    <row r="419" spans="8:10">
      <c r="H419" s="6"/>
      <c r="J419" s="43"/>
    </row>
    <row r="420" spans="8:10">
      <c r="H420" s="6"/>
      <c r="J420" s="43"/>
    </row>
    <row r="421" spans="8:10">
      <c r="H421" s="6"/>
      <c r="J421" s="43"/>
    </row>
    <row r="422" spans="8:10">
      <c r="H422" s="6"/>
      <c r="J422" s="43"/>
    </row>
    <row r="423" spans="8:10">
      <c r="H423" s="6"/>
      <c r="J423" s="43"/>
    </row>
    <row r="424" spans="8:10">
      <c r="H424" s="6"/>
      <c r="J424" s="43"/>
    </row>
    <row r="425" spans="8:10">
      <c r="H425" s="6"/>
      <c r="J425" s="43"/>
    </row>
    <row r="426" spans="8:10">
      <c r="H426" s="6"/>
      <c r="J426" s="43"/>
    </row>
    <row r="427" spans="8:10">
      <c r="H427" s="6"/>
      <c r="J427" s="43"/>
    </row>
    <row r="428" spans="8:10">
      <c r="H428" s="6"/>
      <c r="J428" s="43"/>
    </row>
    <row r="429" spans="8:10">
      <c r="H429" s="6"/>
      <c r="J429" s="43"/>
    </row>
    <row r="430" spans="8:10">
      <c r="H430" s="6"/>
      <c r="J430" s="43"/>
    </row>
    <row r="431" spans="8:10">
      <c r="H431" s="6"/>
      <c r="J431" s="43"/>
    </row>
    <row r="432" spans="8:10">
      <c r="H432" s="6"/>
      <c r="J432" s="43"/>
    </row>
    <row r="433" spans="8:10">
      <c r="H433" s="6"/>
      <c r="J433" s="43"/>
    </row>
    <row r="434" spans="8:10">
      <c r="H434" s="6"/>
      <c r="J434" s="43"/>
    </row>
    <row r="435" spans="8:10">
      <c r="H435" s="6"/>
      <c r="J435" s="43"/>
    </row>
    <row r="436" spans="8:10">
      <c r="H436" s="6"/>
      <c r="J436" s="43"/>
    </row>
    <row r="437" spans="8:10">
      <c r="H437" s="6"/>
      <c r="J437" s="43"/>
    </row>
    <row r="438" spans="8:10">
      <c r="H438" s="6"/>
      <c r="J438" s="43"/>
    </row>
    <row r="439" spans="8:10">
      <c r="H439" s="6"/>
      <c r="J439" s="43"/>
    </row>
    <row r="440" spans="8:10">
      <c r="H440" s="6"/>
      <c r="J440" s="43"/>
    </row>
    <row r="441" spans="8:10">
      <c r="H441" s="6"/>
      <c r="J441" s="43"/>
    </row>
    <row r="442" spans="8:10">
      <c r="H442" s="6"/>
      <c r="J442" s="43"/>
    </row>
    <row r="443" spans="8:10">
      <c r="H443" s="6"/>
      <c r="J443" s="43"/>
    </row>
    <row r="444" spans="8:10">
      <c r="H444" s="6"/>
      <c r="J444" s="43"/>
    </row>
    <row r="445" spans="8:10">
      <c r="H445" s="6"/>
      <c r="J445" s="43"/>
    </row>
    <row r="446" spans="8:10">
      <c r="H446" s="6"/>
      <c r="J446" s="43"/>
    </row>
    <row r="447" spans="8:10">
      <c r="H447" s="6"/>
      <c r="J447" s="43"/>
    </row>
    <row r="448" spans="8:10">
      <c r="H448" s="6"/>
      <c r="J448" s="43"/>
    </row>
    <row r="449" spans="8:10">
      <c r="H449" s="6"/>
      <c r="J449" s="43"/>
    </row>
    <row r="450" spans="8:10">
      <c r="H450" s="6"/>
      <c r="J450" s="43"/>
    </row>
    <row r="451" spans="8:10">
      <c r="H451" s="6"/>
      <c r="J451" s="43"/>
    </row>
    <row r="452" spans="8:10">
      <c r="H452" s="6"/>
      <c r="J452" s="43"/>
    </row>
    <row r="453" spans="8:10">
      <c r="H453" s="6"/>
      <c r="J453" s="43"/>
    </row>
    <row r="454" spans="8:10">
      <c r="H454" s="6"/>
      <c r="J454" s="43"/>
    </row>
    <row r="455" spans="8:10">
      <c r="H455" s="6"/>
      <c r="J455" s="43"/>
    </row>
    <row r="456" spans="8:10">
      <c r="H456" s="6"/>
      <c r="J456" s="43"/>
    </row>
    <row r="457" spans="8:10">
      <c r="H457" s="6"/>
      <c r="J457" s="43"/>
    </row>
    <row r="458" spans="8:10">
      <c r="H458" s="6"/>
      <c r="J458" s="43"/>
    </row>
    <row r="459" spans="8:10">
      <c r="H459" s="6"/>
      <c r="J459" s="43"/>
    </row>
    <row r="460" spans="8:10">
      <c r="H460" s="6"/>
      <c r="J460" s="43"/>
    </row>
    <row r="461" spans="8:10">
      <c r="H461" s="6"/>
      <c r="J461" s="43"/>
    </row>
    <row r="462" spans="8:10">
      <c r="H462" s="6"/>
      <c r="J462" s="43"/>
    </row>
    <row r="463" spans="8:10">
      <c r="H463" s="6"/>
      <c r="J463" s="43"/>
    </row>
    <row r="464" spans="8:10">
      <c r="H464" s="6"/>
      <c r="J464" s="43"/>
    </row>
    <row r="465" spans="8:10">
      <c r="H465" s="6"/>
      <c r="J465" s="43"/>
    </row>
    <row r="466" spans="8:10">
      <c r="H466" s="6"/>
      <c r="J466" s="43"/>
    </row>
    <row r="467" spans="8:10">
      <c r="H467" s="6"/>
      <c r="J467" s="43"/>
    </row>
    <row r="468" spans="8:10">
      <c r="H468" s="6"/>
      <c r="J468" s="43"/>
    </row>
    <row r="469" spans="8:10">
      <c r="H469" s="6"/>
      <c r="J469" s="43"/>
    </row>
    <row r="470" spans="8:10">
      <c r="H470" s="6"/>
      <c r="J470" s="43"/>
    </row>
    <row r="471" spans="8:10">
      <c r="H471" s="6"/>
      <c r="J471" s="43"/>
    </row>
    <row r="472" spans="8:10">
      <c r="H472" s="6"/>
      <c r="J472" s="43"/>
    </row>
    <row r="473" spans="8:10">
      <c r="H473" s="6"/>
      <c r="J473" s="43"/>
    </row>
    <row r="474" spans="8:10">
      <c r="H474" s="6"/>
      <c r="J474" s="43"/>
    </row>
    <row r="475" spans="8:10">
      <c r="H475" s="6"/>
      <c r="J475" s="43"/>
    </row>
    <row r="476" spans="8:10">
      <c r="H476" s="6"/>
      <c r="J476" s="43"/>
    </row>
    <row r="477" spans="8:10">
      <c r="H477" s="6"/>
      <c r="J477" s="43"/>
    </row>
    <row r="478" spans="8:10">
      <c r="H478" s="6"/>
      <c r="J478" s="43"/>
    </row>
    <row r="479" spans="8:10">
      <c r="H479" s="6"/>
      <c r="J479" s="43"/>
    </row>
    <row r="480" spans="8:10">
      <c r="H480" s="6"/>
      <c r="J480" s="43"/>
    </row>
    <row r="481" spans="8:10">
      <c r="H481" s="6"/>
      <c r="J481" s="43"/>
    </row>
    <row r="482" spans="8:10">
      <c r="H482" s="6"/>
      <c r="J482" s="43"/>
    </row>
    <row r="483" spans="8:10">
      <c r="H483" s="6"/>
      <c r="J483" s="43"/>
    </row>
    <row r="484" spans="8:10">
      <c r="H484" s="6"/>
      <c r="J484" s="43"/>
    </row>
    <row r="485" spans="8:10">
      <c r="H485" s="6"/>
      <c r="J485" s="43"/>
    </row>
    <row r="486" spans="8:10">
      <c r="H486" s="6"/>
      <c r="J486" s="43"/>
    </row>
    <row r="487" spans="8:10">
      <c r="H487" s="6"/>
      <c r="J487" s="43"/>
    </row>
    <row r="488" spans="8:10">
      <c r="H488" s="6"/>
      <c r="J488" s="43"/>
    </row>
    <row r="489" spans="8:10">
      <c r="H489" s="6"/>
      <c r="J489" s="43"/>
    </row>
    <row r="490" spans="8:10">
      <c r="H490" s="6"/>
      <c r="J490" s="43"/>
    </row>
    <row r="491" spans="8:10">
      <c r="H491" s="6"/>
      <c r="J491" s="43"/>
    </row>
    <row r="492" spans="8:10">
      <c r="H492" s="6"/>
      <c r="J492" s="43"/>
    </row>
    <row r="493" spans="8:10">
      <c r="H493" s="6"/>
      <c r="J493" s="43"/>
    </row>
    <row r="494" spans="8:10">
      <c r="H494" s="6"/>
      <c r="J494" s="43"/>
    </row>
    <row r="495" spans="8:10">
      <c r="H495" s="6"/>
      <c r="J495" s="43"/>
    </row>
    <row r="496" spans="8:10">
      <c r="H496" s="6"/>
      <c r="J496" s="43"/>
    </row>
    <row r="497" spans="8:10">
      <c r="H497" s="6"/>
      <c r="J497" s="43"/>
    </row>
    <row r="498" spans="8:10">
      <c r="H498" s="6"/>
      <c r="J498" s="43"/>
    </row>
    <row r="499" spans="8:10">
      <c r="H499" s="6"/>
      <c r="J499" s="43"/>
    </row>
    <row r="500" spans="8:10">
      <c r="H500" s="6"/>
      <c r="J500" s="43"/>
    </row>
    <row r="501" spans="8:10">
      <c r="H501" s="6"/>
      <c r="J501" s="43"/>
    </row>
    <row r="502" spans="8:10">
      <c r="H502" s="6"/>
      <c r="J502" s="43"/>
    </row>
    <row r="503" spans="8:10">
      <c r="H503" s="6"/>
      <c r="J503" s="43"/>
    </row>
    <row r="504" spans="8:10">
      <c r="H504" s="6"/>
      <c r="J504" s="43"/>
    </row>
    <row r="505" spans="8:10">
      <c r="H505" s="6"/>
      <c r="J505" s="43"/>
    </row>
    <row r="506" spans="8:10">
      <c r="H506" s="6"/>
      <c r="J506" s="43"/>
    </row>
    <row r="507" spans="8:10">
      <c r="H507" s="6"/>
      <c r="J507" s="43"/>
    </row>
    <row r="508" spans="8:10">
      <c r="H508" s="6"/>
      <c r="J508" s="43"/>
    </row>
    <row r="509" spans="8:10">
      <c r="H509" s="6"/>
      <c r="J509" s="43"/>
    </row>
    <row r="510" spans="8:10">
      <c r="H510" s="6"/>
      <c r="J510" s="43"/>
    </row>
    <row r="511" spans="8:10">
      <c r="H511" s="6"/>
      <c r="J511" s="43"/>
    </row>
    <row r="512" spans="8:10">
      <c r="H512" s="6"/>
      <c r="J512" s="43"/>
    </row>
    <row r="513" spans="8:10">
      <c r="H513" s="6"/>
      <c r="J513" s="43"/>
    </row>
    <row r="514" spans="8:10">
      <c r="H514" s="6"/>
      <c r="J514" s="43"/>
    </row>
    <row r="515" spans="8:10">
      <c r="H515" s="6"/>
      <c r="J515" s="43"/>
    </row>
    <row r="516" spans="8:10">
      <c r="H516" s="6"/>
      <c r="J516" s="43"/>
    </row>
    <row r="517" spans="8:10">
      <c r="H517" s="6"/>
      <c r="J517" s="43"/>
    </row>
    <row r="518" spans="8:10">
      <c r="H518" s="6"/>
      <c r="J518" s="43"/>
    </row>
    <row r="519" spans="8:10">
      <c r="H519" s="6"/>
      <c r="J519" s="43"/>
    </row>
    <row r="520" spans="8:10">
      <c r="H520" s="6"/>
      <c r="J520" s="43"/>
    </row>
    <row r="521" spans="8:10">
      <c r="H521" s="6"/>
      <c r="J521" s="43"/>
    </row>
    <row r="522" spans="8:10">
      <c r="H522" s="6"/>
      <c r="J522" s="43"/>
    </row>
    <row r="523" spans="8:10">
      <c r="H523" s="6"/>
      <c r="J523" s="43"/>
    </row>
    <row r="524" spans="8:10">
      <c r="H524" s="6"/>
      <c r="J524" s="43"/>
    </row>
    <row r="525" spans="8:10">
      <c r="H525" s="6"/>
      <c r="J525" s="43"/>
    </row>
    <row r="526" spans="8:10">
      <c r="H526" s="6"/>
      <c r="J526" s="43"/>
    </row>
    <row r="527" spans="8:10">
      <c r="H527" s="6"/>
      <c r="J527" s="43"/>
    </row>
    <row r="528" spans="8:10">
      <c r="H528" s="6"/>
      <c r="J528" s="43"/>
    </row>
    <row r="529" spans="8:10">
      <c r="H529" s="6"/>
      <c r="J529" s="43"/>
    </row>
    <row r="530" spans="8:10">
      <c r="H530" s="6"/>
      <c r="J530" s="43"/>
    </row>
    <row r="531" spans="8:10">
      <c r="H531" s="6"/>
      <c r="J531" s="43"/>
    </row>
    <row r="532" spans="8:10">
      <c r="H532" s="6"/>
      <c r="J532" s="43"/>
    </row>
    <row r="533" spans="8:10">
      <c r="H533" s="6"/>
      <c r="J533" s="43"/>
    </row>
    <row r="534" spans="8:10">
      <c r="H534" s="6"/>
      <c r="J534" s="43"/>
    </row>
    <row r="535" spans="8:10">
      <c r="H535" s="6"/>
      <c r="J535" s="43"/>
    </row>
    <row r="536" spans="8:10">
      <c r="H536" s="6"/>
      <c r="J536" s="43"/>
    </row>
    <row r="537" spans="8:10">
      <c r="H537" s="6"/>
      <c r="J537" s="43"/>
    </row>
    <row r="538" spans="8:10">
      <c r="H538" s="6"/>
      <c r="J538" s="43"/>
    </row>
    <row r="539" spans="8:10">
      <c r="H539" s="6"/>
      <c r="J539" s="43"/>
    </row>
    <row r="540" spans="8:10">
      <c r="H540" s="6"/>
      <c r="J540" s="43"/>
    </row>
    <row r="541" spans="8:10">
      <c r="H541" s="6"/>
      <c r="J541" s="43"/>
    </row>
    <row r="542" spans="8:10">
      <c r="H542" s="6"/>
      <c r="J542" s="43"/>
    </row>
    <row r="543" spans="8:10">
      <c r="H543" s="6"/>
      <c r="J543" s="43"/>
    </row>
    <row r="544" spans="8:10">
      <c r="H544" s="6"/>
      <c r="J544" s="43"/>
    </row>
    <row r="545" spans="8:10">
      <c r="H545" s="6"/>
      <c r="J545" s="43"/>
    </row>
    <row r="546" spans="8:10">
      <c r="H546" s="6"/>
      <c r="J546" s="43"/>
    </row>
    <row r="547" spans="8:10">
      <c r="H547" s="6"/>
      <c r="J547" s="43"/>
    </row>
    <row r="548" spans="8:10">
      <c r="H548" s="6"/>
      <c r="J548" s="43"/>
    </row>
    <row r="549" spans="8:10">
      <c r="H549" s="6"/>
      <c r="J549" s="43"/>
    </row>
    <row r="550" spans="8:10">
      <c r="H550" s="6"/>
      <c r="J550" s="43"/>
    </row>
    <row r="551" spans="8:10">
      <c r="H551" s="6"/>
      <c r="J551" s="43"/>
    </row>
    <row r="552" spans="8:10">
      <c r="H552" s="6"/>
      <c r="J552" s="43"/>
    </row>
    <row r="553" spans="8:10">
      <c r="H553" s="6"/>
      <c r="J553" s="43"/>
    </row>
    <row r="554" spans="8:10">
      <c r="H554" s="6"/>
      <c r="J554" s="43"/>
    </row>
    <row r="555" spans="8:10">
      <c r="H555" s="6"/>
      <c r="J555" s="43"/>
    </row>
    <row r="556" spans="8:10">
      <c r="H556" s="6"/>
      <c r="J556" s="43"/>
    </row>
    <row r="557" spans="8:10">
      <c r="H557" s="6"/>
      <c r="J557" s="43"/>
    </row>
    <row r="558" spans="8:10">
      <c r="H558" s="6"/>
      <c r="J558" s="43"/>
    </row>
    <row r="559" spans="8:10">
      <c r="H559" s="6"/>
      <c r="J559" s="43"/>
    </row>
    <row r="560" spans="8:10">
      <c r="H560" s="6"/>
      <c r="J560" s="43"/>
    </row>
    <row r="561" spans="8:10">
      <c r="H561" s="6"/>
      <c r="J561" s="43"/>
    </row>
    <row r="562" spans="8:10">
      <c r="H562" s="6"/>
      <c r="J562" s="43"/>
    </row>
    <row r="563" spans="8:10">
      <c r="H563" s="6"/>
      <c r="J563" s="43"/>
    </row>
    <row r="564" spans="8:10">
      <c r="H564" s="6"/>
      <c r="J564" s="43"/>
    </row>
    <row r="565" spans="8:10">
      <c r="H565" s="6"/>
      <c r="J565" s="43"/>
    </row>
    <row r="566" spans="8:10">
      <c r="H566" s="6"/>
      <c r="J566" s="43"/>
    </row>
    <row r="567" spans="8:10">
      <c r="H567" s="6"/>
      <c r="J567" s="43"/>
    </row>
    <row r="568" spans="8:10">
      <c r="H568" s="6"/>
      <c r="J568" s="43"/>
    </row>
    <row r="569" spans="8:10">
      <c r="H569" s="6"/>
      <c r="J569" s="43"/>
    </row>
    <row r="570" spans="8:10">
      <c r="H570" s="6"/>
      <c r="J570" s="43"/>
    </row>
    <row r="571" spans="8:10">
      <c r="H571" s="6"/>
      <c r="J571" s="43"/>
    </row>
    <row r="572" spans="8:10">
      <c r="H572" s="6"/>
      <c r="J572" s="43"/>
    </row>
    <row r="573" spans="8:10">
      <c r="H573" s="6"/>
      <c r="J573" s="43"/>
    </row>
    <row r="574" spans="8:10">
      <c r="H574" s="6"/>
      <c r="J574" s="43"/>
    </row>
    <row r="575" spans="8:10">
      <c r="H575" s="6"/>
      <c r="J575" s="43"/>
    </row>
    <row r="576" spans="8:10">
      <c r="H576" s="6"/>
      <c r="J576" s="43"/>
    </row>
    <row r="577" spans="8:10">
      <c r="H577" s="6"/>
      <c r="J577" s="43"/>
    </row>
    <row r="578" spans="8:10">
      <c r="H578" s="6"/>
      <c r="J578" s="43"/>
    </row>
    <row r="579" spans="8:10">
      <c r="H579" s="6"/>
      <c r="J579" s="43"/>
    </row>
    <row r="580" spans="8:10">
      <c r="H580" s="6"/>
      <c r="J580" s="43"/>
    </row>
    <row r="581" spans="8:10">
      <c r="H581" s="6"/>
      <c r="J581" s="43"/>
    </row>
    <row r="582" spans="8:10">
      <c r="H582" s="6"/>
      <c r="J582" s="43"/>
    </row>
    <row r="583" spans="8:10">
      <c r="H583" s="6"/>
      <c r="J583" s="43"/>
    </row>
    <row r="584" spans="8:10">
      <c r="H584" s="6"/>
      <c r="J584" s="43"/>
    </row>
    <row r="585" spans="8:10">
      <c r="H585" s="6"/>
      <c r="J585" s="43"/>
    </row>
    <row r="586" spans="8:10">
      <c r="H586" s="6"/>
      <c r="J586" s="43"/>
    </row>
    <row r="587" spans="8:10">
      <c r="H587" s="6"/>
      <c r="J587" s="43"/>
    </row>
    <row r="588" spans="8:10">
      <c r="H588" s="6"/>
      <c r="J588" s="43"/>
    </row>
    <row r="589" spans="8:10">
      <c r="H589" s="6"/>
      <c r="J589" s="43"/>
    </row>
    <row r="590" spans="8:10">
      <c r="H590" s="6"/>
      <c r="J590" s="43"/>
    </row>
    <row r="591" spans="8:10">
      <c r="H591" s="6"/>
      <c r="J591" s="43"/>
    </row>
    <row r="592" spans="8:10">
      <c r="H592" s="6"/>
      <c r="J592" s="43"/>
    </row>
    <row r="593" spans="8:10">
      <c r="H593" s="6"/>
      <c r="J593" s="43"/>
    </row>
    <row r="594" spans="8:10">
      <c r="H594" s="6"/>
      <c r="J594" s="43"/>
    </row>
    <row r="595" spans="8:10">
      <c r="H595" s="6"/>
      <c r="J595" s="43"/>
    </row>
    <row r="596" spans="8:10">
      <c r="H596" s="6"/>
      <c r="J596" s="43"/>
    </row>
    <row r="597" spans="8:10">
      <c r="H597" s="6"/>
      <c r="J597" s="43"/>
    </row>
    <row r="598" spans="8:10">
      <c r="H598" s="6"/>
      <c r="J598" s="43"/>
    </row>
    <row r="599" spans="8:10">
      <c r="H599" s="6"/>
      <c r="J599" s="43"/>
    </row>
    <row r="600" spans="8:10">
      <c r="H600" s="6"/>
      <c r="J600" s="43"/>
    </row>
    <row r="601" spans="8:10">
      <c r="H601" s="6"/>
      <c r="J601" s="43"/>
    </row>
    <row r="602" spans="8:10">
      <c r="H602" s="6"/>
      <c r="J602" s="43"/>
    </row>
    <row r="603" spans="8:10">
      <c r="H603" s="6"/>
      <c r="J603" s="43"/>
    </row>
    <row r="604" spans="8:10">
      <c r="H604" s="6"/>
      <c r="J604" s="43"/>
    </row>
    <row r="605" spans="8:10">
      <c r="H605" s="6"/>
      <c r="J605" s="43"/>
    </row>
    <row r="606" spans="8:10">
      <c r="H606" s="6"/>
      <c r="J606" s="43"/>
    </row>
    <row r="607" spans="8:10">
      <c r="H607" s="6"/>
      <c r="J607" s="43"/>
    </row>
    <row r="608" spans="8:10">
      <c r="H608" s="6"/>
      <c r="J608" s="43"/>
    </row>
    <row r="609" spans="8:10">
      <c r="H609" s="6"/>
      <c r="J609" s="43"/>
    </row>
    <row r="610" spans="8:10">
      <c r="H610" s="6"/>
      <c r="J610" s="43"/>
    </row>
    <row r="611" spans="8:10">
      <c r="H611" s="6"/>
      <c r="J611" s="43"/>
    </row>
    <row r="612" spans="8:10">
      <c r="H612" s="6"/>
      <c r="J612" s="43"/>
    </row>
    <row r="613" spans="8:10">
      <c r="H613" s="6"/>
      <c r="J613" s="43"/>
    </row>
    <row r="614" spans="8:10">
      <c r="H614" s="6"/>
      <c r="J614" s="43"/>
    </row>
    <row r="615" spans="8:10">
      <c r="H615" s="6"/>
      <c r="J615" s="43"/>
    </row>
    <row r="616" spans="8:10">
      <c r="H616" s="6"/>
      <c r="J616" s="43"/>
    </row>
    <row r="617" spans="8:10">
      <c r="H617" s="6"/>
      <c r="J617" s="43"/>
    </row>
    <row r="618" spans="8:10">
      <c r="H618" s="6"/>
      <c r="J618" s="43"/>
    </row>
    <row r="619" spans="8:10">
      <c r="H619" s="6"/>
      <c r="J619" s="43"/>
    </row>
    <row r="620" spans="8:10">
      <c r="H620" s="6"/>
      <c r="J620" s="43"/>
    </row>
    <row r="621" spans="8:10">
      <c r="H621" s="6"/>
      <c r="J621" s="43"/>
    </row>
    <row r="622" spans="8:10">
      <c r="H622" s="6"/>
      <c r="J622" s="43"/>
    </row>
    <row r="623" spans="8:10">
      <c r="H623" s="6"/>
      <c r="J623" s="43"/>
    </row>
    <row r="624" spans="8:10">
      <c r="H624" s="6"/>
      <c r="J624" s="43"/>
    </row>
    <row r="625" spans="8:10">
      <c r="H625" s="6"/>
      <c r="J625" s="43"/>
    </row>
    <row r="626" spans="8:10">
      <c r="H626" s="6"/>
      <c r="J626" s="43"/>
    </row>
    <row r="627" spans="8:10">
      <c r="H627" s="6"/>
      <c r="J627" s="43"/>
    </row>
    <row r="628" spans="8:10">
      <c r="H628" s="6"/>
      <c r="J628" s="43"/>
    </row>
    <row r="629" spans="8:10">
      <c r="H629" s="6"/>
      <c r="J629" s="43"/>
    </row>
    <row r="630" spans="8:10">
      <c r="H630" s="6"/>
      <c r="J630" s="43"/>
    </row>
    <row r="631" spans="8:10">
      <c r="H631" s="6"/>
      <c r="J631" s="43"/>
    </row>
    <row r="632" spans="8:10">
      <c r="H632" s="6"/>
      <c r="J632" s="43"/>
    </row>
    <row r="633" spans="8:10">
      <c r="H633" s="6"/>
      <c r="J633" s="43"/>
    </row>
    <row r="634" spans="8:10">
      <c r="H634" s="6"/>
      <c r="J634" s="43"/>
    </row>
    <row r="635" spans="8:10">
      <c r="H635" s="6"/>
      <c r="J635" s="43"/>
    </row>
    <row r="636" spans="8:10">
      <c r="H636" s="6"/>
      <c r="J636" s="43"/>
    </row>
    <row r="637" spans="8:10">
      <c r="H637" s="6"/>
      <c r="J637" s="43"/>
    </row>
    <row r="638" spans="8:10">
      <c r="H638" s="6"/>
      <c r="J638" s="43"/>
    </row>
    <row r="639" spans="8:10">
      <c r="H639" s="6"/>
      <c r="J639" s="43"/>
    </row>
    <row r="640" spans="8:10">
      <c r="H640" s="6"/>
      <c r="J640" s="43"/>
    </row>
    <row r="641" spans="8:10">
      <c r="H641" s="6"/>
      <c r="J641" s="43"/>
    </row>
    <row r="642" spans="8:10">
      <c r="H642" s="6"/>
      <c r="J642" s="43"/>
    </row>
    <row r="643" spans="8:10">
      <c r="H643" s="6"/>
      <c r="J643" s="43"/>
    </row>
    <row r="644" spans="8:10">
      <c r="H644" s="6"/>
      <c r="J644" s="43"/>
    </row>
    <row r="645" spans="8:10">
      <c r="H645" s="6"/>
      <c r="J645" s="43"/>
    </row>
    <row r="646" spans="8:10">
      <c r="H646" s="6"/>
      <c r="J646" s="43"/>
    </row>
    <row r="647" spans="8:10">
      <c r="H647" s="6"/>
      <c r="J647" s="43"/>
    </row>
    <row r="648" spans="8:10">
      <c r="H648" s="6"/>
      <c r="J648" s="43"/>
    </row>
    <row r="649" spans="8:10">
      <c r="H649" s="6"/>
      <c r="J649" s="43"/>
    </row>
    <row r="650" spans="8:10">
      <c r="H650" s="6"/>
      <c r="J650" s="43"/>
    </row>
    <row r="651" spans="8:10">
      <c r="H651" s="6"/>
      <c r="J651" s="43"/>
    </row>
    <row r="652" spans="8:10">
      <c r="H652" s="6"/>
      <c r="J652" s="43"/>
    </row>
    <row r="653" spans="8:10">
      <c r="H653" s="6"/>
      <c r="J653" s="43"/>
    </row>
    <row r="654" spans="8:10">
      <c r="H654" s="6"/>
      <c r="J654" s="43"/>
    </row>
    <row r="655" spans="8:10">
      <c r="H655" s="6"/>
      <c r="J655" s="43"/>
    </row>
    <row r="656" spans="8:10">
      <c r="H656" s="6"/>
      <c r="J656" s="43"/>
    </row>
    <row r="657" spans="8:10">
      <c r="H657" s="6"/>
      <c r="J657" s="43"/>
    </row>
    <row r="658" spans="8:10">
      <c r="H658" s="6"/>
      <c r="J658" s="43"/>
    </row>
    <row r="659" spans="8:10">
      <c r="H659" s="6"/>
      <c r="J659" s="43"/>
    </row>
    <row r="660" spans="8:10">
      <c r="H660" s="6"/>
      <c r="J660" s="43"/>
    </row>
    <row r="661" spans="8:10">
      <c r="H661" s="6"/>
      <c r="J661" s="43"/>
    </row>
    <row r="662" spans="8:10">
      <c r="H662" s="6"/>
      <c r="J662" s="43"/>
    </row>
    <row r="663" spans="8:10">
      <c r="H663" s="6"/>
      <c r="J663" s="43"/>
    </row>
    <row r="664" spans="8:10">
      <c r="H664" s="6"/>
      <c r="J664" s="43"/>
    </row>
    <row r="665" spans="8:10">
      <c r="H665" s="6"/>
      <c r="J665" s="43"/>
    </row>
    <row r="666" spans="8:10">
      <c r="H666" s="6"/>
      <c r="J666" s="43"/>
    </row>
    <row r="667" spans="8:10">
      <c r="H667" s="6"/>
      <c r="J667" s="43"/>
    </row>
    <row r="668" spans="8:10">
      <c r="H668" s="6"/>
      <c r="J668" s="43"/>
    </row>
    <row r="669" spans="8:10">
      <c r="H669" s="6"/>
      <c r="J669" s="43"/>
    </row>
    <row r="670" spans="8:10">
      <c r="H670" s="6"/>
      <c r="J670" s="43"/>
    </row>
    <row r="671" spans="8:10">
      <c r="H671" s="6"/>
      <c r="J671" s="43"/>
    </row>
    <row r="672" spans="8:10">
      <c r="H672" s="6"/>
      <c r="J672" s="43"/>
    </row>
    <row r="673" spans="8:10">
      <c r="H673" s="6"/>
      <c r="J673" s="43"/>
    </row>
    <row r="674" spans="8:10">
      <c r="H674" s="6"/>
      <c r="J674" s="43"/>
    </row>
    <row r="675" spans="8:10">
      <c r="H675" s="6"/>
      <c r="J675" s="43"/>
    </row>
    <row r="676" spans="8:10">
      <c r="H676" s="6"/>
      <c r="J676" s="43"/>
    </row>
    <row r="677" spans="8:10">
      <c r="H677" s="6"/>
      <c r="J677" s="43"/>
    </row>
    <row r="678" spans="8:10">
      <c r="H678" s="6"/>
      <c r="J678" s="43"/>
    </row>
    <row r="679" spans="8:10">
      <c r="H679" s="6"/>
      <c r="J679" s="43"/>
    </row>
    <row r="680" spans="8:10">
      <c r="H680" s="6"/>
      <c r="J680" s="43"/>
    </row>
    <row r="681" spans="8:10">
      <c r="H681" s="6"/>
      <c r="J681" s="43"/>
    </row>
    <row r="682" spans="8:10">
      <c r="H682" s="6"/>
      <c r="J682" s="43"/>
    </row>
    <row r="683" spans="8:10">
      <c r="H683" s="6"/>
      <c r="J683" s="43"/>
    </row>
    <row r="684" spans="8:10">
      <c r="H684" s="6"/>
      <c r="J684" s="43"/>
    </row>
    <row r="685" spans="8:10">
      <c r="H685" s="6"/>
      <c r="J685" s="43"/>
    </row>
    <row r="686" spans="8:10">
      <c r="H686" s="6"/>
      <c r="J686" s="43"/>
    </row>
    <row r="687" spans="8:10">
      <c r="H687" s="6"/>
      <c r="J687" s="43"/>
    </row>
    <row r="688" spans="8:10">
      <c r="H688" s="6"/>
      <c r="J688" s="43"/>
    </row>
    <row r="689" spans="8:10">
      <c r="H689" s="6"/>
      <c r="J689" s="43"/>
    </row>
    <row r="690" spans="8:10">
      <c r="H690" s="6"/>
      <c r="J690" s="43"/>
    </row>
    <row r="691" spans="8:10">
      <c r="H691" s="6"/>
      <c r="J691" s="43"/>
    </row>
    <row r="692" spans="8:10">
      <c r="H692" s="6"/>
      <c r="J692" s="43"/>
    </row>
    <row r="693" spans="8:10">
      <c r="H693" s="6"/>
      <c r="J693" s="43"/>
    </row>
    <row r="694" spans="8:10">
      <c r="H694" s="6"/>
      <c r="J694" s="43"/>
    </row>
    <row r="695" spans="8:10">
      <c r="H695" s="6"/>
      <c r="J695" s="43"/>
    </row>
    <row r="696" spans="8:10">
      <c r="H696" s="6"/>
      <c r="J696" s="43"/>
    </row>
    <row r="697" spans="8:10">
      <c r="H697" s="6"/>
      <c r="J697" s="43"/>
    </row>
    <row r="698" spans="8:10">
      <c r="H698" s="6"/>
      <c r="J698" s="43"/>
    </row>
    <row r="699" spans="8:10">
      <c r="H699" s="6"/>
      <c r="J699" s="43"/>
    </row>
    <row r="700" spans="8:10">
      <c r="H700" s="6"/>
      <c r="J700" s="43"/>
    </row>
    <row r="701" spans="8:10">
      <c r="H701" s="6"/>
      <c r="J701" s="43"/>
    </row>
    <row r="702" spans="8:10">
      <c r="H702" s="6"/>
      <c r="J702" s="43"/>
    </row>
    <row r="703" spans="8:10">
      <c r="H703" s="6"/>
      <c r="J703" s="43"/>
    </row>
    <row r="704" spans="8:10">
      <c r="H704" s="6"/>
      <c r="J704" s="43"/>
    </row>
    <row r="705" spans="8:10">
      <c r="H705" s="6"/>
      <c r="J705" s="43"/>
    </row>
    <row r="706" spans="8:10">
      <c r="H706" s="6"/>
      <c r="J706" s="43"/>
    </row>
    <row r="707" spans="8:10">
      <c r="H707" s="6"/>
      <c r="J707" s="43"/>
    </row>
    <row r="708" spans="8:10">
      <c r="H708" s="6"/>
      <c r="J708" s="43"/>
    </row>
    <row r="709" spans="8:10">
      <c r="H709" s="6"/>
      <c r="J709" s="43"/>
    </row>
    <row r="710" spans="8:10">
      <c r="H710" s="6"/>
      <c r="J710" s="43"/>
    </row>
    <row r="711" spans="8:10">
      <c r="H711" s="6"/>
      <c r="J711" s="43"/>
    </row>
    <row r="712" spans="8:10">
      <c r="H712" s="6"/>
      <c r="J712" s="43"/>
    </row>
    <row r="713" spans="8:10">
      <c r="H713" s="6"/>
      <c r="J713" s="43"/>
    </row>
    <row r="714" spans="8:10">
      <c r="H714" s="6"/>
      <c r="J714" s="43"/>
    </row>
    <row r="715" spans="8:10">
      <c r="H715" s="6"/>
      <c r="J715" s="43"/>
    </row>
    <row r="716" spans="8:10">
      <c r="H716" s="6"/>
      <c r="J716" s="43"/>
    </row>
    <row r="717" spans="8:10">
      <c r="H717" s="6"/>
      <c r="J717" s="43"/>
    </row>
    <row r="718" spans="8:10">
      <c r="H718" s="6"/>
      <c r="J718" s="43"/>
    </row>
    <row r="719" spans="8:10">
      <c r="H719" s="6"/>
      <c r="J719" s="43"/>
    </row>
    <row r="720" spans="8:10">
      <c r="H720" s="6"/>
      <c r="J720" s="43"/>
    </row>
    <row r="721" spans="8:10">
      <c r="H721" s="6"/>
      <c r="J721" s="43"/>
    </row>
    <row r="722" spans="8:10">
      <c r="H722" s="6"/>
      <c r="J722" s="43"/>
    </row>
    <row r="723" spans="8:10">
      <c r="H723" s="6"/>
      <c r="J723" s="43"/>
    </row>
    <row r="724" spans="8:10">
      <c r="H724" s="6"/>
      <c r="J724" s="43"/>
    </row>
    <row r="725" spans="8:10">
      <c r="H725" s="6"/>
      <c r="J725" s="43"/>
    </row>
    <row r="726" spans="8:10">
      <c r="H726" s="6"/>
      <c r="J726" s="43"/>
    </row>
    <row r="727" spans="8:10">
      <c r="H727" s="6"/>
      <c r="J727" s="43"/>
    </row>
    <row r="728" spans="8:10">
      <c r="H728" s="6"/>
      <c r="J728" s="43"/>
    </row>
    <row r="729" spans="8:10">
      <c r="H729" s="6"/>
      <c r="J729" s="43"/>
    </row>
    <row r="730" spans="8:10">
      <c r="H730" s="6"/>
      <c r="J730" s="43"/>
    </row>
    <row r="731" spans="8:10">
      <c r="H731" s="6"/>
      <c r="J731" s="43"/>
    </row>
    <row r="732" spans="8:10">
      <c r="H732" s="6"/>
      <c r="J732" s="43"/>
    </row>
    <row r="733" spans="8:10">
      <c r="H733" s="6"/>
      <c r="J733" s="43"/>
    </row>
    <row r="734" spans="8:10">
      <c r="H734" s="6"/>
      <c r="J734" s="43"/>
    </row>
    <row r="735" spans="8:10">
      <c r="H735" s="6"/>
      <c r="J735" s="43"/>
    </row>
    <row r="736" spans="8:10">
      <c r="H736" s="6"/>
      <c r="J736" s="43"/>
    </row>
    <row r="737" spans="8:10">
      <c r="H737" s="6"/>
      <c r="J737" s="43"/>
    </row>
    <row r="738" spans="8:10">
      <c r="H738" s="6"/>
      <c r="J738" s="43"/>
    </row>
    <row r="739" spans="8:10">
      <c r="H739" s="6"/>
      <c r="J739" s="43"/>
    </row>
    <row r="740" spans="8:10">
      <c r="H740" s="6"/>
      <c r="J740" s="43"/>
    </row>
    <row r="741" spans="8:10">
      <c r="H741" s="6"/>
      <c r="J741" s="43"/>
    </row>
    <row r="742" spans="8:10">
      <c r="H742" s="6"/>
      <c r="J742" s="43"/>
    </row>
    <row r="743" spans="8:10">
      <c r="H743" s="6"/>
      <c r="J743" s="43"/>
    </row>
    <row r="744" spans="8:10">
      <c r="H744" s="6"/>
      <c r="J744" s="43"/>
    </row>
    <row r="745" spans="8:10">
      <c r="H745" s="6"/>
      <c r="J745" s="43"/>
    </row>
    <row r="746" spans="8:10">
      <c r="H746" s="6"/>
      <c r="J746" s="43"/>
    </row>
    <row r="747" spans="8:10">
      <c r="H747" s="6"/>
      <c r="J747" s="43"/>
    </row>
    <row r="748" spans="8:10">
      <c r="H748" s="6"/>
      <c r="J748" s="43"/>
    </row>
    <row r="749" spans="8:10">
      <c r="H749" s="6"/>
      <c r="J749" s="43"/>
    </row>
    <row r="750" spans="8:10">
      <c r="H750" s="6"/>
      <c r="J750" s="43"/>
    </row>
    <row r="751" spans="8:10">
      <c r="H751" s="6"/>
      <c r="J751" s="43"/>
    </row>
    <row r="752" spans="8:10">
      <c r="H752" s="6"/>
      <c r="J752" s="43"/>
    </row>
    <row r="753" spans="8:10">
      <c r="H753" s="6"/>
      <c r="J753" s="43"/>
    </row>
    <row r="754" spans="8:10">
      <c r="H754" s="6"/>
      <c r="J754" s="43"/>
    </row>
    <row r="755" spans="8:10">
      <c r="H755" s="6"/>
      <c r="J755" s="43"/>
    </row>
    <row r="756" spans="8:10">
      <c r="H756" s="6"/>
      <c r="J756" s="43"/>
    </row>
    <row r="757" spans="8:10">
      <c r="H757" s="6"/>
      <c r="J757" s="43"/>
    </row>
    <row r="758" spans="8:10">
      <c r="H758" s="6"/>
      <c r="J758" s="43"/>
    </row>
    <row r="759" spans="8:10">
      <c r="H759" s="6"/>
      <c r="J759" s="43"/>
    </row>
    <row r="760" spans="8:10">
      <c r="H760" s="6"/>
      <c r="J760" s="43"/>
    </row>
    <row r="761" spans="8:10">
      <c r="H761" s="6"/>
      <c r="J761" s="43"/>
    </row>
    <row r="762" spans="8:10">
      <c r="H762" s="6"/>
      <c r="J762" s="43"/>
    </row>
    <row r="763" spans="8:10">
      <c r="H763" s="6"/>
      <c r="J763" s="43"/>
    </row>
    <row r="764" spans="8:10">
      <c r="H764" s="6"/>
      <c r="J764" s="43"/>
    </row>
    <row r="765" spans="8:10">
      <c r="H765" s="6"/>
      <c r="J765" s="43"/>
    </row>
    <row r="766" spans="8:10">
      <c r="H766" s="6"/>
      <c r="J766" s="43"/>
    </row>
    <row r="767" spans="8:10">
      <c r="H767" s="6"/>
      <c r="J767" s="43"/>
    </row>
    <row r="768" spans="8:10">
      <c r="H768" s="6"/>
      <c r="J768" s="43"/>
    </row>
    <row r="769" spans="8:10">
      <c r="H769" s="6"/>
      <c r="J769" s="43"/>
    </row>
    <row r="770" spans="8:10">
      <c r="H770" s="6"/>
      <c r="J770" s="43"/>
    </row>
    <row r="771" spans="8:10">
      <c r="H771" s="6"/>
      <c r="J771" s="43"/>
    </row>
    <row r="772" spans="8:10">
      <c r="H772" s="6"/>
      <c r="J772" s="43"/>
    </row>
    <row r="773" spans="8:10">
      <c r="H773" s="6"/>
      <c r="J773" s="43"/>
    </row>
    <row r="774" spans="8:10">
      <c r="H774" s="6"/>
      <c r="J774" s="43"/>
    </row>
    <row r="775" spans="8:10">
      <c r="H775" s="6"/>
      <c r="J775" s="43"/>
    </row>
    <row r="776" spans="8:10">
      <c r="H776" s="6"/>
      <c r="J776" s="43"/>
    </row>
    <row r="777" spans="8:10">
      <c r="H777" s="6"/>
      <c r="J777" s="43"/>
    </row>
    <row r="778" spans="8:10">
      <c r="H778" s="6"/>
      <c r="J778" s="43"/>
    </row>
    <row r="779" spans="8:10">
      <c r="H779" s="6"/>
      <c r="J779" s="43"/>
    </row>
    <row r="780" spans="8:10">
      <c r="H780" s="6"/>
      <c r="J780" s="43"/>
    </row>
    <row r="781" spans="8:10">
      <c r="H781" s="6"/>
      <c r="J781" s="43"/>
    </row>
    <row r="782" spans="8:10">
      <c r="H782" s="6"/>
      <c r="J782" s="43"/>
    </row>
    <row r="783" spans="8:10">
      <c r="H783" s="6"/>
      <c r="J783" s="43"/>
    </row>
    <row r="784" spans="8:10">
      <c r="H784" s="6"/>
      <c r="J784" s="43"/>
    </row>
    <row r="785" spans="8:10">
      <c r="H785" s="6"/>
      <c r="J785" s="43"/>
    </row>
    <row r="786" spans="8:10">
      <c r="H786" s="6"/>
      <c r="J786" s="43"/>
    </row>
    <row r="787" spans="8:10">
      <c r="H787" s="6"/>
      <c r="J787" s="43"/>
    </row>
    <row r="788" spans="8:10">
      <c r="H788" s="6"/>
      <c r="J788" s="43"/>
    </row>
    <row r="789" spans="8:10">
      <c r="H789" s="6"/>
      <c r="J789" s="43"/>
    </row>
    <row r="790" spans="8:10">
      <c r="H790" s="6"/>
      <c r="J790" s="43"/>
    </row>
    <row r="791" spans="8:10">
      <c r="H791" s="6"/>
      <c r="J791" s="43"/>
    </row>
    <row r="792" spans="8:10">
      <c r="H792" s="6"/>
      <c r="J792" s="43"/>
    </row>
    <row r="793" spans="8:10">
      <c r="H793" s="6"/>
      <c r="J793" s="43"/>
    </row>
    <row r="794" spans="8:10">
      <c r="H794" s="6"/>
      <c r="J794" s="43"/>
    </row>
    <row r="795" spans="8:10">
      <c r="H795" s="6"/>
      <c r="J795" s="43"/>
    </row>
    <row r="796" spans="8:10">
      <c r="H796" s="6"/>
      <c r="J796" s="43"/>
    </row>
    <row r="797" spans="8:10">
      <c r="H797" s="6"/>
      <c r="J797" s="43"/>
    </row>
    <row r="798" spans="8:10">
      <c r="H798" s="6"/>
      <c r="J798" s="43"/>
    </row>
    <row r="799" spans="8:10">
      <c r="H799" s="6"/>
      <c r="J799" s="43"/>
    </row>
    <row r="800" spans="8:10">
      <c r="H800" s="6"/>
      <c r="J800" s="43"/>
    </row>
    <row r="801" spans="8:10">
      <c r="H801" s="6"/>
      <c r="J801" s="43"/>
    </row>
    <row r="802" spans="8:10">
      <c r="H802" s="6"/>
      <c r="J802" s="43"/>
    </row>
    <row r="803" spans="8:10">
      <c r="H803" s="6"/>
      <c r="J803" s="43"/>
    </row>
    <row r="804" spans="8:10">
      <c r="H804" s="6"/>
      <c r="J804" s="43"/>
    </row>
    <row r="805" spans="8:10">
      <c r="H805" s="6"/>
      <c r="J805" s="43"/>
    </row>
    <row r="806" spans="8:10">
      <c r="H806" s="6"/>
      <c r="J806" s="43"/>
    </row>
    <row r="807" spans="8:10">
      <c r="H807" s="6"/>
      <c r="J807" s="43"/>
    </row>
    <row r="808" spans="8:10">
      <c r="H808" s="6"/>
      <c r="J808" s="43"/>
    </row>
    <row r="809" spans="8:10">
      <c r="H809" s="6"/>
      <c r="J809" s="43"/>
    </row>
    <row r="810" spans="8:10">
      <c r="H810" s="6"/>
      <c r="J810" s="43"/>
    </row>
    <row r="811" spans="8:10">
      <c r="H811" s="6"/>
      <c r="J811" s="43"/>
    </row>
    <row r="812" spans="8:10">
      <c r="H812" s="6"/>
      <c r="J812" s="43"/>
    </row>
    <row r="813" spans="8:10">
      <c r="H813" s="6"/>
      <c r="J813" s="43"/>
    </row>
    <row r="814" spans="8:10">
      <c r="H814" s="6"/>
      <c r="J814" s="43"/>
    </row>
    <row r="815" spans="8:10">
      <c r="H815" s="6"/>
      <c r="J815" s="43"/>
    </row>
    <row r="816" spans="8:10">
      <c r="H816" s="6"/>
      <c r="J816" s="43"/>
    </row>
    <row r="817" spans="8:10">
      <c r="H817" s="6"/>
      <c r="J817" s="43"/>
    </row>
    <row r="818" spans="8:10">
      <c r="H818" s="6"/>
      <c r="J818" s="43"/>
    </row>
    <row r="819" spans="8:10">
      <c r="H819" s="6"/>
      <c r="J819" s="43"/>
    </row>
    <row r="820" spans="8:10">
      <c r="H820" s="6"/>
      <c r="J820" s="43"/>
    </row>
    <row r="821" spans="8:10">
      <c r="H821" s="6"/>
      <c r="J821" s="43"/>
    </row>
    <row r="822" spans="8:10">
      <c r="H822" s="6"/>
      <c r="J822" s="43"/>
    </row>
    <row r="823" spans="8:10">
      <c r="H823" s="6"/>
      <c r="J823" s="43"/>
    </row>
    <row r="824" spans="8:10">
      <c r="H824" s="6"/>
      <c r="J824" s="43"/>
    </row>
    <row r="825" spans="8:10">
      <c r="H825" s="6"/>
      <c r="J825" s="43"/>
    </row>
    <row r="826" spans="8:10">
      <c r="H826" s="6"/>
      <c r="J826" s="43"/>
    </row>
    <row r="827" spans="8:10">
      <c r="H827" s="6"/>
      <c r="J827" s="43"/>
    </row>
    <row r="828" spans="8:10">
      <c r="H828" s="6"/>
      <c r="J828" s="43"/>
    </row>
    <row r="829" spans="8:10">
      <c r="H829" s="6"/>
      <c r="J829" s="43"/>
    </row>
    <row r="830" spans="8:10">
      <c r="H830" s="6"/>
      <c r="J830" s="43"/>
    </row>
    <row r="831" spans="8:10">
      <c r="H831" s="6"/>
      <c r="J831" s="43"/>
    </row>
    <row r="832" spans="8:10">
      <c r="H832" s="6"/>
      <c r="J832" s="43"/>
    </row>
    <row r="833" spans="8:10">
      <c r="H833" s="6"/>
      <c r="J833" s="43"/>
    </row>
    <row r="834" spans="8:10">
      <c r="H834" s="6"/>
      <c r="J834" s="43"/>
    </row>
    <row r="835" spans="8:10">
      <c r="H835" s="6"/>
      <c r="J835" s="43"/>
    </row>
    <row r="836" spans="8:10">
      <c r="H836" s="6"/>
      <c r="J836" s="43"/>
    </row>
    <row r="837" spans="8:10">
      <c r="H837" s="6"/>
      <c r="J837" s="43"/>
    </row>
    <row r="838" spans="8:10">
      <c r="H838" s="6"/>
      <c r="J838" s="43"/>
    </row>
    <row r="839" spans="8:10">
      <c r="H839" s="6"/>
      <c r="J839" s="43"/>
    </row>
    <row r="840" spans="8:10">
      <c r="H840" s="6"/>
      <c r="J840" s="43"/>
    </row>
    <row r="841" spans="8:10">
      <c r="H841" s="6"/>
      <c r="J841" s="43"/>
    </row>
    <row r="842" spans="8:10">
      <c r="H842" s="6"/>
      <c r="J842" s="43"/>
    </row>
    <row r="843" spans="8:10">
      <c r="H843" s="6"/>
      <c r="J843" s="43"/>
    </row>
    <row r="844" spans="8:10">
      <c r="H844" s="6"/>
      <c r="J844" s="43"/>
    </row>
    <row r="845" spans="8:10">
      <c r="H845" s="6"/>
      <c r="J845" s="43"/>
    </row>
    <row r="846" spans="8:10">
      <c r="H846" s="6"/>
      <c r="J846" s="43"/>
    </row>
    <row r="847" spans="8:10">
      <c r="H847" s="6"/>
      <c r="J847" s="43"/>
    </row>
    <row r="848" spans="8:10">
      <c r="H848" s="6"/>
      <c r="J848" s="43"/>
    </row>
    <row r="849" spans="8:10">
      <c r="H849" s="6"/>
      <c r="J849" s="43"/>
    </row>
    <row r="850" spans="8:10">
      <c r="H850" s="6"/>
      <c r="J850" s="43"/>
    </row>
    <row r="851" spans="8:10">
      <c r="H851" s="6"/>
      <c r="J851" s="43"/>
    </row>
    <row r="852" spans="8:10">
      <c r="H852" s="6"/>
      <c r="J852" s="43"/>
    </row>
    <row r="853" spans="8:10">
      <c r="H853" s="6"/>
      <c r="J853" s="43"/>
    </row>
    <row r="854" spans="8:10">
      <c r="H854" s="6"/>
      <c r="J854" s="43"/>
    </row>
    <row r="855" spans="8:10">
      <c r="H855" s="6"/>
      <c r="J855" s="43"/>
    </row>
    <row r="856" spans="8:10">
      <c r="H856" s="6"/>
      <c r="J856" s="43"/>
    </row>
    <row r="857" spans="8:10">
      <c r="H857" s="6"/>
      <c r="J857" s="43"/>
    </row>
    <row r="858" spans="8:10">
      <c r="H858" s="6"/>
      <c r="J858" s="43"/>
    </row>
    <row r="859" spans="8:10">
      <c r="H859" s="6"/>
      <c r="J859" s="43"/>
    </row>
    <row r="860" spans="8:10">
      <c r="H860" s="6"/>
      <c r="J860" s="43"/>
    </row>
    <row r="861" spans="8:10">
      <c r="H861" s="6"/>
      <c r="J861" s="43"/>
    </row>
    <row r="862" spans="8:10">
      <c r="H862" s="6"/>
      <c r="J862" s="43"/>
    </row>
    <row r="863" spans="8:10">
      <c r="H863" s="6"/>
      <c r="J863" s="43"/>
    </row>
    <row r="864" spans="8:10">
      <c r="H864" s="6"/>
      <c r="J864" s="43"/>
    </row>
    <row r="865" spans="8:10">
      <c r="H865" s="6"/>
      <c r="J865" s="43"/>
    </row>
    <row r="866" spans="8:10">
      <c r="H866" s="6"/>
      <c r="J866" s="43"/>
    </row>
    <row r="867" spans="8:10">
      <c r="H867" s="6"/>
      <c r="J867" s="43"/>
    </row>
    <row r="868" spans="8:10">
      <c r="H868" s="6"/>
      <c r="J868" s="43"/>
    </row>
    <row r="869" spans="8:10">
      <c r="H869" s="6"/>
      <c r="J869" s="43"/>
    </row>
    <row r="870" spans="8:10">
      <c r="H870" s="6"/>
      <c r="J870" s="43"/>
    </row>
    <row r="871" spans="8:10">
      <c r="H871" s="6"/>
      <c r="J871" s="43"/>
    </row>
    <row r="872" spans="8:10">
      <c r="H872" s="6"/>
      <c r="J872" s="43"/>
    </row>
    <row r="873" spans="8:10">
      <c r="H873" s="6"/>
      <c r="J873" s="43"/>
    </row>
    <row r="874" spans="8:10">
      <c r="H874" s="6"/>
      <c r="J874" s="43"/>
    </row>
    <row r="875" spans="8:10">
      <c r="H875" s="6"/>
      <c r="J875" s="43"/>
    </row>
    <row r="876" spans="8:10">
      <c r="H876" s="6"/>
      <c r="J876" s="43"/>
    </row>
    <row r="877" spans="8:10">
      <c r="H877" s="6"/>
      <c r="J877" s="43"/>
    </row>
    <row r="878" spans="8:10">
      <c r="H878" s="6"/>
      <c r="J878" s="43"/>
    </row>
    <row r="879" spans="8:10">
      <c r="H879" s="6"/>
      <c r="J879" s="43"/>
    </row>
    <row r="880" spans="8:10">
      <c r="H880" s="6"/>
      <c r="J880" s="43"/>
    </row>
    <row r="881" spans="8:10">
      <c r="H881" s="6"/>
      <c r="J881" s="43"/>
    </row>
    <row r="882" spans="8:10">
      <c r="H882" s="6"/>
      <c r="J882" s="43"/>
    </row>
    <row r="883" spans="8:10">
      <c r="H883" s="6"/>
      <c r="J883" s="43"/>
    </row>
    <row r="884" spans="8:10">
      <c r="H884" s="6"/>
      <c r="J884" s="43"/>
    </row>
    <row r="885" spans="8:10">
      <c r="H885" s="6"/>
      <c r="J885" s="43"/>
    </row>
    <row r="886" spans="8:10">
      <c r="H886" s="6"/>
      <c r="J886" s="43"/>
    </row>
    <row r="887" spans="8:10">
      <c r="H887" s="6"/>
      <c r="J887" s="43"/>
    </row>
    <row r="888" spans="8:10">
      <c r="H888" s="6"/>
      <c r="J888" s="43"/>
    </row>
    <row r="889" spans="8:10">
      <c r="H889" s="6"/>
      <c r="J889" s="43"/>
    </row>
    <row r="890" spans="8:10">
      <c r="H890" s="6"/>
      <c r="J890" s="43"/>
    </row>
    <row r="891" spans="8:10">
      <c r="H891" s="6"/>
      <c r="J891" s="43"/>
    </row>
    <row r="892" spans="8:10">
      <c r="H892" s="6"/>
      <c r="J892" s="43"/>
    </row>
    <row r="893" spans="8:10">
      <c r="H893" s="6"/>
      <c r="J893" s="43"/>
    </row>
    <row r="894" spans="8:10">
      <c r="H894" s="6"/>
      <c r="J894" s="43"/>
    </row>
    <row r="895" spans="8:10">
      <c r="H895" s="6"/>
      <c r="J895" s="43"/>
    </row>
    <row r="896" spans="8:10">
      <c r="H896" s="6"/>
      <c r="J896" s="43"/>
    </row>
    <row r="897" spans="8:10">
      <c r="H897" s="6"/>
      <c r="J897" s="43"/>
    </row>
    <row r="898" spans="8:10">
      <c r="H898" s="6"/>
      <c r="J898" s="43"/>
    </row>
    <row r="899" spans="8:10">
      <c r="H899" s="6"/>
      <c r="J899" s="43"/>
    </row>
    <row r="900" spans="8:10">
      <c r="H900" s="6"/>
      <c r="J900" s="43"/>
    </row>
    <row r="901" spans="8:10">
      <c r="H901" s="6"/>
      <c r="J901" s="43"/>
    </row>
    <row r="902" spans="8:10">
      <c r="H902" s="6"/>
      <c r="J902" s="43"/>
    </row>
    <row r="903" spans="8:10">
      <c r="H903" s="6"/>
      <c r="J903" s="43"/>
    </row>
    <row r="904" spans="8:10">
      <c r="H904" s="6"/>
      <c r="J904" s="43"/>
    </row>
    <row r="905" spans="8:10">
      <c r="H905" s="6"/>
      <c r="J905" s="43"/>
    </row>
    <row r="906" spans="8:10">
      <c r="H906" s="6"/>
      <c r="J906" s="43"/>
    </row>
    <row r="907" spans="8:10">
      <c r="H907" s="6"/>
      <c r="J907" s="43"/>
    </row>
    <row r="908" spans="8:10">
      <c r="H908" s="6"/>
      <c r="J908" s="43"/>
    </row>
    <row r="909" spans="8:10">
      <c r="H909" s="6"/>
      <c r="J909" s="43"/>
    </row>
    <row r="910" spans="8:10">
      <c r="H910" s="6"/>
      <c r="J910" s="43"/>
    </row>
    <row r="911" spans="8:10">
      <c r="H911" s="6"/>
      <c r="J911" s="43"/>
    </row>
    <row r="912" spans="8:10">
      <c r="H912" s="6"/>
      <c r="J912" s="43"/>
    </row>
    <row r="913" spans="8:10">
      <c r="H913" s="6"/>
      <c r="J913" s="43"/>
    </row>
    <row r="914" spans="8:10">
      <c r="H914" s="6"/>
      <c r="J914" s="43"/>
    </row>
    <row r="915" spans="8:10">
      <c r="H915" s="6"/>
      <c r="J915" s="43"/>
    </row>
    <row r="916" spans="8:10">
      <c r="H916" s="6"/>
      <c r="J916" s="43"/>
    </row>
    <row r="917" spans="8:10">
      <c r="H917" s="6"/>
      <c r="J917" s="43"/>
    </row>
    <row r="918" spans="8:10">
      <c r="H918" s="6"/>
      <c r="J918" s="43"/>
    </row>
    <row r="919" spans="8:10">
      <c r="H919" s="6"/>
      <c r="J919" s="43"/>
    </row>
    <row r="920" spans="8:10">
      <c r="H920" s="6"/>
      <c r="J920" s="43"/>
    </row>
    <row r="921" spans="8:10">
      <c r="H921" s="6"/>
      <c r="J921" s="43"/>
    </row>
    <row r="922" spans="8:10">
      <c r="H922" s="6"/>
      <c r="J922" s="43"/>
    </row>
    <row r="923" spans="8:10">
      <c r="H923" s="6"/>
      <c r="J923" s="43"/>
    </row>
    <row r="924" spans="8:10">
      <c r="H924" s="6"/>
      <c r="J924" s="43"/>
    </row>
    <row r="925" spans="8:10">
      <c r="H925" s="6"/>
      <c r="J925" s="43"/>
    </row>
    <row r="926" spans="8:10">
      <c r="H926" s="6"/>
      <c r="J926" s="43"/>
    </row>
    <row r="927" spans="8:10">
      <c r="H927" s="6"/>
      <c r="J927" s="43"/>
    </row>
    <row r="928" spans="8:10">
      <c r="H928" s="6"/>
      <c r="J928" s="43"/>
    </row>
    <row r="929" spans="8:10">
      <c r="H929" s="6"/>
      <c r="J929" s="43"/>
    </row>
    <row r="930" spans="8:10">
      <c r="H930" s="6"/>
      <c r="J930" s="43"/>
    </row>
    <row r="931" spans="8:10">
      <c r="H931" s="6"/>
      <c r="J931" s="43"/>
    </row>
    <row r="932" spans="8:10">
      <c r="H932" s="6"/>
      <c r="J932" s="43"/>
    </row>
    <row r="933" spans="8:10">
      <c r="H933" s="6"/>
      <c r="J933" s="43"/>
    </row>
    <row r="934" spans="8:10">
      <c r="H934" s="6"/>
      <c r="J934" s="43"/>
    </row>
    <row r="935" spans="8:10">
      <c r="H935" s="6"/>
      <c r="J935" s="43"/>
    </row>
    <row r="936" spans="8:10">
      <c r="H936" s="6"/>
      <c r="J936" s="43"/>
    </row>
    <row r="937" spans="8:10">
      <c r="H937" s="6"/>
      <c r="J937" s="43"/>
    </row>
    <row r="938" spans="8:10">
      <c r="H938" s="6"/>
      <c r="J938" s="43"/>
    </row>
    <row r="939" spans="8:10">
      <c r="H939" s="6"/>
      <c r="J939" s="43"/>
    </row>
    <row r="940" spans="8:10">
      <c r="H940" s="6"/>
      <c r="J940" s="43"/>
    </row>
    <row r="941" spans="8:10">
      <c r="H941" s="6"/>
      <c r="J941" s="43"/>
    </row>
    <row r="942" spans="8:10">
      <c r="H942" s="6"/>
      <c r="J942" s="43"/>
    </row>
    <row r="943" spans="8:10">
      <c r="H943" s="6"/>
      <c r="J943" s="43"/>
    </row>
    <row r="944" spans="8:10">
      <c r="H944" s="6"/>
      <c r="J944" s="43"/>
    </row>
    <row r="945" spans="8:10">
      <c r="H945" s="6"/>
      <c r="J945" s="43"/>
    </row>
    <row r="946" spans="8:10">
      <c r="H946" s="6"/>
      <c r="J946" s="43"/>
    </row>
    <row r="947" spans="8:10">
      <c r="H947" s="6"/>
      <c r="J947" s="43"/>
    </row>
    <row r="948" spans="8:10">
      <c r="H948" s="6"/>
      <c r="J948" s="43"/>
    </row>
    <row r="949" spans="8:10">
      <c r="H949" s="6"/>
      <c r="J949" s="43"/>
    </row>
    <row r="950" spans="8:10">
      <c r="H950" s="6"/>
      <c r="J950" s="43"/>
    </row>
    <row r="951" spans="8:10">
      <c r="H951" s="6"/>
      <c r="J951" s="43"/>
    </row>
    <row r="952" spans="8:10">
      <c r="H952" s="6"/>
      <c r="J952" s="43"/>
    </row>
    <row r="953" spans="8:10">
      <c r="H953" s="6"/>
      <c r="J953" s="43"/>
    </row>
    <row r="954" spans="8:10">
      <c r="H954" s="6"/>
      <c r="J954" s="43"/>
    </row>
    <row r="955" spans="8:10">
      <c r="H955" s="6"/>
      <c r="J955" s="43"/>
    </row>
    <row r="956" spans="8:10">
      <c r="H956" s="6"/>
      <c r="J956" s="43"/>
    </row>
    <row r="957" spans="8:10">
      <c r="H957" s="6"/>
      <c r="J957" s="43"/>
    </row>
    <row r="958" spans="8:10">
      <c r="H958" s="6"/>
      <c r="J958" s="43"/>
    </row>
    <row r="959" spans="8:10">
      <c r="H959" s="6"/>
      <c r="J959" s="43"/>
    </row>
    <row r="960" spans="8:10">
      <c r="H960" s="6"/>
      <c r="J960" s="43"/>
    </row>
    <row r="961" spans="8:10">
      <c r="H961" s="6"/>
      <c r="J961" s="43"/>
    </row>
    <row r="962" spans="8:10">
      <c r="H962" s="6"/>
      <c r="J962" s="43"/>
    </row>
    <row r="963" spans="8:10">
      <c r="H963" s="6"/>
      <c r="J963" s="43"/>
    </row>
    <row r="964" spans="8:10">
      <c r="H964" s="6"/>
      <c r="J964" s="43"/>
    </row>
    <row r="965" spans="8:10">
      <c r="H965" s="6"/>
      <c r="J965" s="43"/>
    </row>
    <row r="966" spans="8:10">
      <c r="H966" s="6"/>
      <c r="J966" s="43"/>
    </row>
    <row r="967" spans="8:10">
      <c r="H967" s="6"/>
      <c r="J967" s="43"/>
    </row>
    <row r="968" spans="8:10">
      <c r="H968" s="6"/>
      <c r="J968" s="43"/>
    </row>
    <row r="969" spans="8:10">
      <c r="H969" s="6"/>
      <c r="J969" s="43"/>
    </row>
    <row r="970" spans="8:10">
      <c r="H970" s="6"/>
      <c r="J970" s="43"/>
    </row>
    <row r="971" spans="8:10">
      <c r="H971" s="6"/>
      <c r="J971" s="43"/>
    </row>
    <row r="972" spans="8:10">
      <c r="H972" s="6"/>
      <c r="J972" s="43"/>
    </row>
    <row r="973" spans="8:10">
      <c r="H973" s="6"/>
      <c r="J973" s="43"/>
    </row>
    <row r="974" spans="8:10">
      <c r="H974" s="6"/>
      <c r="J974" s="43"/>
    </row>
    <row r="975" spans="8:10">
      <c r="H975" s="6"/>
      <c r="J975" s="43"/>
    </row>
    <row r="976" spans="8:10">
      <c r="H976" s="6"/>
      <c r="J976" s="43"/>
    </row>
    <row r="977" spans="8:10">
      <c r="H977" s="6"/>
      <c r="J977" s="43"/>
    </row>
    <row r="978" spans="8:10">
      <c r="H978" s="6"/>
      <c r="J978" s="43"/>
    </row>
    <row r="979" spans="8:10">
      <c r="H979" s="6"/>
      <c r="J979" s="43"/>
    </row>
    <row r="980" spans="8:10">
      <c r="H980" s="6"/>
      <c r="J980" s="43"/>
    </row>
    <row r="981" spans="8:10">
      <c r="H981" s="6"/>
      <c r="J981" s="43"/>
    </row>
    <row r="982" spans="8:10">
      <c r="H982" s="6"/>
      <c r="J982" s="43"/>
    </row>
    <row r="983" spans="8:10">
      <c r="H983" s="6"/>
      <c r="J983" s="43"/>
    </row>
    <row r="984" spans="8:10">
      <c r="H984" s="6"/>
      <c r="J984" s="43"/>
    </row>
    <row r="985" spans="8:10">
      <c r="H985" s="6"/>
      <c r="J985" s="43"/>
    </row>
    <row r="986" spans="8:10">
      <c r="H986" s="6"/>
      <c r="J986" s="43"/>
    </row>
    <row r="987" spans="8:10">
      <c r="H987" s="6"/>
      <c r="J987" s="43"/>
    </row>
    <row r="988" spans="8:10">
      <c r="H988" s="6"/>
      <c r="J988" s="43"/>
    </row>
    <row r="989" spans="8:10">
      <c r="H989" s="6"/>
      <c r="J989" s="43"/>
    </row>
    <row r="990" spans="8:10">
      <c r="H990" s="6"/>
      <c r="J990" s="43"/>
    </row>
    <row r="991" spans="8:10">
      <c r="H991" s="6"/>
      <c r="J991" s="43"/>
    </row>
    <row r="992" spans="8:10">
      <c r="H992" s="6"/>
      <c r="J992" s="43"/>
    </row>
    <row r="993" spans="8:10">
      <c r="H993" s="6"/>
      <c r="J993" s="43"/>
    </row>
    <row r="994" spans="8:10">
      <c r="H994" s="6"/>
      <c r="J994" s="43"/>
    </row>
    <row r="995" spans="8:10">
      <c r="H995" s="6"/>
      <c r="J995" s="43"/>
    </row>
    <row r="996" spans="8:10">
      <c r="H996" s="6"/>
      <c r="J996" s="43"/>
    </row>
    <row r="997" spans="8:10">
      <c r="H997" s="6"/>
      <c r="J997" s="43"/>
    </row>
  </sheetData>
  <autoFilter ref="A1:Z997" xr:uid="{00000000-0009-0000-0000-00000A000000}"/>
  <hyperlinks>
    <hyperlink ref="G2" r:id="rId1" xr:uid="{00000000-0004-0000-0A00-000000000000}"/>
    <hyperlink ref="G3" r:id="rId2" xr:uid="{00000000-0004-0000-0A00-000001000000}"/>
    <hyperlink ref="G4" r:id="rId3" xr:uid="{00000000-0004-0000-0A00-000002000000}"/>
    <hyperlink ref="G5" r:id="rId4" xr:uid="{00000000-0004-0000-0A00-000003000000}"/>
    <hyperlink ref="L6" r:id="rId5" xr:uid="{00000000-0004-0000-0A00-000004000000}"/>
    <hyperlink ref="G10" r:id="rId6" xr:uid="{00000000-0004-0000-0A00-000005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E1000"/>
  <sheetViews>
    <sheetView workbookViewId="0">
      <pane ySplit="1" topLeftCell="A44" activePane="bottomLeft" state="frozen"/>
      <selection pane="bottomLeft" activeCell="B3" sqref="B3"/>
    </sheetView>
  </sheetViews>
  <sheetFormatPr defaultColWidth="12.6640625" defaultRowHeight="15.75" customHeight="1"/>
  <cols>
    <col min="2" max="2" width="21.109375" customWidth="1"/>
  </cols>
  <sheetData>
    <row r="1" spans="1:5">
      <c r="A1" s="68" t="s">
        <v>2394</v>
      </c>
      <c r="B1" s="68" t="s">
        <v>2395</v>
      </c>
      <c r="C1" s="68" t="s">
        <v>2396</v>
      </c>
      <c r="D1" s="3" t="s">
        <v>10</v>
      </c>
      <c r="E1" s="50" t="s">
        <v>11</v>
      </c>
    </row>
    <row r="2" spans="1:5">
      <c r="A2" s="7">
        <v>1</v>
      </c>
      <c r="B2" s="8" t="s">
        <v>2397</v>
      </c>
      <c r="C2" s="8" t="s">
        <v>2398</v>
      </c>
      <c r="D2" s="11">
        <v>44712</v>
      </c>
      <c r="E2" s="53">
        <v>44749</v>
      </c>
    </row>
    <row r="3" spans="1:5">
      <c r="A3" s="7">
        <v>2</v>
      </c>
      <c r="B3" s="8" t="s">
        <v>2399</v>
      </c>
      <c r="C3" s="8" t="s">
        <v>2398</v>
      </c>
      <c r="D3" s="11">
        <f t="shared" ref="D3:D31" si="0">D2</f>
        <v>44712</v>
      </c>
      <c r="E3" s="53">
        <v>44749</v>
      </c>
    </row>
    <row r="4" spans="1:5">
      <c r="A4" s="7">
        <v>3</v>
      </c>
      <c r="B4" s="8" t="s">
        <v>2400</v>
      </c>
      <c r="C4" s="8" t="s">
        <v>2398</v>
      </c>
      <c r="D4" s="11">
        <f t="shared" si="0"/>
        <v>44712</v>
      </c>
      <c r="E4" s="53">
        <v>44749</v>
      </c>
    </row>
    <row r="5" spans="1:5">
      <c r="A5" s="7">
        <v>4</v>
      </c>
      <c r="B5" s="8" t="s">
        <v>2401</v>
      </c>
      <c r="C5" s="8" t="s">
        <v>2402</v>
      </c>
      <c r="D5" s="11">
        <f t="shared" si="0"/>
        <v>44712</v>
      </c>
      <c r="E5" s="53">
        <v>44749</v>
      </c>
    </row>
    <row r="6" spans="1:5">
      <c r="A6" s="7">
        <v>5</v>
      </c>
      <c r="B6" s="8" t="s">
        <v>2403</v>
      </c>
      <c r="C6" s="8" t="s">
        <v>2398</v>
      </c>
      <c r="D6" s="11">
        <f t="shared" si="0"/>
        <v>44712</v>
      </c>
      <c r="E6" s="53">
        <v>44749</v>
      </c>
    </row>
    <row r="7" spans="1:5">
      <c r="A7" s="7">
        <v>6</v>
      </c>
      <c r="B7" s="8" t="s">
        <v>2404</v>
      </c>
      <c r="C7" s="8" t="s">
        <v>2398</v>
      </c>
      <c r="D7" s="11">
        <f t="shared" si="0"/>
        <v>44712</v>
      </c>
      <c r="E7" s="53">
        <v>44749</v>
      </c>
    </row>
    <row r="8" spans="1:5">
      <c r="A8" s="7">
        <v>7</v>
      </c>
      <c r="B8" s="8" t="s">
        <v>2405</v>
      </c>
      <c r="C8" s="8" t="s">
        <v>2402</v>
      </c>
      <c r="D8" s="11">
        <f t="shared" si="0"/>
        <v>44712</v>
      </c>
      <c r="E8" s="53">
        <v>44749</v>
      </c>
    </row>
    <row r="9" spans="1:5">
      <c r="A9" s="7">
        <v>8</v>
      </c>
      <c r="B9" s="8" t="s">
        <v>2406</v>
      </c>
      <c r="C9" s="8" t="s">
        <v>2398</v>
      </c>
      <c r="D9" s="11">
        <f t="shared" si="0"/>
        <v>44712</v>
      </c>
      <c r="E9" s="53">
        <v>44749</v>
      </c>
    </row>
    <row r="10" spans="1:5">
      <c r="A10" s="7">
        <v>9</v>
      </c>
      <c r="B10" s="8" t="s">
        <v>2407</v>
      </c>
      <c r="C10" s="8" t="s">
        <v>2398</v>
      </c>
      <c r="D10" s="11">
        <f t="shared" si="0"/>
        <v>44712</v>
      </c>
      <c r="E10" s="53">
        <v>44749</v>
      </c>
    </row>
    <row r="11" spans="1:5">
      <c r="A11" s="7">
        <v>10</v>
      </c>
      <c r="B11" s="8" t="s">
        <v>2408</v>
      </c>
      <c r="C11" s="8" t="s">
        <v>2402</v>
      </c>
      <c r="D11" s="11">
        <f t="shared" si="0"/>
        <v>44712</v>
      </c>
      <c r="E11" s="53">
        <v>44749</v>
      </c>
    </row>
    <row r="12" spans="1:5">
      <c r="A12" s="7">
        <v>11</v>
      </c>
      <c r="B12" s="8" t="s">
        <v>2409</v>
      </c>
      <c r="C12" s="8" t="s">
        <v>2398</v>
      </c>
      <c r="D12" s="11">
        <f t="shared" si="0"/>
        <v>44712</v>
      </c>
      <c r="E12" s="53">
        <v>44749</v>
      </c>
    </row>
    <row r="13" spans="1:5">
      <c r="A13" s="7">
        <v>12</v>
      </c>
      <c r="B13" s="8" t="s">
        <v>2410</v>
      </c>
      <c r="C13" s="8" t="s">
        <v>2398</v>
      </c>
      <c r="D13" s="11">
        <f t="shared" si="0"/>
        <v>44712</v>
      </c>
      <c r="E13" s="53">
        <v>44749</v>
      </c>
    </row>
    <row r="14" spans="1:5">
      <c r="A14" s="7">
        <v>13</v>
      </c>
      <c r="B14" s="8" t="s">
        <v>2411</v>
      </c>
      <c r="C14" s="8" t="s">
        <v>2398</v>
      </c>
      <c r="D14" s="11">
        <f t="shared" si="0"/>
        <v>44712</v>
      </c>
      <c r="E14" s="53">
        <v>44749</v>
      </c>
    </row>
    <row r="15" spans="1:5">
      <c r="A15" s="7">
        <v>14</v>
      </c>
      <c r="B15" s="8" t="s">
        <v>2412</v>
      </c>
      <c r="C15" s="8" t="s">
        <v>2402</v>
      </c>
      <c r="D15" s="11">
        <f t="shared" si="0"/>
        <v>44712</v>
      </c>
      <c r="E15" s="53">
        <v>44749</v>
      </c>
    </row>
    <row r="16" spans="1:5">
      <c r="A16" s="7">
        <v>15</v>
      </c>
      <c r="B16" s="8" t="s">
        <v>2413</v>
      </c>
      <c r="C16" s="8" t="s">
        <v>2402</v>
      </c>
      <c r="D16" s="11">
        <f t="shared" si="0"/>
        <v>44712</v>
      </c>
      <c r="E16" s="53">
        <v>44749</v>
      </c>
    </row>
    <row r="17" spans="1:5">
      <c r="A17" s="7">
        <v>16</v>
      </c>
      <c r="B17" s="8" t="s">
        <v>2414</v>
      </c>
      <c r="C17" s="8" t="s">
        <v>2402</v>
      </c>
      <c r="D17" s="11">
        <f t="shared" si="0"/>
        <v>44712</v>
      </c>
      <c r="E17" s="53">
        <v>44749</v>
      </c>
    </row>
    <row r="18" spans="1:5">
      <c r="A18" s="7">
        <v>17</v>
      </c>
      <c r="B18" s="8" t="s">
        <v>2415</v>
      </c>
      <c r="C18" s="8" t="s">
        <v>2398</v>
      </c>
      <c r="D18" s="11">
        <f t="shared" si="0"/>
        <v>44712</v>
      </c>
      <c r="E18" s="53">
        <v>44749</v>
      </c>
    </row>
    <row r="19" spans="1:5">
      <c r="A19" s="7">
        <v>18</v>
      </c>
      <c r="B19" s="8" t="s">
        <v>2416</v>
      </c>
      <c r="C19" s="8" t="s">
        <v>2398</v>
      </c>
      <c r="D19" s="11">
        <f t="shared" si="0"/>
        <v>44712</v>
      </c>
      <c r="E19" s="53">
        <v>44749</v>
      </c>
    </row>
    <row r="20" spans="1:5">
      <c r="A20" s="7">
        <v>19</v>
      </c>
      <c r="B20" s="8" t="s">
        <v>2417</v>
      </c>
      <c r="C20" s="8" t="s">
        <v>2418</v>
      </c>
      <c r="D20" s="11">
        <f t="shared" si="0"/>
        <v>44712</v>
      </c>
      <c r="E20" s="53">
        <v>44749</v>
      </c>
    </row>
    <row r="21" spans="1:5">
      <c r="A21" s="7">
        <v>20</v>
      </c>
      <c r="B21" s="8" t="s">
        <v>2419</v>
      </c>
      <c r="C21" s="8" t="s">
        <v>2402</v>
      </c>
      <c r="D21" s="11">
        <f t="shared" si="0"/>
        <v>44712</v>
      </c>
      <c r="E21" s="53">
        <v>44749</v>
      </c>
    </row>
    <row r="22" spans="1:5">
      <c r="A22" s="7">
        <v>21</v>
      </c>
      <c r="B22" s="8" t="s">
        <v>2420</v>
      </c>
      <c r="C22" s="8" t="s">
        <v>2402</v>
      </c>
      <c r="D22" s="11">
        <f t="shared" si="0"/>
        <v>44712</v>
      </c>
      <c r="E22" s="53">
        <v>44749</v>
      </c>
    </row>
    <row r="23" spans="1:5">
      <c r="A23" s="7">
        <v>22</v>
      </c>
      <c r="B23" s="8" t="s">
        <v>2421</v>
      </c>
      <c r="C23" s="8" t="s">
        <v>2402</v>
      </c>
      <c r="D23" s="11">
        <f t="shared" si="0"/>
        <v>44712</v>
      </c>
      <c r="E23" s="53">
        <v>44749</v>
      </c>
    </row>
    <row r="24" spans="1:5">
      <c r="A24" s="7">
        <v>23</v>
      </c>
      <c r="B24" s="8" t="s">
        <v>2422</v>
      </c>
      <c r="C24" s="8" t="s">
        <v>2402</v>
      </c>
      <c r="D24" s="11">
        <f t="shared" si="0"/>
        <v>44712</v>
      </c>
      <c r="E24" s="53">
        <v>44749</v>
      </c>
    </row>
    <row r="25" spans="1:5">
      <c r="A25" s="7">
        <v>24</v>
      </c>
      <c r="B25" s="8" t="s">
        <v>2423</v>
      </c>
      <c r="C25" s="8" t="s">
        <v>2402</v>
      </c>
      <c r="D25" s="11">
        <f t="shared" si="0"/>
        <v>44712</v>
      </c>
      <c r="E25" s="53">
        <v>44749</v>
      </c>
    </row>
    <row r="26" spans="1:5">
      <c r="A26" s="7">
        <v>25</v>
      </c>
      <c r="B26" s="8" t="s">
        <v>2424</v>
      </c>
      <c r="C26" s="8" t="s">
        <v>2402</v>
      </c>
      <c r="D26" s="11">
        <f t="shared" si="0"/>
        <v>44712</v>
      </c>
      <c r="E26" s="53">
        <v>44749</v>
      </c>
    </row>
    <row r="27" spans="1:5">
      <c r="A27" s="7">
        <v>26</v>
      </c>
      <c r="B27" s="8" t="s">
        <v>2425</v>
      </c>
      <c r="C27" s="8" t="s">
        <v>2402</v>
      </c>
      <c r="D27" s="11">
        <f t="shared" si="0"/>
        <v>44712</v>
      </c>
      <c r="E27" s="53">
        <v>44749</v>
      </c>
    </row>
    <row r="28" spans="1:5">
      <c r="A28" s="7">
        <v>27</v>
      </c>
      <c r="B28" s="8" t="s">
        <v>2426</v>
      </c>
      <c r="C28" s="8" t="s">
        <v>2402</v>
      </c>
      <c r="D28" s="11">
        <f t="shared" si="0"/>
        <v>44712</v>
      </c>
      <c r="E28" s="53">
        <v>44749</v>
      </c>
    </row>
    <row r="29" spans="1:5">
      <c r="A29" s="7">
        <v>28</v>
      </c>
      <c r="B29" s="8" t="s">
        <v>2427</v>
      </c>
      <c r="C29" s="8" t="s">
        <v>2402</v>
      </c>
      <c r="D29" s="11">
        <f t="shared" si="0"/>
        <v>44712</v>
      </c>
      <c r="E29" s="53">
        <v>44749</v>
      </c>
    </row>
    <row r="30" spans="1:5">
      <c r="A30" s="7">
        <v>29</v>
      </c>
      <c r="B30" s="8" t="s">
        <v>2428</v>
      </c>
      <c r="C30" s="8" t="s">
        <v>2402</v>
      </c>
      <c r="D30" s="11">
        <f t="shared" si="0"/>
        <v>44712</v>
      </c>
      <c r="E30" s="53">
        <v>44749</v>
      </c>
    </row>
    <row r="31" spans="1:5">
      <c r="A31" s="7">
        <v>30</v>
      </c>
      <c r="B31" s="8" t="s">
        <v>2429</v>
      </c>
      <c r="C31" s="8" t="s">
        <v>2402</v>
      </c>
      <c r="D31" s="11">
        <f t="shared" si="0"/>
        <v>44712</v>
      </c>
      <c r="E31" s="53">
        <v>44749</v>
      </c>
    </row>
    <row r="32" spans="1:5">
      <c r="A32" s="29">
        <v>31</v>
      </c>
      <c r="B32" s="29" t="s">
        <v>2430</v>
      </c>
      <c r="C32" s="29" t="s">
        <v>2418</v>
      </c>
      <c r="D32" s="40">
        <v>45169</v>
      </c>
    </row>
    <row r="33" spans="1:4">
      <c r="A33" s="29">
        <v>32</v>
      </c>
      <c r="B33" s="29" t="s">
        <v>2431</v>
      </c>
      <c r="C33" s="29" t="s">
        <v>2418</v>
      </c>
      <c r="D33" s="40">
        <v>45377</v>
      </c>
    </row>
    <row r="34" spans="1:4">
      <c r="A34" s="29">
        <v>33</v>
      </c>
      <c r="B34" s="29" t="s">
        <v>2432</v>
      </c>
      <c r="C34" s="29" t="s">
        <v>2418</v>
      </c>
      <c r="D34" s="40">
        <v>45461</v>
      </c>
    </row>
    <row r="35" spans="1:4">
      <c r="A35" s="29">
        <v>34</v>
      </c>
      <c r="B35" s="29" t="s">
        <v>2433</v>
      </c>
      <c r="C35" s="29" t="s">
        <v>2418</v>
      </c>
      <c r="D35" s="40">
        <v>45461</v>
      </c>
    </row>
    <row r="36" spans="1:4">
      <c r="A36" s="29">
        <v>35</v>
      </c>
      <c r="B36" s="29" t="s">
        <v>2434</v>
      </c>
      <c r="C36" s="29" t="s">
        <v>2418</v>
      </c>
      <c r="D36" s="40">
        <v>45464</v>
      </c>
    </row>
    <row r="37" spans="1:4">
      <c r="A37" s="29">
        <v>36</v>
      </c>
      <c r="B37" s="29" t="s">
        <v>2435</v>
      </c>
      <c r="C37" s="29" t="s">
        <v>2418</v>
      </c>
      <c r="D37" s="40">
        <v>45464</v>
      </c>
    </row>
    <row r="38" spans="1:4">
      <c r="A38" s="29">
        <v>37</v>
      </c>
      <c r="B38" s="29" t="s">
        <v>2436</v>
      </c>
      <c r="C38" s="29" t="s">
        <v>2418</v>
      </c>
      <c r="D38" s="40">
        <v>45465</v>
      </c>
    </row>
    <row r="39" spans="1:4">
      <c r="A39" s="29">
        <v>38</v>
      </c>
      <c r="B39" s="29" t="s">
        <v>2437</v>
      </c>
      <c r="C39" s="29" t="s">
        <v>2418</v>
      </c>
      <c r="D39" s="40">
        <v>45465</v>
      </c>
    </row>
    <row r="40" spans="1:4">
      <c r="A40" s="29">
        <v>39</v>
      </c>
      <c r="B40" s="29" t="s">
        <v>2438</v>
      </c>
      <c r="C40" s="29" t="s">
        <v>2418</v>
      </c>
      <c r="D40" s="40">
        <v>45466</v>
      </c>
    </row>
    <row r="41" spans="1:4">
      <c r="A41" s="29">
        <v>40</v>
      </c>
      <c r="B41" s="29" t="s">
        <v>2439</v>
      </c>
      <c r="C41" s="29" t="s">
        <v>2418</v>
      </c>
      <c r="D41" s="40">
        <v>45466</v>
      </c>
    </row>
    <row r="42" spans="1:4">
      <c r="A42" s="29">
        <v>41</v>
      </c>
      <c r="B42" s="29" t="s">
        <v>2440</v>
      </c>
      <c r="C42" s="29" t="s">
        <v>2418</v>
      </c>
      <c r="D42" s="40">
        <v>45494</v>
      </c>
    </row>
    <row r="43" spans="1:4">
      <c r="A43" s="29">
        <v>42</v>
      </c>
      <c r="B43" s="29" t="s">
        <v>2441</v>
      </c>
      <c r="C43" s="29" t="s">
        <v>2418</v>
      </c>
      <c r="D43" s="40">
        <v>45496</v>
      </c>
    </row>
    <row r="44" spans="1:4">
      <c r="A44" s="29">
        <v>43</v>
      </c>
      <c r="B44" s="29" t="s">
        <v>2442</v>
      </c>
      <c r="C44" s="29" t="s">
        <v>2418</v>
      </c>
      <c r="D44" s="40">
        <v>45497</v>
      </c>
    </row>
    <row r="45" spans="1:4">
      <c r="C45" s="48"/>
      <c r="D45" s="43"/>
    </row>
    <row r="46" spans="1:4">
      <c r="C46" s="48"/>
      <c r="D46" s="43"/>
    </row>
    <row r="47" spans="1:4">
      <c r="C47" s="48"/>
      <c r="D47" s="43"/>
    </row>
    <row r="48" spans="1:4">
      <c r="C48" s="48"/>
      <c r="D48" s="43"/>
    </row>
    <row r="49" spans="3:4">
      <c r="C49" s="48"/>
      <c r="D49" s="43"/>
    </row>
    <row r="50" spans="3:4">
      <c r="C50" s="48"/>
      <c r="D50" s="43"/>
    </row>
    <row r="51" spans="3:4">
      <c r="C51" s="48"/>
      <c r="D51" s="43"/>
    </row>
    <row r="52" spans="3:4">
      <c r="C52" s="48"/>
      <c r="D52" s="43"/>
    </row>
    <row r="53" spans="3:4">
      <c r="C53" s="48"/>
      <c r="D53" s="43"/>
    </row>
    <row r="54" spans="3:4">
      <c r="C54" s="48"/>
      <c r="D54" s="43"/>
    </row>
    <row r="55" spans="3:4">
      <c r="C55" s="48"/>
      <c r="D55" s="43"/>
    </row>
    <row r="56" spans="3:4">
      <c r="C56" s="48"/>
      <c r="D56" s="43"/>
    </row>
    <row r="57" spans="3:4">
      <c r="C57" s="48"/>
      <c r="D57" s="43"/>
    </row>
    <row r="58" spans="3:4">
      <c r="C58" s="48"/>
      <c r="D58" s="43"/>
    </row>
    <row r="59" spans="3:4">
      <c r="C59" s="48"/>
      <c r="D59" s="43"/>
    </row>
    <row r="60" spans="3:4">
      <c r="C60" s="48"/>
      <c r="D60" s="43"/>
    </row>
    <row r="61" spans="3:4">
      <c r="C61" s="48"/>
      <c r="D61" s="43"/>
    </row>
    <row r="62" spans="3:4">
      <c r="C62" s="48"/>
      <c r="D62" s="43"/>
    </row>
    <row r="63" spans="3:4">
      <c r="C63" s="48"/>
      <c r="D63" s="43"/>
    </row>
    <row r="64" spans="3:4">
      <c r="C64" s="48"/>
      <c r="D64" s="43"/>
    </row>
    <row r="65" spans="3:4">
      <c r="C65" s="48"/>
      <c r="D65" s="43"/>
    </row>
    <row r="66" spans="3:4">
      <c r="C66" s="48"/>
      <c r="D66" s="43"/>
    </row>
    <row r="67" spans="3:4">
      <c r="C67" s="48"/>
      <c r="D67" s="43"/>
    </row>
    <row r="68" spans="3:4">
      <c r="C68" s="48"/>
      <c r="D68" s="43"/>
    </row>
    <row r="69" spans="3:4">
      <c r="C69" s="48"/>
      <c r="D69" s="43"/>
    </row>
    <row r="70" spans="3:4">
      <c r="C70" s="48"/>
      <c r="D70" s="43"/>
    </row>
    <row r="71" spans="3:4">
      <c r="C71" s="48"/>
      <c r="D71" s="43"/>
    </row>
    <row r="72" spans="3:4">
      <c r="C72" s="48"/>
      <c r="D72" s="43"/>
    </row>
    <row r="73" spans="3:4">
      <c r="C73" s="48"/>
      <c r="D73" s="43"/>
    </row>
    <row r="74" spans="3:4">
      <c r="C74" s="48"/>
      <c r="D74" s="43"/>
    </row>
    <row r="75" spans="3:4">
      <c r="C75" s="48"/>
      <c r="D75" s="43"/>
    </row>
    <row r="76" spans="3:4">
      <c r="C76" s="48"/>
      <c r="D76" s="43"/>
    </row>
    <row r="77" spans="3:4">
      <c r="C77" s="48"/>
      <c r="D77" s="43"/>
    </row>
    <row r="78" spans="3:4">
      <c r="C78" s="48"/>
      <c r="D78" s="43"/>
    </row>
    <row r="79" spans="3:4">
      <c r="C79" s="48"/>
      <c r="D79" s="43"/>
    </row>
    <row r="80" spans="3:4">
      <c r="C80" s="48"/>
      <c r="D80" s="43"/>
    </row>
    <row r="81" spans="3:4">
      <c r="C81" s="48"/>
      <c r="D81" s="43"/>
    </row>
    <row r="82" spans="3:4">
      <c r="C82" s="48"/>
      <c r="D82" s="43"/>
    </row>
    <row r="83" spans="3:4">
      <c r="C83" s="48"/>
      <c r="D83" s="43"/>
    </row>
    <row r="84" spans="3:4">
      <c r="C84" s="48"/>
      <c r="D84" s="43"/>
    </row>
    <row r="85" spans="3:4">
      <c r="C85" s="48"/>
      <c r="D85" s="43"/>
    </row>
    <row r="86" spans="3:4">
      <c r="C86" s="48"/>
      <c r="D86" s="43"/>
    </row>
    <row r="87" spans="3:4">
      <c r="C87" s="48"/>
      <c r="D87" s="43"/>
    </row>
    <row r="88" spans="3:4">
      <c r="C88" s="48"/>
      <c r="D88" s="43"/>
    </row>
    <row r="89" spans="3:4">
      <c r="C89" s="48"/>
      <c r="D89" s="43"/>
    </row>
    <row r="90" spans="3:4">
      <c r="C90" s="48"/>
      <c r="D90" s="43"/>
    </row>
    <row r="91" spans="3:4">
      <c r="C91" s="48"/>
      <c r="D91" s="43"/>
    </row>
    <row r="92" spans="3:4">
      <c r="C92" s="48"/>
      <c r="D92" s="43"/>
    </row>
    <row r="93" spans="3:4">
      <c r="C93" s="48"/>
      <c r="D93" s="43"/>
    </row>
    <row r="94" spans="3:4">
      <c r="C94" s="48"/>
      <c r="D94" s="43"/>
    </row>
    <row r="95" spans="3:4">
      <c r="C95" s="48"/>
      <c r="D95" s="43"/>
    </row>
    <row r="96" spans="3:4">
      <c r="C96" s="48"/>
      <c r="D96" s="43"/>
    </row>
    <row r="97" spans="3:4">
      <c r="C97" s="48"/>
      <c r="D97" s="43"/>
    </row>
    <row r="98" spans="3:4">
      <c r="C98" s="48"/>
      <c r="D98" s="43"/>
    </row>
    <row r="99" spans="3:4">
      <c r="C99" s="48"/>
      <c r="D99" s="43"/>
    </row>
    <row r="100" spans="3:4">
      <c r="C100" s="48"/>
      <c r="D100" s="43"/>
    </row>
    <row r="101" spans="3:4">
      <c r="C101" s="48"/>
      <c r="D101" s="43"/>
    </row>
    <row r="102" spans="3:4">
      <c r="C102" s="48"/>
      <c r="D102" s="43"/>
    </row>
    <row r="103" spans="3:4">
      <c r="C103" s="48"/>
      <c r="D103" s="43"/>
    </row>
    <row r="104" spans="3:4">
      <c r="C104" s="48"/>
      <c r="D104" s="43"/>
    </row>
    <row r="105" spans="3:4">
      <c r="C105" s="48"/>
      <c r="D105" s="43"/>
    </row>
    <row r="106" spans="3:4">
      <c r="C106" s="48"/>
      <c r="D106" s="43"/>
    </row>
    <row r="107" spans="3:4">
      <c r="C107" s="48"/>
      <c r="D107" s="43"/>
    </row>
    <row r="108" spans="3:4">
      <c r="C108" s="48"/>
      <c r="D108" s="43"/>
    </row>
    <row r="109" spans="3:4">
      <c r="C109" s="48"/>
      <c r="D109" s="43"/>
    </row>
    <row r="110" spans="3:4">
      <c r="C110" s="48"/>
      <c r="D110" s="43"/>
    </row>
    <row r="111" spans="3:4">
      <c r="C111" s="48"/>
      <c r="D111" s="43"/>
    </row>
    <row r="112" spans="3:4">
      <c r="C112" s="48"/>
      <c r="D112" s="43"/>
    </row>
    <row r="113" spans="3:4">
      <c r="C113" s="48"/>
      <c r="D113" s="43"/>
    </row>
    <row r="114" spans="3:4">
      <c r="C114" s="48"/>
      <c r="D114" s="43"/>
    </row>
    <row r="115" spans="3:4">
      <c r="C115" s="48"/>
      <c r="D115" s="43"/>
    </row>
    <row r="116" spans="3:4">
      <c r="C116" s="48"/>
      <c r="D116" s="43"/>
    </row>
    <row r="117" spans="3:4">
      <c r="C117" s="48"/>
      <c r="D117" s="43"/>
    </row>
    <row r="118" spans="3:4">
      <c r="C118" s="48"/>
      <c r="D118" s="43"/>
    </row>
    <row r="119" spans="3:4">
      <c r="C119" s="48"/>
      <c r="D119" s="43"/>
    </row>
    <row r="120" spans="3:4">
      <c r="C120" s="48"/>
      <c r="D120" s="43"/>
    </row>
    <row r="121" spans="3:4">
      <c r="C121" s="48"/>
      <c r="D121" s="43"/>
    </row>
    <row r="122" spans="3:4">
      <c r="C122" s="48"/>
      <c r="D122" s="43"/>
    </row>
    <row r="123" spans="3:4">
      <c r="C123" s="48"/>
      <c r="D123" s="43"/>
    </row>
    <row r="124" spans="3:4">
      <c r="C124" s="48"/>
      <c r="D124" s="43"/>
    </row>
    <row r="125" spans="3:4">
      <c r="C125" s="48"/>
      <c r="D125" s="43"/>
    </row>
    <row r="126" spans="3:4">
      <c r="C126" s="48"/>
      <c r="D126" s="43"/>
    </row>
    <row r="127" spans="3:4">
      <c r="C127" s="48"/>
      <c r="D127" s="43"/>
    </row>
    <row r="128" spans="3:4">
      <c r="C128" s="48"/>
      <c r="D128" s="43"/>
    </row>
    <row r="129" spans="3:4">
      <c r="C129" s="48"/>
      <c r="D129" s="43"/>
    </row>
    <row r="130" spans="3:4">
      <c r="C130" s="48"/>
      <c r="D130" s="43"/>
    </row>
    <row r="131" spans="3:4">
      <c r="C131" s="48"/>
      <c r="D131" s="43"/>
    </row>
    <row r="132" spans="3:4">
      <c r="C132" s="48"/>
      <c r="D132" s="43"/>
    </row>
    <row r="133" spans="3:4">
      <c r="C133" s="48"/>
      <c r="D133" s="43"/>
    </row>
    <row r="134" spans="3:4">
      <c r="C134" s="48"/>
      <c r="D134" s="43"/>
    </row>
    <row r="135" spans="3:4">
      <c r="C135" s="48"/>
      <c r="D135" s="43"/>
    </row>
    <row r="136" spans="3:4">
      <c r="C136" s="48"/>
      <c r="D136" s="43"/>
    </row>
    <row r="137" spans="3:4">
      <c r="C137" s="48"/>
      <c r="D137" s="43"/>
    </row>
    <row r="138" spans="3:4">
      <c r="C138" s="48"/>
      <c r="D138" s="43"/>
    </row>
    <row r="139" spans="3:4">
      <c r="C139" s="48"/>
      <c r="D139" s="43"/>
    </row>
    <row r="140" spans="3:4">
      <c r="C140" s="48"/>
      <c r="D140" s="43"/>
    </row>
    <row r="141" spans="3:4">
      <c r="C141" s="48"/>
      <c r="D141" s="43"/>
    </row>
    <row r="142" spans="3:4">
      <c r="C142" s="48"/>
      <c r="D142" s="43"/>
    </row>
    <row r="143" spans="3:4">
      <c r="C143" s="48"/>
      <c r="D143" s="43"/>
    </row>
    <row r="144" spans="3:4">
      <c r="C144" s="48"/>
      <c r="D144" s="43"/>
    </row>
    <row r="145" spans="3:4">
      <c r="C145" s="48"/>
      <c r="D145" s="43"/>
    </row>
    <row r="146" spans="3:4">
      <c r="C146" s="48"/>
      <c r="D146" s="43"/>
    </row>
    <row r="147" spans="3:4">
      <c r="C147" s="48"/>
      <c r="D147" s="43"/>
    </row>
    <row r="148" spans="3:4">
      <c r="C148" s="48"/>
      <c r="D148" s="43"/>
    </row>
    <row r="149" spans="3:4">
      <c r="C149" s="48"/>
      <c r="D149" s="43"/>
    </row>
    <row r="150" spans="3:4">
      <c r="C150" s="48"/>
      <c r="D150" s="43"/>
    </row>
    <row r="151" spans="3:4">
      <c r="C151" s="48"/>
      <c r="D151" s="43"/>
    </row>
    <row r="152" spans="3:4">
      <c r="C152" s="48"/>
      <c r="D152" s="43"/>
    </row>
    <row r="153" spans="3:4">
      <c r="C153" s="48"/>
      <c r="D153" s="43"/>
    </row>
    <row r="154" spans="3:4">
      <c r="C154" s="48"/>
      <c r="D154" s="43"/>
    </row>
    <row r="155" spans="3:4">
      <c r="C155" s="48"/>
      <c r="D155" s="43"/>
    </row>
    <row r="156" spans="3:4">
      <c r="C156" s="48"/>
      <c r="D156" s="43"/>
    </row>
    <row r="157" spans="3:4">
      <c r="C157" s="48"/>
      <c r="D157" s="43"/>
    </row>
    <row r="158" spans="3:4">
      <c r="C158" s="48"/>
      <c r="D158" s="43"/>
    </row>
    <row r="159" spans="3:4">
      <c r="C159" s="48"/>
      <c r="D159" s="43"/>
    </row>
    <row r="160" spans="3:4">
      <c r="C160" s="48"/>
      <c r="D160" s="43"/>
    </row>
    <row r="161" spans="3:4">
      <c r="C161" s="48"/>
      <c r="D161" s="43"/>
    </row>
    <row r="162" spans="3:4">
      <c r="C162" s="48"/>
      <c r="D162" s="43"/>
    </row>
    <row r="163" spans="3:4">
      <c r="C163" s="48"/>
      <c r="D163" s="43"/>
    </row>
    <row r="164" spans="3:4">
      <c r="C164" s="48"/>
      <c r="D164" s="43"/>
    </row>
    <row r="165" spans="3:4">
      <c r="C165" s="48"/>
      <c r="D165" s="43"/>
    </row>
    <row r="166" spans="3:4">
      <c r="C166" s="48"/>
      <c r="D166" s="43"/>
    </row>
    <row r="167" spans="3:4">
      <c r="C167" s="48"/>
      <c r="D167" s="43"/>
    </row>
    <row r="168" spans="3:4">
      <c r="C168" s="48"/>
      <c r="D168" s="43"/>
    </row>
    <row r="169" spans="3:4">
      <c r="C169" s="48"/>
      <c r="D169" s="43"/>
    </row>
    <row r="170" spans="3:4">
      <c r="C170" s="48"/>
      <c r="D170" s="43"/>
    </row>
    <row r="171" spans="3:4">
      <c r="C171" s="48"/>
      <c r="D171" s="43"/>
    </row>
    <row r="172" spans="3:4">
      <c r="C172" s="48"/>
      <c r="D172" s="43"/>
    </row>
    <row r="173" spans="3:4">
      <c r="C173" s="48"/>
      <c r="D173" s="43"/>
    </row>
    <row r="174" spans="3:4">
      <c r="C174" s="48"/>
      <c r="D174" s="43"/>
    </row>
    <row r="175" spans="3:4">
      <c r="C175" s="48"/>
      <c r="D175" s="43"/>
    </row>
    <row r="176" spans="3:4">
      <c r="C176" s="48"/>
      <c r="D176" s="43"/>
    </row>
    <row r="177" spans="3:4">
      <c r="C177" s="48"/>
      <c r="D177" s="43"/>
    </row>
    <row r="178" spans="3:4">
      <c r="C178" s="48"/>
      <c r="D178" s="43"/>
    </row>
    <row r="179" spans="3:4">
      <c r="C179" s="48"/>
      <c r="D179" s="43"/>
    </row>
    <row r="180" spans="3:4">
      <c r="C180" s="48"/>
      <c r="D180" s="43"/>
    </row>
    <row r="181" spans="3:4">
      <c r="C181" s="48"/>
      <c r="D181" s="43"/>
    </row>
    <row r="182" spans="3:4">
      <c r="C182" s="48"/>
      <c r="D182" s="43"/>
    </row>
    <row r="183" spans="3:4">
      <c r="C183" s="48"/>
      <c r="D183" s="43"/>
    </row>
    <row r="184" spans="3:4">
      <c r="C184" s="48"/>
      <c r="D184" s="43"/>
    </row>
    <row r="185" spans="3:4">
      <c r="C185" s="48"/>
      <c r="D185" s="43"/>
    </row>
    <row r="186" spans="3:4">
      <c r="C186" s="48"/>
      <c r="D186" s="43"/>
    </row>
    <row r="187" spans="3:4">
      <c r="C187" s="48"/>
      <c r="D187" s="43"/>
    </row>
    <row r="188" spans="3:4">
      <c r="C188" s="48"/>
      <c r="D188" s="43"/>
    </row>
    <row r="189" spans="3:4">
      <c r="C189" s="48"/>
      <c r="D189" s="43"/>
    </row>
    <row r="190" spans="3:4">
      <c r="C190" s="48"/>
      <c r="D190" s="43"/>
    </row>
    <row r="191" spans="3:4">
      <c r="C191" s="48"/>
      <c r="D191" s="43"/>
    </row>
    <row r="192" spans="3:4">
      <c r="C192" s="48"/>
      <c r="D192" s="43"/>
    </row>
    <row r="193" spans="3:4">
      <c r="C193" s="48"/>
      <c r="D193" s="43"/>
    </row>
    <row r="194" spans="3:4">
      <c r="C194" s="48"/>
      <c r="D194" s="43"/>
    </row>
    <row r="195" spans="3:4">
      <c r="C195" s="48"/>
      <c r="D195" s="43"/>
    </row>
    <row r="196" spans="3:4">
      <c r="C196" s="48"/>
      <c r="D196" s="43"/>
    </row>
    <row r="197" spans="3:4">
      <c r="C197" s="48"/>
      <c r="D197" s="43"/>
    </row>
    <row r="198" spans="3:4">
      <c r="C198" s="48"/>
      <c r="D198" s="43"/>
    </row>
    <row r="199" spans="3:4">
      <c r="C199" s="48"/>
      <c r="D199" s="43"/>
    </row>
    <row r="200" spans="3:4">
      <c r="C200" s="48"/>
      <c r="D200" s="43"/>
    </row>
    <row r="201" spans="3:4">
      <c r="C201" s="48"/>
      <c r="D201" s="43"/>
    </row>
    <row r="202" spans="3:4">
      <c r="C202" s="48"/>
      <c r="D202" s="43"/>
    </row>
    <row r="203" spans="3:4">
      <c r="C203" s="48"/>
      <c r="D203" s="43"/>
    </row>
    <row r="204" spans="3:4">
      <c r="C204" s="48"/>
      <c r="D204" s="43"/>
    </row>
    <row r="205" spans="3:4">
      <c r="C205" s="48"/>
      <c r="D205" s="43"/>
    </row>
    <row r="206" spans="3:4">
      <c r="C206" s="48"/>
      <c r="D206" s="43"/>
    </row>
    <row r="207" spans="3:4">
      <c r="C207" s="48"/>
      <c r="D207" s="43"/>
    </row>
    <row r="208" spans="3:4">
      <c r="C208" s="48"/>
      <c r="D208" s="43"/>
    </row>
    <row r="209" spans="3:4">
      <c r="C209" s="48"/>
      <c r="D209" s="43"/>
    </row>
    <row r="210" spans="3:4">
      <c r="C210" s="48"/>
      <c r="D210" s="43"/>
    </row>
    <row r="211" spans="3:4">
      <c r="C211" s="48"/>
      <c r="D211" s="43"/>
    </row>
    <row r="212" spans="3:4">
      <c r="C212" s="48"/>
      <c r="D212" s="43"/>
    </row>
    <row r="213" spans="3:4">
      <c r="C213" s="48"/>
      <c r="D213" s="43"/>
    </row>
    <row r="214" spans="3:4">
      <c r="C214" s="48"/>
      <c r="D214" s="43"/>
    </row>
    <row r="215" spans="3:4">
      <c r="C215" s="48"/>
      <c r="D215" s="43"/>
    </row>
    <row r="216" spans="3:4">
      <c r="C216" s="48"/>
      <c r="D216" s="43"/>
    </row>
    <row r="217" spans="3:4">
      <c r="C217" s="48"/>
      <c r="D217" s="43"/>
    </row>
    <row r="218" spans="3:4">
      <c r="C218" s="48"/>
      <c r="D218" s="43"/>
    </row>
    <row r="219" spans="3:4">
      <c r="C219" s="48"/>
      <c r="D219" s="43"/>
    </row>
    <row r="220" spans="3:4">
      <c r="C220" s="48"/>
      <c r="D220" s="43"/>
    </row>
    <row r="221" spans="3:4">
      <c r="C221" s="48"/>
      <c r="D221" s="43"/>
    </row>
    <row r="222" spans="3:4">
      <c r="C222" s="48"/>
      <c r="D222" s="43"/>
    </row>
    <row r="223" spans="3:4">
      <c r="C223" s="48"/>
      <c r="D223" s="43"/>
    </row>
    <row r="224" spans="3:4">
      <c r="C224" s="48"/>
      <c r="D224" s="43"/>
    </row>
    <row r="225" spans="3:4">
      <c r="C225" s="48"/>
      <c r="D225" s="43"/>
    </row>
    <row r="226" spans="3:4">
      <c r="C226" s="48"/>
      <c r="D226" s="43"/>
    </row>
    <row r="227" spans="3:4">
      <c r="C227" s="48"/>
      <c r="D227" s="43"/>
    </row>
    <row r="228" spans="3:4">
      <c r="C228" s="48"/>
      <c r="D228" s="43"/>
    </row>
    <row r="229" spans="3:4">
      <c r="C229" s="48"/>
      <c r="D229" s="43"/>
    </row>
    <row r="230" spans="3:4">
      <c r="C230" s="48"/>
      <c r="D230" s="43"/>
    </row>
    <row r="231" spans="3:4">
      <c r="C231" s="48"/>
      <c r="D231" s="43"/>
    </row>
    <row r="232" spans="3:4">
      <c r="C232" s="48"/>
      <c r="D232" s="43"/>
    </row>
    <row r="233" spans="3:4">
      <c r="C233" s="48"/>
      <c r="D233" s="43"/>
    </row>
    <row r="234" spans="3:4">
      <c r="C234" s="48"/>
      <c r="D234" s="43"/>
    </row>
    <row r="235" spans="3:4">
      <c r="C235" s="48"/>
      <c r="D235" s="43"/>
    </row>
    <row r="236" spans="3:4">
      <c r="C236" s="48"/>
      <c r="D236" s="43"/>
    </row>
    <row r="237" spans="3:4">
      <c r="C237" s="48"/>
      <c r="D237" s="43"/>
    </row>
    <row r="238" spans="3:4">
      <c r="C238" s="48"/>
      <c r="D238" s="43"/>
    </row>
    <row r="239" spans="3:4">
      <c r="C239" s="48"/>
      <c r="D239" s="43"/>
    </row>
    <row r="240" spans="3:4">
      <c r="C240" s="48"/>
      <c r="D240" s="43"/>
    </row>
    <row r="241" spans="3:4">
      <c r="C241" s="48"/>
      <c r="D241" s="43"/>
    </row>
    <row r="242" spans="3:4">
      <c r="C242" s="48"/>
      <c r="D242" s="43"/>
    </row>
    <row r="243" spans="3:4">
      <c r="C243" s="48"/>
      <c r="D243" s="43"/>
    </row>
    <row r="244" spans="3:4">
      <c r="C244" s="48"/>
      <c r="D244" s="43"/>
    </row>
    <row r="245" spans="3:4">
      <c r="C245" s="48"/>
      <c r="D245" s="43"/>
    </row>
    <row r="246" spans="3:4">
      <c r="C246" s="48"/>
      <c r="D246" s="43"/>
    </row>
    <row r="247" spans="3:4">
      <c r="C247" s="48"/>
      <c r="D247" s="43"/>
    </row>
    <row r="248" spans="3:4">
      <c r="C248" s="48"/>
      <c r="D248" s="43"/>
    </row>
    <row r="249" spans="3:4">
      <c r="C249" s="48"/>
      <c r="D249" s="43"/>
    </row>
    <row r="250" spans="3:4">
      <c r="C250" s="48"/>
      <c r="D250" s="43"/>
    </row>
    <row r="251" spans="3:4">
      <c r="C251" s="48"/>
      <c r="D251" s="43"/>
    </row>
    <row r="252" spans="3:4">
      <c r="C252" s="48"/>
      <c r="D252" s="43"/>
    </row>
    <row r="253" spans="3:4">
      <c r="C253" s="48"/>
      <c r="D253" s="43"/>
    </row>
    <row r="254" spans="3:4">
      <c r="C254" s="48"/>
      <c r="D254" s="43"/>
    </row>
    <row r="255" spans="3:4">
      <c r="C255" s="48"/>
      <c r="D255" s="43"/>
    </row>
    <row r="256" spans="3:4">
      <c r="C256" s="48"/>
      <c r="D256" s="43"/>
    </row>
    <row r="257" spans="3:4">
      <c r="C257" s="48"/>
      <c r="D257" s="43"/>
    </row>
    <row r="258" spans="3:4">
      <c r="C258" s="48"/>
      <c r="D258" s="43"/>
    </row>
    <row r="259" spans="3:4">
      <c r="C259" s="48"/>
      <c r="D259" s="43"/>
    </row>
    <row r="260" spans="3:4">
      <c r="C260" s="48"/>
      <c r="D260" s="43"/>
    </row>
    <row r="261" spans="3:4">
      <c r="C261" s="48"/>
      <c r="D261" s="43"/>
    </row>
    <row r="262" spans="3:4">
      <c r="C262" s="48"/>
      <c r="D262" s="43"/>
    </row>
    <row r="263" spans="3:4">
      <c r="C263" s="48"/>
      <c r="D263" s="43"/>
    </row>
    <row r="264" spans="3:4">
      <c r="C264" s="48"/>
      <c r="D264" s="43"/>
    </row>
    <row r="265" spans="3:4">
      <c r="C265" s="48"/>
      <c r="D265" s="43"/>
    </row>
    <row r="266" spans="3:4">
      <c r="C266" s="48"/>
      <c r="D266" s="43"/>
    </row>
    <row r="267" spans="3:4">
      <c r="C267" s="48"/>
      <c r="D267" s="43"/>
    </row>
    <row r="268" spans="3:4">
      <c r="C268" s="48"/>
      <c r="D268" s="43"/>
    </row>
    <row r="269" spans="3:4">
      <c r="C269" s="48"/>
      <c r="D269" s="43"/>
    </row>
    <row r="270" spans="3:4">
      <c r="C270" s="48"/>
      <c r="D270" s="43"/>
    </row>
    <row r="271" spans="3:4">
      <c r="C271" s="48"/>
      <c r="D271" s="43"/>
    </row>
    <row r="272" spans="3:4">
      <c r="C272" s="48"/>
      <c r="D272" s="43"/>
    </row>
    <row r="273" spans="3:4">
      <c r="C273" s="48"/>
      <c r="D273" s="43"/>
    </row>
    <row r="274" spans="3:4">
      <c r="C274" s="48"/>
      <c r="D274" s="43"/>
    </row>
    <row r="275" spans="3:4">
      <c r="C275" s="48"/>
      <c r="D275" s="43"/>
    </row>
    <row r="276" spans="3:4">
      <c r="C276" s="48"/>
      <c r="D276" s="43"/>
    </row>
    <row r="277" spans="3:4">
      <c r="C277" s="48"/>
      <c r="D277" s="43"/>
    </row>
    <row r="278" spans="3:4">
      <c r="C278" s="48"/>
      <c r="D278" s="43"/>
    </row>
    <row r="279" spans="3:4">
      <c r="C279" s="48"/>
      <c r="D279" s="43"/>
    </row>
    <row r="280" spans="3:4">
      <c r="C280" s="48"/>
      <c r="D280" s="43"/>
    </row>
    <row r="281" spans="3:4">
      <c r="C281" s="48"/>
      <c r="D281" s="43"/>
    </row>
    <row r="282" spans="3:4">
      <c r="C282" s="48"/>
      <c r="D282" s="43"/>
    </row>
    <row r="283" spans="3:4">
      <c r="C283" s="48"/>
      <c r="D283" s="43"/>
    </row>
    <row r="284" spans="3:4">
      <c r="C284" s="48"/>
      <c r="D284" s="43"/>
    </row>
    <row r="285" spans="3:4">
      <c r="C285" s="48"/>
      <c r="D285" s="43"/>
    </row>
    <row r="286" spans="3:4">
      <c r="C286" s="48"/>
      <c r="D286" s="43"/>
    </row>
    <row r="287" spans="3:4">
      <c r="C287" s="48"/>
      <c r="D287" s="43"/>
    </row>
    <row r="288" spans="3:4">
      <c r="C288" s="48"/>
      <c r="D288" s="43"/>
    </row>
    <row r="289" spans="3:4">
      <c r="C289" s="48"/>
      <c r="D289" s="43"/>
    </row>
    <row r="290" spans="3:4">
      <c r="C290" s="48"/>
      <c r="D290" s="43"/>
    </row>
    <row r="291" spans="3:4">
      <c r="C291" s="48"/>
      <c r="D291" s="43"/>
    </row>
    <row r="292" spans="3:4">
      <c r="C292" s="48"/>
      <c r="D292" s="43"/>
    </row>
    <row r="293" spans="3:4">
      <c r="C293" s="48"/>
      <c r="D293" s="43"/>
    </row>
    <row r="294" spans="3:4">
      <c r="C294" s="48"/>
      <c r="D294" s="43"/>
    </row>
    <row r="295" spans="3:4">
      <c r="C295" s="48"/>
      <c r="D295" s="43"/>
    </row>
    <row r="296" spans="3:4">
      <c r="C296" s="48"/>
      <c r="D296" s="43"/>
    </row>
    <row r="297" spans="3:4">
      <c r="C297" s="48"/>
      <c r="D297" s="43"/>
    </row>
    <row r="298" spans="3:4">
      <c r="C298" s="48"/>
      <c r="D298" s="43"/>
    </row>
    <row r="299" spans="3:4">
      <c r="C299" s="48"/>
      <c r="D299" s="43"/>
    </row>
    <row r="300" spans="3:4">
      <c r="C300" s="48"/>
      <c r="D300" s="43"/>
    </row>
    <row r="301" spans="3:4">
      <c r="C301" s="48"/>
      <c r="D301" s="43"/>
    </row>
    <row r="302" spans="3:4">
      <c r="C302" s="48"/>
      <c r="D302" s="43"/>
    </row>
    <row r="303" spans="3:4">
      <c r="C303" s="48"/>
      <c r="D303" s="43"/>
    </row>
    <row r="304" spans="3:4">
      <c r="C304" s="48"/>
      <c r="D304" s="43"/>
    </row>
    <row r="305" spans="3:4">
      <c r="C305" s="48"/>
      <c r="D305" s="43"/>
    </row>
    <row r="306" spans="3:4">
      <c r="C306" s="48"/>
      <c r="D306" s="43"/>
    </row>
    <row r="307" spans="3:4">
      <c r="C307" s="48"/>
      <c r="D307" s="43"/>
    </row>
    <row r="308" spans="3:4">
      <c r="C308" s="48"/>
      <c r="D308" s="43"/>
    </row>
    <row r="309" spans="3:4">
      <c r="C309" s="48"/>
      <c r="D309" s="43"/>
    </row>
    <row r="310" spans="3:4">
      <c r="C310" s="48"/>
      <c r="D310" s="43"/>
    </row>
    <row r="311" spans="3:4">
      <c r="C311" s="48"/>
      <c r="D311" s="43"/>
    </row>
    <row r="312" spans="3:4">
      <c r="C312" s="48"/>
      <c r="D312" s="43"/>
    </row>
    <row r="313" spans="3:4">
      <c r="C313" s="48"/>
      <c r="D313" s="43"/>
    </row>
    <row r="314" spans="3:4">
      <c r="C314" s="48"/>
      <c r="D314" s="43"/>
    </row>
    <row r="315" spans="3:4">
      <c r="C315" s="48"/>
      <c r="D315" s="43"/>
    </row>
    <row r="316" spans="3:4">
      <c r="C316" s="48"/>
      <c r="D316" s="43"/>
    </row>
    <row r="317" spans="3:4">
      <c r="C317" s="48"/>
      <c r="D317" s="43"/>
    </row>
    <row r="318" spans="3:4">
      <c r="C318" s="48"/>
      <c r="D318" s="43"/>
    </row>
    <row r="319" spans="3:4">
      <c r="C319" s="48"/>
      <c r="D319" s="43"/>
    </row>
    <row r="320" spans="3:4">
      <c r="C320" s="48"/>
      <c r="D320" s="43"/>
    </row>
    <row r="321" spans="3:4">
      <c r="C321" s="48"/>
      <c r="D321" s="43"/>
    </row>
    <row r="322" spans="3:4">
      <c r="C322" s="48"/>
      <c r="D322" s="43"/>
    </row>
    <row r="323" spans="3:4">
      <c r="C323" s="48"/>
      <c r="D323" s="43"/>
    </row>
    <row r="324" spans="3:4">
      <c r="C324" s="48"/>
      <c r="D324" s="43"/>
    </row>
    <row r="325" spans="3:4">
      <c r="C325" s="48"/>
      <c r="D325" s="43"/>
    </row>
    <row r="326" spans="3:4">
      <c r="C326" s="48"/>
      <c r="D326" s="43"/>
    </row>
    <row r="327" spans="3:4">
      <c r="C327" s="48"/>
      <c r="D327" s="43"/>
    </row>
    <row r="328" spans="3:4">
      <c r="C328" s="48"/>
      <c r="D328" s="43"/>
    </row>
    <row r="329" spans="3:4">
      <c r="C329" s="48"/>
      <c r="D329" s="43"/>
    </row>
    <row r="330" spans="3:4">
      <c r="C330" s="48"/>
      <c r="D330" s="43"/>
    </row>
    <row r="331" spans="3:4">
      <c r="C331" s="48"/>
      <c r="D331" s="43"/>
    </row>
    <row r="332" spans="3:4">
      <c r="C332" s="48"/>
      <c r="D332" s="43"/>
    </row>
    <row r="333" spans="3:4">
      <c r="C333" s="48"/>
      <c r="D333" s="43"/>
    </row>
    <row r="334" spans="3:4">
      <c r="C334" s="48"/>
      <c r="D334" s="43"/>
    </row>
    <row r="335" spans="3:4">
      <c r="C335" s="48"/>
      <c r="D335" s="43"/>
    </row>
    <row r="336" spans="3:4">
      <c r="C336" s="48"/>
      <c r="D336" s="43"/>
    </row>
    <row r="337" spans="3:4">
      <c r="C337" s="48"/>
      <c r="D337" s="43"/>
    </row>
    <row r="338" spans="3:4">
      <c r="C338" s="48"/>
      <c r="D338" s="43"/>
    </row>
    <row r="339" spans="3:4">
      <c r="C339" s="48"/>
      <c r="D339" s="43"/>
    </row>
    <row r="340" spans="3:4">
      <c r="C340" s="48"/>
      <c r="D340" s="43"/>
    </row>
    <row r="341" spans="3:4">
      <c r="C341" s="48"/>
      <c r="D341" s="43"/>
    </row>
    <row r="342" spans="3:4">
      <c r="C342" s="48"/>
      <c r="D342" s="43"/>
    </row>
    <row r="343" spans="3:4">
      <c r="C343" s="48"/>
      <c r="D343" s="43"/>
    </row>
    <row r="344" spans="3:4">
      <c r="C344" s="48"/>
      <c r="D344" s="43"/>
    </row>
    <row r="345" spans="3:4">
      <c r="C345" s="48"/>
      <c r="D345" s="43"/>
    </row>
    <row r="346" spans="3:4">
      <c r="C346" s="48"/>
      <c r="D346" s="43"/>
    </row>
    <row r="347" spans="3:4">
      <c r="C347" s="48"/>
      <c r="D347" s="43"/>
    </row>
    <row r="348" spans="3:4">
      <c r="C348" s="48"/>
      <c r="D348" s="43"/>
    </row>
    <row r="349" spans="3:4">
      <c r="C349" s="48"/>
      <c r="D349" s="43"/>
    </row>
    <row r="350" spans="3:4">
      <c r="C350" s="48"/>
      <c r="D350" s="43"/>
    </row>
    <row r="351" spans="3:4">
      <c r="C351" s="48"/>
      <c r="D351" s="43"/>
    </row>
    <row r="352" spans="3:4">
      <c r="C352" s="48"/>
      <c r="D352" s="43"/>
    </row>
    <row r="353" spans="3:4">
      <c r="C353" s="48"/>
      <c r="D353" s="43"/>
    </row>
    <row r="354" spans="3:4">
      <c r="C354" s="48"/>
      <c r="D354" s="43"/>
    </row>
    <row r="355" spans="3:4">
      <c r="C355" s="48"/>
      <c r="D355" s="43"/>
    </row>
    <row r="356" spans="3:4">
      <c r="C356" s="48"/>
      <c r="D356" s="43"/>
    </row>
    <row r="357" spans="3:4">
      <c r="C357" s="48"/>
      <c r="D357" s="43"/>
    </row>
    <row r="358" spans="3:4">
      <c r="C358" s="48"/>
      <c r="D358" s="43"/>
    </row>
    <row r="359" spans="3:4">
      <c r="C359" s="48"/>
      <c r="D359" s="43"/>
    </row>
    <row r="360" spans="3:4">
      <c r="C360" s="48"/>
      <c r="D360" s="43"/>
    </row>
    <row r="361" spans="3:4">
      <c r="C361" s="48"/>
      <c r="D361" s="43"/>
    </row>
    <row r="362" spans="3:4">
      <c r="C362" s="48"/>
      <c r="D362" s="43"/>
    </row>
    <row r="363" spans="3:4">
      <c r="C363" s="48"/>
      <c r="D363" s="43"/>
    </row>
    <row r="364" spans="3:4">
      <c r="C364" s="48"/>
      <c r="D364" s="43"/>
    </row>
    <row r="365" spans="3:4">
      <c r="C365" s="48"/>
      <c r="D365" s="43"/>
    </row>
    <row r="366" spans="3:4">
      <c r="C366" s="48"/>
      <c r="D366" s="43"/>
    </row>
    <row r="367" spans="3:4">
      <c r="C367" s="48"/>
      <c r="D367" s="43"/>
    </row>
    <row r="368" spans="3:4">
      <c r="C368" s="48"/>
      <c r="D368" s="43"/>
    </row>
    <row r="369" spans="3:4">
      <c r="C369" s="48"/>
      <c r="D369" s="43"/>
    </row>
    <row r="370" spans="3:4">
      <c r="C370" s="48"/>
      <c r="D370" s="43"/>
    </row>
    <row r="371" spans="3:4">
      <c r="C371" s="48"/>
      <c r="D371" s="43"/>
    </row>
    <row r="372" spans="3:4">
      <c r="C372" s="48"/>
      <c r="D372" s="43"/>
    </row>
    <row r="373" spans="3:4">
      <c r="C373" s="48"/>
      <c r="D373" s="43"/>
    </row>
    <row r="374" spans="3:4">
      <c r="C374" s="48"/>
      <c r="D374" s="43"/>
    </row>
    <row r="375" spans="3:4">
      <c r="C375" s="48"/>
      <c r="D375" s="43"/>
    </row>
    <row r="376" spans="3:4">
      <c r="C376" s="48"/>
      <c r="D376" s="43"/>
    </row>
    <row r="377" spans="3:4">
      <c r="C377" s="48"/>
      <c r="D377" s="43"/>
    </row>
    <row r="378" spans="3:4">
      <c r="C378" s="48"/>
      <c r="D378" s="43"/>
    </row>
    <row r="379" spans="3:4">
      <c r="C379" s="48"/>
      <c r="D379" s="43"/>
    </row>
    <row r="380" spans="3:4">
      <c r="C380" s="48"/>
      <c r="D380" s="43"/>
    </row>
    <row r="381" spans="3:4">
      <c r="C381" s="48"/>
      <c r="D381" s="43"/>
    </row>
    <row r="382" spans="3:4">
      <c r="C382" s="48"/>
      <c r="D382" s="43"/>
    </row>
    <row r="383" spans="3:4">
      <c r="C383" s="48"/>
      <c r="D383" s="43"/>
    </row>
    <row r="384" spans="3:4">
      <c r="C384" s="48"/>
      <c r="D384" s="43"/>
    </row>
    <row r="385" spans="3:4">
      <c r="C385" s="48"/>
      <c r="D385" s="43"/>
    </row>
    <row r="386" spans="3:4">
      <c r="C386" s="48"/>
      <c r="D386" s="43"/>
    </row>
    <row r="387" spans="3:4">
      <c r="C387" s="48"/>
      <c r="D387" s="43"/>
    </row>
    <row r="388" spans="3:4">
      <c r="C388" s="48"/>
      <c r="D388" s="43"/>
    </row>
    <row r="389" spans="3:4">
      <c r="C389" s="48"/>
      <c r="D389" s="43"/>
    </row>
    <row r="390" spans="3:4">
      <c r="C390" s="48"/>
      <c r="D390" s="43"/>
    </row>
    <row r="391" spans="3:4">
      <c r="C391" s="48"/>
      <c r="D391" s="43"/>
    </row>
    <row r="392" spans="3:4">
      <c r="C392" s="48"/>
      <c r="D392" s="43"/>
    </row>
    <row r="393" spans="3:4">
      <c r="C393" s="48"/>
      <c r="D393" s="43"/>
    </row>
    <row r="394" spans="3:4">
      <c r="C394" s="48"/>
      <c r="D394" s="43"/>
    </row>
    <row r="395" spans="3:4">
      <c r="C395" s="48"/>
      <c r="D395" s="43"/>
    </row>
    <row r="396" spans="3:4">
      <c r="C396" s="48"/>
      <c r="D396" s="43"/>
    </row>
    <row r="397" spans="3:4">
      <c r="C397" s="48"/>
      <c r="D397" s="43"/>
    </row>
    <row r="398" spans="3:4">
      <c r="C398" s="48"/>
      <c r="D398" s="43"/>
    </row>
    <row r="399" spans="3:4">
      <c r="C399" s="48"/>
      <c r="D399" s="43"/>
    </row>
    <row r="400" spans="3:4">
      <c r="C400" s="48"/>
      <c r="D400" s="43"/>
    </row>
    <row r="401" spans="3:4">
      <c r="C401" s="48"/>
      <c r="D401" s="43"/>
    </row>
    <row r="402" spans="3:4">
      <c r="C402" s="48"/>
      <c r="D402" s="43"/>
    </row>
    <row r="403" spans="3:4">
      <c r="C403" s="48"/>
      <c r="D403" s="43"/>
    </row>
    <row r="404" spans="3:4">
      <c r="C404" s="48"/>
      <c r="D404" s="43"/>
    </row>
    <row r="405" spans="3:4">
      <c r="C405" s="48"/>
      <c r="D405" s="43"/>
    </row>
    <row r="406" spans="3:4">
      <c r="C406" s="48"/>
      <c r="D406" s="43"/>
    </row>
    <row r="407" spans="3:4">
      <c r="C407" s="48"/>
      <c r="D407" s="43"/>
    </row>
    <row r="408" spans="3:4">
      <c r="C408" s="48"/>
      <c r="D408" s="43"/>
    </row>
    <row r="409" spans="3:4">
      <c r="C409" s="48"/>
      <c r="D409" s="43"/>
    </row>
    <row r="410" spans="3:4">
      <c r="C410" s="48"/>
      <c r="D410" s="43"/>
    </row>
    <row r="411" spans="3:4">
      <c r="C411" s="48"/>
      <c r="D411" s="43"/>
    </row>
    <row r="412" spans="3:4">
      <c r="C412" s="48"/>
      <c r="D412" s="43"/>
    </row>
    <row r="413" spans="3:4">
      <c r="C413" s="48"/>
      <c r="D413" s="43"/>
    </row>
    <row r="414" spans="3:4">
      <c r="C414" s="48"/>
      <c r="D414" s="43"/>
    </row>
    <row r="415" spans="3:4">
      <c r="C415" s="48"/>
      <c r="D415" s="43"/>
    </row>
    <row r="416" spans="3:4">
      <c r="C416" s="48"/>
      <c r="D416" s="43"/>
    </row>
    <row r="417" spans="3:4">
      <c r="C417" s="48"/>
      <c r="D417" s="43"/>
    </row>
    <row r="418" spans="3:4">
      <c r="C418" s="48"/>
      <c r="D418" s="43"/>
    </row>
    <row r="419" spans="3:4">
      <c r="C419" s="48"/>
      <c r="D419" s="43"/>
    </row>
    <row r="420" spans="3:4">
      <c r="C420" s="48"/>
      <c r="D420" s="43"/>
    </row>
    <row r="421" spans="3:4">
      <c r="C421" s="48"/>
      <c r="D421" s="43"/>
    </row>
    <row r="422" spans="3:4">
      <c r="C422" s="48"/>
      <c r="D422" s="43"/>
    </row>
    <row r="423" spans="3:4">
      <c r="C423" s="48"/>
      <c r="D423" s="43"/>
    </row>
    <row r="424" spans="3:4">
      <c r="C424" s="48"/>
      <c r="D424" s="43"/>
    </row>
    <row r="425" spans="3:4">
      <c r="C425" s="48"/>
      <c r="D425" s="43"/>
    </row>
    <row r="426" spans="3:4">
      <c r="C426" s="48"/>
      <c r="D426" s="43"/>
    </row>
    <row r="427" spans="3:4">
      <c r="C427" s="48"/>
      <c r="D427" s="43"/>
    </row>
    <row r="428" spans="3:4">
      <c r="C428" s="48"/>
      <c r="D428" s="43"/>
    </row>
    <row r="429" spans="3:4">
      <c r="C429" s="48"/>
      <c r="D429" s="43"/>
    </row>
    <row r="430" spans="3:4">
      <c r="C430" s="48"/>
      <c r="D430" s="43"/>
    </row>
    <row r="431" spans="3:4">
      <c r="C431" s="48"/>
      <c r="D431" s="43"/>
    </row>
    <row r="432" spans="3:4">
      <c r="C432" s="48"/>
      <c r="D432" s="43"/>
    </row>
    <row r="433" spans="3:4">
      <c r="C433" s="48"/>
      <c r="D433" s="43"/>
    </row>
    <row r="434" spans="3:4">
      <c r="C434" s="48"/>
      <c r="D434" s="43"/>
    </row>
    <row r="435" spans="3:4">
      <c r="C435" s="48"/>
      <c r="D435" s="43"/>
    </row>
    <row r="436" spans="3:4">
      <c r="C436" s="48"/>
      <c r="D436" s="43"/>
    </row>
    <row r="437" spans="3:4">
      <c r="C437" s="48"/>
      <c r="D437" s="43"/>
    </row>
    <row r="438" spans="3:4">
      <c r="C438" s="48"/>
      <c r="D438" s="43"/>
    </row>
    <row r="439" spans="3:4">
      <c r="C439" s="48"/>
      <c r="D439" s="43"/>
    </row>
    <row r="440" spans="3:4">
      <c r="C440" s="48"/>
      <c r="D440" s="43"/>
    </row>
    <row r="441" spans="3:4">
      <c r="C441" s="48"/>
      <c r="D441" s="43"/>
    </row>
    <row r="442" spans="3:4">
      <c r="C442" s="48"/>
      <c r="D442" s="43"/>
    </row>
    <row r="443" spans="3:4">
      <c r="C443" s="48"/>
      <c r="D443" s="43"/>
    </row>
    <row r="444" spans="3:4">
      <c r="C444" s="48"/>
      <c r="D444" s="43"/>
    </row>
    <row r="445" spans="3:4">
      <c r="C445" s="48"/>
      <c r="D445" s="43"/>
    </row>
    <row r="446" spans="3:4">
      <c r="C446" s="48"/>
      <c r="D446" s="43"/>
    </row>
    <row r="447" spans="3:4">
      <c r="C447" s="48"/>
      <c r="D447" s="43"/>
    </row>
    <row r="448" spans="3:4">
      <c r="C448" s="48"/>
      <c r="D448" s="43"/>
    </row>
    <row r="449" spans="3:4">
      <c r="C449" s="48"/>
      <c r="D449" s="43"/>
    </row>
    <row r="450" spans="3:4">
      <c r="C450" s="48"/>
      <c r="D450" s="43"/>
    </row>
    <row r="451" spans="3:4">
      <c r="C451" s="48"/>
      <c r="D451" s="43"/>
    </row>
    <row r="452" spans="3:4">
      <c r="C452" s="48"/>
      <c r="D452" s="43"/>
    </row>
    <row r="453" spans="3:4">
      <c r="C453" s="48"/>
      <c r="D453" s="43"/>
    </row>
    <row r="454" spans="3:4">
      <c r="C454" s="48"/>
      <c r="D454" s="43"/>
    </row>
    <row r="455" spans="3:4">
      <c r="C455" s="48"/>
      <c r="D455" s="43"/>
    </row>
    <row r="456" spans="3:4">
      <c r="C456" s="48"/>
      <c r="D456" s="43"/>
    </row>
    <row r="457" spans="3:4">
      <c r="C457" s="48"/>
      <c r="D457" s="43"/>
    </row>
    <row r="458" spans="3:4">
      <c r="C458" s="48"/>
      <c r="D458" s="43"/>
    </row>
    <row r="459" spans="3:4">
      <c r="C459" s="48"/>
      <c r="D459" s="43"/>
    </row>
    <row r="460" spans="3:4">
      <c r="C460" s="48"/>
      <c r="D460" s="43"/>
    </row>
    <row r="461" spans="3:4">
      <c r="C461" s="48"/>
      <c r="D461" s="43"/>
    </row>
    <row r="462" spans="3:4">
      <c r="C462" s="48"/>
      <c r="D462" s="43"/>
    </row>
    <row r="463" spans="3:4">
      <c r="C463" s="48"/>
      <c r="D463" s="43"/>
    </row>
    <row r="464" spans="3:4">
      <c r="C464" s="48"/>
      <c r="D464" s="43"/>
    </row>
    <row r="465" spans="3:4">
      <c r="C465" s="48"/>
      <c r="D465" s="43"/>
    </row>
    <row r="466" spans="3:4">
      <c r="C466" s="48"/>
      <c r="D466" s="43"/>
    </row>
    <row r="467" spans="3:4">
      <c r="C467" s="48"/>
      <c r="D467" s="43"/>
    </row>
    <row r="468" spans="3:4">
      <c r="C468" s="48"/>
      <c r="D468" s="43"/>
    </row>
    <row r="469" spans="3:4">
      <c r="C469" s="48"/>
      <c r="D469" s="43"/>
    </row>
    <row r="470" spans="3:4">
      <c r="C470" s="48"/>
      <c r="D470" s="43"/>
    </row>
    <row r="471" spans="3:4">
      <c r="C471" s="48"/>
      <c r="D471" s="43"/>
    </row>
    <row r="472" spans="3:4">
      <c r="C472" s="48"/>
      <c r="D472" s="43"/>
    </row>
    <row r="473" spans="3:4">
      <c r="C473" s="48"/>
      <c r="D473" s="43"/>
    </row>
    <row r="474" spans="3:4">
      <c r="C474" s="48"/>
      <c r="D474" s="43"/>
    </row>
    <row r="475" spans="3:4">
      <c r="C475" s="48"/>
      <c r="D475" s="43"/>
    </row>
    <row r="476" spans="3:4">
      <c r="C476" s="48"/>
      <c r="D476" s="43"/>
    </row>
    <row r="477" spans="3:4">
      <c r="C477" s="48"/>
      <c r="D477" s="43"/>
    </row>
    <row r="478" spans="3:4">
      <c r="C478" s="48"/>
      <c r="D478" s="43"/>
    </row>
    <row r="479" spans="3:4">
      <c r="C479" s="48"/>
      <c r="D479" s="43"/>
    </row>
    <row r="480" spans="3:4">
      <c r="C480" s="48"/>
      <c r="D480" s="43"/>
    </row>
    <row r="481" spans="3:4">
      <c r="C481" s="48"/>
      <c r="D481" s="43"/>
    </row>
    <row r="482" spans="3:4">
      <c r="C482" s="48"/>
      <c r="D482" s="43"/>
    </row>
    <row r="483" spans="3:4">
      <c r="C483" s="48"/>
      <c r="D483" s="43"/>
    </row>
    <row r="484" spans="3:4">
      <c r="C484" s="48"/>
      <c r="D484" s="43"/>
    </row>
    <row r="485" spans="3:4">
      <c r="C485" s="48"/>
      <c r="D485" s="43"/>
    </row>
    <row r="486" spans="3:4">
      <c r="C486" s="48"/>
      <c r="D486" s="43"/>
    </row>
    <row r="487" spans="3:4">
      <c r="C487" s="48"/>
      <c r="D487" s="43"/>
    </row>
    <row r="488" spans="3:4">
      <c r="C488" s="48"/>
      <c r="D488" s="43"/>
    </row>
    <row r="489" spans="3:4">
      <c r="C489" s="48"/>
      <c r="D489" s="43"/>
    </row>
    <row r="490" spans="3:4">
      <c r="C490" s="48"/>
      <c r="D490" s="43"/>
    </row>
    <row r="491" spans="3:4">
      <c r="C491" s="48"/>
      <c r="D491" s="43"/>
    </row>
    <row r="492" spans="3:4">
      <c r="C492" s="48"/>
      <c r="D492" s="43"/>
    </row>
    <row r="493" spans="3:4">
      <c r="C493" s="48"/>
      <c r="D493" s="43"/>
    </row>
    <row r="494" spans="3:4">
      <c r="C494" s="48"/>
      <c r="D494" s="43"/>
    </row>
    <row r="495" spans="3:4">
      <c r="C495" s="48"/>
      <c r="D495" s="43"/>
    </row>
    <row r="496" spans="3:4">
      <c r="C496" s="48"/>
      <c r="D496" s="43"/>
    </row>
    <row r="497" spans="3:4">
      <c r="C497" s="48"/>
      <c r="D497" s="43"/>
    </row>
    <row r="498" spans="3:4">
      <c r="C498" s="48"/>
      <c r="D498" s="43"/>
    </row>
    <row r="499" spans="3:4">
      <c r="C499" s="48"/>
      <c r="D499" s="43"/>
    </row>
    <row r="500" spans="3:4">
      <c r="C500" s="48"/>
      <c r="D500" s="43"/>
    </row>
    <row r="501" spans="3:4">
      <c r="C501" s="48"/>
      <c r="D501" s="43"/>
    </row>
    <row r="502" spans="3:4">
      <c r="C502" s="48"/>
      <c r="D502" s="43"/>
    </row>
    <row r="503" spans="3:4">
      <c r="C503" s="48"/>
      <c r="D503" s="43"/>
    </row>
    <row r="504" spans="3:4">
      <c r="C504" s="48"/>
      <c r="D504" s="43"/>
    </row>
    <row r="505" spans="3:4">
      <c r="C505" s="48"/>
      <c r="D505" s="43"/>
    </row>
    <row r="506" spans="3:4">
      <c r="C506" s="48"/>
      <c r="D506" s="43"/>
    </row>
    <row r="507" spans="3:4">
      <c r="C507" s="48"/>
      <c r="D507" s="43"/>
    </row>
    <row r="508" spans="3:4">
      <c r="C508" s="48"/>
      <c r="D508" s="43"/>
    </row>
    <row r="509" spans="3:4">
      <c r="C509" s="48"/>
      <c r="D509" s="43"/>
    </row>
    <row r="510" spans="3:4">
      <c r="C510" s="48"/>
      <c r="D510" s="43"/>
    </row>
    <row r="511" spans="3:4">
      <c r="C511" s="48"/>
      <c r="D511" s="43"/>
    </row>
    <row r="512" spans="3:4">
      <c r="C512" s="48"/>
      <c r="D512" s="43"/>
    </row>
    <row r="513" spans="3:4">
      <c r="C513" s="48"/>
      <c r="D513" s="43"/>
    </row>
    <row r="514" spans="3:4">
      <c r="C514" s="48"/>
      <c r="D514" s="43"/>
    </row>
    <row r="515" spans="3:4">
      <c r="C515" s="48"/>
      <c r="D515" s="43"/>
    </row>
    <row r="516" spans="3:4">
      <c r="C516" s="48"/>
      <c r="D516" s="43"/>
    </row>
    <row r="517" spans="3:4">
      <c r="C517" s="48"/>
      <c r="D517" s="43"/>
    </row>
    <row r="518" spans="3:4">
      <c r="C518" s="48"/>
      <c r="D518" s="43"/>
    </row>
    <row r="519" spans="3:4">
      <c r="C519" s="48"/>
      <c r="D519" s="43"/>
    </row>
    <row r="520" spans="3:4">
      <c r="C520" s="48"/>
      <c r="D520" s="43"/>
    </row>
    <row r="521" spans="3:4">
      <c r="C521" s="48"/>
      <c r="D521" s="43"/>
    </row>
    <row r="522" spans="3:4">
      <c r="C522" s="48"/>
      <c r="D522" s="43"/>
    </row>
    <row r="523" spans="3:4">
      <c r="C523" s="48"/>
      <c r="D523" s="43"/>
    </row>
    <row r="524" spans="3:4">
      <c r="C524" s="48"/>
      <c r="D524" s="43"/>
    </row>
    <row r="525" spans="3:4">
      <c r="C525" s="48"/>
      <c r="D525" s="43"/>
    </row>
    <row r="526" spans="3:4">
      <c r="C526" s="48"/>
      <c r="D526" s="43"/>
    </row>
    <row r="527" spans="3:4">
      <c r="C527" s="48"/>
      <c r="D527" s="43"/>
    </row>
    <row r="528" spans="3:4">
      <c r="C528" s="48"/>
      <c r="D528" s="43"/>
    </row>
    <row r="529" spans="3:4">
      <c r="C529" s="48"/>
      <c r="D529" s="43"/>
    </row>
    <row r="530" spans="3:4">
      <c r="C530" s="48"/>
      <c r="D530" s="43"/>
    </row>
    <row r="531" spans="3:4">
      <c r="C531" s="48"/>
      <c r="D531" s="43"/>
    </row>
    <row r="532" spans="3:4">
      <c r="C532" s="48"/>
      <c r="D532" s="43"/>
    </row>
    <row r="533" spans="3:4">
      <c r="C533" s="48"/>
      <c r="D533" s="43"/>
    </row>
    <row r="534" spans="3:4">
      <c r="C534" s="48"/>
      <c r="D534" s="43"/>
    </row>
    <row r="535" spans="3:4">
      <c r="C535" s="48"/>
      <c r="D535" s="43"/>
    </row>
    <row r="536" spans="3:4">
      <c r="C536" s="48"/>
      <c r="D536" s="43"/>
    </row>
    <row r="537" spans="3:4">
      <c r="C537" s="48"/>
      <c r="D537" s="43"/>
    </row>
    <row r="538" spans="3:4">
      <c r="C538" s="48"/>
      <c r="D538" s="43"/>
    </row>
    <row r="539" spans="3:4">
      <c r="C539" s="48"/>
      <c r="D539" s="43"/>
    </row>
    <row r="540" spans="3:4">
      <c r="C540" s="48"/>
      <c r="D540" s="43"/>
    </row>
    <row r="541" spans="3:4">
      <c r="C541" s="48"/>
      <c r="D541" s="43"/>
    </row>
    <row r="542" spans="3:4">
      <c r="C542" s="48"/>
      <c r="D542" s="43"/>
    </row>
    <row r="543" spans="3:4">
      <c r="C543" s="48"/>
      <c r="D543" s="43"/>
    </row>
    <row r="544" spans="3:4">
      <c r="C544" s="48"/>
      <c r="D544" s="43"/>
    </row>
    <row r="545" spans="3:4">
      <c r="C545" s="48"/>
      <c r="D545" s="43"/>
    </row>
    <row r="546" spans="3:4">
      <c r="C546" s="48"/>
      <c r="D546" s="43"/>
    </row>
    <row r="547" spans="3:4">
      <c r="C547" s="48"/>
      <c r="D547" s="43"/>
    </row>
    <row r="548" spans="3:4">
      <c r="C548" s="48"/>
      <c r="D548" s="43"/>
    </row>
    <row r="549" spans="3:4">
      <c r="C549" s="48"/>
      <c r="D549" s="43"/>
    </row>
    <row r="550" spans="3:4">
      <c r="C550" s="48"/>
      <c r="D550" s="43"/>
    </row>
    <row r="551" spans="3:4">
      <c r="C551" s="48"/>
      <c r="D551" s="43"/>
    </row>
    <row r="552" spans="3:4">
      <c r="C552" s="48"/>
      <c r="D552" s="43"/>
    </row>
    <row r="553" spans="3:4">
      <c r="C553" s="48"/>
      <c r="D553" s="43"/>
    </row>
    <row r="554" spans="3:4">
      <c r="C554" s="48"/>
      <c r="D554" s="43"/>
    </row>
    <row r="555" spans="3:4">
      <c r="C555" s="48"/>
      <c r="D555" s="43"/>
    </row>
    <row r="556" spans="3:4">
      <c r="C556" s="48"/>
      <c r="D556" s="43"/>
    </row>
    <row r="557" spans="3:4">
      <c r="C557" s="48"/>
      <c r="D557" s="43"/>
    </row>
    <row r="558" spans="3:4">
      <c r="C558" s="48"/>
      <c r="D558" s="43"/>
    </row>
    <row r="559" spans="3:4">
      <c r="C559" s="48"/>
      <c r="D559" s="43"/>
    </row>
    <row r="560" spans="3:4">
      <c r="C560" s="48"/>
      <c r="D560" s="43"/>
    </row>
    <row r="561" spans="3:4">
      <c r="C561" s="48"/>
      <c r="D561" s="43"/>
    </row>
    <row r="562" spans="3:4">
      <c r="C562" s="48"/>
      <c r="D562" s="43"/>
    </row>
    <row r="563" spans="3:4">
      <c r="C563" s="48"/>
      <c r="D563" s="43"/>
    </row>
    <row r="564" spans="3:4">
      <c r="C564" s="48"/>
      <c r="D564" s="43"/>
    </row>
    <row r="565" spans="3:4">
      <c r="C565" s="48"/>
      <c r="D565" s="43"/>
    </row>
    <row r="566" spans="3:4">
      <c r="C566" s="48"/>
      <c r="D566" s="43"/>
    </row>
    <row r="567" spans="3:4">
      <c r="C567" s="48"/>
      <c r="D567" s="43"/>
    </row>
    <row r="568" spans="3:4">
      <c r="C568" s="48"/>
      <c r="D568" s="43"/>
    </row>
    <row r="569" spans="3:4">
      <c r="C569" s="48"/>
      <c r="D569" s="43"/>
    </row>
    <row r="570" spans="3:4">
      <c r="C570" s="48"/>
      <c r="D570" s="43"/>
    </row>
    <row r="571" spans="3:4">
      <c r="C571" s="48"/>
      <c r="D571" s="43"/>
    </row>
    <row r="572" spans="3:4">
      <c r="C572" s="48"/>
      <c r="D572" s="43"/>
    </row>
    <row r="573" spans="3:4">
      <c r="C573" s="48"/>
      <c r="D573" s="43"/>
    </row>
    <row r="574" spans="3:4">
      <c r="C574" s="48"/>
      <c r="D574" s="43"/>
    </row>
    <row r="575" spans="3:4">
      <c r="C575" s="48"/>
      <c r="D575" s="43"/>
    </row>
    <row r="576" spans="3:4">
      <c r="C576" s="48"/>
      <c r="D576" s="43"/>
    </row>
    <row r="577" spans="3:4">
      <c r="C577" s="48"/>
      <c r="D577" s="43"/>
    </row>
    <row r="578" spans="3:4">
      <c r="C578" s="48"/>
      <c r="D578" s="43"/>
    </row>
    <row r="579" spans="3:4">
      <c r="C579" s="48"/>
      <c r="D579" s="43"/>
    </row>
    <row r="580" spans="3:4">
      <c r="C580" s="48"/>
      <c r="D580" s="43"/>
    </row>
    <row r="581" spans="3:4">
      <c r="C581" s="48"/>
      <c r="D581" s="43"/>
    </row>
    <row r="582" spans="3:4">
      <c r="C582" s="48"/>
      <c r="D582" s="43"/>
    </row>
    <row r="583" spans="3:4">
      <c r="C583" s="48"/>
      <c r="D583" s="43"/>
    </row>
    <row r="584" spans="3:4">
      <c r="C584" s="48"/>
      <c r="D584" s="43"/>
    </row>
    <row r="585" spans="3:4">
      <c r="C585" s="48"/>
      <c r="D585" s="43"/>
    </row>
    <row r="586" spans="3:4">
      <c r="C586" s="48"/>
      <c r="D586" s="43"/>
    </row>
    <row r="587" spans="3:4">
      <c r="C587" s="48"/>
      <c r="D587" s="43"/>
    </row>
    <row r="588" spans="3:4">
      <c r="C588" s="48"/>
      <c r="D588" s="43"/>
    </row>
    <row r="589" spans="3:4">
      <c r="C589" s="48"/>
      <c r="D589" s="43"/>
    </row>
    <row r="590" spans="3:4">
      <c r="C590" s="48"/>
      <c r="D590" s="43"/>
    </row>
    <row r="591" spans="3:4">
      <c r="C591" s="48"/>
      <c r="D591" s="43"/>
    </row>
    <row r="592" spans="3:4">
      <c r="C592" s="48"/>
      <c r="D592" s="43"/>
    </row>
    <row r="593" spans="3:4">
      <c r="C593" s="48"/>
      <c r="D593" s="43"/>
    </row>
    <row r="594" spans="3:4">
      <c r="C594" s="48"/>
      <c r="D594" s="43"/>
    </row>
    <row r="595" spans="3:4">
      <c r="C595" s="48"/>
      <c r="D595" s="43"/>
    </row>
    <row r="596" spans="3:4">
      <c r="C596" s="48"/>
      <c r="D596" s="43"/>
    </row>
    <row r="597" spans="3:4">
      <c r="C597" s="48"/>
      <c r="D597" s="43"/>
    </row>
    <row r="598" spans="3:4">
      <c r="C598" s="48"/>
      <c r="D598" s="43"/>
    </row>
    <row r="599" spans="3:4">
      <c r="C599" s="48"/>
      <c r="D599" s="43"/>
    </row>
    <row r="600" spans="3:4">
      <c r="C600" s="48"/>
      <c r="D600" s="43"/>
    </row>
    <row r="601" spans="3:4">
      <c r="C601" s="48"/>
      <c r="D601" s="43"/>
    </row>
    <row r="602" spans="3:4">
      <c r="C602" s="48"/>
      <c r="D602" s="43"/>
    </row>
    <row r="603" spans="3:4">
      <c r="C603" s="48"/>
      <c r="D603" s="43"/>
    </row>
    <row r="604" spans="3:4">
      <c r="C604" s="48"/>
      <c r="D604" s="43"/>
    </row>
    <row r="605" spans="3:4">
      <c r="C605" s="48"/>
      <c r="D605" s="43"/>
    </row>
    <row r="606" spans="3:4">
      <c r="C606" s="48"/>
      <c r="D606" s="43"/>
    </row>
    <row r="607" spans="3:4">
      <c r="C607" s="48"/>
      <c r="D607" s="43"/>
    </row>
    <row r="608" spans="3:4">
      <c r="C608" s="48"/>
      <c r="D608" s="43"/>
    </row>
    <row r="609" spans="3:4">
      <c r="C609" s="48"/>
      <c r="D609" s="43"/>
    </row>
    <row r="610" spans="3:4">
      <c r="C610" s="48"/>
      <c r="D610" s="43"/>
    </row>
    <row r="611" spans="3:4">
      <c r="C611" s="48"/>
      <c r="D611" s="43"/>
    </row>
    <row r="612" spans="3:4">
      <c r="C612" s="48"/>
      <c r="D612" s="43"/>
    </row>
    <row r="613" spans="3:4">
      <c r="C613" s="48"/>
      <c r="D613" s="43"/>
    </row>
    <row r="614" spans="3:4">
      <c r="C614" s="48"/>
      <c r="D614" s="43"/>
    </row>
    <row r="615" spans="3:4">
      <c r="C615" s="48"/>
      <c r="D615" s="43"/>
    </row>
    <row r="616" spans="3:4">
      <c r="C616" s="48"/>
      <c r="D616" s="43"/>
    </row>
    <row r="617" spans="3:4">
      <c r="C617" s="48"/>
      <c r="D617" s="43"/>
    </row>
    <row r="618" spans="3:4">
      <c r="C618" s="48"/>
      <c r="D618" s="43"/>
    </row>
    <row r="619" spans="3:4">
      <c r="C619" s="48"/>
      <c r="D619" s="43"/>
    </row>
    <row r="620" spans="3:4">
      <c r="C620" s="48"/>
      <c r="D620" s="43"/>
    </row>
    <row r="621" spans="3:4">
      <c r="C621" s="48"/>
      <c r="D621" s="43"/>
    </row>
    <row r="622" spans="3:4">
      <c r="C622" s="48"/>
      <c r="D622" s="43"/>
    </row>
    <row r="623" spans="3:4">
      <c r="C623" s="48"/>
      <c r="D623" s="43"/>
    </row>
    <row r="624" spans="3:4">
      <c r="C624" s="48"/>
      <c r="D624" s="43"/>
    </row>
    <row r="625" spans="3:4">
      <c r="C625" s="48"/>
      <c r="D625" s="43"/>
    </row>
    <row r="626" spans="3:4">
      <c r="C626" s="48"/>
      <c r="D626" s="43"/>
    </row>
    <row r="627" spans="3:4">
      <c r="C627" s="48"/>
      <c r="D627" s="43"/>
    </row>
    <row r="628" spans="3:4">
      <c r="C628" s="48"/>
      <c r="D628" s="43"/>
    </row>
    <row r="629" spans="3:4">
      <c r="C629" s="48"/>
      <c r="D629" s="43"/>
    </row>
    <row r="630" spans="3:4">
      <c r="C630" s="48"/>
      <c r="D630" s="43"/>
    </row>
    <row r="631" spans="3:4">
      <c r="C631" s="48"/>
      <c r="D631" s="43"/>
    </row>
    <row r="632" spans="3:4">
      <c r="C632" s="48"/>
      <c r="D632" s="43"/>
    </row>
    <row r="633" spans="3:4">
      <c r="C633" s="48"/>
      <c r="D633" s="43"/>
    </row>
    <row r="634" spans="3:4">
      <c r="C634" s="48"/>
      <c r="D634" s="43"/>
    </row>
    <row r="635" spans="3:4">
      <c r="C635" s="48"/>
      <c r="D635" s="43"/>
    </row>
    <row r="636" spans="3:4">
      <c r="C636" s="48"/>
      <c r="D636" s="43"/>
    </row>
    <row r="637" spans="3:4">
      <c r="C637" s="48"/>
      <c r="D637" s="43"/>
    </row>
    <row r="638" spans="3:4">
      <c r="C638" s="48"/>
      <c r="D638" s="43"/>
    </row>
    <row r="639" spans="3:4">
      <c r="C639" s="48"/>
      <c r="D639" s="43"/>
    </row>
    <row r="640" spans="3:4">
      <c r="C640" s="48"/>
      <c r="D640" s="43"/>
    </row>
    <row r="641" spans="3:4">
      <c r="C641" s="48"/>
      <c r="D641" s="43"/>
    </row>
    <row r="642" spans="3:4">
      <c r="C642" s="48"/>
      <c r="D642" s="43"/>
    </row>
    <row r="643" spans="3:4">
      <c r="C643" s="48"/>
      <c r="D643" s="43"/>
    </row>
    <row r="644" spans="3:4">
      <c r="C644" s="48"/>
      <c r="D644" s="43"/>
    </row>
    <row r="645" spans="3:4">
      <c r="C645" s="48"/>
      <c r="D645" s="43"/>
    </row>
    <row r="646" spans="3:4">
      <c r="C646" s="48"/>
      <c r="D646" s="43"/>
    </row>
    <row r="647" spans="3:4">
      <c r="C647" s="48"/>
      <c r="D647" s="43"/>
    </row>
    <row r="648" spans="3:4">
      <c r="C648" s="48"/>
      <c r="D648" s="43"/>
    </row>
    <row r="649" spans="3:4">
      <c r="C649" s="48"/>
      <c r="D649" s="43"/>
    </row>
    <row r="650" spans="3:4">
      <c r="C650" s="48"/>
      <c r="D650" s="43"/>
    </row>
    <row r="651" spans="3:4">
      <c r="C651" s="48"/>
      <c r="D651" s="43"/>
    </row>
    <row r="652" spans="3:4">
      <c r="C652" s="48"/>
      <c r="D652" s="43"/>
    </row>
    <row r="653" spans="3:4">
      <c r="C653" s="48"/>
      <c r="D653" s="43"/>
    </row>
    <row r="654" spans="3:4">
      <c r="C654" s="48"/>
      <c r="D654" s="43"/>
    </row>
    <row r="655" spans="3:4">
      <c r="C655" s="48"/>
      <c r="D655" s="43"/>
    </row>
    <row r="656" spans="3:4">
      <c r="C656" s="48"/>
      <c r="D656" s="43"/>
    </row>
    <row r="657" spans="3:4">
      <c r="C657" s="48"/>
      <c r="D657" s="43"/>
    </row>
    <row r="658" spans="3:4">
      <c r="C658" s="48"/>
      <c r="D658" s="43"/>
    </row>
    <row r="659" spans="3:4">
      <c r="C659" s="48"/>
      <c r="D659" s="43"/>
    </row>
    <row r="660" spans="3:4">
      <c r="C660" s="48"/>
      <c r="D660" s="43"/>
    </row>
    <row r="661" spans="3:4">
      <c r="C661" s="48"/>
      <c r="D661" s="43"/>
    </row>
    <row r="662" spans="3:4">
      <c r="C662" s="48"/>
      <c r="D662" s="43"/>
    </row>
    <row r="663" spans="3:4">
      <c r="C663" s="48"/>
      <c r="D663" s="43"/>
    </row>
    <row r="664" spans="3:4">
      <c r="C664" s="48"/>
      <c r="D664" s="43"/>
    </row>
    <row r="665" spans="3:4">
      <c r="C665" s="48"/>
      <c r="D665" s="43"/>
    </row>
    <row r="666" spans="3:4">
      <c r="C666" s="48"/>
      <c r="D666" s="43"/>
    </row>
    <row r="667" spans="3:4">
      <c r="C667" s="48"/>
      <c r="D667" s="43"/>
    </row>
    <row r="668" spans="3:4">
      <c r="C668" s="48"/>
      <c r="D668" s="43"/>
    </row>
    <row r="669" spans="3:4">
      <c r="C669" s="48"/>
      <c r="D669" s="43"/>
    </row>
    <row r="670" spans="3:4">
      <c r="C670" s="48"/>
      <c r="D670" s="43"/>
    </row>
    <row r="671" spans="3:4">
      <c r="C671" s="48"/>
      <c r="D671" s="43"/>
    </row>
    <row r="672" spans="3:4">
      <c r="C672" s="48"/>
      <c r="D672" s="43"/>
    </row>
    <row r="673" spans="3:4">
      <c r="C673" s="48"/>
      <c r="D673" s="43"/>
    </row>
    <row r="674" spans="3:4">
      <c r="C674" s="48"/>
      <c r="D674" s="43"/>
    </row>
    <row r="675" spans="3:4">
      <c r="C675" s="48"/>
      <c r="D675" s="43"/>
    </row>
    <row r="676" spans="3:4">
      <c r="C676" s="48"/>
      <c r="D676" s="43"/>
    </row>
    <row r="677" spans="3:4">
      <c r="C677" s="48"/>
      <c r="D677" s="43"/>
    </row>
    <row r="678" spans="3:4">
      <c r="C678" s="48"/>
      <c r="D678" s="43"/>
    </row>
    <row r="679" spans="3:4">
      <c r="C679" s="48"/>
      <c r="D679" s="43"/>
    </row>
    <row r="680" spans="3:4">
      <c r="C680" s="48"/>
      <c r="D680" s="43"/>
    </row>
    <row r="681" spans="3:4">
      <c r="C681" s="48"/>
      <c r="D681" s="43"/>
    </row>
    <row r="682" spans="3:4">
      <c r="C682" s="48"/>
      <c r="D682" s="43"/>
    </row>
    <row r="683" spans="3:4">
      <c r="C683" s="48"/>
      <c r="D683" s="43"/>
    </row>
    <row r="684" spans="3:4">
      <c r="C684" s="48"/>
      <c r="D684" s="43"/>
    </row>
    <row r="685" spans="3:4">
      <c r="C685" s="48"/>
      <c r="D685" s="43"/>
    </row>
    <row r="686" spans="3:4">
      <c r="C686" s="48"/>
      <c r="D686" s="43"/>
    </row>
    <row r="687" spans="3:4">
      <c r="C687" s="48"/>
      <c r="D687" s="43"/>
    </row>
    <row r="688" spans="3:4">
      <c r="C688" s="48"/>
      <c r="D688" s="43"/>
    </row>
    <row r="689" spans="3:4">
      <c r="C689" s="48"/>
      <c r="D689" s="43"/>
    </row>
    <row r="690" spans="3:4">
      <c r="C690" s="48"/>
      <c r="D690" s="43"/>
    </row>
    <row r="691" spans="3:4">
      <c r="C691" s="48"/>
      <c r="D691" s="43"/>
    </row>
    <row r="692" spans="3:4">
      <c r="C692" s="48"/>
      <c r="D692" s="43"/>
    </row>
    <row r="693" spans="3:4">
      <c r="C693" s="48"/>
      <c r="D693" s="43"/>
    </row>
    <row r="694" spans="3:4">
      <c r="C694" s="48"/>
      <c r="D694" s="43"/>
    </row>
    <row r="695" spans="3:4">
      <c r="C695" s="48"/>
      <c r="D695" s="43"/>
    </row>
    <row r="696" spans="3:4">
      <c r="C696" s="48"/>
      <c r="D696" s="43"/>
    </row>
    <row r="697" spans="3:4">
      <c r="C697" s="48"/>
      <c r="D697" s="43"/>
    </row>
    <row r="698" spans="3:4">
      <c r="C698" s="48"/>
      <c r="D698" s="43"/>
    </row>
    <row r="699" spans="3:4">
      <c r="C699" s="48"/>
      <c r="D699" s="43"/>
    </row>
    <row r="700" spans="3:4">
      <c r="C700" s="48"/>
      <c r="D700" s="43"/>
    </row>
    <row r="701" spans="3:4">
      <c r="C701" s="48"/>
      <c r="D701" s="43"/>
    </row>
    <row r="702" spans="3:4">
      <c r="C702" s="48"/>
      <c r="D702" s="43"/>
    </row>
    <row r="703" spans="3:4">
      <c r="C703" s="48"/>
      <c r="D703" s="43"/>
    </row>
    <row r="704" spans="3:4">
      <c r="C704" s="48"/>
      <c r="D704" s="43"/>
    </row>
    <row r="705" spans="3:4">
      <c r="C705" s="48"/>
      <c r="D705" s="43"/>
    </row>
    <row r="706" spans="3:4">
      <c r="C706" s="48"/>
      <c r="D706" s="43"/>
    </row>
    <row r="707" spans="3:4">
      <c r="C707" s="48"/>
      <c r="D707" s="43"/>
    </row>
    <row r="708" spans="3:4">
      <c r="C708" s="48"/>
      <c r="D708" s="43"/>
    </row>
    <row r="709" spans="3:4">
      <c r="C709" s="48"/>
      <c r="D709" s="43"/>
    </row>
    <row r="710" spans="3:4">
      <c r="C710" s="48"/>
      <c r="D710" s="43"/>
    </row>
    <row r="711" spans="3:4">
      <c r="C711" s="48"/>
      <c r="D711" s="43"/>
    </row>
    <row r="712" spans="3:4">
      <c r="C712" s="48"/>
      <c r="D712" s="43"/>
    </row>
    <row r="713" spans="3:4">
      <c r="C713" s="48"/>
      <c r="D713" s="43"/>
    </row>
    <row r="714" spans="3:4">
      <c r="C714" s="48"/>
      <c r="D714" s="43"/>
    </row>
    <row r="715" spans="3:4">
      <c r="C715" s="48"/>
      <c r="D715" s="43"/>
    </row>
    <row r="716" spans="3:4">
      <c r="C716" s="48"/>
      <c r="D716" s="43"/>
    </row>
    <row r="717" spans="3:4">
      <c r="C717" s="48"/>
      <c r="D717" s="43"/>
    </row>
    <row r="718" spans="3:4">
      <c r="C718" s="48"/>
      <c r="D718" s="43"/>
    </row>
    <row r="719" spans="3:4">
      <c r="C719" s="48"/>
      <c r="D719" s="43"/>
    </row>
    <row r="720" spans="3:4">
      <c r="C720" s="48"/>
      <c r="D720" s="43"/>
    </row>
    <row r="721" spans="3:4">
      <c r="C721" s="48"/>
      <c r="D721" s="43"/>
    </row>
    <row r="722" spans="3:4">
      <c r="C722" s="48"/>
      <c r="D722" s="43"/>
    </row>
    <row r="723" spans="3:4">
      <c r="C723" s="48"/>
      <c r="D723" s="43"/>
    </row>
    <row r="724" spans="3:4">
      <c r="C724" s="48"/>
      <c r="D724" s="43"/>
    </row>
    <row r="725" spans="3:4">
      <c r="C725" s="48"/>
      <c r="D725" s="43"/>
    </row>
    <row r="726" spans="3:4">
      <c r="C726" s="48"/>
      <c r="D726" s="43"/>
    </row>
    <row r="727" spans="3:4">
      <c r="C727" s="48"/>
      <c r="D727" s="43"/>
    </row>
    <row r="728" spans="3:4">
      <c r="C728" s="48"/>
      <c r="D728" s="43"/>
    </row>
    <row r="729" spans="3:4">
      <c r="C729" s="48"/>
      <c r="D729" s="43"/>
    </row>
    <row r="730" spans="3:4">
      <c r="C730" s="48"/>
      <c r="D730" s="43"/>
    </row>
    <row r="731" spans="3:4">
      <c r="C731" s="48"/>
      <c r="D731" s="43"/>
    </row>
    <row r="732" spans="3:4">
      <c r="C732" s="48"/>
      <c r="D732" s="43"/>
    </row>
    <row r="733" spans="3:4">
      <c r="C733" s="48"/>
      <c r="D733" s="43"/>
    </row>
    <row r="734" spans="3:4">
      <c r="C734" s="48"/>
      <c r="D734" s="43"/>
    </row>
    <row r="735" spans="3:4">
      <c r="C735" s="48"/>
      <c r="D735" s="43"/>
    </row>
    <row r="736" spans="3:4">
      <c r="C736" s="48"/>
      <c r="D736" s="43"/>
    </row>
    <row r="737" spans="3:4">
      <c r="C737" s="48"/>
      <c r="D737" s="43"/>
    </row>
    <row r="738" spans="3:4">
      <c r="C738" s="48"/>
      <c r="D738" s="43"/>
    </row>
    <row r="739" spans="3:4">
      <c r="C739" s="48"/>
      <c r="D739" s="43"/>
    </row>
    <row r="740" spans="3:4">
      <c r="C740" s="48"/>
      <c r="D740" s="43"/>
    </row>
    <row r="741" spans="3:4">
      <c r="C741" s="48"/>
      <c r="D741" s="43"/>
    </row>
    <row r="742" spans="3:4">
      <c r="C742" s="48"/>
      <c r="D742" s="43"/>
    </row>
    <row r="743" spans="3:4">
      <c r="C743" s="48"/>
      <c r="D743" s="43"/>
    </row>
    <row r="744" spans="3:4">
      <c r="C744" s="48"/>
      <c r="D744" s="43"/>
    </row>
    <row r="745" spans="3:4">
      <c r="C745" s="48"/>
      <c r="D745" s="43"/>
    </row>
    <row r="746" spans="3:4">
      <c r="C746" s="48"/>
      <c r="D746" s="43"/>
    </row>
    <row r="747" spans="3:4">
      <c r="C747" s="48"/>
      <c r="D747" s="43"/>
    </row>
    <row r="748" spans="3:4">
      <c r="C748" s="48"/>
      <c r="D748" s="43"/>
    </row>
    <row r="749" spans="3:4">
      <c r="C749" s="48"/>
      <c r="D749" s="43"/>
    </row>
    <row r="750" spans="3:4">
      <c r="C750" s="48"/>
      <c r="D750" s="43"/>
    </row>
    <row r="751" spans="3:4">
      <c r="C751" s="48"/>
      <c r="D751" s="43"/>
    </row>
    <row r="752" spans="3:4">
      <c r="C752" s="48"/>
      <c r="D752" s="43"/>
    </row>
    <row r="753" spans="3:4">
      <c r="C753" s="48"/>
      <c r="D753" s="43"/>
    </row>
    <row r="754" spans="3:4">
      <c r="C754" s="48"/>
      <c r="D754" s="43"/>
    </row>
    <row r="755" spans="3:4">
      <c r="C755" s="48"/>
      <c r="D755" s="43"/>
    </row>
    <row r="756" spans="3:4">
      <c r="C756" s="48"/>
      <c r="D756" s="43"/>
    </row>
    <row r="757" spans="3:4">
      <c r="C757" s="48"/>
      <c r="D757" s="43"/>
    </row>
    <row r="758" spans="3:4">
      <c r="C758" s="48"/>
      <c r="D758" s="43"/>
    </row>
    <row r="759" spans="3:4">
      <c r="C759" s="48"/>
      <c r="D759" s="43"/>
    </row>
    <row r="760" spans="3:4">
      <c r="C760" s="48"/>
      <c r="D760" s="43"/>
    </row>
    <row r="761" spans="3:4">
      <c r="C761" s="48"/>
      <c r="D761" s="43"/>
    </row>
    <row r="762" spans="3:4">
      <c r="C762" s="48"/>
      <c r="D762" s="43"/>
    </row>
    <row r="763" spans="3:4">
      <c r="C763" s="48"/>
      <c r="D763" s="43"/>
    </row>
    <row r="764" spans="3:4">
      <c r="C764" s="48"/>
      <c r="D764" s="43"/>
    </row>
    <row r="765" spans="3:4">
      <c r="C765" s="48"/>
      <c r="D765" s="43"/>
    </row>
    <row r="766" spans="3:4">
      <c r="C766" s="48"/>
      <c r="D766" s="43"/>
    </row>
    <row r="767" spans="3:4">
      <c r="C767" s="48"/>
      <c r="D767" s="43"/>
    </row>
    <row r="768" spans="3:4">
      <c r="C768" s="48"/>
      <c r="D768" s="43"/>
    </row>
    <row r="769" spans="3:4">
      <c r="C769" s="48"/>
      <c r="D769" s="43"/>
    </row>
    <row r="770" spans="3:4">
      <c r="C770" s="48"/>
      <c r="D770" s="43"/>
    </row>
    <row r="771" spans="3:4">
      <c r="C771" s="48"/>
      <c r="D771" s="43"/>
    </row>
    <row r="772" spans="3:4">
      <c r="C772" s="48"/>
      <c r="D772" s="43"/>
    </row>
    <row r="773" spans="3:4">
      <c r="C773" s="48"/>
      <c r="D773" s="43"/>
    </row>
    <row r="774" spans="3:4">
      <c r="C774" s="48"/>
      <c r="D774" s="43"/>
    </row>
    <row r="775" spans="3:4">
      <c r="C775" s="48"/>
      <c r="D775" s="43"/>
    </row>
    <row r="776" spans="3:4">
      <c r="C776" s="48"/>
      <c r="D776" s="43"/>
    </row>
    <row r="777" spans="3:4">
      <c r="C777" s="48"/>
      <c r="D777" s="43"/>
    </row>
    <row r="778" spans="3:4">
      <c r="C778" s="48"/>
      <c r="D778" s="43"/>
    </row>
    <row r="779" spans="3:4">
      <c r="C779" s="48"/>
      <c r="D779" s="43"/>
    </row>
    <row r="780" spans="3:4">
      <c r="C780" s="48"/>
      <c r="D780" s="43"/>
    </row>
    <row r="781" spans="3:4">
      <c r="C781" s="48"/>
      <c r="D781" s="43"/>
    </row>
    <row r="782" spans="3:4">
      <c r="C782" s="48"/>
      <c r="D782" s="43"/>
    </row>
    <row r="783" spans="3:4">
      <c r="C783" s="48"/>
      <c r="D783" s="43"/>
    </row>
    <row r="784" spans="3:4">
      <c r="C784" s="48"/>
      <c r="D784" s="43"/>
    </row>
    <row r="785" spans="3:4">
      <c r="C785" s="48"/>
      <c r="D785" s="43"/>
    </row>
    <row r="786" spans="3:4">
      <c r="C786" s="48"/>
      <c r="D786" s="43"/>
    </row>
    <row r="787" spans="3:4">
      <c r="C787" s="48"/>
      <c r="D787" s="43"/>
    </row>
    <row r="788" spans="3:4">
      <c r="C788" s="48"/>
      <c r="D788" s="43"/>
    </row>
    <row r="789" spans="3:4">
      <c r="C789" s="48"/>
      <c r="D789" s="43"/>
    </row>
    <row r="790" spans="3:4">
      <c r="C790" s="48"/>
      <c r="D790" s="43"/>
    </row>
    <row r="791" spans="3:4">
      <c r="C791" s="48"/>
      <c r="D791" s="43"/>
    </row>
    <row r="792" spans="3:4">
      <c r="C792" s="48"/>
      <c r="D792" s="43"/>
    </row>
    <row r="793" spans="3:4">
      <c r="C793" s="48"/>
      <c r="D793" s="43"/>
    </row>
    <row r="794" spans="3:4">
      <c r="C794" s="48"/>
      <c r="D794" s="43"/>
    </row>
    <row r="795" spans="3:4">
      <c r="C795" s="48"/>
      <c r="D795" s="43"/>
    </row>
    <row r="796" spans="3:4">
      <c r="C796" s="48"/>
      <c r="D796" s="43"/>
    </row>
    <row r="797" spans="3:4">
      <c r="C797" s="48"/>
      <c r="D797" s="43"/>
    </row>
    <row r="798" spans="3:4">
      <c r="C798" s="48"/>
      <c r="D798" s="43"/>
    </row>
    <row r="799" spans="3:4">
      <c r="C799" s="48"/>
      <c r="D799" s="43"/>
    </row>
    <row r="800" spans="3:4">
      <c r="C800" s="48"/>
      <c r="D800" s="43"/>
    </row>
    <row r="801" spans="3:4">
      <c r="C801" s="48"/>
      <c r="D801" s="43"/>
    </row>
    <row r="802" spans="3:4">
      <c r="C802" s="48"/>
      <c r="D802" s="43"/>
    </row>
    <row r="803" spans="3:4">
      <c r="C803" s="48"/>
      <c r="D803" s="43"/>
    </row>
    <row r="804" spans="3:4">
      <c r="C804" s="48"/>
      <c r="D804" s="43"/>
    </row>
    <row r="805" spans="3:4">
      <c r="C805" s="48"/>
      <c r="D805" s="43"/>
    </row>
    <row r="806" spans="3:4">
      <c r="C806" s="48"/>
      <c r="D806" s="43"/>
    </row>
    <row r="807" spans="3:4">
      <c r="C807" s="48"/>
      <c r="D807" s="43"/>
    </row>
    <row r="808" spans="3:4">
      <c r="C808" s="48"/>
      <c r="D808" s="43"/>
    </row>
    <row r="809" spans="3:4">
      <c r="C809" s="48"/>
      <c r="D809" s="43"/>
    </row>
    <row r="810" spans="3:4">
      <c r="C810" s="48"/>
      <c r="D810" s="43"/>
    </row>
    <row r="811" spans="3:4">
      <c r="C811" s="48"/>
      <c r="D811" s="43"/>
    </row>
    <row r="812" spans="3:4">
      <c r="C812" s="48"/>
      <c r="D812" s="43"/>
    </row>
    <row r="813" spans="3:4">
      <c r="C813" s="48"/>
      <c r="D813" s="43"/>
    </row>
    <row r="814" spans="3:4">
      <c r="C814" s="48"/>
      <c r="D814" s="43"/>
    </row>
    <row r="815" spans="3:4">
      <c r="C815" s="48"/>
      <c r="D815" s="43"/>
    </row>
    <row r="816" spans="3:4">
      <c r="C816" s="48"/>
      <c r="D816" s="43"/>
    </row>
    <row r="817" spans="3:4">
      <c r="C817" s="48"/>
      <c r="D817" s="43"/>
    </row>
    <row r="818" spans="3:4">
      <c r="C818" s="48"/>
      <c r="D818" s="43"/>
    </row>
    <row r="819" spans="3:4">
      <c r="C819" s="48"/>
      <c r="D819" s="43"/>
    </row>
    <row r="820" spans="3:4">
      <c r="C820" s="48"/>
      <c r="D820" s="43"/>
    </row>
    <row r="821" spans="3:4">
      <c r="C821" s="48"/>
      <c r="D821" s="43"/>
    </row>
    <row r="822" spans="3:4">
      <c r="C822" s="48"/>
      <c r="D822" s="43"/>
    </row>
    <row r="823" spans="3:4">
      <c r="C823" s="48"/>
      <c r="D823" s="43"/>
    </row>
    <row r="824" spans="3:4">
      <c r="C824" s="48"/>
      <c r="D824" s="43"/>
    </row>
    <row r="825" spans="3:4">
      <c r="C825" s="48"/>
      <c r="D825" s="43"/>
    </row>
    <row r="826" spans="3:4">
      <c r="C826" s="48"/>
      <c r="D826" s="43"/>
    </row>
    <row r="827" spans="3:4">
      <c r="C827" s="48"/>
      <c r="D827" s="43"/>
    </row>
    <row r="828" spans="3:4">
      <c r="C828" s="48"/>
      <c r="D828" s="43"/>
    </row>
    <row r="829" spans="3:4">
      <c r="C829" s="48"/>
      <c r="D829" s="43"/>
    </row>
    <row r="830" spans="3:4">
      <c r="C830" s="48"/>
      <c r="D830" s="43"/>
    </row>
    <row r="831" spans="3:4">
      <c r="C831" s="48"/>
      <c r="D831" s="43"/>
    </row>
    <row r="832" spans="3:4">
      <c r="C832" s="48"/>
      <c r="D832" s="43"/>
    </row>
    <row r="833" spans="3:4">
      <c r="C833" s="48"/>
      <c r="D833" s="43"/>
    </row>
    <row r="834" spans="3:4">
      <c r="C834" s="48"/>
      <c r="D834" s="43"/>
    </row>
    <row r="835" spans="3:4">
      <c r="C835" s="48"/>
      <c r="D835" s="43"/>
    </row>
    <row r="836" spans="3:4">
      <c r="C836" s="48"/>
      <c r="D836" s="43"/>
    </row>
    <row r="837" spans="3:4">
      <c r="C837" s="48"/>
      <c r="D837" s="43"/>
    </row>
    <row r="838" spans="3:4">
      <c r="C838" s="48"/>
      <c r="D838" s="43"/>
    </row>
    <row r="839" spans="3:4">
      <c r="C839" s="48"/>
      <c r="D839" s="43"/>
    </row>
    <row r="840" spans="3:4">
      <c r="C840" s="48"/>
      <c r="D840" s="43"/>
    </row>
    <row r="841" spans="3:4">
      <c r="C841" s="48"/>
      <c r="D841" s="43"/>
    </row>
    <row r="842" spans="3:4">
      <c r="C842" s="48"/>
      <c r="D842" s="43"/>
    </row>
    <row r="843" spans="3:4">
      <c r="C843" s="48"/>
      <c r="D843" s="43"/>
    </row>
    <row r="844" spans="3:4">
      <c r="C844" s="48"/>
      <c r="D844" s="43"/>
    </row>
    <row r="845" spans="3:4">
      <c r="C845" s="48"/>
      <c r="D845" s="43"/>
    </row>
    <row r="846" spans="3:4">
      <c r="C846" s="48"/>
      <c r="D846" s="43"/>
    </row>
    <row r="847" spans="3:4">
      <c r="C847" s="48"/>
      <c r="D847" s="43"/>
    </row>
    <row r="848" spans="3:4">
      <c r="C848" s="48"/>
      <c r="D848" s="43"/>
    </row>
    <row r="849" spans="3:4">
      <c r="C849" s="48"/>
      <c r="D849" s="43"/>
    </row>
    <row r="850" spans="3:4">
      <c r="C850" s="48"/>
      <c r="D850" s="43"/>
    </row>
    <row r="851" spans="3:4">
      <c r="C851" s="48"/>
      <c r="D851" s="43"/>
    </row>
    <row r="852" spans="3:4">
      <c r="C852" s="48"/>
      <c r="D852" s="43"/>
    </row>
    <row r="853" spans="3:4">
      <c r="C853" s="48"/>
      <c r="D853" s="43"/>
    </row>
    <row r="854" spans="3:4">
      <c r="C854" s="48"/>
      <c r="D854" s="43"/>
    </row>
    <row r="855" spans="3:4">
      <c r="C855" s="48"/>
      <c r="D855" s="43"/>
    </row>
    <row r="856" spans="3:4">
      <c r="C856" s="48"/>
      <c r="D856" s="43"/>
    </row>
    <row r="857" spans="3:4">
      <c r="C857" s="48"/>
      <c r="D857" s="43"/>
    </row>
    <row r="858" spans="3:4">
      <c r="C858" s="48"/>
      <c r="D858" s="43"/>
    </row>
    <row r="859" spans="3:4">
      <c r="C859" s="48"/>
      <c r="D859" s="43"/>
    </row>
    <row r="860" spans="3:4">
      <c r="C860" s="48"/>
      <c r="D860" s="43"/>
    </row>
    <row r="861" spans="3:4">
      <c r="C861" s="48"/>
      <c r="D861" s="43"/>
    </row>
    <row r="862" spans="3:4">
      <c r="C862" s="48"/>
      <c r="D862" s="43"/>
    </row>
    <row r="863" spans="3:4">
      <c r="C863" s="48"/>
      <c r="D863" s="43"/>
    </row>
    <row r="864" spans="3:4">
      <c r="C864" s="48"/>
      <c r="D864" s="43"/>
    </row>
    <row r="865" spans="3:4">
      <c r="C865" s="48"/>
      <c r="D865" s="43"/>
    </row>
    <row r="866" spans="3:4">
      <c r="C866" s="48"/>
      <c r="D866" s="43"/>
    </row>
    <row r="867" spans="3:4">
      <c r="C867" s="48"/>
      <c r="D867" s="43"/>
    </row>
    <row r="868" spans="3:4">
      <c r="C868" s="48"/>
      <c r="D868" s="43"/>
    </row>
    <row r="869" spans="3:4">
      <c r="C869" s="48"/>
      <c r="D869" s="43"/>
    </row>
    <row r="870" spans="3:4">
      <c r="C870" s="48"/>
      <c r="D870" s="43"/>
    </row>
    <row r="871" spans="3:4">
      <c r="C871" s="48"/>
      <c r="D871" s="43"/>
    </row>
    <row r="872" spans="3:4">
      <c r="C872" s="48"/>
      <c r="D872" s="43"/>
    </row>
    <row r="873" spans="3:4">
      <c r="C873" s="48"/>
      <c r="D873" s="43"/>
    </row>
    <row r="874" spans="3:4">
      <c r="C874" s="48"/>
      <c r="D874" s="43"/>
    </row>
    <row r="875" spans="3:4">
      <c r="C875" s="48"/>
      <c r="D875" s="43"/>
    </row>
    <row r="876" spans="3:4">
      <c r="C876" s="48"/>
      <c r="D876" s="43"/>
    </row>
    <row r="877" spans="3:4">
      <c r="C877" s="48"/>
      <c r="D877" s="43"/>
    </row>
    <row r="878" spans="3:4">
      <c r="C878" s="48"/>
      <c r="D878" s="43"/>
    </row>
    <row r="879" spans="3:4">
      <c r="C879" s="48"/>
      <c r="D879" s="43"/>
    </row>
    <row r="880" spans="3:4">
      <c r="C880" s="48"/>
      <c r="D880" s="43"/>
    </row>
    <row r="881" spans="3:4">
      <c r="C881" s="48"/>
      <c r="D881" s="43"/>
    </row>
    <row r="882" spans="3:4">
      <c r="C882" s="48"/>
      <c r="D882" s="43"/>
    </row>
    <row r="883" spans="3:4">
      <c r="C883" s="48"/>
      <c r="D883" s="43"/>
    </row>
    <row r="884" spans="3:4">
      <c r="C884" s="48"/>
      <c r="D884" s="43"/>
    </row>
    <row r="885" spans="3:4">
      <c r="C885" s="48"/>
      <c r="D885" s="43"/>
    </row>
    <row r="886" spans="3:4">
      <c r="C886" s="48"/>
      <c r="D886" s="43"/>
    </row>
    <row r="887" spans="3:4">
      <c r="C887" s="48"/>
      <c r="D887" s="43"/>
    </row>
    <row r="888" spans="3:4">
      <c r="C888" s="48"/>
      <c r="D888" s="43"/>
    </row>
    <row r="889" spans="3:4">
      <c r="C889" s="48"/>
      <c r="D889" s="43"/>
    </row>
    <row r="890" spans="3:4">
      <c r="C890" s="48"/>
      <c r="D890" s="43"/>
    </row>
    <row r="891" spans="3:4">
      <c r="C891" s="48"/>
      <c r="D891" s="43"/>
    </row>
    <row r="892" spans="3:4">
      <c r="C892" s="48"/>
      <c r="D892" s="43"/>
    </row>
    <row r="893" spans="3:4">
      <c r="C893" s="48"/>
      <c r="D893" s="43"/>
    </row>
    <row r="894" spans="3:4">
      <c r="C894" s="48"/>
      <c r="D894" s="43"/>
    </row>
    <row r="895" spans="3:4">
      <c r="C895" s="48"/>
      <c r="D895" s="43"/>
    </row>
    <row r="896" spans="3:4">
      <c r="C896" s="48"/>
      <c r="D896" s="43"/>
    </row>
    <row r="897" spans="3:4">
      <c r="C897" s="48"/>
      <c r="D897" s="43"/>
    </row>
    <row r="898" spans="3:4">
      <c r="C898" s="48"/>
      <c r="D898" s="43"/>
    </row>
    <row r="899" spans="3:4">
      <c r="C899" s="48"/>
      <c r="D899" s="43"/>
    </row>
    <row r="900" spans="3:4">
      <c r="C900" s="48"/>
      <c r="D900" s="43"/>
    </row>
    <row r="901" spans="3:4">
      <c r="C901" s="48"/>
      <c r="D901" s="43"/>
    </row>
    <row r="902" spans="3:4">
      <c r="C902" s="48"/>
      <c r="D902" s="43"/>
    </row>
    <row r="903" spans="3:4">
      <c r="C903" s="48"/>
      <c r="D903" s="43"/>
    </row>
    <row r="904" spans="3:4">
      <c r="C904" s="48"/>
      <c r="D904" s="43"/>
    </row>
    <row r="905" spans="3:4">
      <c r="C905" s="48"/>
      <c r="D905" s="43"/>
    </row>
    <row r="906" spans="3:4">
      <c r="C906" s="48"/>
      <c r="D906" s="43"/>
    </row>
    <row r="907" spans="3:4">
      <c r="C907" s="48"/>
      <c r="D907" s="43"/>
    </row>
    <row r="908" spans="3:4">
      <c r="C908" s="48"/>
      <c r="D908" s="43"/>
    </row>
    <row r="909" spans="3:4">
      <c r="C909" s="48"/>
      <c r="D909" s="43"/>
    </row>
    <row r="910" spans="3:4">
      <c r="C910" s="48"/>
      <c r="D910" s="43"/>
    </row>
    <row r="911" spans="3:4">
      <c r="C911" s="48"/>
      <c r="D911" s="43"/>
    </row>
    <row r="912" spans="3:4">
      <c r="C912" s="48"/>
      <c r="D912" s="43"/>
    </row>
    <row r="913" spans="3:4">
      <c r="C913" s="48"/>
      <c r="D913" s="43"/>
    </row>
    <row r="914" spans="3:4">
      <c r="C914" s="48"/>
      <c r="D914" s="43"/>
    </row>
    <row r="915" spans="3:4">
      <c r="C915" s="48"/>
      <c r="D915" s="43"/>
    </row>
    <row r="916" spans="3:4">
      <c r="C916" s="48"/>
      <c r="D916" s="43"/>
    </row>
    <row r="917" spans="3:4">
      <c r="C917" s="48"/>
      <c r="D917" s="43"/>
    </row>
    <row r="918" spans="3:4">
      <c r="C918" s="48"/>
      <c r="D918" s="43"/>
    </row>
    <row r="919" spans="3:4">
      <c r="C919" s="48"/>
      <c r="D919" s="43"/>
    </row>
    <row r="920" spans="3:4">
      <c r="C920" s="48"/>
      <c r="D920" s="43"/>
    </row>
    <row r="921" spans="3:4">
      <c r="C921" s="48"/>
      <c r="D921" s="43"/>
    </row>
    <row r="922" spans="3:4">
      <c r="C922" s="48"/>
      <c r="D922" s="43"/>
    </row>
    <row r="923" spans="3:4">
      <c r="C923" s="48"/>
      <c r="D923" s="43"/>
    </row>
    <row r="924" spans="3:4">
      <c r="C924" s="48"/>
      <c r="D924" s="43"/>
    </row>
    <row r="925" spans="3:4">
      <c r="C925" s="48"/>
      <c r="D925" s="43"/>
    </row>
    <row r="926" spans="3:4">
      <c r="C926" s="48"/>
      <c r="D926" s="43"/>
    </row>
    <row r="927" spans="3:4">
      <c r="C927" s="48"/>
      <c r="D927" s="43"/>
    </row>
    <row r="928" spans="3:4">
      <c r="C928" s="48"/>
      <c r="D928" s="43"/>
    </row>
    <row r="929" spans="3:4">
      <c r="C929" s="48"/>
      <c r="D929" s="43"/>
    </row>
    <row r="930" spans="3:4">
      <c r="C930" s="48"/>
      <c r="D930" s="43"/>
    </row>
    <row r="931" spans="3:4">
      <c r="C931" s="48"/>
      <c r="D931" s="43"/>
    </row>
    <row r="932" spans="3:4">
      <c r="C932" s="48"/>
      <c r="D932" s="43"/>
    </row>
    <row r="933" spans="3:4">
      <c r="C933" s="48"/>
      <c r="D933" s="43"/>
    </row>
    <row r="934" spans="3:4">
      <c r="C934" s="48"/>
      <c r="D934" s="43"/>
    </row>
    <row r="935" spans="3:4">
      <c r="C935" s="48"/>
      <c r="D935" s="43"/>
    </row>
    <row r="936" spans="3:4">
      <c r="C936" s="48"/>
      <c r="D936" s="43"/>
    </row>
    <row r="937" spans="3:4">
      <c r="C937" s="48"/>
      <c r="D937" s="43"/>
    </row>
    <row r="938" spans="3:4">
      <c r="C938" s="48"/>
      <c r="D938" s="43"/>
    </row>
    <row r="939" spans="3:4">
      <c r="C939" s="48"/>
      <c r="D939" s="43"/>
    </row>
    <row r="940" spans="3:4">
      <c r="C940" s="48"/>
      <c r="D940" s="43"/>
    </row>
    <row r="941" spans="3:4">
      <c r="C941" s="48"/>
      <c r="D941" s="43"/>
    </row>
    <row r="942" spans="3:4">
      <c r="C942" s="48"/>
      <c r="D942" s="43"/>
    </row>
    <row r="943" spans="3:4">
      <c r="C943" s="48"/>
      <c r="D943" s="43"/>
    </row>
    <row r="944" spans="3:4">
      <c r="C944" s="48"/>
      <c r="D944" s="43"/>
    </row>
    <row r="945" spans="3:4">
      <c r="C945" s="48"/>
      <c r="D945" s="43"/>
    </row>
    <row r="946" spans="3:4">
      <c r="C946" s="48"/>
      <c r="D946" s="43"/>
    </row>
    <row r="947" spans="3:4">
      <c r="C947" s="48"/>
      <c r="D947" s="43"/>
    </row>
    <row r="948" spans="3:4">
      <c r="C948" s="48"/>
      <c r="D948" s="43"/>
    </row>
    <row r="949" spans="3:4">
      <c r="C949" s="48"/>
      <c r="D949" s="43"/>
    </row>
    <row r="950" spans="3:4">
      <c r="C950" s="48"/>
      <c r="D950" s="43"/>
    </row>
    <row r="951" spans="3:4">
      <c r="C951" s="48"/>
      <c r="D951" s="43"/>
    </row>
    <row r="952" spans="3:4">
      <c r="C952" s="48"/>
      <c r="D952" s="43"/>
    </row>
    <row r="953" spans="3:4">
      <c r="C953" s="48"/>
      <c r="D953" s="43"/>
    </row>
    <row r="954" spans="3:4">
      <c r="C954" s="48"/>
      <c r="D954" s="43"/>
    </row>
    <row r="955" spans="3:4">
      <c r="C955" s="48"/>
      <c r="D955" s="43"/>
    </row>
    <row r="956" spans="3:4">
      <c r="C956" s="48"/>
      <c r="D956" s="43"/>
    </row>
    <row r="957" spans="3:4">
      <c r="C957" s="48"/>
      <c r="D957" s="43"/>
    </row>
    <row r="958" spans="3:4">
      <c r="C958" s="48"/>
      <c r="D958" s="43"/>
    </row>
    <row r="959" spans="3:4">
      <c r="C959" s="48"/>
      <c r="D959" s="43"/>
    </row>
    <row r="960" spans="3:4">
      <c r="C960" s="48"/>
      <c r="D960" s="43"/>
    </row>
    <row r="961" spans="3:4">
      <c r="C961" s="48"/>
      <c r="D961" s="43"/>
    </row>
    <row r="962" spans="3:4">
      <c r="C962" s="48"/>
      <c r="D962" s="43"/>
    </row>
    <row r="963" spans="3:4">
      <c r="C963" s="48"/>
      <c r="D963" s="43"/>
    </row>
    <row r="964" spans="3:4">
      <c r="C964" s="48"/>
      <c r="D964" s="43"/>
    </row>
    <row r="965" spans="3:4">
      <c r="C965" s="48"/>
      <c r="D965" s="43"/>
    </row>
    <row r="966" spans="3:4">
      <c r="C966" s="48"/>
      <c r="D966" s="43"/>
    </row>
    <row r="967" spans="3:4">
      <c r="C967" s="48"/>
      <c r="D967" s="43"/>
    </row>
    <row r="968" spans="3:4">
      <c r="C968" s="48"/>
      <c r="D968" s="43"/>
    </row>
    <row r="969" spans="3:4">
      <c r="C969" s="48"/>
      <c r="D969" s="43"/>
    </row>
    <row r="970" spans="3:4">
      <c r="C970" s="48"/>
      <c r="D970" s="43"/>
    </row>
    <row r="971" spans="3:4">
      <c r="C971" s="48"/>
      <c r="D971" s="43"/>
    </row>
    <row r="972" spans="3:4">
      <c r="C972" s="48"/>
      <c r="D972" s="43"/>
    </row>
    <row r="973" spans="3:4">
      <c r="C973" s="48"/>
      <c r="D973" s="43"/>
    </row>
    <row r="974" spans="3:4">
      <c r="C974" s="48"/>
      <c r="D974" s="43"/>
    </row>
    <row r="975" spans="3:4">
      <c r="C975" s="48"/>
      <c r="D975" s="43"/>
    </row>
    <row r="976" spans="3:4">
      <c r="C976" s="48"/>
      <c r="D976" s="43"/>
    </row>
    <row r="977" spans="3:4">
      <c r="C977" s="48"/>
      <c r="D977" s="43"/>
    </row>
    <row r="978" spans="3:4">
      <c r="C978" s="48"/>
      <c r="D978" s="43"/>
    </row>
    <row r="979" spans="3:4">
      <c r="C979" s="48"/>
      <c r="D979" s="43"/>
    </row>
    <row r="980" spans="3:4">
      <c r="C980" s="48"/>
      <c r="D980" s="43"/>
    </row>
    <row r="981" spans="3:4">
      <c r="C981" s="48"/>
      <c r="D981" s="43"/>
    </row>
    <row r="982" spans="3:4">
      <c r="C982" s="48"/>
      <c r="D982" s="43"/>
    </row>
    <row r="983" spans="3:4">
      <c r="C983" s="48"/>
      <c r="D983" s="43"/>
    </row>
    <row r="984" spans="3:4">
      <c r="C984" s="48"/>
      <c r="D984" s="43"/>
    </row>
    <row r="985" spans="3:4">
      <c r="C985" s="48"/>
      <c r="D985" s="43"/>
    </row>
    <row r="986" spans="3:4">
      <c r="C986" s="48"/>
      <c r="D986" s="43"/>
    </row>
    <row r="987" spans="3:4">
      <c r="C987" s="48"/>
      <c r="D987" s="43"/>
    </row>
    <row r="988" spans="3:4">
      <c r="C988" s="48"/>
      <c r="D988" s="43"/>
    </row>
    <row r="989" spans="3:4">
      <c r="C989" s="48"/>
      <c r="D989" s="43"/>
    </row>
    <row r="990" spans="3:4">
      <c r="C990" s="48"/>
      <c r="D990" s="43"/>
    </row>
    <row r="991" spans="3:4">
      <c r="C991" s="48"/>
      <c r="D991" s="43"/>
    </row>
    <row r="992" spans="3:4">
      <c r="C992" s="48"/>
      <c r="D992" s="43"/>
    </row>
    <row r="993" spans="3:4">
      <c r="C993" s="48"/>
      <c r="D993" s="43"/>
    </row>
    <row r="994" spans="3:4">
      <c r="C994" s="48"/>
      <c r="D994" s="43"/>
    </row>
    <row r="995" spans="3:4">
      <c r="C995" s="48"/>
      <c r="D995" s="43"/>
    </row>
    <row r="996" spans="3:4">
      <c r="C996" s="48"/>
      <c r="D996" s="43"/>
    </row>
    <row r="997" spans="3:4">
      <c r="C997" s="48"/>
      <c r="D997" s="43"/>
    </row>
    <row r="998" spans="3:4">
      <c r="C998" s="48"/>
      <c r="D998" s="43"/>
    </row>
    <row r="999" spans="3:4">
      <c r="C999" s="48"/>
      <c r="D999" s="43"/>
    </row>
    <row r="1000" spans="3:4">
      <c r="C1000" s="48"/>
      <c r="D1000" s="43"/>
    </row>
  </sheetData>
  <dataValidations count="1">
    <dataValidation type="list" allowBlank="1" showErrorMessage="1" sqref="C2:C1000" xr:uid="{00000000-0002-0000-0B00-000000000000}">
      <formula1>"национальный календарь,сверх календаря,другие"</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F1010"/>
  <sheetViews>
    <sheetView workbookViewId="0">
      <pane ySplit="1" topLeftCell="A23" activePane="bottomLeft" state="frozen"/>
      <selection pane="bottomLeft" activeCell="B3" sqref="B3"/>
    </sheetView>
  </sheetViews>
  <sheetFormatPr defaultColWidth="12.6640625" defaultRowHeight="15.75" customHeight="1"/>
  <cols>
    <col min="2" max="2" width="21.21875" customWidth="1"/>
    <col min="4" max="4" width="18.44140625" customWidth="1"/>
  </cols>
  <sheetData>
    <row r="1" spans="1:6">
      <c r="A1" s="68" t="s">
        <v>2249</v>
      </c>
      <c r="B1" s="68" t="s">
        <v>2250</v>
      </c>
      <c r="C1" s="68" t="s">
        <v>2443</v>
      </c>
      <c r="D1" s="68" t="s">
        <v>2395</v>
      </c>
      <c r="E1" s="3" t="s">
        <v>10</v>
      </c>
      <c r="F1" s="50" t="s">
        <v>11</v>
      </c>
    </row>
    <row r="2" spans="1:6">
      <c r="A2" s="7">
        <v>1</v>
      </c>
      <c r="B2" s="10" t="str">
        <f>VLOOKUP(A2,vaccines!A:B,2)</f>
        <v>BCG_Microgen</v>
      </c>
      <c r="C2" s="7">
        <v>11</v>
      </c>
      <c r="D2" s="8" t="str">
        <f>VLOOKUP(C2,infections_list!A:B,2)</f>
        <v>туберкулез</v>
      </c>
      <c r="E2" s="11">
        <v>44712</v>
      </c>
      <c r="F2" s="58"/>
    </row>
    <row r="3" spans="1:6">
      <c r="A3" s="7">
        <v>2</v>
      </c>
      <c r="B3" s="10" t="str">
        <f>VLOOKUP(A3,vaccines!A:B,2)</f>
        <v>BCG_M_Microgen</v>
      </c>
      <c r="C3" s="7">
        <v>11</v>
      </c>
      <c r="D3" s="8" t="str">
        <f>VLOOKUP(C3,infections_list!A:B,2)</f>
        <v>туберкулез</v>
      </c>
      <c r="E3" s="11">
        <f t="shared" ref="E3:E55" si="0">E2</f>
        <v>44712</v>
      </c>
      <c r="F3" s="58"/>
    </row>
    <row r="4" spans="1:6">
      <c r="A4" s="7">
        <v>3</v>
      </c>
      <c r="B4" s="10" t="str">
        <f>VLOOKUP(A4,vaccines!A:B,2)</f>
        <v>BCG_Gamaleya</v>
      </c>
      <c r="C4" s="7">
        <v>11</v>
      </c>
      <c r="D4" s="8" t="str">
        <f>VLOOKUP(C4,infections_list!A:B,2)</f>
        <v>туберкулез</v>
      </c>
      <c r="E4" s="11">
        <f t="shared" si="0"/>
        <v>44712</v>
      </c>
      <c r="F4" s="58"/>
    </row>
    <row r="5" spans="1:6">
      <c r="A5" s="7">
        <v>4</v>
      </c>
      <c r="B5" s="10" t="str">
        <f>VLOOKUP(A5,vaccines!A:B,2)</f>
        <v>BCG_M_Gamaleya</v>
      </c>
      <c r="C5" s="7">
        <v>11</v>
      </c>
      <c r="D5" s="8" t="str">
        <f>VLOOKUP(C5,infections_list!A:B,2)</f>
        <v>туберкулез</v>
      </c>
      <c r="E5" s="11">
        <f t="shared" si="0"/>
        <v>44712</v>
      </c>
      <c r="F5" s="58"/>
    </row>
    <row r="6" spans="1:6">
      <c r="A6" s="7">
        <v>5</v>
      </c>
      <c r="B6" s="10" t="str">
        <f>VLOOKUP(A6,vaccines!A:B,2)</f>
        <v>Infanrix</v>
      </c>
      <c r="C6" s="7">
        <v>1</v>
      </c>
      <c r="D6" s="8" t="str">
        <f>VLOOKUP(C6,infections_list!A:B,2)</f>
        <v>столбняк</v>
      </c>
      <c r="E6" s="11">
        <f t="shared" si="0"/>
        <v>44712</v>
      </c>
      <c r="F6" s="58"/>
    </row>
    <row r="7" spans="1:6">
      <c r="A7" s="7">
        <v>5</v>
      </c>
      <c r="B7" s="10" t="str">
        <f>VLOOKUP(A7,vaccines!A:B,2)</f>
        <v>Infanrix</v>
      </c>
      <c r="C7" s="7">
        <v>2</v>
      </c>
      <c r="D7" s="8" t="str">
        <f>VLOOKUP(C7,infections_list!A:B,2)</f>
        <v>дифтерия</v>
      </c>
      <c r="E7" s="11">
        <f t="shared" si="0"/>
        <v>44712</v>
      </c>
      <c r="F7" s="58"/>
    </row>
    <row r="8" spans="1:6">
      <c r="A8" s="7">
        <v>5</v>
      </c>
      <c r="B8" s="10" t="str">
        <f>VLOOKUP(A8,vaccines!A:B,2)</f>
        <v>Infanrix</v>
      </c>
      <c r="C8" s="7">
        <v>5</v>
      </c>
      <c r="D8" s="8" t="str">
        <f>VLOOKUP(C8,infections_list!A:B,2)</f>
        <v>коклюш</v>
      </c>
      <c r="E8" s="11">
        <f t="shared" si="0"/>
        <v>44712</v>
      </c>
      <c r="F8" s="58"/>
    </row>
    <row r="9" spans="1:6">
      <c r="A9" s="7">
        <v>6</v>
      </c>
      <c r="B9" s="10" t="str">
        <f>VLOOKUP(A9,vaccines!A:B,2)</f>
        <v>AKDS_Microgen</v>
      </c>
      <c r="C9" s="7">
        <v>1</v>
      </c>
      <c r="D9" s="8" t="str">
        <f>VLOOKUP(C9,infections_list!A:B,2)</f>
        <v>столбняк</v>
      </c>
      <c r="E9" s="11">
        <f t="shared" si="0"/>
        <v>44712</v>
      </c>
      <c r="F9" s="58"/>
    </row>
    <row r="10" spans="1:6">
      <c r="A10" s="7">
        <v>6</v>
      </c>
      <c r="B10" s="10" t="str">
        <f>VLOOKUP(A10,vaccines!A:B,2)</f>
        <v>AKDS_Microgen</v>
      </c>
      <c r="C10" s="7">
        <v>2</v>
      </c>
      <c r="D10" s="8" t="str">
        <f>VLOOKUP(C10,infections_list!A:B,2)</f>
        <v>дифтерия</v>
      </c>
      <c r="E10" s="11">
        <f t="shared" si="0"/>
        <v>44712</v>
      </c>
      <c r="F10" s="58"/>
    </row>
    <row r="11" spans="1:6">
      <c r="A11" s="7">
        <v>6</v>
      </c>
      <c r="B11" s="10" t="str">
        <f>VLOOKUP(A11,vaccines!A:B,2)</f>
        <v>AKDS_Microgen</v>
      </c>
      <c r="C11" s="7">
        <v>5</v>
      </c>
      <c r="D11" s="8" t="str">
        <f>VLOOKUP(C11,infections_list!A:B,2)</f>
        <v>коклюш</v>
      </c>
      <c r="E11" s="11">
        <f t="shared" si="0"/>
        <v>44712</v>
      </c>
      <c r="F11" s="58"/>
    </row>
    <row r="12" spans="1:6">
      <c r="A12" s="7">
        <v>7</v>
      </c>
      <c r="B12" s="10" t="str">
        <f>VLOOKUP(A12,vaccines!A:B,2)</f>
        <v>AKDS_Biomed</v>
      </c>
      <c r="C12" s="7">
        <v>1</v>
      </c>
      <c r="D12" s="8" t="str">
        <f>VLOOKUP(C12,infections_list!A:B,2)</f>
        <v>столбняк</v>
      </c>
      <c r="E12" s="11">
        <f t="shared" si="0"/>
        <v>44712</v>
      </c>
      <c r="F12" s="58"/>
    </row>
    <row r="13" spans="1:6">
      <c r="A13" s="7">
        <v>7</v>
      </c>
      <c r="B13" s="10" t="str">
        <f>VLOOKUP(A13,vaccines!A:B,2)</f>
        <v>AKDS_Biomed</v>
      </c>
      <c r="C13" s="7">
        <v>2</v>
      </c>
      <c r="D13" s="8" t="str">
        <f>VLOOKUP(C13,infections_list!A:B,2)</f>
        <v>дифтерия</v>
      </c>
      <c r="E13" s="11">
        <f t="shared" si="0"/>
        <v>44712</v>
      </c>
      <c r="F13" s="58"/>
    </row>
    <row r="14" spans="1:6">
      <c r="A14" s="7">
        <v>7</v>
      </c>
      <c r="B14" s="10" t="str">
        <f>VLOOKUP(A14,vaccines!A:B,2)</f>
        <v>AKDS_Biomed</v>
      </c>
      <c r="C14" s="7">
        <v>5</v>
      </c>
      <c r="D14" s="8" t="str">
        <f>VLOOKUP(C14,infections_list!A:B,2)</f>
        <v>коклюш</v>
      </c>
      <c r="E14" s="11">
        <f t="shared" si="0"/>
        <v>44712</v>
      </c>
      <c r="F14" s="58"/>
    </row>
    <row r="15" spans="1:6">
      <c r="A15" s="7">
        <v>8</v>
      </c>
      <c r="B15" s="10" t="str">
        <f>VLOOKUP(A15,vaccines!A:B,2)</f>
        <v>Bubo_kok</v>
      </c>
      <c r="C15" s="7">
        <v>1</v>
      </c>
      <c r="D15" s="8" t="str">
        <f>VLOOKUP(C15,infections_list!A:B,2)</f>
        <v>столбняк</v>
      </c>
      <c r="E15" s="11">
        <f t="shared" si="0"/>
        <v>44712</v>
      </c>
      <c r="F15" s="58"/>
    </row>
    <row r="16" spans="1:6">
      <c r="A16" s="7">
        <v>8</v>
      </c>
      <c r="B16" s="10" t="str">
        <f>VLOOKUP(A16,vaccines!A:B,2)</f>
        <v>Bubo_kok</v>
      </c>
      <c r="C16" s="7">
        <v>2</v>
      </c>
      <c r="D16" s="8" t="str">
        <f>VLOOKUP(C16,infections_list!A:B,2)</f>
        <v>дифтерия</v>
      </c>
      <c r="E16" s="11">
        <f t="shared" si="0"/>
        <v>44712</v>
      </c>
      <c r="F16" s="58"/>
    </row>
    <row r="17" spans="1:6">
      <c r="A17" s="7">
        <v>8</v>
      </c>
      <c r="B17" s="10" t="str">
        <f>VLOOKUP(A17,vaccines!A:B,2)</f>
        <v>Bubo_kok</v>
      </c>
      <c r="C17" s="7">
        <v>5</v>
      </c>
      <c r="D17" s="8" t="str">
        <f>VLOOKUP(C17,infections_list!A:B,2)</f>
        <v>коклюш</v>
      </c>
      <c r="E17" s="11">
        <f t="shared" si="0"/>
        <v>44712</v>
      </c>
      <c r="F17" s="58"/>
    </row>
    <row r="18" spans="1:6">
      <c r="A18" s="7">
        <v>8</v>
      </c>
      <c r="B18" s="10" t="str">
        <f>VLOOKUP(A18,vaccines!A:B,2)</f>
        <v>Bubo_kok</v>
      </c>
      <c r="C18" s="7">
        <v>6</v>
      </c>
      <c r="D18" s="8" t="str">
        <f>VLOOKUP(C18,infections_list!A:B,2)</f>
        <v>гепатит B</v>
      </c>
      <c r="E18" s="11">
        <f t="shared" si="0"/>
        <v>44712</v>
      </c>
      <c r="F18" s="58"/>
    </row>
    <row r="19" spans="1:6">
      <c r="A19" s="7">
        <v>9</v>
      </c>
      <c r="B19" s="10" t="str">
        <f>VLOOKUP(A19,vaccines!A:B,2)</f>
        <v>Pentaxim</v>
      </c>
      <c r="C19" s="7">
        <v>1</v>
      </c>
      <c r="D19" s="8" t="str">
        <f>VLOOKUP(C19,infections_list!A:B,2)</f>
        <v>столбняк</v>
      </c>
      <c r="E19" s="11">
        <f t="shared" si="0"/>
        <v>44712</v>
      </c>
      <c r="F19" s="58"/>
    </row>
    <row r="20" spans="1:6">
      <c r="A20" s="7">
        <v>9</v>
      </c>
      <c r="B20" s="10" t="str">
        <f>VLOOKUP(A20,vaccines!A:B,2)</f>
        <v>Pentaxim</v>
      </c>
      <c r="C20" s="7">
        <v>2</v>
      </c>
      <c r="D20" s="8" t="str">
        <f>VLOOKUP(C20,infections_list!A:B,2)</f>
        <v>дифтерия</v>
      </c>
      <c r="E20" s="11">
        <f t="shared" si="0"/>
        <v>44712</v>
      </c>
      <c r="F20" s="58"/>
    </row>
    <row r="21" spans="1:6">
      <c r="A21" s="7">
        <v>9</v>
      </c>
      <c r="B21" s="10" t="str">
        <f>VLOOKUP(A21,vaccines!A:B,2)</f>
        <v>Pentaxim</v>
      </c>
      <c r="C21" s="7">
        <v>5</v>
      </c>
      <c r="D21" s="8" t="str">
        <f>VLOOKUP(C21,infections_list!A:B,2)</f>
        <v>коклюш</v>
      </c>
      <c r="E21" s="11">
        <f t="shared" si="0"/>
        <v>44712</v>
      </c>
      <c r="F21" s="58"/>
    </row>
    <row r="22" spans="1:6">
      <c r="A22" s="7">
        <v>9</v>
      </c>
      <c r="B22" s="10" t="str">
        <f>VLOOKUP(A22,vaccines!A:B,2)</f>
        <v>Pentaxim</v>
      </c>
      <c r="C22" s="7">
        <v>9</v>
      </c>
      <c r="D22" s="8" t="str">
        <f>VLOOKUP(C22,infections_list!A:B,2)</f>
        <v>полиомиелит</v>
      </c>
      <c r="E22" s="11">
        <f t="shared" si="0"/>
        <v>44712</v>
      </c>
      <c r="F22" s="58"/>
    </row>
    <row r="23" spans="1:6">
      <c r="A23" s="7">
        <v>9</v>
      </c>
      <c r="B23" s="10" t="str">
        <f>VLOOKUP(A23,vaccines!A:B,2)</f>
        <v>Pentaxim</v>
      </c>
      <c r="C23" s="7">
        <v>18</v>
      </c>
      <c r="D23" s="8" t="str">
        <f>VLOOKUP(C23,infections_list!A:B,2)</f>
        <v>гемофильная инфекция типа b</v>
      </c>
      <c r="E23" s="11">
        <f t="shared" si="0"/>
        <v>44712</v>
      </c>
      <c r="F23" s="58"/>
    </row>
    <row r="24" spans="1:6">
      <c r="A24" s="7">
        <v>10</v>
      </c>
      <c r="B24" s="10" t="str">
        <f>VLOOKUP(A24,vaccines!A:B,2)</f>
        <v>Infanrix_Hexa</v>
      </c>
      <c r="C24" s="7">
        <v>1</v>
      </c>
      <c r="D24" s="8" t="str">
        <f>VLOOKUP(C24,infections_list!A:B,2)</f>
        <v>столбняк</v>
      </c>
      <c r="E24" s="11">
        <f t="shared" si="0"/>
        <v>44712</v>
      </c>
      <c r="F24" s="58"/>
    </row>
    <row r="25" spans="1:6">
      <c r="A25" s="7">
        <v>10</v>
      </c>
      <c r="B25" s="10" t="str">
        <f>VLOOKUP(A25,vaccines!A:B,2)</f>
        <v>Infanrix_Hexa</v>
      </c>
      <c r="C25" s="7">
        <v>2</v>
      </c>
      <c r="D25" s="8" t="str">
        <f>VLOOKUP(C25,infections_list!A:B,2)</f>
        <v>дифтерия</v>
      </c>
      <c r="E25" s="11">
        <f t="shared" si="0"/>
        <v>44712</v>
      </c>
      <c r="F25" s="58"/>
    </row>
    <row r="26" spans="1:6">
      <c r="A26" s="7">
        <v>10</v>
      </c>
      <c r="B26" s="10" t="str">
        <f>VLOOKUP(A26,vaccines!A:B,2)</f>
        <v>Infanrix_Hexa</v>
      </c>
      <c r="C26" s="7">
        <v>5</v>
      </c>
      <c r="D26" s="8" t="str">
        <f>VLOOKUP(C26,infections_list!A:B,2)</f>
        <v>коклюш</v>
      </c>
      <c r="E26" s="11">
        <f t="shared" si="0"/>
        <v>44712</v>
      </c>
      <c r="F26" s="58"/>
    </row>
    <row r="27" spans="1:6">
      <c r="A27" s="7">
        <v>10</v>
      </c>
      <c r="B27" s="10" t="str">
        <f>VLOOKUP(A27,vaccines!A:B,2)</f>
        <v>Infanrix_Hexa</v>
      </c>
      <c r="C27" s="7">
        <v>6</v>
      </c>
      <c r="D27" s="8" t="str">
        <f>VLOOKUP(C27,infections_list!A:B,2)</f>
        <v>гепатит B</v>
      </c>
      <c r="E27" s="11">
        <f t="shared" si="0"/>
        <v>44712</v>
      </c>
      <c r="F27" s="58"/>
    </row>
    <row r="28" spans="1:6">
      <c r="A28" s="7">
        <v>10</v>
      </c>
      <c r="B28" s="10" t="str">
        <f>VLOOKUP(A28,vaccines!A:B,2)</f>
        <v>Infanrix_Hexa</v>
      </c>
      <c r="C28" s="7">
        <v>9</v>
      </c>
      <c r="D28" s="8" t="str">
        <f>VLOOKUP(C28,infections_list!A:B,2)</f>
        <v>полиомиелит</v>
      </c>
      <c r="E28" s="11">
        <f t="shared" si="0"/>
        <v>44712</v>
      </c>
      <c r="F28" s="58"/>
    </row>
    <row r="29" spans="1:6">
      <c r="A29" s="7">
        <v>10</v>
      </c>
      <c r="B29" s="10" t="str">
        <f>VLOOKUP(A29,vaccines!A:B,2)</f>
        <v>Infanrix_Hexa</v>
      </c>
      <c r="C29" s="7">
        <v>18</v>
      </c>
      <c r="D29" s="8" t="str">
        <f>VLOOKUP(C29,infections_list!A:B,2)</f>
        <v>гемофильная инфекция типа b</v>
      </c>
      <c r="E29" s="11">
        <f t="shared" si="0"/>
        <v>44712</v>
      </c>
      <c r="F29" s="58"/>
    </row>
    <row r="30" spans="1:6">
      <c r="A30" s="7">
        <v>11</v>
      </c>
      <c r="B30" s="10" t="str">
        <f>VLOOKUP(A30,vaccines!A:B,2)</f>
        <v>Bubo_M</v>
      </c>
      <c r="C30" s="7">
        <v>1</v>
      </c>
      <c r="D30" s="8" t="str">
        <f>VLOOKUP(C30,infections_list!A:B,2)</f>
        <v>столбняк</v>
      </c>
      <c r="E30" s="11">
        <f t="shared" si="0"/>
        <v>44712</v>
      </c>
      <c r="F30" s="58"/>
    </row>
    <row r="31" spans="1:6">
      <c r="A31" s="7">
        <v>11</v>
      </c>
      <c r="B31" s="10" t="str">
        <f>VLOOKUP(A31,vaccines!A:B,2)</f>
        <v>Bubo_M</v>
      </c>
      <c r="C31" s="7">
        <v>2</v>
      </c>
      <c r="D31" s="8" t="str">
        <f>VLOOKUP(C31,infections_list!A:B,2)</f>
        <v>дифтерия</v>
      </c>
      <c r="E31" s="11">
        <f t="shared" si="0"/>
        <v>44712</v>
      </c>
      <c r="F31" s="58"/>
    </row>
    <row r="32" spans="1:6">
      <c r="A32" s="7">
        <v>11</v>
      </c>
      <c r="B32" s="10" t="str">
        <f>VLOOKUP(A32,vaccines!A:B,2)</f>
        <v>Bubo_M</v>
      </c>
      <c r="C32" s="7">
        <v>6</v>
      </c>
      <c r="D32" s="8" t="str">
        <f>VLOOKUP(C32,infections_list!A:B,2)</f>
        <v>гепатит B</v>
      </c>
      <c r="E32" s="11">
        <f t="shared" si="0"/>
        <v>44712</v>
      </c>
      <c r="F32" s="58"/>
    </row>
    <row r="33" spans="1:6">
      <c r="A33" s="7">
        <v>12</v>
      </c>
      <c r="B33" s="10" t="str">
        <f>VLOOKUP(A33,vaccines!A:B,2)</f>
        <v>AD_M_Microgen</v>
      </c>
      <c r="C33" s="7">
        <v>2</v>
      </c>
      <c r="D33" s="8" t="str">
        <f>VLOOKUP(C33,infections_list!A:B,2)</f>
        <v>дифтерия</v>
      </c>
      <c r="E33" s="11">
        <f t="shared" si="0"/>
        <v>44712</v>
      </c>
      <c r="F33" s="58"/>
    </row>
    <row r="34" spans="1:6">
      <c r="A34" s="7">
        <v>13</v>
      </c>
      <c r="B34" s="10" t="str">
        <f>VLOOKUP(A34,vaccines!A:B,2)</f>
        <v>ADS_Microgen</v>
      </c>
      <c r="C34" s="7">
        <v>1</v>
      </c>
      <c r="D34" s="8" t="str">
        <f>VLOOKUP(C34,infections_list!A:B,2)</f>
        <v>столбняк</v>
      </c>
      <c r="E34" s="11">
        <f t="shared" si="0"/>
        <v>44712</v>
      </c>
      <c r="F34" s="58"/>
    </row>
    <row r="35" spans="1:6">
      <c r="A35" s="7">
        <v>13</v>
      </c>
      <c r="B35" s="10" t="str">
        <f>VLOOKUP(A35,vaccines!A:B,2)</f>
        <v>ADS_Microgen</v>
      </c>
      <c r="C35" s="7">
        <v>2</v>
      </c>
      <c r="D35" s="8" t="str">
        <f>VLOOKUP(C35,infections_list!A:B,2)</f>
        <v>дифтерия</v>
      </c>
      <c r="E35" s="11">
        <f t="shared" si="0"/>
        <v>44712</v>
      </c>
      <c r="F35" s="58"/>
    </row>
    <row r="36" spans="1:6">
      <c r="A36" s="7">
        <v>14</v>
      </c>
      <c r="B36" s="10" t="str">
        <f>VLOOKUP(A36,vaccines!A:B,2)</f>
        <v>ADS_M_Microgen</v>
      </c>
      <c r="C36" s="7">
        <v>1</v>
      </c>
      <c r="D36" s="8" t="str">
        <f>VLOOKUP(C36,infections_list!A:B,2)</f>
        <v>столбняк</v>
      </c>
      <c r="E36" s="11">
        <f t="shared" si="0"/>
        <v>44712</v>
      </c>
      <c r="F36" s="58"/>
    </row>
    <row r="37" spans="1:6">
      <c r="A37" s="7">
        <v>14</v>
      </c>
      <c r="B37" s="10" t="str">
        <f>VLOOKUP(A37,vaccines!A:B,2)</f>
        <v>ADS_M_Microgen</v>
      </c>
      <c r="C37" s="7">
        <v>2</v>
      </c>
      <c r="D37" s="8" t="str">
        <f>VLOOKUP(C37,infections_list!A:B,2)</f>
        <v>дифтерия</v>
      </c>
      <c r="E37" s="11">
        <f t="shared" si="0"/>
        <v>44712</v>
      </c>
      <c r="F37" s="58"/>
    </row>
    <row r="38" spans="1:6">
      <c r="A38" s="7">
        <v>15</v>
      </c>
      <c r="B38" s="10" t="str">
        <f>VLOOKUP(A38,vaccines!A:B,2)</f>
        <v>ADS_M_Biomed</v>
      </c>
      <c r="C38" s="7">
        <v>1</v>
      </c>
      <c r="D38" s="8" t="str">
        <f>VLOOKUP(C38,infections_list!A:B,2)</f>
        <v>столбняк</v>
      </c>
      <c r="E38" s="11">
        <f t="shared" si="0"/>
        <v>44712</v>
      </c>
      <c r="F38" s="58"/>
    </row>
    <row r="39" spans="1:6">
      <c r="A39" s="7">
        <v>15</v>
      </c>
      <c r="B39" s="10" t="str">
        <f>VLOOKUP(A39,vaccines!A:B,2)</f>
        <v>ADS_M_Biomed</v>
      </c>
      <c r="C39" s="7">
        <v>2</v>
      </c>
      <c r="D39" s="8" t="str">
        <f>VLOOKUP(C39,infections_list!A:B,2)</f>
        <v>дифтерия</v>
      </c>
      <c r="E39" s="11">
        <f t="shared" si="0"/>
        <v>44712</v>
      </c>
      <c r="F39" s="58"/>
    </row>
    <row r="40" spans="1:6">
      <c r="A40" s="7">
        <v>16</v>
      </c>
      <c r="B40" s="10" t="str">
        <f>VLOOKUP(A40,vaccines!A:B,2)</f>
        <v>Adacel</v>
      </c>
      <c r="C40" s="7">
        <v>1</v>
      </c>
      <c r="D40" s="8" t="str">
        <f>VLOOKUP(C40,infections_list!A:B,2)</f>
        <v>столбняк</v>
      </c>
      <c r="E40" s="11">
        <f t="shared" si="0"/>
        <v>44712</v>
      </c>
      <c r="F40" s="58"/>
    </row>
    <row r="41" spans="1:6">
      <c r="A41" s="7">
        <v>16</v>
      </c>
      <c r="B41" s="10" t="str">
        <f>VLOOKUP(A41,vaccines!A:B,2)</f>
        <v>Adacel</v>
      </c>
      <c r="C41" s="7">
        <v>2</v>
      </c>
      <c r="D41" s="8" t="str">
        <f>VLOOKUP(C41,infections_list!A:B,2)</f>
        <v>дифтерия</v>
      </c>
      <c r="E41" s="11">
        <f t="shared" si="0"/>
        <v>44712</v>
      </c>
      <c r="F41" s="58"/>
    </row>
    <row r="42" spans="1:6">
      <c r="A42" s="7">
        <v>16</v>
      </c>
      <c r="B42" s="10" t="str">
        <f>VLOOKUP(A42,vaccines!A:B,2)</f>
        <v>Adacel</v>
      </c>
      <c r="C42" s="7">
        <v>5</v>
      </c>
      <c r="D42" s="8" t="str">
        <f>VLOOKUP(C42,infections_list!A:B,2)</f>
        <v>коклюш</v>
      </c>
      <c r="E42" s="11">
        <f t="shared" si="0"/>
        <v>44712</v>
      </c>
      <c r="F42" s="58"/>
    </row>
    <row r="43" spans="1:6">
      <c r="A43" s="7">
        <v>17</v>
      </c>
      <c r="B43" s="10" t="str">
        <f>VLOOKUP(A43,vaccines!A:B,2)</f>
        <v>Algavac_M</v>
      </c>
      <c r="C43" s="7">
        <v>4</v>
      </c>
      <c r="D43" s="8" t="str">
        <f>VLOOKUP(C43,infections_list!A:B,2)</f>
        <v>гепатит A</v>
      </c>
      <c r="E43" s="11">
        <f t="shared" si="0"/>
        <v>44712</v>
      </c>
      <c r="F43" s="58"/>
    </row>
    <row r="44" spans="1:6">
      <c r="A44" s="7">
        <v>18</v>
      </c>
      <c r="B44" s="10" t="str">
        <f>VLOOKUP(A44,vaccines!A:B,2)</f>
        <v>Algavac</v>
      </c>
      <c r="C44" s="7">
        <v>4</v>
      </c>
      <c r="D44" s="8" t="str">
        <f>VLOOKUP(C44,infections_list!A:B,2)</f>
        <v>гепатит A</v>
      </c>
      <c r="E44" s="11">
        <f t="shared" si="0"/>
        <v>44712</v>
      </c>
      <c r="F44" s="58"/>
    </row>
    <row r="45" spans="1:6">
      <c r="A45" s="7">
        <v>19</v>
      </c>
      <c r="B45" s="10" t="str">
        <f>VLOOKUP(A45,vaccines!A:B,2)</f>
        <v>Havrix_720</v>
      </c>
      <c r="C45" s="7">
        <v>4</v>
      </c>
      <c r="D45" s="8" t="str">
        <f>VLOOKUP(C45,infections_list!A:B,2)</f>
        <v>гепатит A</v>
      </c>
      <c r="E45" s="11">
        <f t="shared" si="0"/>
        <v>44712</v>
      </c>
      <c r="F45" s="58"/>
    </row>
    <row r="46" spans="1:6">
      <c r="A46" s="7">
        <v>20</v>
      </c>
      <c r="B46" s="10" t="str">
        <f>VLOOKUP(A46,vaccines!A:B,2)</f>
        <v>Havrix_1440</v>
      </c>
      <c r="C46" s="7">
        <v>4</v>
      </c>
      <c r="D46" s="8" t="str">
        <f>VLOOKUP(C46,infections_list!A:B,2)</f>
        <v>гепатит A</v>
      </c>
      <c r="E46" s="11">
        <f t="shared" si="0"/>
        <v>44712</v>
      </c>
      <c r="F46" s="58"/>
    </row>
    <row r="47" spans="1:6">
      <c r="A47" s="7">
        <v>21</v>
      </c>
      <c r="B47" s="10" t="str">
        <f>VLOOKUP(A47,vaccines!A:B,2)</f>
        <v>Avaxim_80</v>
      </c>
      <c r="C47" s="7">
        <v>4</v>
      </c>
      <c r="D47" s="8" t="str">
        <f>VLOOKUP(C47,infections_list!A:B,2)</f>
        <v>гепатит A</v>
      </c>
      <c r="E47" s="11">
        <f t="shared" si="0"/>
        <v>44712</v>
      </c>
      <c r="F47" s="58"/>
    </row>
    <row r="48" spans="1:6">
      <c r="A48" s="7">
        <v>22</v>
      </c>
      <c r="B48" s="10" t="str">
        <f>VLOOKUP(A48,vaccines!A:B,2)</f>
        <v>Avaxim_160</v>
      </c>
      <c r="C48" s="7">
        <v>4</v>
      </c>
      <c r="D48" s="8" t="str">
        <f>VLOOKUP(C48,infections_list!A:B,2)</f>
        <v>гепатит A</v>
      </c>
      <c r="E48" s="11">
        <f t="shared" si="0"/>
        <v>44712</v>
      </c>
      <c r="F48" s="58"/>
    </row>
    <row r="49" spans="1:6">
      <c r="A49" s="7">
        <v>23</v>
      </c>
      <c r="B49" s="10" t="str">
        <f>VLOOKUP(A49,vaccines!A:B,2)</f>
        <v>Regevac_0_5</v>
      </c>
      <c r="C49" s="7">
        <v>6</v>
      </c>
      <c r="D49" s="8" t="str">
        <f>VLOOKUP(C49,infections_list!A:B,2)</f>
        <v>гепатит B</v>
      </c>
      <c r="E49" s="11">
        <f t="shared" si="0"/>
        <v>44712</v>
      </c>
      <c r="F49" s="58"/>
    </row>
    <row r="50" spans="1:6">
      <c r="A50" s="7">
        <v>24</v>
      </c>
      <c r="B50" s="10" t="str">
        <f>VLOOKUP(A50,vaccines!A:B,2)</f>
        <v>HepB_Combiotech_0_5</v>
      </c>
      <c r="C50" s="7">
        <v>6</v>
      </c>
      <c r="D50" s="8" t="str">
        <f>VLOOKUP(C50,infections_list!A:B,2)</f>
        <v>гепатит B</v>
      </c>
      <c r="E50" s="11">
        <f t="shared" si="0"/>
        <v>44712</v>
      </c>
      <c r="F50" s="58"/>
    </row>
    <row r="51" spans="1:6">
      <c r="A51" s="7">
        <v>25</v>
      </c>
      <c r="B51" s="10" t="str">
        <f>VLOOKUP(A51,vaccines!A:B,2)</f>
        <v>Euvax_B_0_5</v>
      </c>
      <c r="C51" s="7">
        <v>6</v>
      </c>
      <c r="D51" s="8" t="str">
        <f>VLOOKUP(C51,infections_list!A:B,2)</f>
        <v>гепатит B</v>
      </c>
      <c r="E51" s="11">
        <f t="shared" si="0"/>
        <v>44712</v>
      </c>
      <c r="F51" s="58"/>
    </row>
    <row r="52" spans="1:6">
      <c r="A52" s="7">
        <v>26</v>
      </c>
      <c r="B52" s="10" t="str">
        <f>VLOOKUP(A52,vaccines!A:B,2)</f>
        <v>Euvax_B_1_0</v>
      </c>
      <c r="C52" s="7">
        <v>6</v>
      </c>
      <c r="D52" s="8" t="str">
        <f>VLOOKUP(C52,infections_list!A:B,2)</f>
        <v>гепатит B</v>
      </c>
      <c r="E52" s="11">
        <f t="shared" si="0"/>
        <v>44712</v>
      </c>
      <c r="F52" s="58"/>
    </row>
    <row r="53" spans="1:6">
      <c r="A53" s="7">
        <v>27</v>
      </c>
      <c r="B53" s="10" t="str">
        <f>VLOOKUP(A53,vaccines!A:B,2)</f>
        <v>Cervarix</v>
      </c>
      <c r="C53" s="7">
        <v>19</v>
      </c>
      <c r="D53" s="8" t="str">
        <f>VLOOKUP(C53,infections_list!A:B,2)</f>
        <v>вирус папилломы человека</v>
      </c>
      <c r="E53" s="11">
        <f t="shared" si="0"/>
        <v>44712</v>
      </c>
      <c r="F53" s="58"/>
    </row>
    <row r="54" spans="1:6">
      <c r="A54" s="7">
        <v>28</v>
      </c>
      <c r="B54" s="10" t="str">
        <f>VLOOKUP(A54,vaccines!A:B,2)</f>
        <v>Gardasil_4</v>
      </c>
      <c r="C54" s="7">
        <v>19</v>
      </c>
      <c r="D54" s="8" t="str">
        <f>VLOOKUP(C54,infections_list!A:B,2)</f>
        <v>вирус папилломы человека</v>
      </c>
      <c r="E54" s="11">
        <f t="shared" si="0"/>
        <v>44712</v>
      </c>
      <c r="F54" s="58"/>
    </row>
    <row r="55" spans="1:6">
      <c r="A55" s="7">
        <v>29</v>
      </c>
      <c r="B55" s="10" t="str">
        <f>VLOOKUP(A55,vaccines!A:B,2)</f>
        <v>Sputnik</v>
      </c>
      <c r="C55" s="7">
        <v>16</v>
      </c>
      <c r="D55" s="8" t="str">
        <f>VLOOKUP(C55,infections_list!A:B,2)</f>
        <v>ковид</v>
      </c>
      <c r="E55" s="11">
        <f t="shared" si="0"/>
        <v>44712</v>
      </c>
      <c r="F55" s="58"/>
    </row>
    <row r="56" spans="1:6">
      <c r="A56" s="7">
        <v>30</v>
      </c>
      <c r="B56" s="10" t="str">
        <f>VLOOKUP(A56,vaccines!A:B,2)</f>
        <v>Sputnik_Lyo</v>
      </c>
      <c r="C56" s="7">
        <v>16</v>
      </c>
      <c r="D56" s="8" t="str">
        <f>VLOOKUP(C56,infections_list!A:B,2)</f>
        <v>ковид</v>
      </c>
      <c r="E56" s="11">
        <v>44904</v>
      </c>
      <c r="F56" s="58"/>
    </row>
    <row r="57" spans="1:6">
      <c r="A57" s="7">
        <v>31</v>
      </c>
      <c r="B57" s="10" t="str">
        <f>VLOOKUP(A57,vaccines!A:B,2)</f>
        <v>EpiVacCorona</v>
      </c>
      <c r="C57" s="7">
        <v>16</v>
      </c>
      <c r="D57" s="8" t="str">
        <f>VLOOKUP(C57,infections_list!A:B,2)</f>
        <v>ковид</v>
      </c>
      <c r="E57" s="11">
        <f>E55</f>
        <v>44712</v>
      </c>
      <c r="F57" s="58"/>
    </row>
    <row r="58" spans="1:6">
      <c r="A58" s="7">
        <v>32</v>
      </c>
      <c r="B58" s="10" t="str">
        <f>VLOOKUP(A58,vaccines!A:B,2)</f>
        <v>Grippol_Microgen</v>
      </c>
      <c r="C58" s="7">
        <v>3</v>
      </c>
      <c r="D58" s="8" t="str">
        <f>VLOOKUP(C58,infections_list!A:B,2)</f>
        <v>грипп</v>
      </c>
      <c r="E58" s="11">
        <f t="shared" ref="E58:E139" si="1">E57</f>
        <v>44712</v>
      </c>
      <c r="F58" s="58"/>
    </row>
    <row r="59" spans="1:6">
      <c r="A59" s="7">
        <v>33</v>
      </c>
      <c r="B59" s="10" t="str">
        <f>VLOOKUP(A59,vaccines!A:B,2)</f>
        <v>Grippol_Petrovax</v>
      </c>
      <c r="C59" s="7">
        <v>3</v>
      </c>
      <c r="D59" s="8" t="str">
        <f>VLOOKUP(C59,infections_list!A:B,2)</f>
        <v>грипп</v>
      </c>
      <c r="E59" s="11">
        <f t="shared" si="1"/>
        <v>44712</v>
      </c>
      <c r="F59" s="58"/>
    </row>
    <row r="60" spans="1:6">
      <c r="A60" s="7">
        <v>34</v>
      </c>
      <c r="B60" s="10" t="str">
        <f>VLOOKUP(A60,vaccines!A:B,2)</f>
        <v>Grippol_plus_0_5</v>
      </c>
      <c r="C60" s="7">
        <v>3</v>
      </c>
      <c r="D60" s="8" t="str">
        <f>VLOOKUP(C60,infections_list!A:B,2)</f>
        <v>грипп</v>
      </c>
      <c r="E60" s="11">
        <f t="shared" si="1"/>
        <v>44712</v>
      </c>
      <c r="F60" s="58"/>
    </row>
    <row r="61" spans="1:6">
      <c r="A61" s="7">
        <v>35</v>
      </c>
      <c r="B61" s="10" t="str">
        <f>VLOOKUP(A61,vaccines!A:B,2)</f>
        <v>Sovigripp</v>
      </c>
      <c r="C61" s="7">
        <v>3</v>
      </c>
      <c r="D61" s="8" t="str">
        <f>VLOOKUP(C61,infections_list!A:B,2)</f>
        <v>грипп</v>
      </c>
      <c r="E61" s="11">
        <f t="shared" si="1"/>
        <v>44712</v>
      </c>
      <c r="F61" s="58"/>
    </row>
    <row r="62" spans="1:6">
      <c r="A62" s="7">
        <v>36</v>
      </c>
      <c r="B62" s="10" t="str">
        <f>VLOOKUP(A62,vaccines!A:B,2)</f>
        <v>Ultrix</v>
      </c>
      <c r="C62" s="7">
        <v>3</v>
      </c>
      <c r="D62" s="8" t="str">
        <f>VLOOKUP(C62,infections_list!A:B,2)</f>
        <v>грипп</v>
      </c>
      <c r="E62" s="11">
        <f t="shared" si="1"/>
        <v>44712</v>
      </c>
      <c r="F62" s="58"/>
    </row>
    <row r="63" spans="1:6">
      <c r="A63" s="7">
        <v>37</v>
      </c>
      <c r="B63" s="10" t="str">
        <f>VLOOKUP(A63,vaccines!A:B,2)</f>
        <v>Flu_M</v>
      </c>
      <c r="C63" s="7">
        <v>3</v>
      </c>
      <c r="D63" s="8" t="str">
        <f>VLOOKUP(C63,infections_list!A:B,2)</f>
        <v>грипп</v>
      </c>
      <c r="E63" s="11">
        <f t="shared" si="1"/>
        <v>44712</v>
      </c>
      <c r="F63" s="58"/>
    </row>
    <row r="64" spans="1:6">
      <c r="A64" s="7">
        <v>38</v>
      </c>
      <c r="B64" s="10" t="str">
        <f>VLOOKUP(A64,vaccines!A:B,2)</f>
        <v>Vaxigrip</v>
      </c>
      <c r="C64" s="7">
        <v>3</v>
      </c>
      <c r="D64" s="8" t="str">
        <f>VLOOKUP(C64,infections_list!A:B,2)</f>
        <v>грипп</v>
      </c>
      <c r="E64" s="11">
        <f t="shared" si="1"/>
        <v>44712</v>
      </c>
      <c r="F64" s="58"/>
    </row>
    <row r="65" spans="1:6">
      <c r="A65" s="7">
        <v>39</v>
      </c>
      <c r="B65" s="10" t="str">
        <f>VLOOKUP(A65,vaccines!A:B,2)</f>
        <v>Influvac</v>
      </c>
      <c r="C65" s="7">
        <v>3</v>
      </c>
      <c r="D65" s="8" t="str">
        <f>VLOOKUP(C65,infections_list!A:B,2)</f>
        <v>грипп</v>
      </c>
      <c r="E65" s="11">
        <f t="shared" si="1"/>
        <v>44712</v>
      </c>
      <c r="F65" s="58"/>
    </row>
    <row r="66" spans="1:6">
      <c r="A66" s="7">
        <v>40</v>
      </c>
      <c r="B66" s="10" t="str">
        <f>VLOOKUP(A66,vaccines!A:B,2)</f>
        <v>Ultrix_quadri</v>
      </c>
      <c r="C66" s="7">
        <v>3</v>
      </c>
      <c r="D66" s="8" t="str">
        <f>VLOOKUP(C66,infections_list!A:B,2)</f>
        <v>грипп</v>
      </c>
      <c r="E66" s="11">
        <f t="shared" si="1"/>
        <v>44712</v>
      </c>
      <c r="F66" s="58"/>
    </row>
    <row r="67" spans="1:6">
      <c r="A67" s="7">
        <v>41</v>
      </c>
      <c r="B67" s="10" t="str">
        <f>VLOOKUP(A67,vaccines!A:B,2)</f>
        <v>Grippol_quadrivalent</v>
      </c>
      <c r="C67" s="7">
        <v>3</v>
      </c>
      <c r="D67" s="8" t="str">
        <f>VLOOKUP(C67,infections_list!A:B,2)</f>
        <v>грипп</v>
      </c>
      <c r="E67" s="11">
        <f t="shared" si="1"/>
        <v>44712</v>
      </c>
      <c r="F67" s="58"/>
    </row>
    <row r="68" spans="1:6">
      <c r="A68" s="7">
        <v>42</v>
      </c>
      <c r="B68" s="10" t="str">
        <f>VLOOKUP(A68,vaccines!A:B,2)</f>
        <v>measles_Microgen</v>
      </c>
      <c r="C68" s="7">
        <v>8</v>
      </c>
      <c r="D68" s="8" t="str">
        <f>VLOOKUP(C68,infections_list!A:B,2)</f>
        <v>корь</v>
      </c>
      <c r="E68" s="11">
        <f t="shared" si="1"/>
        <v>44712</v>
      </c>
      <c r="F68" s="58"/>
    </row>
    <row r="69" spans="1:6">
      <c r="A69" s="7">
        <v>43</v>
      </c>
      <c r="B69" s="10" t="str">
        <f>VLOOKUP(A69,vaccines!A:B,2)</f>
        <v>measles_Serum_India</v>
      </c>
      <c r="C69" s="7">
        <v>8</v>
      </c>
      <c r="D69" s="8" t="str">
        <f>VLOOKUP(C69,infections_list!A:B,2)</f>
        <v>корь</v>
      </c>
      <c r="E69" s="11">
        <f t="shared" si="1"/>
        <v>44712</v>
      </c>
      <c r="F69" s="58"/>
    </row>
    <row r="70" spans="1:6">
      <c r="A70" s="7">
        <v>44</v>
      </c>
      <c r="B70" s="10" t="str">
        <f>VLOOKUP(A70,vaccines!A:B,2)</f>
        <v>measles_Vector</v>
      </c>
      <c r="C70" s="7">
        <v>8</v>
      </c>
      <c r="D70" s="8" t="str">
        <f>VLOOKUP(C70,infections_list!A:B,2)</f>
        <v>корь</v>
      </c>
      <c r="E70" s="11">
        <f t="shared" si="1"/>
        <v>44712</v>
      </c>
      <c r="F70" s="58"/>
    </row>
    <row r="71" spans="1:6">
      <c r="A71" s="7">
        <v>45</v>
      </c>
      <c r="B71" s="10" t="str">
        <f>VLOOKUP(A71,vaccines!A:B,2)</f>
        <v>measles_mumps_Microgen</v>
      </c>
      <c r="C71" s="7">
        <v>8</v>
      </c>
      <c r="D71" s="8" t="str">
        <f>VLOOKUP(C71,infections_list!A:B,2)</f>
        <v>корь</v>
      </c>
      <c r="E71" s="11">
        <f t="shared" si="1"/>
        <v>44712</v>
      </c>
      <c r="F71" s="58"/>
    </row>
    <row r="72" spans="1:6">
      <c r="A72" s="7">
        <v>45</v>
      </c>
      <c r="B72" s="10" t="str">
        <f>VLOOKUP(A72,vaccines!A:B,2)</f>
        <v>measles_mumps_Microgen</v>
      </c>
      <c r="C72" s="7">
        <v>12</v>
      </c>
      <c r="D72" s="8" t="str">
        <f>VLOOKUP(C72,infections_list!A:B,2)</f>
        <v>паротит</v>
      </c>
      <c r="E72" s="11">
        <f t="shared" si="1"/>
        <v>44712</v>
      </c>
      <c r="F72" s="58"/>
    </row>
    <row r="73" spans="1:6">
      <c r="A73" s="7">
        <v>46</v>
      </c>
      <c r="B73" s="10" t="str">
        <f>VLOOKUP(A73,vaccines!A:B,2)</f>
        <v>Vactrivir</v>
      </c>
      <c r="C73" s="7">
        <v>8</v>
      </c>
      <c r="D73" s="8" t="str">
        <f>VLOOKUP(C73,infections_list!A:B,2)</f>
        <v>корь</v>
      </c>
      <c r="E73" s="11">
        <f t="shared" si="1"/>
        <v>44712</v>
      </c>
      <c r="F73" s="58"/>
    </row>
    <row r="74" spans="1:6">
      <c r="A74" s="7">
        <v>46</v>
      </c>
      <c r="B74" s="10" t="str">
        <f>VLOOKUP(A74,vaccines!A:B,2)</f>
        <v>Vactrivir</v>
      </c>
      <c r="C74" s="7">
        <v>12</v>
      </c>
      <c r="D74" s="8" t="str">
        <f>VLOOKUP(C74,infections_list!A:B,2)</f>
        <v>паротит</v>
      </c>
      <c r="E74" s="11">
        <f t="shared" si="1"/>
        <v>44712</v>
      </c>
      <c r="F74" s="58"/>
    </row>
    <row r="75" spans="1:6">
      <c r="A75" s="7">
        <v>46</v>
      </c>
      <c r="B75" s="10" t="str">
        <f>VLOOKUP(A75,vaccines!A:B,2)</f>
        <v>Vactrivir</v>
      </c>
      <c r="C75" s="7">
        <v>13</v>
      </c>
      <c r="D75" s="8" t="str">
        <f>VLOOKUP(C75,infections_list!A:B,2)</f>
        <v>краснуха</v>
      </c>
      <c r="E75" s="11">
        <f t="shared" si="1"/>
        <v>44712</v>
      </c>
      <c r="F75" s="58"/>
    </row>
    <row r="76" spans="1:6">
      <c r="A76" s="7">
        <v>47</v>
      </c>
      <c r="B76" s="10" t="str">
        <f>VLOOKUP(A76,vaccines!A:B,2)</f>
        <v>MMR_II</v>
      </c>
      <c r="C76" s="7">
        <v>8</v>
      </c>
      <c r="D76" s="8" t="str">
        <f>VLOOKUP(C76,infections_list!A:B,2)</f>
        <v>корь</v>
      </c>
      <c r="E76" s="11">
        <f t="shared" si="1"/>
        <v>44712</v>
      </c>
      <c r="F76" s="58"/>
    </row>
    <row r="77" spans="1:6">
      <c r="A77" s="7">
        <v>47</v>
      </c>
      <c r="B77" s="10" t="str">
        <f>VLOOKUP(A77,vaccines!A:B,2)</f>
        <v>MMR_II</v>
      </c>
      <c r="C77" s="7">
        <v>12</v>
      </c>
      <c r="D77" s="8" t="str">
        <f>VLOOKUP(C77,infections_list!A:B,2)</f>
        <v>паротит</v>
      </c>
      <c r="E77" s="11">
        <f t="shared" si="1"/>
        <v>44712</v>
      </c>
      <c r="F77" s="58"/>
    </row>
    <row r="78" spans="1:6">
      <c r="A78" s="7">
        <v>47</v>
      </c>
      <c r="B78" s="10" t="str">
        <f>VLOOKUP(A78,vaccines!A:B,2)</f>
        <v>MMR_II</v>
      </c>
      <c r="C78" s="7">
        <v>13</v>
      </c>
      <c r="D78" s="8" t="str">
        <f>VLOOKUP(C78,infections_list!A:B,2)</f>
        <v>краснуха</v>
      </c>
      <c r="E78" s="11">
        <f t="shared" si="1"/>
        <v>44712</v>
      </c>
      <c r="F78" s="58"/>
    </row>
    <row r="79" spans="1:6">
      <c r="A79" s="7">
        <v>48</v>
      </c>
      <c r="B79" s="10" t="str">
        <f>VLOOKUP(A79,vaccines!A:B,2)</f>
        <v>MenA_Microgen</v>
      </c>
      <c r="C79" s="7">
        <v>7</v>
      </c>
      <c r="D79" s="8" t="str">
        <f>VLOOKUP(C79,infections_list!A:B,2)</f>
        <v>менингококк</v>
      </c>
      <c r="E79" s="11">
        <f t="shared" si="1"/>
        <v>44712</v>
      </c>
      <c r="F79" s="58"/>
    </row>
    <row r="80" spans="1:6">
      <c r="A80" s="7">
        <v>49</v>
      </c>
      <c r="B80" s="10" t="str">
        <f>VLOOKUP(A80,vaccines!A:B,2)</f>
        <v>MeningoVac_A_C</v>
      </c>
      <c r="C80" s="7">
        <v>7</v>
      </c>
      <c r="D80" s="8" t="str">
        <f>VLOOKUP(C80,infections_list!A:B,2)</f>
        <v>менингококк</v>
      </c>
      <c r="E80" s="11">
        <f t="shared" si="1"/>
        <v>44712</v>
      </c>
      <c r="F80" s="58"/>
    </row>
    <row r="81" spans="1:6">
      <c r="A81" s="7">
        <v>50</v>
      </c>
      <c r="B81" s="10" t="str">
        <f>VLOOKUP(A81,vaccines!A:B,2)</f>
        <v>Menactra</v>
      </c>
      <c r="C81" s="7">
        <v>7</v>
      </c>
      <c r="D81" s="8" t="str">
        <f>VLOOKUP(C81,infections_list!A:B,2)</f>
        <v>менингококк</v>
      </c>
      <c r="E81" s="11">
        <f t="shared" si="1"/>
        <v>44712</v>
      </c>
      <c r="F81" s="58"/>
    </row>
    <row r="82" spans="1:6">
      <c r="A82" s="7">
        <v>51</v>
      </c>
      <c r="B82" s="10" t="str">
        <f>VLOOKUP(A82,vaccines!A:B,2)</f>
        <v>mumps_Microgen</v>
      </c>
      <c r="C82" s="7">
        <v>12</v>
      </c>
      <c r="D82" s="8" t="str">
        <f>VLOOKUP(C82,infections_list!A:B,2)</f>
        <v>паротит</v>
      </c>
      <c r="E82" s="11">
        <f t="shared" si="1"/>
        <v>44712</v>
      </c>
      <c r="F82" s="58"/>
    </row>
    <row r="83" spans="1:6">
      <c r="A83" s="7">
        <v>52</v>
      </c>
      <c r="B83" s="10" t="str">
        <f>VLOOKUP(A83,vaccines!A:B,2)</f>
        <v>Prevenar_13</v>
      </c>
      <c r="C83" s="7">
        <v>17</v>
      </c>
      <c r="D83" s="8" t="str">
        <f>VLOOKUP(C83,infections_list!A:B,2)</f>
        <v>пневмококк</v>
      </c>
      <c r="E83" s="11">
        <f t="shared" si="1"/>
        <v>44712</v>
      </c>
      <c r="F83" s="58"/>
    </row>
    <row r="84" spans="1:6">
      <c r="A84" s="7">
        <v>53</v>
      </c>
      <c r="B84" s="10" t="str">
        <f>VLOOKUP(A84,vaccines!A:B,2)</f>
        <v>Synflorix</v>
      </c>
      <c r="C84" s="7">
        <v>17</v>
      </c>
      <c r="D84" s="8" t="str">
        <f>VLOOKUP(C84,infections_list!A:B,2)</f>
        <v>пневмококк</v>
      </c>
      <c r="E84" s="11">
        <f t="shared" si="1"/>
        <v>44712</v>
      </c>
      <c r="F84" s="58"/>
    </row>
    <row r="85" spans="1:6">
      <c r="A85" s="7">
        <v>54</v>
      </c>
      <c r="B85" s="10" t="str">
        <f>VLOOKUP(A85,vaccines!A:B,2)</f>
        <v>Pneumovax_23</v>
      </c>
      <c r="C85" s="7">
        <v>17</v>
      </c>
      <c r="D85" s="8" t="str">
        <f>VLOOKUP(C85,infections_list!A:B,2)</f>
        <v>пневмококк</v>
      </c>
      <c r="E85" s="11">
        <f t="shared" si="1"/>
        <v>44712</v>
      </c>
      <c r="F85" s="58"/>
    </row>
    <row r="86" spans="1:6">
      <c r="A86" s="7">
        <v>55</v>
      </c>
      <c r="B86" s="10" t="str">
        <f>VLOOKUP(A86,vaccines!A:B,2)</f>
        <v>MonoVac_Polio</v>
      </c>
      <c r="C86" s="7">
        <v>9</v>
      </c>
      <c r="D86" s="8" t="str">
        <f>VLOOKUP(C86,infections_list!A:B,2)</f>
        <v>полиомиелит</v>
      </c>
      <c r="E86" s="11">
        <f t="shared" si="1"/>
        <v>44712</v>
      </c>
      <c r="F86" s="58"/>
    </row>
    <row r="87" spans="1:6">
      <c r="A87" s="7">
        <v>56</v>
      </c>
      <c r="B87" s="10" t="str">
        <f>VLOOKUP(A87,vaccines!A:B,2)</f>
        <v>BiVac_Polio</v>
      </c>
      <c r="C87" s="7">
        <v>9</v>
      </c>
      <c r="D87" s="8" t="str">
        <f>VLOOKUP(C87,infections_list!A:B,2)</f>
        <v>полиомиелит</v>
      </c>
      <c r="E87" s="11">
        <f t="shared" si="1"/>
        <v>44712</v>
      </c>
      <c r="F87" s="58"/>
    </row>
    <row r="88" spans="1:6">
      <c r="A88" s="7">
        <v>57</v>
      </c>
      <c r="B88" s="10" t="str">
        <f>VLOOKUP(A88,vaccines!A:B,2)</f>
        <v>Polymilex</v>
      </c>
      <c r="C88" s="7">
        <v>9</v>
      </c>
      <c r="D88" s="8" t="str">
        <f>VLOOKUP(C88,infections_list!A:B,2)</f>
        <v>полиомиелит</v>
      </c>
      <c r="E88" s="11">
        <f t="shared" si="1"/>
        <v>44712</v>
      </c>
      <c r="F88" s="58"/>
    </row>
    <row r="89" spans="1:6">
      <c r="A89" s="7">
        <v>58</v>
      </c>
      <c r="B89" s="10" t="str">
        <f>VLOOKUP(A89,vaccines!A:B,2)</f>
        <v>COCAV</v>
      </c>
      <c r="C89" s="7">
        <v>14</v>
      </c>
      <c r="D89" s="8" t="str">
        <f>VLOOKUP(C89,infections_list!A:B,2)</f>
        <v>бешенство</v>
      </c>
      <c r="E89" s="11">
        <f t="shared" si="1"/>
        <v>44712</v>
      </c>
      <c r="F89" s="58"/>
    </row>
    <row r="90" spans="1:6">
      <c r="A90" s="7">
        <v>59</v>
      </c>
      <c r="B90" s="10" t="str">
        <f>VLOOKUP(A90,vaccines!A:B,2)</f>
        <v>rabies_Chumakov</v>
      </c>
      <c r="C90" s="7">
        <v>14</v>
      </c>
      <c r="D90" s="8" t="str">
        <f>VLOOKUP(C90,infections_list!A:B,2)</f>
        <v>бешенство</v>
      </c>
      <c r="E90" s="11">
        <f t="shared" si="1"/>
        <v>44712</v>
      </c>
      <c r="F90" s="58"/>
    </row>
    <row r="91" spans="1:6">
      <c r="A91" s="7">
        <v>60</v>
      </c>
      <c r="B91" s="10" t="str">
        <f>VLOOKUP(A91,vaccines!A:B,2)</f>
        <v>Rabivac_Vnukovo_32</v>
      </c>
      <c r="C91" s="7">
        <v>14</v>
      </c>
      <c r="D91" s="8" t="str">
        <f>VLOOKUP(C91,infections_list!A:B,2)</f>
        <v>бешенство</v>
      </c>
      <c r="E91" s="11">
        <f t="shared" si="1"/>
        <v>44712</v>
      </c>
      <c r="F91" s="58"/>
    </row>
    <row r="92" spans="1:6">
      <c r="A92" s="7">
        <v>61</v>
      </c>
      <c r="B92" s="10" t="str">
        <f>VLOOKUP(A92,vaccines!A:B,2)</f>
        <v>RotaTeq</v>
      </c>
      <c r="C92" s="7">
        <v>24</v>
      </c>
      <c r="D92" s="8" t="str">
        <f>VLOOKUP(C92,infections_list!A:B,2)</f>
        <v>ротавирус</v>
      </c>
      <c r="E92" s="11">
        <f t="shared" si="1"/>
        <v>44712</v>
      </c>
      <c r="F92" s="58"/>
    </row>
    <row r="93" spans="1:6">
      <c r="A93" s="7">
        <v>62</v>
      </c>
      <c r="B93" s="10" t="str">
        <f>VLOOKUP(A93,vaccines!A:B,2)</f>
        <v>rubella_Microgen</v>
      </c>
      <c r="C93" s="7">
        <v>13</v>
      </c>
      <c r="D93" s="8" t="str">
        <f>VLOOKUP(C93,infections_list!A:B,2)</f>
        <v>краснуха</v>
      </c>
      <c r="E93" s="11">
        <f t="shared" si="1"/>
        <v>44712</v>
      </c>
      <c r="F93" s="58"/>
    </row>
    <row r="94" spans="1:6">
      <c r="A94" s="7">
        <v>63</v>
      </c>
      <c r="B94" s="10" t="str">
        <f>VLOOKUP(A94,vaccines!A:B,2)</f>
        <v>rubella_Serum</v>
      </c>
      <c r="C94" s="7">
        <v>13</v>
      </c>
      <c r="D94" s="8" t="str">
        <f>VLOOKUP(C94,infections_list!A:B,2)</f>
        <v>краснуха</v>
      </c>
      <c r="E94" s="11">
        <f t="shared" si="1"/>
        <v>44712</v>
      </c>
      <c r="F94" s="58"/>
    </row>
    <row r="95" spans="1:6">
      <c r="A95" s="7">
        <v>64</v>
      </c>
      <c r="B95" s="10" t="str">
        <f>VLOOKUP(A95,vaccines!A:B,2)</f>
        <v>AS_Microgen</v>
      </c>
      <c r="C95" s="7">
        <v>1</v>
      </c>
      <c r="D95" s="8" t="str">
        <f>VLOOKUP(C95,infections_list!A:B,2)</f>
        <v>столбняк</v>
      </c>
      <c r="E95" s="11">
        <f t="shared" si="1"/>
        <v>44712</v>
      </c>
      <c r="F95" s="58"/>
    </row>
    <row r="96" spans="1:6">
      <c r="A96" s="7">
        <v>65</v>
      </c>
      <c r="B96" s="10" t="str">
        <f>VLOOKUP(A96,vaccines!A:B,2)</f>
        <v>AS_Biomed</v>
      </c>
      <c r="C96" s="7">
        <v>1</v>
      </c>
      <c r="D96" s="8" t="str">
        <f>VLOOKUP(C96,infections_list!A:B,2)</f>
        <v>столбняк</v>
      </c>
      <c r="E96" s="11">
        <f t="shared" si="1"/>
        <v>44712</v>
      </c>
      <c r="F96" s="58"/>
    </row>
    <row r="97" spans="1:6">
      <c r="A97" s="7">
        <v>66</v>
      </c>
      <c r="B97" s="10" t="str">
        <f>VLOOKUP(A97,vaccines!A:B,2)</f>
        <v>Vaqta_25</v>
      </c>
      <c r="C97" s="7">
        <v>4</v>
      </c>
      <c r="D97" s="8" t="str">
        <f>VLOOKUP(C97,infections_list!A:B,2)</f>
        <v>гепатит A</v>
      </c>
      <c r="E97" s="11">
        <f t="shared" si="1"/>
        <v>44712</v>
      </c>
      <c r="F97" s="58"/>
    </row>
    <row r="98" spans="1:6">
      <c r="A98" s="7">
        <v>67</v>
      </c>
      <c r="B98" s="10" t="str">
        <f>VLOOKUP(A98,vaccines!A:B,2)</f>
        <v>Vaqta_50</v>
      </c>
      <c r="C98" s="7">
        <v>4</v>
      </c>
      <c r="D98" s="8" t="str">
        <f>VLOOKUP(C98,infections_list!A:B,2)</f>
        <v>гепатит A</v>
      </c>
      <c r="E98" s="11">
        <f t="shared" si="1"/>
        <v>44712</v>
      </c>
      <c r="F98" s="58"/>
    </row>
    <row r="99" spans="1:6">
      <c r="A99" s="7">
        <v>68</v>
      </c>
      <c r="B99" s="10" t="str">
        <f>VLOOKUP(A99,vaccines!A:B,2)</f>
        <v>Klesh_E_Vac_0_5</v>
      </c>
      <c r="C99" s="7">
        <v>10</v>
      </c>
      <c r="D99" s="8" t="str">
        <f>VLOOKUP(C99,infections_list!A:B,2)</f>
        <v>клещевой энцефалит</v>
      </c>
      <c r="E99" s="11">
        <f t="shared" si="1"/>
        <v>44712</v>
      </c>
      <c r="F99" s="58"/>
    </row>
    <row r="100" spans="1:6">
      <c r="A100" s="7">
        <v>69</v>
      </c>
      <c r="B100" s="10" t="str">
        <f>VLOOKUP(A100,vaccines!A:B,2)</f>
        <v>Klesh_E_Vac_0_25</v>
      </c>
      <c r="C100" s="7">
        <v>10</v>
      </c>
      <c r="D100" s="8" t="str">
        <f>VLOOKUP(C100,infections_list!A:B,2)</f>
        <v>клещевой энцефалит</v>
      </c>
      <c r="E100" s="11">
        <f t="shared" si="1"/>
        <v>44712</v>
      </c>
      <c r="F100" s="58"/>
    </row>
    <row r="101" spans="1:6">
      <c r="A101" s="7">
        <v>70</v>
      </c>
      <c r="B101" s="10" t="str">
        <f>VLOOKUP(A101,vaccines!A:B,2)</f>
        <v>EnceVir_0_5</v>
      </c>
      <c r="C101" s="7">
        <v>10</v>
      </c>
      <c r="D101" s="8" t="str">
        <f>VLOOKUP(C101,infections_list!A:B,2)</f>
        <v>клещевой энцефалит</v>
      </c>
      <c r="E101" s="11">
        <f t="shared" si="1"/>
        <v>44712</v>
      </c>
      <c r="F101" s="58"/>
    </row>
    <row r="102" spans="1:6">
      <c r="A102" s="7">
        <v>71</v>
      </c>
      <c r="B102" s="10" t="str">
        <f>VLOOKUP(A102,vaccines!A:B,2)</f>
        <v>EnceVir_Neo_kids</v>
      </c>
      <c r="C102" s="7">
        <v>10</v>
      </c>
      <c r="D102" s="8" t="str">
        <f>VLOOKUP(C102,infections_list!A:B,2)</f>
        <v>клещевой энцефалит</v>
      </c>
      <c r="E102" s="11">
        <f t="shared" si="1"/>
        <v>44712</v>
      </c>
      <c r="F102" s="58"/>
    </row>
    <row r="103" spans="1:6">
      <c r="A103" s="7">
        <v>72</v>
      </c>
      <c r="B103" s="10" t="str">
        <f>VLOOKUP(A103,vaccines!A:B,2)</f>
        <v>TBE_Chumakov_lyo</v>
      </c>
      <c r="C103" s="7">
        <v>10</v>
      </c>
      <c r="D103" s="8" t="str">
        <f>VLOOKUP(C103,infections_list!A:B,2)</f>
        <v>клещевой энцефалит</v>
      </c>
      <c r="E103" s="11">
        <f t="shared" si="1"/>
        <v>44712</v>
      </c>
      <c r="F103" s="58"/>
    </row>
    <row r="104" spans="1:6">
      <c r="A104" s="7">
        <v>73</v>
      </c>
      <c r="B104" s="10" t="str">
        <f>VLOOKUP(A104,vaccines!A:B,2)</f>
        <v>Varilrix</v>
      </c>
      <c r="C104" s="7">
        <v>23</v>
      </c>
      <c r="D104" s="8" t="str">
        <f>VLOOKUP(C104,infections_list!A:B,2)</f>
        <v>ветряная оспа</v>
      </c>
      <c r="E104" s="11">
        <f t="shared" si="1"/>
        <v>44712</v>
      </c>
      <c r="F104" s="58"/>
    </row>
    <row r="105" spans="1:6">
      <c r="A105" s="7">
        <v>74</v>
      </c>
      <c r="B105" s="10" t="str">
        <f>VLOOKUP(A105,vaccines!A:B,2)</f>
        <v>YF_Chumakov_lyo</v>
      </c>
      <c r="C105" s="7">
        <v>25</v>
      </c>
      <c r="D105" s="8" t="str">
        <f>VLOOKUP(C105,infections_list!A:B,2)</f>
        <v>желтая лихорадка</v>
      </c>
      <c r="E105" s="11">
        <f t="shared" si="1"/>
        <v>44712</v>
      </c>
      <c r="F105" s="58"/>
    </row>
    <row r="106" spans="1:6">
      <c r="A106" s="7">
        <v>75</v>
      </c>
      <c r="B106" s="10" t="str">
        <f>VLOOKUP(A106,vaccines!A:B,2)</f>
        <v>tularemia_Microgen</v>
      </c>
      <c r="C106" s="7">
        <v>26</v>
      </c>
      <c r="D106" s="8" t="str">
        <f>VLOOKUP(C106,infections_list!A:B,2)</f>
        <v>туляремия</v>
      </c>
      <c r="E106" s="11">
        <f t="shared" si="1"/>
        <v>44712</v>
      </c>
      <c r="F106" s="58"/>
    </row>
    <row r="107" spans="1:6">
      <c r="A107" s="7">
        <v>76</v>
      </c>
      <c r="B107" s="10" t="str">
        <f>VLOOKUP(A107,vaccines!A:B,2)</f>
        <v>plague_molecular_lyo_RPN</v>
      </c>
      <c r="C107" s="7">
        <v>15</v>
      </c>
      <c r="D107" s="8" t="str">
        <f>VLOOKUP(C107,infections_list!A:B,2)</f>
        <v>чума</v>
      </c>
      <c r="E107" s="11">
        <f t="shared" si="1"/>
        <v>44712</v>
      </c>
      <c r="F107" s="58"/>
    </row>
    <row r="108" spans="1:6">
      <c r="A108" s="7">
        <v>77</v>
      </c>
      <c r="B108" s="10" t="str">
        <f>VLOOKUP(A108,vaccines!A:B,2)</f>
        <v>plague_live_lyo_48_NII_Minoborony</v>
      </c>
      <c r="C108" s="7">
        <v>15</v>
      </c>
      <c r="D108" s="8" t="str">
        <f>VLOOKUP(C108,infections_list!A:B,2)</f>
        <v>чума</v>
      </c>
      <c r="E108" s="11">
        <f t="shared" si="1"/>
        <v>44712</v>
      </c>
      <c r="F108" s="58"/>
    </row>
    <row r="109" spans="1:6">
      <c r="A109" s="7">
        <v>78</v>
      </c>
      <c r="B109" s="10" t="str">
        <f>VLOOKUP(A109,vaccines!A:B,2)</f>
        <v>plague_live_tablets_48_NII_Minoborony</v>
      </c>
      <c r="C109" s="7">
        <v>15</v>
      </c>
      <c r="D109" s="8" t="str">
        <f>VLOOKUP(C109,infections_list!A:B,2)</f>
        <v>чума</v>
      </c>
      <c r="E109" s="11">
        <f t="shared" si="1"/>
        <v>44712</v>
      </c>
      <c r="F109" s="58"/>
    </row>
    <row r="110" spans="1:6">
      <c r="A110" s="7">
        <v>79</v>
      </c>
      <c r="B110" s="10" t="str">
        <f>VLOOKUP(A110,vaccines!A:B,2)</f>
        <v>plague_live_lyo_RPN</v>
      </c>
      <c r="C110" s="7">
        <v>15</v>
      </c>
      <c r="D110" s="8" t="str">
        <f>VLOOKUP(C110,infections_list!A:B,2)</f>
        <v>чума</v>
      </c>
      <c r="E110" s="11">
        <f t="shared" si="1"/>
        <v>44712</v>
      </c>
      <c r="F110" s="58"/>
    </row>
    <row r="111" spans="1:6">
      <c r="A111" s="7">
        <v>80</v>
      </c>
      <c r="B111" s="10" t="str">
        <f>VLOOKUP(A111,vaccines!A:B,2)</f>
        <v>brucellosis_therapeutic_48_NII_Minoborony</v>
      </c>
      <c r="C111" s="7">
        <v>20</v>
      </c>
      <c r="D111" s="8" t="str">
        <f>VLOOKUP(C111,infections_list!A:B,2)</f>
        <v>бруцеллез</v>
      </c>
      <c r="E111" s="11">
        <f t="shared" si="1"/>
        <v>44712</v>
      </c>
      <c r="F111" s="58"/>
    </row>
    <row r="112" spans="1:6">
      <c r="A112" s="7">
        <v>81</v>
      </c>
      <c r="B112" s="10" t="str">
        <f>VLOOKUP(A112,vaccines!A:B,2)</f>
        <v>brucellosis_prophylactic_Microgen</v>
      </c>
      <c r="C112" s="7">
        <v>20</v>
      </c>
      <c r="D112" s="8" t="str">
        <f>VLOOKUP(C112,infections_list!A:B,2)</f>
        <v>бруцеллез</v>
      </c>
      <c r="E112" s="11">
        <f t="shared" si="1"/>
        <v>44712</v>
      </c>
      <c r="F112" s="58"/>
    </row>
    <row r="113" spans="1:6">
      <c r="A113" s="7">
        <v>82</v>
      </c>
      <c r="B113" s="10" t="str">
        <f>VLOOKUP(A113,vaccines!A:B,2)</f>
        <v>anthrax_live_48_NII_Minoborony</v>
      </c>
      <c r="C113" s="7">
        <v>21</v>
      </c>
      <c r="D113" s="8" t="str">
        <f>VLOOKUP(C113,infections_list!A:B,2)</f>
        <v>сибирская язва</v>
      </c>
      <c r="E113" s="11">
        <f t="shared" si="1"/>
        <v>44712</v>
      </c>
      <c r="F113" s="58"/>
    </row>
    <row r="114" spans="1:6">
      <c r="A114" s="7">
        <v>83</v>
      </c>
      <c r="B114" s="10" t="str">
        <f>VLOOKUP(A114,vaccines!A:B,2)</f>
        <v>anthrax_combined_48_NII_Minoborony</v>
      </c>
      <c r="C114" s="7">
        <v>21</v>
      </c>
      <c r="D114" s="8" t="str">
        <f>VLOOKUP(C114,infections_list!A:B,2)</f>
        <v>сибирская язва</v>
      </c>
      <c r="E114" s="11">
        <f t="shared" si="1"/>
        <v>44712</v>
      </c>
      <c r="F114" s="58"/>
    </row>
    <row r="115" spans="1:6">
      <c r="A115" s="7">
        <v>84</v>
      </c>
      <c r="B115" s="10" t="str">
        <f>VLOOKUP(A115,vaccines!A:B,2)</f>
        <v>Rabipur</v>
      </c>
      <c r="C115" s="7">
        <v>14</v>
      </c>
      <c r="D115" s="8" t="str">
        <f>VLOOKUP(C115,infections_list!A:B,2)</f>
        <v>бешенство</v>
      </c>
      <c r="E115" s="11">
        <f t="shared" si="1"/>
        <v>44712</v>
      </c>
      <c r="F115" s="58"/>
    </row>
    <row r="116" spans="1:6">
      <c r="A116" s="7">
        <v>85</v>
      </c>
      <c r="B116" s="10" t="str">
        <f>VLOOKUP(A116,vaccines!A:B,2)</f>
        <v>leptospirosis_Rostov_NII</v>
      </c>
      <c r="C116" s="7">
        <v>27</v>
      </c>
      <c r="D116" s="8" t="str">
        <f>VLOOKUP(C116,infections_list!A:B,2)</f>
        <v>лептоспироз</v>
      </c>
      <c r="E116" s="11">
        <f t="shared" si="1"/>
        <v>44712</v>
      </c>
      <c r="F116" s="58"/>
    </row>
    <row r="117" spans="1:6">
      <c r="A117" s="7">
        <v>86</v>
      </c>
      <c r="B117" s="10" t="str">
        <f>VLOOKUP(A117,vaccines!A:B,2)</f>
        <v>Q_fever_M_44_Microgen</v>
      </c>
      <c r="C117" s="7">
        <v>28</v>
      </c>
      <c r="D117" s="8" t="str">
        <f>VLOOKUP(C117,infections_list!A:B,2)</f>
        <v>лихорадка Ку</v>
      </c>
      <c r="E117" s="11">
        <f t="shared" si="1"/>
        <v>44712</v>
      </c>
      <c r="F117" s="58"/>
    </row>
    <row r="118" spans="1:6">
      <c r="A118" s="7">
        <v>87</v>
      </c>
      <c r="B118" s="10" t="str">
        <f>VLOOKUP(A118,vaccines!A:B,2)</f>
        <v>cholera_NII_Microb</v>
      </c>
      <c r="C118" s="7">
        <v>29</v>
      </c>
      <c r="D118" s="8" t="str">
        <f>VLOOKUP(C118,infections_list!A:B,2)</f>
        <v>холера</v>
      </c>
      <c r="E118" s="11">
        <f t="shared" si="1"/>
        <v>44712</v>
      </c>
      <c r="F118" s="58"/>
    </row>
    <row r="119" spans="1:6">
      <c r="A119" s="7">
        <v>88</v>
      </c>
      <c r="B119" s="10" t="str">
        <f>VLOOKUP(A119,vaccines!A:B,2)</f>
        <v>Vianvac</v>
      </c>
      <c r="C119" s="7">
        <v>22</v>
      </c>
      <c r="D119" s="8" t="str">
        <f>VLOOKUP(C119,infections_list!A:B,2)</f>
        <v>брюшной тиф</v>
      </c>
      <c r="E119" s="11">
        <f t="shared" si="1"/>
        <v>44712</v>
      </c>
      <c r="F119" s="58"/>
    </row>
    <row r="120" spans="1:6">
      <c r="A120" s="7">
        <v>89</v>
      </c>
      <c r="B120" s="10" t="str">
        <f>VLOOKUP(A120,vaccines!A:B,2)</f>
        <v>Typhivac</v>
      </c>
      <c r="C120" s="7">
        <v>22</v>
      </c>
      <c r="D120" s="8" t="str">
        <f>VLOOKUP(C120,infections_list!A:B,2)</f>
        <v>брюшной тиф</v>
      </c>
      <c r="E120" s="11">
        <f t="shared" si="1"/>
        <v>44712</v>
      </c>
      <c r="F120" s="58"/>
    </row>
    <row r="121" spans="1:6">
      <c r="A121" s="7">
        <v>90</v>
      </c>
      <c r="B121" s="10" t="str">
        <f>VLOOKUP(A121,vaccines!A:B,2)</f>
        <v>Shigellvac</v>
      </c>
      <c r="C121" s="7">
        <v>30</v>
      </c>
      <c r="D121" s="8" t="str">
        <f>VLOOKUP(C121,infections_list!A:B,2)</f>
        <v>шигеллез</v>
      </c>
      <c r="E121" s="11">
        <f t="shared" si="1"/>
        <v>44712</v>
      </c>
      <c r="F121" s="58"/>
    </row>
    <row r="122" spans="1:6">
      <c r="A122" s="7">
        <v>91</v>
      </c>
      <c r="B122" s="10" t="str">
        <f>VLOOKUP(A122,vaccines!A:B,2)</f>
        <v>CoviVac</v>
      </c>
      <c r="C122" s="7">
        <v>16</v>
      </c>
      <c r="D122" s="8" t="str">
        <f>VLOOKUP(C122,infections_list!A:B,2)</f>
        <v>ковид</v>
      </c>
      <c r="E122" s="11">
        <f t="shared" si="1"/>
        <v>44712</v>
      </c>
      <c r="F122" s="58"/>
    </row>
    <row r="123" spans="1:6">
      <c r="A123" s="7">
        <v>92</v>
      </c>
      <c r="B123" s="10" t="str">
        <f>VLOOKUP(A123,vaccines!A:B,2)</f>
        <v>Sputnik_light</v>
      </c>
      <c r="C123" s="7">
        <v>16</v>
      </c>
      <c r="D123" s="8" t="str">
        <f>VLOOKUP(C123,infections_list!A:B,2)</f>
        <v>ковид</v>
      </c>
      <c r="E123" s="11">
        <f t="shared" si="1"/>
        <v>44712</v>
      </c>
      <c r="F123" s="58"/>
    </row>
    <row r="124" spans="1:6">
      <c r="A124" s="7">
        <v>93</v>
      </c>
      <c r="B124" s="10" t="str">
        <f>VLOOKUP(A124,vaccines!A:B,2)</f>
        <v>Sputnik_M</v>
      </c>
      <c r="C124" s="7">
        <v>16</v>
      </c>
      <c r="D124" s="8" t="str">
        <f>VLOOKUP(C124,infections_list!A:B,2)</f>
        <v>ковид</v>
      </c>
      <c r="E124" s="11">
        <f t="shared" si="1"/>
        <v>44712</v>
      </c>
      <c r="F124" s="58"/>
    </row>
    <row r="125" spans="1:6">
      <c r="A125" s="7">
        <v>94</v>
      </c>
      <c r="B125" s="10" t="str">
        <f>VLOOKUP(A125,vaccines!A:B,2)</f>
        <v>Convacel</v>
      </c>
      <c r="C125" s="7">
        <v>16</v>
      </c>
      <c r="D125" s="8" t="str">
        <f>VLOOKUP(C125,infections_list!A:B,2)</f>
        <v>ковид</v>
      </c>
      <c r="E125" s="11">
        <f t="shared" si="1"/>
        <v>44712</v>
      </c>
      <c r="F125" s="58"/>
    </row>
    <row r="126" spans="1:6">
      <c r="A126" s="7">
        <v>95</v>
      </c>
      <c r="B126" s="10" t="str">
        <f>VLOOKUP(A126,vaccines!A:B,2)</f>
        <v>Aurora</v>
      </c>
      <c r="C126" s="7">
        <v>16</v>
      </c>
      <c r="D126" s="8" t="str">
        <f>VLOOKUP(C126,infections_list!A:B,2)</f>
        <v>ковид</v>
      </c>
      <c r="E126" s="11">
        <f t="shared" si="1"/>
        <v>44712</v>
      </c>
      <c r="F126" s="58"/>
    </row>
    <row r="127" spans="1:6">
      <c r="A127" s="7">
        <v>96</v>
      </c>
      <c r="B127" s="10" t="str">
        <f>VLOOKUP(A127,vaccines!A:B,2)</f>
        <v>Rota_V_Aid</v>
      </c>
      <c r="C127" s="7">
        <v>24</v>
      </c>
      <c r="D127" s="8" t="str">
        <f>VLOOKUP(C127,infections_list!A:B,2)</f>
        <v>ротавирус</v>
      </c>
      <c r="E127" s="11">
        <f t="shared" si="1"/>
        <v>44712</v>
      </c>
      <c r="F127" s="58"/>
    </row>
    <row r="128" spans="1:6">
      <c r="A128" s="7">
        <v>97</v>
      </c>
      <c r="B128" s="10" t="str">
        <f>VLOOKUP(A128,vaccines!A:B,2)</f>
        <v>Hib_Rostov</v>
      </c>
      <c r="C128" s="7">
        <v>18</v>
      </c>
      <c r="D128" s="8" t="str">
        <f>VLOOKUP(C128,infections_list!A:B,2)</f>
        <v>гемофильная инфекция типа b</v>
      </c>
      <c r="E128" s="11">
        <f t="shared" si="1"/>
        <v>44712</v>
      </c>
      <c r="F128" s="58"/>
    </row>
    <row r="129" spans="1:6">
      <c r="A129" s="7">
        <v>98</v>
      </c>
      <c r="B129" s="10" t="str">
        <f>VLOOKUP(A129,vaccines!A:B,2)</f>
        <v>HepB_Combiotech_1_0</v>
      </c>
      <c r="C129" s="7">
        <v>6</v>
      </c>
      <c r="D129" s="8" t="str">
        <f>VLOOKUP(C129,infections_list!A:B,2)</f>
        <v>гепатит B</v>
      </c>
      <c r="E129" s="11">
        <f t="shared" si="1"/>
        <v>44712</v>
      </c>
      <c r="F129" s="58"/>
    </row>
    <row r="130" spans="1:6">
      <c r="A130" s="7">
        <v>99</v>
      </c>
      <c r="B130" s="10" t="str">
        <f>VLOOKUP(A130,vaccines!A:B,2)</f>
        <v>Regevac_1_0</v>
      </c>
      <c r="C130" s="7">
        <v>6</v>
      </c>
      <c r="D130" s="8" t="str">
        <f>VLOOKUP(C130,infections_list!A:B,2)</f>
        <v>гепатит B</v>
      </c>
      <c r="E130" s="11">
        <f t="shared" si="1"/>
        <v>44712</v>
      </c>
      <c r="F130" s="58"/>
    </row>
    <row r="131" spans="1:6">
      <c r="A131" s="7">
        <v>100</v>
      </c>
      <c r="B131" s="10" t="str">
        <f>VLOOKUP(A131,vaccines!A:B,2)</f>
        <v>Priorix_Tetra</v>
      </c>
      <c r="C131" s="7">
        <v>8</v>
      </c>
      <c r="D131" s="8" t="str">
        <f>VLOOKUP(C131,infections_list!A:B,2)</f>
        <v>корь</v>
      </c>
      <c r="E131" s="11">
        <f t="shared" si="1"/>
        <v>44712</v>
      </c>
      <c r="F131" s="58"/>
    </row>
    <row r="132" spans="1:6">
      <c r="A132" s="7">
        <v>100</v>
      </c>
      <c r="B132" s="10" t="str">
        <f>VLOOKUP(A132,vaccines!A:B,2)</f>
        <v>Priorix_Tetra</v>
      </c>
      <c r="C132" s="7">
        <v>12</v>
      </c>
      <c r="D132" s="8" t="str">
        <f>VLOOKUP(C132,infections_list!A:B,2)</f>
        <v>паротит</v>
      </c>
      <c r="E132" s="11">
        <f t="shared" si="1"/>
        <v>44712</v>
      </c>
      <c r="F132" s="58"/>
    </row>
    <row r="133" spans="1:6">
      <c r="A133" s="7">
        <v>100</v>
      </c>
      <c r="B133" s="10" t="str">
        <f>VLOOKUP(A133,vaccines!A:B,2)</f>
        <v>Priorix_Tetra</v>
      </c>
      <c r="C133" s="7">
        <v>13</v>
      </c>
      <c r="D133" s="8" t="str">
        <f>VLOOKUP(C133,infections_list!A:B,2)</f>
        <v>краснуха</v>
      </c>
      <c r="E133" s="11">
        <f t="shared" si="1"/>
        <v>44712</v>
      </c>
      <c r="F133" s="58"/>
    </row>
    <row r="134" spans="1:6">
      <c r="A134" s="7">
        <v>100</v>
      </c>
      <c r="B134" s="10" t="str">
        <f>VLOOKUP(A134,vaccines!A:B,2)</f>
        <v>Priorix_Tetra</v>
      </c>
      <c r="C134" s="7">
        <v>23</v>
      </c>
      <c r="D134" s="8" t="str">
        <f>VLOOKUP(C134,infections_list!A:B,2)</f>
        <v>ветряная оспа</v>
      </c>
      <c r="E134" s="11">
        <f t="shared" si="1"/>
        <v>44712</v>
      </c>
      <c r="F134" s="58"/>
    </row>
    <row r="135" spans="1:6">
      <c r="A135" s="7">
        <v>101</v>
      </c>
      <c r="B135" s="10" t="str">
        <f>VLOOKUP(A135,vaccines!A:B,2)</f>
        <v>Menveo</v>
      </c>
      <c r="C135" s="7">
        <v>7</v>
      </c>
      <c r="D135" s="8" t="str">
        <f>VLOOKUP(C135,infections_list!A:B,2)</f>
        <v>менингококк</v>
      </c>
      <c r="E135" s="11">
        <f t="shared" si="1"/>
        <v>44712</v>
      </c>
      <c r="F135" s="58"/>
    </row>
    <row r="136" spans="1:6">
      <c r="A136" s="7">
        <v>102</v>
      </c>
      <c r="B136" s="10" t="str">
        <f>VLOOKUP(A136,vaccines!A:B,2)</f>
        <v>Sputnik_intranasal</v>
      </c>
      <c r="C136" s="7">
        <v>16</v>
      </c>
      <c r="D136" s="8" t="str">
        <f>VLOOKUP(C136,infections_list!A:B,2)</f>
        <v>ковид</v>
      </c>
      <c r="E136" s="11">
        <f t="shared" si="1"/>
        <v>44712</v>
      </c>
      <c r="F136" s="58"/>
    </row>
    <row r="137" spans="1:6">
      <c r="A137" s="7">
        <v>103</v>
      </c>
      <c r="B137" s="10" t="str">
        <f>VLOOKUP(A137,vaccines!A:B,2)</f>
        <v>Grippol_plus_0_25</v>
      </c>
      <c r="C137" s="7">
        <v>3</v>
      </c>
      <c r="D137" s="8" t="str">
        <f>VLOOKUP(C137,infections_list!A:B,2)</f>
        <v>грипп</v>
      </c>
      <c r="E137" s="11">
        <f t="shared" si="1"/>
        <v>44712</v>
      </c>
      <c r="F137" s="58"/>
    </row>
    <row r="138" spans="1:6">
      <c r="A138" s="7">
        <v>104</v>
      </c>
      <c r="B138" s="10" t="str">
        <f>VLOOKUP(A138,vaccines!A:B,2)</f>
        <v>Flu_M_Tetra</v>
      </c>
      <c r="C138" s="7">
        <v>3</v>
      </c>
      <c r="D138" s="8" t="str">
        <f>VLOOKUP(C138,infections_list!A:B,2)</f>
        <v>грипп</v>
      </c>
      <c r="E138" s="11">
        <f t="shared" si="1"/>
        <v>44712</v>
      </c>
      <c r="F138" s="58"/>
    </row>
    <row r="139" spans="1:6">
      <c r="A139" s="7">
        <v>105</v>
      </c>
      <c r="B139" s="10" t="str">
        <f>VLOOKUP(A139,vaccines!A:B,2)</f>
        <v>Vaxigrip_Tetra</v>
      </c>
      <c r="C139" s="7">
        <v>3</v>
      </c>
      <c r="D139" s="8" t="str">
        <f>VLOOKUP(C139,infections_list!A:B,2)</f>
        <v>грипп</v>
      </c>
      <c r="E139" s="11">
        <f t="shared" si="1"/>
        <v>44712</v>
      </c>
      <c r="F139" s="58"/>
    </row>
    <row r="140" spans="1:6">
      <c r="A140" s="7">
        <v>106</v>
      </c>
      <c r="B140" s="10" t="str">
        <f>VLOOKUP(A140,vaccines!A:B,2)</f>
        <v>Ocavax</v>
      </c>
      <c r="C140" s="7">
        <v>23</v>
      </c>
      <c r="D140" s="8" t="str">
        <f>VLOOKUP(C140,infections_list!A:B,2)</f>
        <v>ветряная оспа</v>
      </c>
      <c r="E140" s="11">
        <v>44902</v>
      </c>
      <c r="F140" s="58"/>
    </row>
    <row r="141" spans="1:6">
      <c r="A141" s="7">
        <v>107</v>
      </c>
      <c r="B141" s="10" t="str">
        <f>VLOOKUP(A141,vaccines!A:B,2)</f>
        <v>Pneumo_23</v>
      </c>
      <c r="C141" s="7">
        <v>17</v>
      </c>
      <c r="D141" s="8" t="str">
        <f>VLOOKUP(C141,infections_list!A:B,2)</f>
        <v>пневмококк</v>
      </c>
      <c r="E141" s="11">
        <v>44902</v>
      </c>
      <c r="F141" s="58"/>
    </row>
    <row r="142" spans="1:6">
      <c r="A142" s="7">
        <v>108</v>
      </c>
      <c r="B142" s="10" t="str">
        <f>VLOOKUP(A142,vaccines!A:B,2)</f>
        <v>Varivax</v>
      </c>
      <c r="C142" s="7">
        <v>23</v>
      </c>
      <c r="D142" s="8" t="str">
        <f>VLOOKUP(C142,infections_list!A:B,2)</f>
        <v>ветряная оспа</v>
      </c>
      <c r="E142" s="11">
        <v>44902</v>
      </c>
      <c r="F142" s="58"/>
    </row>
    <row r="143" spans="1:6">
      <c r="A143" s="7">
        <v>109</v>
      </c>
      <c r="B143" s="10" t="str">
        <f>VLOOKUP(A143,vaccines!A:B,2)</f>
        <v>Pneumotex</v>
      </c>
      <c r="C143" s="7">
        <v>17</v>
      </c>
      <c r="D143" s="8" t="str">
        <f>VLOOKUP(C143,infections_list!A:B,2)</f>
        <v>пневмококк</v>
      </c>
      <c r="E143" s="11">
        <v>45063</v>
      </c>
      <c r="F143" s="58"/>
    </row>
    <row r="144" spans="1:6">
      <c r="A144" s="7">
        <v>110</v>
      </c>
      <c r="B144" s="10" t="str">
        <f>VLOOKUP(A144,vaccines!A:B,2)</f>
        <v>Priorix</v>
      </c>
      <c r="C144" s="7">
        <v>8</v>
      </c>
      <c r="D144" s="8" t="str">
        <f>VLOOKUP(C144,infections_list!A:B,2)</f>
        <v>корь</v>
      </c>
      <c r="E144" s="11">
        <v>45078</v>
      </c>
      <c r="F144" s="58"/>
    </row>
    <row r="145" spans="1:6">
      <c r="A145" s="7">
        <v>110</v>
      </c>
      <c r="B145" s="10" t="str">
        <f>VLOOKUP(A145,vaccines!A:B,2)</f>
        <v>Priorix</v>
      </c>
      <c r="C145" s="7">
        <v>12</v>
      </c>
      <c r="D145" s="8" t="str">
        <f>VLOOKUP(C145,infections_list!A:B,2)</f>
        <v>паротит</v>
      </c>
      <c r="E145" s="11">
        <v>45078</v>
      </c>
      <c r="F145" s="58"/>
    </row>
    <row r="146" spans="1:6">
      <c r="A146" s="7">
        <v>110</v>
      </c>
      <c r="B146" s="10" t="str">
        <f>VLOOKUP(A146,vaccines!A:B,2)</f>
        <v>Priorix</v>
      </c>
      <c r="C146" s="7">
        <v>13</v>
      </c>
      <c r="D146" s="8" t="str">
        <f>VLOOKUP(C146,infections_list!A:B,2)</f>
        <v>краснуха</v>
      </c>
      <c r="E146" s="11">
        <v>45078</v>
      </c>
      <c r="F146" s="58"/>
    </row>
    <row r="147" spans="1:6">
      <c r="A147" s="7">
        <v>111</v>
      </c>
      <c r="B147" s="10" t="str">
        <f>VLOOKUP(A147,vaccines!A:B,2)</f>
        <v>MenQuadfi</v>
      </c>
      <c r="C147" s="7">
        <v>7</v>
      </c>
      <c r="D147" s="8" t="str">
        <f>VLOOKUP(C147,infections_list!A:B,2)</f>
        <v>менингококк</v>
      </c>
      <c r="E147" s="11">
        <v>45083</v>
      </c>
      <c r="F147" s="58"/>
    </row>
    <row r="148" spans="1:6">
      <c r="A148" s="7">
        <v>112</v>
      </c>
      <c r="B148" s="10" t="str">
        <f>VLOOKUP(A148,vaccines!A:B,2)</f>
        <v>Bexsero</v>
      </c>
      <c r="C148" s="7">
        <v>7</v>
      </c>
      <c r="D148" s="8" t="str">
        <f>VLOOKUP(C148,infections_list!A:B,2)</f>
        <v>менингококк</v>
      </c>
      <c r="E148" s="11">
        <v>45083</v>
      </c>
      <c r="F148" s="58"/>
    </row>
    <row r="149" spans="1:6">
      <c r="A149" s="7">
        <v>113</v>
      </c>
      <c r="B149" s="10" t="str">
        <f>VLOOKUP(A149,vaccines!A:B,2)</f>
        <v>Sputnik_D</v>
      </c>
      <c r="C149" s="7">
        <v>16</v>
      </c>
      <c r="D149" s="8" t="str">
        <f>VLOOKUP(C149,infections_list!A:B,2)</f>
        <v>ковид</v>
      </c>
      <c r="E149" s="11">
        <v>45083</v>
      </c>
      <c r="F149" s="58"/>
    </row>
    <row r="150" spans="1:6">
      <c r="A150" s="7">
        <v>114</v>
      </c>
      <c r="B150" s="10" t="str">
        <f>VLOOKUP(A150,vaccines!A:B,2)</f>
        <v>Encepur_0_25</v>
      </c>
      <c r="C150" s="7">
        <v>10</v>
      </c>
      <c r="D150" s="8" t="str">
        <f>VLOOKUP(C150,infections_list!A:B,2)</f>
        <v>клещевой энцефалит</v>
      </c>
      <c r="E150" s="11">
        <v>45083</v>
      </c>
      <c r="F150" s="58"/>
    </row>
    <row r="151" spans="1:6">
      <c r="A151" s="7">
        <v>115</v>
      </c>
      <c r="B151" s="10" t="str">
        <f>VLOOKUP(A151,vaccines!A:B,2)</f>
        <v>Encepur_0_5</v>
      </c>
      <c r="C151" s="7">
        <v>10</v>
      </c>
      <c r="D151" s="8" t="str">
        <f>VLOOKUP(C151,infections_list!A:B,2)</f>
        <v>клещевой энцефалит</v>
      </c>
      <c r="E151" s="11">
        <v>45083</v>
      </c>
      <c r="F151" s="58"/>
    </row>
    <row r="152" spans="1:6">
      <c r="A152" s="7">
        <v>116</v>
      </c>
      <c r="B152" s="10" t="str">
        <f>VLOOKUP(A152,vaccines!A:B,2)</f>
        <v>Poliovaccine</v>
      </c>
      <c r="C152" s="7">
        <v>9</v>
      </c>
      <c r="D152" s="8" t="str">
        <f>VLOOKUP(C152,infections_list!A:B,2)</f>
        <v>полиомиелит</v>
      </c>
      <c r="E152" s="11">
        <v>45083</v>
      </c>
      <c r="F152" s="58"/>
    </row>
    <row r="153" spans="1:6">
      <c r="A153" s="7">
        <v>117</v>
      </c>
      <c r="B153" s="10" t="str">
        <f>VLOOKUP(A153,vaccines!A:B,2)</f>
        <v>Act_Hib</v>
      </c>
      <c r="C153" s="7">
        <v>18</v>
      </c>
      <c r="D153" s="8" t="str">
        <f>VLOOKUP(C153,infections_list!A:B,2)</f>
        <v>гемофильная инфекция типа b</v>
      </c>
      <c r="E153" s="11">
        <v>45083</v>
      </c>
      <c r="F153" s="58"/>
    </row>
    <row r="154" spans="1:6">
      <c r="A154" s="7">
        <v>118</v>
      </c>
      <c r="B154" s="10" t="str">
        <f>VLOOKUP(A154,vaccines!A:B,2)</f>
        <v>Hiberix</v>
      </c>
      <c r="C154" s="7">
        <v>18</v>
      </c>
      <c r="D154" s="8" t="str">
        <f>VLOOKUP(C154,infections_list!A:B,2)</f>
        <v>гемофильная инфекция типа b</v>
      </c>
      <c r="E154" s="11">
        <v>45083</v>
      </c>
      <c r="F154" s="58"/>
    </row>
    <row r="155" spans="1:6">
      <c r="A155" s="7">
        <v>119</v>
      </c>
      <c r="B155" s="10" t="str">
        <f>VLOOKUP(A155,vaccines!A:B,2)</f>
        <v>FSME_Immun_Junior</v>
      </c>
      <c r="C155" s="7">
        <v>10</v>
      </c>
      <c r="D155" s="8" t="str">
        <f>VLOOKUP(C155,infections_list!A:B,2)</f>
        <v>клещевой энцефалит</v>
      </c>
      <c r="E155" s="11">
        <v>45083</v>
      </c>
      <c r="F155" s="58"/>
    </row>
    <row r="156" spans="1:6">
      <c r="A156" s="7">
        <v>120</v>
      </c>
      <c r="B156" s="10" t="str">
        <f>VLOOKUP(A156,vaccines!A:B,2)</f>
        <v>FSME_Immun</v>
      </c>
      <c r="C156" s="7">
        <v>10</v>
      </c>
      <c r="D156" s="8" t="str">
        <f>VLOOKUP(C156,infections_list!A:B,2)</f>
        <v>клещевой энцефалит</v>
      </c>
      <c r="E156" s="11">
        <v>45083</v>
      </c>
      <c r="F156" s="58"/>
    </row>
    <row r="157" spans="1:6">
      <c r="A157" s="7">
        <v>121</v>
      </c>
      <c r="B157" s="10" t="str">
        <f>VLOOKUP(A157,vaccines!A:B,2)</f>
        <v>SciBiVac</v>
      </c>
      <c r="C157" s="7">
        <v>6</v>
      </c>
      <c r="D157" s="8" t="str">
        <f>VLOOKUP(C157,infections_list!A:B,2)</f>
        <v>гепатит B</v>
      </c>
      <c r="E157" s="11">
        <v>45085</v>
      </c>
      <c r="F157" s="58"/>
    </row>
    <row r="158" spans="1:6">
      <c r="A158" s="7">
        <v>122</v>
      </c>
      <c r="B158" s="10" t="str">
        <f>VLOOKUP(A158,vaccines!A:B,2)</f>
        <v>Pentavaccina</v>
      </c>
      <c r="C158" s="7">
        <v>1</v>
      </c>
      <c r="D158" s="8" t="str">
        <f>VLOOKUP(C158,infections_list!A:B,2)</f>
        <v>столбняк</v>
      </c>
      <c r="E158" s="11">
        <v>45105</v>
      </c>
      <c r="F158" s="58"/>
    </row>
    <row r="159" spans="1:6">
      <c r="A159" s="7">
        <v>122</v>
      </c>
      <c r="B159" s="10" t="str">
        <f>VLOOKUP(A159,vaccines!A:B,2)</f>
        <v>Pentavaccina</v>
      </c>
      <c r="C159" s="7">
        <v>2</v>
      </c>
      <c r="D159" s="8" t="str">
        <f>VLOOKUP(C159,infections_list!A:B,2)</f>
        <v>дифтерия</v>
      </c>
      <c r="E159" s="11">
        <v>45105</v>
      </c>
      <c r="F159" s="58"/>
    </row>
    <row r="160" spans="1:6">
      <c r="A160" s="7">
        <v>122</v>
      </c>
      <c r="B160" s="10" t="str">
        <f>VLOOKUP(A160,vaccines!A:B,2)</f>
        <v>Pentavaccina</v>
      </c>
      <c r="C160" s="7">
        <v>5</v>
      </c>
      <c r="D160" s="8" t="str">
        <f>VLOOKUP(C160,infections_list!A:B,2)</f>
        <v>коклюш</v>
      </c>
      <c r="E160" s="11">
        <v>45105</v>
      </c>
      <c r="F160" s="58"/>
    </row>
    <row r="161" spans="1:6">
      <c r="A161" s="7">
        <v>122</v>
      </c>
      <c r="B161" s="10" t="str">
        <f>VLOOKUP(A161,vaccines!A:B,2)</f>
        <v>Pentavaccina</v>
      </c>
      <c r="C161" s="7">
        <v>6</v>
      </c>
      <c r="D161" s="8" t="str">
        <f>VLOOKUP(C161,infections_list!A:B,2)</f>
        <v>гепатит B</v>
      </c>
      <c r="E161" s="11">
        <v>45105</v>
      </c>
      <c r="F161" s="58"/>
    </row>
    <row r="162" spans="1:6">
      <c r="A162" s="7">
        <v>122</v>
      </c>
      <c r="B162" s="10" t="str">
        <f>VLOOKUP(A162,vaccines!A:B,2)</f>
        <v>Pentavaccina</v>
      </c>
      <c r="C162" s="7">
        <v>18</v>
      </c>
      <c r="D162" s="8" t="str">
        <f>VLOOKUP(C162,infections_list!A:B,2)</f>
        <v>гемофильная инфекция типа b</v>
      </c>
      <c r="E162" s="11">
        <v>45105</v>
      </c>
      <c r="F162" s="58"/>
    </row>
    <row r="163" spans="1:6">
      <c r="A163" s="29">
        <v>123</v>
      </c>
      <c r="B163" s="10" t="str">
        <f>VLOOKUP(A163,vaccines!A:B,2)</f>
        <v>Vitagerpavac</v>
      </c>
      <c r="C163" s="29">
        <v>31</v>
      </c>
      <c r="D163" s="8" t="str">
        <f>VLOOKUP(C163,infections_list!A:B,2)</f>
        <v>вирус простого герпеса</v>
      </c>
      <c r="E163" s="40">
        <v>45169</v>
      </c>
    </row>
    <row r="164" spans="1:6">
      <c r="A164" s="29">
        <v>124</v>
      </c>
      <c r="B164" s="10" t="str">
        <f>VLOOKUP(A164,vaccines!A:B,2)</f>
        <v>Shingrix</v>
      </c>
      <c r="C164" s="29">
        <v>32</v>
      </c>
      <c r="D164" s="8" t="str">
        <f>VLOOKUP(C164,infections_list!A:B,2)</f>
        <v>опоясывающий герпес</v>
      </c>
      <c r="E164" s="40">
        <v>45377</v>
      </c>
    </row>
    <row r="165" spans="1:6">
      <c r="A165" s="29">
        <v>125</v>
      </c>
      <c r="B165" s="10" t="str">
        <f>VLOOKUP(A165,vaccines!A:B,2)</f>
        <v>Trivaid</v>
      </c>
      <c r="C165" s="7">
        <v>8</v>
      </c>
      <c r="D165" s="8" t="str">
        <f>VLOOKUP(C165,infections_list!A:B,2)</f>
        <v>корь</v>
      </c>
      <c r="E165" s="40">
        <v>45436</v>
      </c>
    </row>
    <row r="166" spans="1:6">
      <c r="A166" s="29">
        <v>125</v>
      </c>
      <c r="B166" s="10" t="str">
        <f>VLOOKUP(A166,vaccines!A:B,2)</f>
        <v>Trivaid</v>
      </c>
      <c r="C166" s="7">
        <v>12</v>
      </c>
      <c r="D166" s="8" t="str">
        <f>VLOOKUP(C166,infections_list!A:B,2)</f>
        <v>паротит</v>
      </c>
      <c r="E166" s="40">
        <v>45436</v>
      </c>
    </row>
    <row r="167" spans="1:6">
      <c r="A167" s="29">
        <v>125</v>
      </c>
      <c r="B167" s="10" t="str">
        <f>VLOOKUP(A167,vaccines!A:B,2)</f>
        <v>Trivaid</v>
      </c>
      <c r="C167" s="7">
        <v>13</v>
      </c>
      <c r="D167" s="8" t="str">
        <f>VLOOKUP(C167,infections_list!A:B,2)</f>
        <v>краснуха</v>
      </c>
      <c r="E167" s="40">
        <v>45436</v>
      </c>
    </row>
    <row r="168" spans="1:6">
      <c r="A168" s="29">
        <v>126</v>
      </c>
      <c r="B168" s="10" t="str">
        <f>VLOOKUP(A168,vaccines!A:B,2)</f>
        <v>BabyHib</v>
      </c>
      <c r="C168" s="29">
        <v>18</v>
      </c>
      <c r="D168" s="8" t="str">
        <f>VLOOKUP(C168,infections_list!A:B,2)</f>
        <v>гемофильная инфекция типа b</v>
      </c>
      <c r="E168" s="40">
        <v>45436</v>
      </c>
    </row>
    <row r="169" spans="1:6">
      <c r="A169" s="29">
        <v>127</v>
      </c>
      <c r="B169" s="10" t="str">
        <f>VLOOKUP(A169,vaccines!A:B,2)</f>
        <v>AD_M_Biomed</v>
      </c>
      <c r="C169" s="29">
        <v>2</v>
      </c>
      <c r="D169" s="8" t="str">
        <f>VLOOKUP(C169,infections_list!A:B,2)</f>
        <v>дифтерия</v>
      </c>
      <c r="E169" s="40">
        <v>45461</v>
      </c>
    </row>
    <row r="170" spans="1:6">
      <c r="A170" s="29">
        <v>128</v>
      </c>
      <c r="B170" s="10" t="str">
        <f>VLOOKUP(A170,vaccines!A:B,2)</f>
        <v>AS_D_Microgen</v>
      </c>
      <c r="C170" s="29">
        <v>1</v>
      </c>
      <c r="D170" s="8" t="str">
        <f>VLOOKUP(C170,infections_list!A:B,2)</f>
        <v>столбняк</v>
      </c>
      <c r="E170" s="40">
        <v>45461</v>
      </c>
    </row>
    <row r="171" spans="1:6">
      <c r="A171" s="29">
        <v>129</v>
      </c>
      <c r="B171" s="10" t="str">
        <f>VLOOKUP(A171,vaccines!A:B,2)</f>
        <v>Variola</v>
      </c>
      <c r="C171" s="29">
        <v>33</v>
      </c>
      <c r="D171" s="8" t="str">
        <f>VLOOKUP(C171,infections_list!A:B,2)</f>
        <v>оспа</v>
      </c>
      <c r="E171" s="40">
        <v>45461</v>
      </c>
    </row>
    <row r="172" spans="1:6">
      <c r="A172" s="29">
        <v>130</v>
      </c>
      <c r="B172" s="10" t="str">
        <f>VLOOKUP(A172,vaccines!A:B,2)</f>
        <v>AKDS_HepB_Microgen</v>
      </c>
      <c r="C172" s="29">
        <v>1</v>
      </c>
      <c r="D172" s="8" t="str">
        <f>VLOOKUP(C172,infections_list!A:B,2)</f>
        <v>столбняк</v>
      </c>
      <c r="E172" s="40">
        <v>45464</v>
      </c>
    </row>
    <row r="173" spans="1:6">
      <c r="A173" s="29">
        <v>130</v>
      </c>
      <c r="B173" s="10" t="str">
        <f>VLOOKUP(A173,vaccines!A:B,2)</f>
        <v>AKDS_HepB_Microgen</v>
      </c>
      <c r="C173" s="29">
        <v>2</v>
      </c>
      <c r="D173" s="8" t="str">
        <f>VLOOKUP(C173,infections_list!A:B,2)</f>
        <v>дифтерия</v>
      </c>
      <c r="E173" s="40">
        <v>45464</v>
      </c>
    </row>
    <row r="174" spans="1:6">
      <c r="A174" s="29">
        <v>130</v>
      </c>
      <c r="B174" s="10" t="str">
        <f>VLOOKUP(A174,vaccines!A:B,2)</f>
        <v>AKDS_HepB_Microgen</v>
      </c>
      <c r="C174" s="29">
        <v>5</v>
      </c>
      <c r="D174" s="8" t="str">
        <f>VLOOKUP(C174,infections_list!A:B,2)</f>
        <v>коклюш</v>
      </c>
      <c r="E174" s="40">
        <v>45464</v>
      </c>
    </row>
    <row r="175" spans="1:6">
      <c r="A175" s="29">
        <v>130</v>
      </c>
      <c r="B175" s="10" t="str">
        <f>VLOOKUP(A175,vaccines!A:B,2)</f>
        <v>AKDS_HepB_Microgen</v>
      </c>
      <c r="C175" s="29">
        <v>6</v>
      </c>
      <c r="D175" s="8" t="str">
        <f>VLOOKUP(C175,infections_list!A:B,2)</f>
        <v>гепатит B</v>
      </c>
      <c r="E175" s="40">
        <v>45464</v>
      </c>
    </row>
    <row r="176" spans="1:6">
      <c r="A176" s="29">
        <v>131</v>
      </c>
      <c r="B176" s="10" t="str">
        <f>VLOOKUP(A176,vaccines!A:B,2)</f>
        <v>Rickettsia</v>
      </c>
      <c r="C176" s="29">
        <v>35</v>
      </c>
      <c r="D176" s="8" t="str">
        <f>VLOOKUP(C176,infections_list!A:B,2)</f>
        <v>сыпной тиф</v>
      </c>
      <c r="E176" s="40">
        <v>45464</v>
      </c>
    </row>
    <row r="177" spans="1:5">
      <c r="A177" s="29">
        <v>132</v>
      </c>
      <c r="B177" s="10" t="str">
        <f>VLOOKUP(A177,vaccines!A:B,2)</f>
        <v>OspaVir</v>
      </c>
      <c r="C177" s="29">
        <v>33</v>
      </c>
      <c r="D177" s="8" t="str">
        <f>VLOOKUP(C177,infections_list!A:B,2)</f>
        <v>оспа</v>
      </c>
      <c r="E177" s="40">
        <v>45464</v>
      </c>
    </row>
    <row r="178" spans="1:5">
      <c r="A178" s="29">
        <v>133</v>
      </c>
      <c r="B178" s="10" t="str">
        <f>VLOOKUP(A178,vaccines!A:B,2)</f>
        <v>Gonovaccina_therapeutic</v>
      </c>
      <c r="C178" s="29">
        <v>36</v>
      </c>
      <c r="D178" s="8" t="str">
        <f>VLOOKUP(C178,infections_list!A:B,2)</f>
        <v>гонококк</v>
      </c>
      <c r="E178" s="40">
        <v>45464</v>
      </c>
    </row>
    <row r="179" spans="1:5">
      <c r="A179" s="29">
        <v>134</v>
      </c>
      <c r="B179" s="10" t="str">
        <f>VLOOKUP(A179,vaccines!A:B,2)</f>
        <v>OrtopoxVac</v>
      </c>
      <c r="C179" s="29">
        <v>33</v>
      </c>
      <c r="D179" s="8" t="str">
        <f>VLOOKUP(C179,infections_list!A:B,2)</f>
        <v>оспа</v>
      </c>
      <c r="E179" s="40">
        <v>45465</v>
      </c>
    </row>
    <row r="180" spans="1:5">
      <c r="A180" s="29">
        <v>135</v>
      </c>
      <c r="B180" s="10" t="str">
        <f>VLOOKUP(A180,vaccines!A:B,2)</f>
        <v>FlexVac</v>
      </c>
      <c r="C180" s="29">
        <v>37</v>
      </c>
      <c r="D180" s="8" t="str">
        <f>VLOOKUP(C180,infections_list!A:B,2)</f>
        <v>дизентерия</v>
      </c>
      <c r="E180" s="40">
        <v>45465</v>
      </c>
    </row>
    <row r="181" spans="1:5">
      <c r="A181" s="29">
        <v>136</v>
      </c>
      <c r="B181" s="10" t="str">
        <f>VLOOKUP(A181,vaccines!A:B,2)</f>
        <v>SinSaVac</v>
      </c>
      <c r="C181" s="29">
        <v>25</v>
      </c>
      <c r="D181" s="8" t="str">
        <f>VLOOKUP(C181,infections_list!A:B,2)</f>
        <v>желтая лихорадка</v>
      </c>
      <c r="E181" s="40">
        <v>45465</v>
      </c>
    </row>
    <row r="182" spans="1:5">
      <c r="A182" s="29">
        <v>137</v>
      </c>
      <c r="B182" s="10" t="str">
        <f>VLOOKUP(A182,vaccines!A:B,2)</f>
        <v>GamEvac_Lyo</v>
      </c>
      <c r="C182" s="29">
        <v>34</v>
      </c>
      <c r="D182" s="8" t="str">
        <f>VLOOKUP(C182,infections_list!A:B,2)</f>
        <v>эболавирус</v>
      </c>
      <c r="E182" s="40">
        <v>45465</v>
      </c>
    </row>
    <row r="183" spans="1:5">
      <c r="A183" s="29">
        <v>138</v>
      </c>
      <c r="B183" s="10" t="str">
        <f>VLOOKUP(A183,vaccines!A:B,2)</f>
        <v>EpiVacEbola</v>
      </c>
      <c r="C183" s="29">
        <v>34</v>
      </c>
      <c r="D183" s="8" t="str">
        <f>VLOOKUP(C183,infections_list!A:B,2)</f>
        <v>эболавирус</v>
      </c>
      <c r="E183" s="40">
        <v>45465</v>
      </c>
    </row>
    <row r="184" spans="1:5">
      <c r="A184" s="29">
        <v>139</v>
      </c>
      <c r="B184" s="10" t="str">
        <f>VLOOKUP(A184,vaccines!A:B,2)</f>
        <v>GamEvac_Combi</v>
      </c>
      <c r="C184" s="29">
        <v>34</v>
      </c>
      <c r="D184" s="8" t="str">
        <f>VLOOKUP(C184,infections_list!A:B,2)</f>
        <v>эболавирус</v>
      </c>
      <c r="E184" s="40">
        <v>45465</v>
      </c>
    </row>
    <row r="185" spans="1:5">
      <c r="A185" s="29">
        <v>140</v>
      </c>
      <c r="B185" s="10" t="str">
        <f>VLOOKUP(A185,vaccines!A:B,2)</f>
        <v>GamEvac</v>
      </c>
      <c r="C185" s="29">
        <v>34</v>
      </c>
      <c r="D185" s="8" t="str">
        <f>VLOOKUP(C185,infections_list!A:B,2)</f>
        <v>эболавирус</v>
      </c>
      <c r="E185" s="40">
        <v>45465</v>
      </c>
    </row>
    <row r="186" spans="1:5">
      <c r="A186" s="29">
        <v>141</v>
      </c>
      <c r="B186" s="10" t="str">
        <f>VLOOKUP(A186,vaccines!A:B,2)</f>
        <v>Staphylococcus_therapeutic_Biomed</v>
      </c>
      <c r="C186" s="29">
        <v>38</v>
      </c>
      <c r="D186" s="8" t="str">
        <f>VLOOKUP(C186,infections_list!A:B,2)</f>
        <v>стафилококк</v>
      </c>
      <c r="E186" s="40">
        <v>45465</v>
      </c>
    </row>
    <row r="187" spans="1:5">
      <c r="A187" s="29">
        <v>142</v>
      </c>
      <c r="B187" s="10" t="str">
        <f>VLOOKUP(A187,vaccines!A:B,2)</f>
        <v>Pseudovac</v>
      </c>
      <c r="C187" s="29">
        <v>39</v>
      </c>
      <c r="D187" s="8" t="str">
        <f>VLOOKUP(C187,infections_list!A:B,2)</f>
        <v>синегнойная палочка</v>
      </c>
      <c r="E187" s="40">
        <v>45466</v>
      </c>
    </row>
    <row r="188" spans="1:5">
      <c r="A188" s="29">
        <v>143</v>
      </c>
      <c r="B188" s="10" t="str">
        <f>VLOOKUP(A188,vaccines!A:B,2)</f>
        <v>SPSA_therapeutic</v>
      </c>
      <c r="C188" s="29">
        <v>38</v>
      </c>
      <c r="D188" s="8" t="str">
        <f>VLOOKUP(C188,infections_list!A:B,2)</f>
        <v>стафилококк</v>
      </c>
      <c r="E188" s="40">
        <v>45466</v>
      </c>
    </row>
    <row r="189" spans="1:5">
      <c r="A189" s="29">
        <v>143</v>
      </c>
      <c r="B189" s="10" t="str">
        <f>VLOOKUP(A189,vaccines!A:B,2)</f>
        <v>SPSA_therapeutic</v>
      </c>
      <c r="C189" s="29">
        <v>40</v>
      </c>
      <c r="D189" s="8" t="str">
        <f>VLOOKUP(C189,infections_list!A:B,2)</f>
        <v>протей</v>
      </c>
      <c r="E189" s="40">
        <v>45466</v>
      </c>
    </row>
    <row r="190" spans="1:5">
      <c r="A190" s="29">
        <v>143</v>
      </c>
      <c r="B190" s="10" t="str">
        <f>VLOOKUP(A190,vaccines!A:B,2)</f>
        <v>SPSA_therapeutic</v>
      </c>
      <c r="C190" s="29">
        <v>39</v>
      </c>
      <c r="D190" s="8" t="str">
        <f>VLOOKUP(C190,infections_list!A:B,2)</f>
        <v>синегнойная палочка</v>
      </c>
      <c r="E190" s="40">
        <v>45466</v>
      </c>
    </row>
    <row r="191" spans="1:5">
      <c r="A191" s="29">
        <v>144</v>
      </c>
      <c r="B191" s="10" t="str">
        <f>VLOOKUP(A191,vaccines!A:B,2)</f>
        <v>HepB_Serum_India_0_5</v>
      </c>
      <c r="C191" s="29">
        <v>6</v>
      </c>
      <c r="D191" s="8" t="str">
        <f>VLOOKUP(C191,infections_list!A:B,2)</f>
        <v>гепатит B</v>
      </c>
      <c r="E191" s="40">
        <v>45466</v>
      </c>
    </row>
    <row r="192" spans="1:5">
      <c r="A192" s="29">
        <v>145</v>
      </c>
      <c r="B192" s="10" t="str">
        <f>VLOOKUP(A192,vaccines!A:B,2)</f>
        <v>Polio_1_2_3</v>
      </c>
      <c r="C192" s="29">
        <v>9</v>
      </c>
      <c r="D192" s="8" t="str">
        <f>VLOOKUP(C192,infections_list!A:B,2)</f>
        <v>полиомиелит</v>
      </c>
      <c r="E192" s="40">
        <v>45466</v>
      </c>
    </row>
    <row r="193" spans="1:5">
      <c r="A193" s="29">
        <v>146</v>
      </c>
      <c r="B193" s="10" t="str">
        <f>VLOOKUP(A193,vaccines!A:B,2)</f>
        <v>TEOVac_chew_tablets</v>
      </c>
      <c r="C193" s="29">
        <v>33</v>
      </c>
      <c r="D193" s="8" t="str">
        <f>VLOOKUP(C193,infections_list!A:B,2)</f>
        <v>оспа</v>
      </c>
      <c r="E193" s="40">
        <v>45467</v>
      </c>
    </row>
    <row r="194" spans="1:5">
      <c r="A194" s="29">
        <v>147</v>
      </c>
      <c r="B194" s="10" t="str">
        <f>VLOOKUP(A194,vaccines!A:B,2)</f>
        <v>TEOVac_tablets</v>
      </c>
      <c r="C194" s="29">
        <v>33</v>
      </c>
      <c r="D194" s="8" t="str">
        <f>VLOOKUP(C194,infections_list!A:B,2)</f>
        <v>оспа</v>
      </c>
      <c r="E194" s="40">
        <v>45467</v>
      </c>
    </row>
    <row r="195" spans="1:5">
      <c r="A195" s="29">
        <v>148</v>
      </c>
      <c r="B195" s="10" t="str">
        <f>VLOOKUP(A195,vaccines!A:B,2)</f>
        <v>Uro_BCG_therapeutic</v>
      </c>
      <c r="C195" s="29">
        <v>41</v>
      </c>
      <c r="D195" s="8" t="str">
        <f>VLOOKUP(C195,infections_list!A:B,2)</f>
        <v>рак мочевого пузыря</v>
      </c>
      <c r="E195" s="40">
        <v>45494</v>
      </c>
    </row>
    <row r="196" spans="1:5">
      <c r="A196" s="29">
        <v>149</v>
      </c>
      <c r="B196" s="10" t="str">
        <f>VLOOKUP(A196,vaccines!A:B,2)</f>
        <v>Flu_Microgen</v>
      </c>
      <c r="C196" s="29">
        <v>3</v>
      </c>
      <c r="D196" s="8" t="str">
        <f>VLOOKUP(C196,infections_list!A:B,2)</f>
        <v>грипп</v>
      </c>
      <c r="E196" s="40">
        <v>45494</v>
      </c>
    </row>
    <row r="197" spans="1:5">
      <c r="A197" s="29">
        <v>150</v>
      </c>
      <c r="B197" s="10" t="str">
        <f>VLOOKUP(A197,vaccines!A:B,2)</f>
        <v>MonoGrippol_plus</v>
      </c>
      <c r="C197" s="29">
        <v>3</v>
      </c>
      <c r="D197" s="8" t="str">
        <f>VLOOKUP(C197,infections_list!A:B,2)</f>
        <v>грипп</v>
      </c>
      <c r="E197" s="40">
        <v>45494</v>
      </c>
    </row>
    <row r="198" spans="1:5">
      <c r="A198" s="29">
        <v>151</v>
      </c>
      <c r="B198" s="10" t="str">
        <f>VLOOKUP(A198,vaccines!A:B,2)</f>
        <v>MonoGrippol_Neo</v>
      </c>
      <c r="C198" s="29">
        <v>3</v>
      </c>
      <c r="D198" s="8" t="str">
        <f>VLOOKUP(C198,infections_list!A:B,2)</f>
        <v>грипп</v>
      </c>
      <c r="E198" s="40">
        <v>45494</v>
      </c>
    </row>
    <row r="199" spans="1:5">
      <c r="A199" s="29">
        <v>152</v>
      </c>
      <c r="B199" s="10" t="str">
        <f>VLOOKUP(A199,vaccines!A:B,2)</f>
        <v>MonoGrippol</v>
      </c>
      <c r="C199" s="29">
        <v>3</v>
      </c>
      <c r="D199" s="8" t="str">
        <f>VLOOKUP(C199,infections_list!A:B,2)</f>
        <v>грипп</v>
      </c>
      <c r="E199" s="40">
        <v>45494</v>
      </c>
    </row>
    <row r="200" spans="1:5">
      <c r="A200" s="29">
        <v>153</v>
      </c>
      <c r="B200" s="10" t="str">
        <f>VLOOKUP(A200,vaccines!A:B,2)</f>
        <v>Influvir</v>
      </c>
      <c r="C200" s="29">
        <v>3</v>
      </c>
      <c r="D200" s="8" t="str">
        <f>VLOOKUP(C200,infections_list!A:B,2)</f>
        <v>грипп</v>
      </c>
      <c r="E200" s="40">
        <v>45494</v>
      </c>
    </row>
    <row r="201" spans="1:5">
      <c r="A201" s="29">
        <v>154</v>
      </c>
      <c r="B201" s="10" t="str">
        <f>VLOOKUP(A201,vaccines!A:B,2)</f>
        <v>Pandeflu</v>
      </c>
      <c r="C201" s="29">
        <v>3</v>
      </c>
      <c r="D201" s="8" t="str">
        <f>VLOOKUP(C201,infections_list!A:B,2)</f>
        <v>грипп</v>
      </c>
      <c r="E201" s="40">
        <v>45494</v>
      </c>
    </row>
    <row r="202" spans="1:5">
      <c r="A202" s="29">
        <v>155</v>
      </c>
      <c r="B202" s="10" t="str">
        <f>VLOOKUP(A202,vaccines!A:B,2)</f>
        <v>Grippol_Neo</v>
      </c>
      <c r="C202" s="29">
        <v>3</v>
      </c>
      <c r="D202" s="8" t="str">
        <f>VLOOKUP(C202,infections_list!A:B,2)</f>
        <v>грипп</v>
      </c>
      <c r="E202" s="40">
        <v>45494</v>
      </c>
    </row>
    <row r="203" spans="1:5">
      <c r="A203" s="29">
        <v>156</v>
      </c>
      <c r="B203" s="10" t="str">
        <f>VLOOKUP(A203,vaccines!A:B,2)</f>
        <v>Ultravac</v>
      </c>
      <c r="C203" s="29">
        <v>3</v>
      </c>
      <c r="D203" s="8" t="str">
        <f>VLOOKUP(C203,infections_list!A:B,2)</f>
        <v>грипп</v>
      </c>
      <c r="E203" s="40">
        <v>45494</v>
      </c>
    </row>
    <row r="204" spans="1:5">
      <c r="A204" s="29">
        <v>157</v>
      </c>
      <c r="B204" s="10" t="str">
        <f>VLOOKUP(A204,vaccines!A:B,2)</f>
        <v>Fluvaccin</v>
      </c>
      <c r="C204" s="29">
        <v>3</v>
      </c>
      <c r="D204" s="8" t="str">
        <f>VLOOKUP(C204,infections_list!A:B,2)</f>
        <v>грипп</v>
      </c>
      <c r="E204" s="40">
        <v>45494</v>
      </c>
    </row>
    <row r="205" spans="1:5">
      <c r="A205" s="29">
        <v>158</v>
      </c>
      <c r="B205" s="10" t="str">
        <f>VLOOKUP(A205,vaccines!A:B,2)</f>
        <v>Gerpovax_therapeutic</v>
      </c>
      <c r="C205" s="29">
        <v>31</v>
      </c>
      <c r="D205" s="8" t="str">
        <f>VLOOKUP(C205,infections_list!A:B,2)</f>
        <v>вирус простого герпеса</v>
      </c>
      <c r="E205" s="40">
        <v>45496</v>
      </c>
    </row>
    <row r="206" spans="1:5">
      <c r="A206" s="29">
        <v>159</v>
      </c>
      <c r="B206" s="10" t="str">
        <f>VLOOKUP(A206,vaccines!A:B,2)</f>
        <v>Ultragrivac</v>
      </c>
      <c r="C206" s="29">
        <v>42</v>
      </c>
      <c r="D206" s="8" t="str">
        <f>VLOOKUP(C206,infections_list!A:B,2)</f>
        <v>птичий грипп</v>
      </c>
      <c r="E206" s="40">
        <v>45496</v>
      </c>
    </row>
    <row r="207" spans="1:5">
      <c r="A207" s="29">
        <v>160</v>
      </c>
      <c r="B207" s="10" t="str">
        <f>VLOOKUP(A207,vaccines!A:B,2)</f>
        <v>OrniFlu</v>
      </c>
      <c r="C207" s="29">
        <v>42</v>
      </c>
      <c r="D207" s="8" t="str">
        <f>VLOOKUP(C207,infections_list!A:B,2)</f>
        <v>птичий грипп</v>
      </c>
      <c r="E207" s="40">
        <v>45496</v>
      </c>
    </row>
    <row r="208" spans="1:5">
      <c r="A208" s="29">
        <v>161</v>
      </c>
      <c r="B208" s="10" t="str">
        <f>VLOOKUP(A208,vaccines!A:B,2)</f>
        <v>rubella_Croatia</v>
      </c>
      <c r="C208" s="29">
        <v>13</v>
      </c>
      <c r="D208" s="8" t="str">
        <f>VLOOKUP(C208,infections_list!A:B,2)</f>
        <v>краснуха</v>
      </c>
      <c r="E208" s="40">
        <v>45496</v>
      </c>
    </row>
    <row r="209" spans="1:5">
      <c r="A209" s="29">
        <v>162</v>
      </c>
      <c r="B209" s="10" t="str">
        <f>VLOOKUP(A209,vaccines!A:B,2)</f>
        <v>Tetraanatoxin</v>
      </c>
      <c r="C209" s="29">
        <v>1</v>
      </c>
      <c r="D209" s="8" t="str">
        <f>VLOOKUP(C209,infections_list!A:B,2)</f>
        <v>столбняк</v>
      </c>
      <c r="E209" s="40">
        <v>45497</v>
      </c>
    </row>
    <row r="210" spans="1:5">
      <c r="A210" s="29">
        <v>162</v>
      </c>
      <c r="B210" s="10" t="str">
        <f>VLOOKUP(A210,vaccines!A:B,2)</f>
        <v>Tetraanatoxin</v>
      </c>
      <c r="C210" s="29">
        <v>43</v>
      </c>
      <c r="D210" s="8" t="str">
        <f>VLOOKUP(C210,infections_list!A:B,2)</f>
        <v>ботулизм</v>
      </c>
      <c r="E210" s="40">
        <v>45497</v>
      </c>
    </row>
    <row r="211" spans="1:5">
      <c r="A211" s="29">
        <v>163</v>
      </c>
      <c r="B211" s="10" t="str">
        <f>VLOOKUP(A211,vaccines!A:B,2)</f>
        <v>Staphylococcus_Gamaleya</v>
      </c>
      <c r="C211" s="29">
        <v>38</v>
      </c>
      <c r="D211" s="8" t="str">
        <f>VLOOKUP(C211,infections_list!A:B,2)</f>
        <v>стафилококк</v>
      </c>
      <c r="E211" s="40">
        <v>45497</v>
      </c>
    </row>
    <row r="212" spans="1:5">
      <c r="A212" s="29">
        <v>164</v>
      </c>
      <c r="B212" s="10" t="str">
        <f>VLOOKUP(A212,vaccines!A:B,2)</f>
        <v>Staphylococcus_therapeutic_Gamaleya</v>
      </c>
      <c r="C212" s="29">
        <v>38</v>
      </c>
      <c r="D212" s="8" t="str">
        <f>VLOOKUP(C212,infections_list!A:B,2)</f>
        <v>стафилококк</v>
      </c>
      <c r="E212" s="40">
        <v>45497</v>
      </c>
    </row>
    <row r="213" spans="1:5">
      <c r="A213" s="29">
        <v>165</v>
      </c>
      <c r="B213" s="10" t="str">
        <f>VLOOKUP(A213,vaccines!A:B,2)</f>
        <v>Imuron_vac_therapeutic</v>
      </c>
      <c r="C213" s="29">
        <v>41</v>
      </c>
      <c r="D213" s="8" t="str">
        <f>VLOOKUP(C213,infections_list!A:B,2)</f>
        <v>рак мочевого пузыря</v>
      </c>
      <c r="E213" s="40">
        <v>45497</v>
      </c>
    </row>
    <row r="214" spans="1:5">
      <c r="A214" s="29">
        <v>166</v>
      </c>
      <c r="B214" s="10" t="str">
        <f>VLOOKUP(A214,vaccines!A:B,2)</f>
        <v>HepB_Serum_India_1_0</v>
      </c>
      <c r="C214" s="29">
        <v>6</v>
      </c>
      <c r="D214" s="8" t="str">
        <f>VLOOKUP(C214,infections_list!A:B,2)</f>
        <v>гепатит B</v>
      </c>
      <c r="E214" s="40">
        <v>45466</v>
      </c>
    </row>
    <row r="215" spans="1:5">
      <c r="A215" s="29">
        <v>167</v>
      </c>
      <c r="B215" s="10" t="str">
        <f>VLOOKUP(A215,vaccines!A:B,2)</f>
        <v>Hexaxim</v>
      </c>
      <c r="C215" s="29">
        <v>1</v>
      </c>
      <c r="D215" s="8" t="str">
        <f>VLOOKUP(C215,infections_list!A:B,2)</f>
        <v>столбняк</v>
      </c>
      <c r="E215" s="40">
        <v>45558</v>
      </c>
    </row>
    <row r="216" spans="1:5">
      <c r="A216" s="29">
        <v>167</v>
      </c>
      <c r="B216" s="10" t="str">
        <f>VLOOKUP(A216,vaccines!A:B,2)</f>
        <v>Hexaxim</v>
      </c>
      <c r="C216" s="29">
        <v>2</v>
      </c>
      <c r="D216" s="8" t="str">
        <f>VLOOKUP(C216,infections_list!A:B,2)</f>
        <v>дифтерия</v>
      </c>
      <c r="E216" s="40">
        <v>45558</v>
      </c>
    </row>
    <row r="217" spans="1:5">
      <c r="A217" s="29">
        <v>167</v>
      </c>
      <c r="B217" s="10" t="str">
        <f>VLOOKUP(A217,vaccines!A:B,2)</f>
        <v>Hexaxim</v>
      </c>
      <c r="C217" s="29">
        <v>5</v>
      </c>
      <c r="D217" s="8" t="str">
        <f>VLOOKUP(C217,infections_list!A:B,2)</f>
        <v>коклюш</v>
      </c>
      <c r="E217" s="40">
        <v>45558</v>
      </c>
    </row>
    <row r="218" spans="1:5">
      <c r="A218" s="29">
        <v>167</v>
      </c>
      <c r="B218" s="10" t="str">
        <f>VLOOKUP(A218,vaccines!A:B,2)</f>
        <v>Hexaxim</v>
      </c>
      <c r="C218" s="29">
        <v>6</v>
      </c>
      <c r="D218" s="8" t="str">
        <f>VLOOKUP(C218,infections_list!A:B,2)</f>
        <v>гепатит B</v>
      </c>
      <c r="E218" s="40">
        <v>45558</v>
      </c>
    </row>
    <row r="219" spans="1:5">
      <c r="A219" s="29">
        <v>167</v>
      </c>
      <c r="B219" s="10" t="str">
        <f>VLOOKUP(A219,vaccines!A:B,2)</f>
        <v>Hexaxim</v>
      </c>
      <c r="C219" s="29">
        <v>9</v>
      </c>
      <c r="D219" s="8" t="str">
        <f>VLOOKUP(C219,infections_list!A:B,2)</f>
        <v>полиомиелит</v>
      </c>
      <c r="E219" s="40">
        <v>45558</v>
      </c>
    </row>
    <row r="220" spans="1:5">
      <c r="A220" s="29">
        <v>167</v>
      </c>
      <c r="B220" s="10" t="str">
        <f>VLOOKUP(A220,vaccines!A:B,2)</f>
        <v>Hexaxim</v>
      </c>
      <c r="C220" s="29">
        <v>18</v>
      </c>
      <c r="D220" s="8" t="str">
        <f>VLOOKUP(C220,infections_list!A:B,2)</f>
        <v>гемофильная инфекция типа b</v>
      </c>
      <c r="E220" s="40">
        <v>45558</v>
      </c>
    </row>
    <row r="221" spans="1:5">
      <c r="A221" s="29">
        <v>168</v>
      </c>
      <c r="B221" s="10" t="str">
        <f>VLOOKUP(A221,vaccines!A:B,2)</f>
        <v>Gam_VLP_multivac</v>
      </c>
      <c r="C221" s="29">
        <v>16</v>
      </c>
      <c r="D221" s="8" t="str">
        <f>VLOOKUP(C221,infections_list!A:B,2)</f>
        <v>ковид</v>
      </c>
      <c r="E221" s="40">
        <v>45678</v>
      </c>
    </row>
    <row r="222" spans="1:5">
      <c r="A222" s="29">
        <v>169</v>
      </c>
      <c r="B222" s="10" t="str">
        <f>VLOOKUP(A222,vaccines!A:B,2)</f>
        <v>Gam_VLP_multivac_nasal</v>
      </c>
      <c r="C222" s="29">
        <v>16</v>
      </c>
      <c r="D222" s="8" t="str">
        <f>VLOOKUP(C222,infections_list!A:B,2)</f>
        <v>ковид</v>
      </c>
      <c r="E222" s="40">
        <v>45742</v>
      </c>
    </row>
    <row r="223" spans="1:5">
      <c r="A223" s="29">
        <v>170</v>
      </c>
      <c r="B223" s="10" t="str">
        <f>VLOOKUP(A223,vaccines!A:B,2)</f>
        <v>Cegardex</v>
      </c>
      <c r="C223" s="29">
        <v>19</v>
      </c>
      <c r="D223" s="8" t="str">
        <f>VLOOKUP(C223,infections_list!A:B,2)</f>
        <v>вирус папилломы человека</v>
      </c>
      <c r="E223" s="40">
        <v>45742</v>
      </c>
    </row>
    <row r="224" spans="1:5">
      <c r="A224" s="29">
        <v>171</v>
      </c>
      <c r="B224" s="10" t="str">
        <f>VLOOKUP(A224,vaccines!A:B,2)</f>
        <v>Menvaid</v>
      </c>
      <c r="C224" s="29">
        <v>7</v>
      </c>
      <c r="D224" s="8" t="str">
        <f>VLOOKUP(C224,infections_list!A:B,2)</f>
        <v>менингококк</v>
      </c>
      <c r="E224" s="40">
        <v>45755</v>
      </c>
    </row>
    <row r="225" spans="1:5">
      <c r="A225" s="29">
        <v>172</v>
      </c>
      <c r="B225" s="10" t="str">
        <f>VLOOKUP(A225,vaccines!A:B,2)</f>
        <v>ChiroRab</v>
      </c>
      <c r="C225" s="29">
        <v>14</v>
      </c>
      <c r="D225" s="8" t="str">
        <f>VLOOKUP(C225,infections_list!A:B,2)</f>
        <v>бешенство</v>
      </c>
      <c r="E225" s="40">
        <v>45818</v>
      </c>
    </row>
    <row r="226" spans="1:5">
      <c r="A226" s="29">
        <v>173</v>
      </c>
      <c r="B226" s="10" t="str">
        <f>VLOOKUP(A226,vaccines!A:B,2)</f>
        <v>Prevenar_20</v>
      </c>
      <c r="C226" s="29">
        <v>17</v>
      </c>
      <c r="D226" s="8" t="str">
        <f>VLOOKUP(C226,infections_list!A:B,2)</f>
        <v>пневмококк</v>
      </c>
      <c r="E226" s="40">
        <v>45861</v>
      </c>
    </row>
    <row r="227" spans="1:5">
      <c r="A227" s="29">
        <v>174</v>
      </c>
      <c r="B227" s="10" t="str">
        <f>VLOOKUP(A227,vaccines!A:B,2)</f>
        <v>aAKDS_M</v>
      </c>
      <c r="C227" s="7">
        <v>1</v>
      </c>
      <c r="D227" s="8" t="str">
        <f>VLOOKUP(C227,infections_list!A:B,2)</f>
        <v>столбняк</v>
      </c>
      <c r="E227" s="40">
        <v>46131</v>
      </c>
    </row>
    <row r="228" spans="1:5">
      <c r="A228" s="29">
        <v>174</v>
      </c>
      <c r="B228" s="10" t="str">
        <f>VLOOKUP(A228,vaccines!A:B,2)</f>
        <v>aAKDS_M</v>
      </c>
      <c r="C228" s="7">
        <v>2</v>
      </c>
      <c r="D228" s="8" t="str">
        <f>VLOOKUP(C228,infections_list!A:B,2)</f>
        <v>дифтерия</v>
      </c>
      <c r="E228" s="40">
        <v>46131</v>
      </c>
    </row>
    <row r="229" spans="1:5">
      <c r="A229" s="29">
        <v>174</v>
      </c>
      <c r="B229" s="10" t="str">
        <f>VLOOKUP(A229,vaccines!A:B,2)</f>
        <v>aAKDS_M</v>
      </c>
      <c r="C229" s="7">
        <v>5</v>
      </c>
      <c r="D229" s="8" t="str">
        <f>VLOOKUP(C229,infections_list!A:B,2)</f>
        <v>коклюш</v>
      </c>
      <c r="E229" s="40">
        <v>46131</v>
      </c>
    </row>
    <row r="230" spans="1:5">
      <c r="A230" s="29">
        <v>175</v>
      </c>
      <c r="B230" s="10" t="str">
        <f>VLOOKUP(A230,vaccines!A:B,2)</f>
        <v>Nimenrix</v>
      </c>
      <c r="C230" s="29">
        <v>7</v>
      </c>
      <c r="D230" s="8" t="str">
        <f>VLOOKUP(C230,infections_list!A:B,2)</f>
        <v>менингококк</v>
      </c>
      <c r="E230" s="40">
        <v>46131</v>
      </c>
    </row>
    <row r="231" spans="1:5">
      <c r="E231" s="43"/>
    </row>
    <row r="232" spans="1:5">
      <c r="E232" s="43"/>
    </row>
    <row r="233" spans="1:5">
      <c r="E233" s="43"/>
    </row>
    <row r="234" spans="1:5">
      <c r="E234" s="43"/>
    </row>
    <row r="235" spans="1:5">
      <c r="E235" s="43"/>
    </row>
    <row r="236" spans="1:5">
      <c r="E236" s="43"/>
    </row>
    <row r="237" spans="1:5">
      <c r="E237" s="43"/>
    </row>
    <row r="238" spans="1:5">
      <c r="E238" s="43"/>
    </row>
    <row r="239" spans="1:5">
      <c r="E239" s="43"/>
    </row>
    <row r="240" spans="1:5">
      <c r="E240" s="43"/>
    </row>
    <row r="241" spans="5:5">
      <c r="E241" s="43"/>
    </row>
    <row r="242" spans="5:5">
      <c r="E242" s="43"/>
    </row>
    <row r="243" spans="5:5">
      <c r="E243" s="43"/>
    </row>
    <row r="244" spans="5:5">
      <c r="E244" s="43"/>
    </row>
    <row r="245" spans="5:5">
      <c r="E245" s="43"/>
    </row>
    <row r="246" spans="5:5">
      <c r="E246" s="43"/>
    </row>
    <row r="247" spans="5:5">
      <c r="E247" s="43"/>
    </row>
    <row r="248" spans="5:5">
      <c r="E248" s="43"/>
    </row>
    <row r="249" spans="5:5">
      <c r="E249" s="43"/>
    </row>
    <row r="250" spans="5:5">
      <c r="E250" s="43"/>
    </row>
    <row r="251" spans="5:5">
      <c r="E251" s="43"/>
    </row>
    <row r="252" spans="5:5">
      <c r="E252" s="43"/>
    </row>
    <row r="253" spans="5:5">
      <c r="E253" s="43"/>
    </row>
    <row r="254" spans="5:5">
      <c r="E254" s="43"/>
    </row>
    <row r="255" spans="5:5">
      <c r="E255" s="43"/>
    </row>
    <row r="256" spans="5:5">
      <c r="E256" s="43"/>
    </row>
    <row r="257" spans="5:5">
      <c r="E257" s="43"/>
    </row>
    <row r="258" spans="5:5">
      <c r="E258" s="43"/>
    </row>
    <row r="259" spans="5:5">
      <c r="E259" s="43"/>
    </row>
    <row r="260" spans="5:5">
      <c r="E260" s="43"/>
    </row>
    <row r="261" spans="5:5">
      <c r="E261" s="43"/>
    </row>
    <row r="262" spans="5:5">
      <c r="E262" s="43"/>
    </row>
    <row r="263" spans="5:5">
      <c r="E263" s="43"/>
    </row>
    <row r="264" spans="5:5">
      <c r="E264" s="43"/>
    </row>
    <row r="265" spans="5:5">
      <c r="E265" s="43"/>
    </row>
    <row r="266" spans="5:5">
      <c r="E266" s="43"/>
    </row>
    <row r="267" spans="5:5">
      <c r="E267" s="43"/>
    </row>
    <row r="268" spans="5:5">
      <c r="E268" s="43"/>
    </row>
    <row r="269" spans="5:5">
      <c r="E269" s="43"/>
    </row>
    <row r="270" spans="5:5">
      <c r="E270" s="43"/>
    </row>
    <row r="271" spans="5:5">
      <c r="E271" s="43"/>
    </row>
    <row r="272" spans="5:5">
      <c r="E272" s="43"/>
    </row>
    <row r="273" spans="5:5">
      <c r="E273" s="43"/>
    </row>
    <row r="274" spans="5:5">
      <c r="E274" s="43"/>
    </row>
    <row r="275" spans="5:5">
      <c r="E275" s="43"/>
    </row>
    <row r="276" spans="5:5">
      <c r="E276" s="43"/>
    </row>
    <row r="277" spans="5:5">
      <c r="E277" s="43"/>
    </row>
    <row r="278" spans="5:5">
      <c r="E278" s="43"/>
    </row>
    <row r="279" spans="5:5">
      <c r="E279" s="43"/>
    </row>
    <row r="280" spans="5:5">
      <c r="E280" s="43"/>
    </row>
    <row r="281" spans="5:5">
      <c r="E281" s="43"/>
    </row>
    <row r="282" spans="5:5">
      <c r="E282" s="43"/>
    </row>
    <row r="283" spans="5:5">
      <c r="E283" s="43"/>
    </row>
    <row r="284" spans="5:5">
      <c r="E284" s="43"/>
    </row>
    <row r="285" spans="5:5">
      <c r="E285" s="43"/>
    </row>
    <row r="286" spans="5:5">
      <c r="E286" s="43"/>
    </row>
    <row r="287" spans="5:5">
      <c r="E287" s="43"/>
    </row>
    <row r="288" spans="5:5">
      <c r="E288" s="43"/>
    </row>
    <row r="289" spans="5:5">
      <c r="E289" s="43"/>
    </row>
    <row r="290" spans="5:5">
      <c r="E290" s="43"/>
    </row>
    <row r="291" spans="5:5">
      <c r="E291" s="43"/>
    </row>
    <row r="292" spans="5:5">
      <c r="E292" s="43"/>
    </row>
    <row r="293" spans="5:5">
      <c r="E293" s="43"/>
    </row>
    <row r="294" spans="5:5">
      <c r="E294" s="43"/>
    </row>
    <row r="295" spans="5:5">
      <c r="E295" s="43"/>
    </row>
    <row r="296" spans="5:5">
      <c r="E296" s="43"/>
    </row>
    <row r="297" spans="5:5">
      <c r="E297" s="43"/>
    </row>
    <row r="298" spans="5:5">
      <c r="E298" s="43"/>
    </row>
    <row r="299" spans="5:5">
      <c r="E299" s="43"/>
    </row>
    <row r="300" spans="5:5">
      <c r="E300" s="43"/>
    </row>
    <row r="301" spans="5:5">
      <c r="E301" s="43"/>
    </row>
    <row r="302" spans="5:5">
      <c r="E302" s="43"/>
    </row>
    <row r="303" spans="5:5">
      <c r="E303" s="43"/>
    </row>
    <row r="304" spans="5:5">
      <c r="E304" s="43"/>
    </row>
    <row r="305" spans="5:5">
      <c r="E305" s="43"/>
    </row>
    <row r="306" spans="5:5">
      <c r="E306" s="43"/>
    </row>
    <row r="307" spans="5:5">
      <c r="E307" s="43"/>
    </row>
    <row r="308" spans="5:5">
      <c r="E308" s="43"/>
    </row>
    <row r="309" spans="5:5">
      <c r="E309" s="43"/>
    </row>
    <row r="310" spans="5:5">
      <c r="E310" s="43"/>
    </row>
    <row r="311" spans="5:5">
      <c r="E311" s="43"/>
    </row>
    <row r="312" spans="5:5">
      <c r="E312" s="43"/>
    </row>
    <row r="313" spans="5:5">
      <c r="E313" s="43"/>
    </row>
    <row r="314" spans="5:5">
      <c r="E314" s="43"/>
    </row>
    <row r="315" spans="5:5">
      <c r="E315" s="43"/>
    </row>
    <row r="316" spans="5:5">
      <c r="E316" s="43"/>
    </row>
    <row r="317" spans="5:5">
      <c r="E317" s="43"/>
    </row>
    <row r="318" spans="5:5">
      <c r="E318" s="43"/>
    </row>
    <row r="319" spans="5:5">
      <c r="E319" s="43"/>
    </row>
    <row r="320" spans="5:5">
      <c r="E320" s="43"/>
    </row>
    <row r="321" spans="5:5">
      <c r="E321" s="43"/>
    </row>
    <row r="322" spans="5:5">
      <c r="E322" s="43"/>
    </row>
    <row r="323" spans="5:5">
      <c r="E323" s="43"/>
    </row>
    <row r="324" spans="5:5">
      <c r="E324" s="43"/>
    </row>
    <row r="325" spans="5:5">
      <c r="E325" s="43"/>
    </row>
    <row r="326" spans="5:5">
      <c r="E326" s="43"/>
    </row>
    <row r="327" spans="5:5">
      <c r="E327" s="43"/>
    </row>
    <row r="328" spans="5:5">
      <c r="E328" s="43"/>
    </row>
    <row r="329" spans="5:5">
      <c r="E329" s="43"/>
    </row>
    <row r="330" spans="5:5">
      <c r="E330" s="43"/>
    </row>
    <row r="331" spans="5:5">
      <c r="E331" s="43"/>
    </row>
    <row r="332" spans="5:5">
      <c r="E332" s="43"/>
    </row>
    <row r="333" spans="5:5">
      <c r="E333" s="43"/>
    </row>
    <row r="334" spans="5:5">
      <c r="E334" s="43"/>
    </row>
    <row r="335" spans="5:5">
      <c r="E335" s="43"/>
    </row>
    <row r="336" spans="5:5">
      <c r="E336" s="43"/>
    </row>
    <row r="337" spans="5:5">
      <c r="E337" s="43"/>
    </row>
    <row r="338" spans="5:5">
      <c r="E338" s="43"/>
    </row>
    <row r="339" spans="5:5">
      <c r="E339" s="43"/>
    </row>
    <row r="340" spans="5:5">
      <c r="E340" s="43"/>
    </row>
    <row r="341" spans="5:5">
      <c r="E341" s="43"/>
    </row>
    <row r="342" spans="5:5">
      <c r="E342" s="43"/>
    </row>
    <row r="343" spans="5:5">
      <c r="E343" s="43"/>
    </row>
    <row r="344" spans="5:5">
      <c r="E344" s="43"/>
    </row>
    <row r="345" spans="5:5">
      <c r="E345" s="43"/>
    </row>
    <row r="346" spans="5:5">
      <c r="E346" s="43"/>
    </row>
    <row r="347" spans="5:5">
      <c r="E347" s="43"/>
    </row>
    <row r="348" spans="5:5">
      <c r="E348" s="43"/>
    </row>
    <row r="349" spans="5:5">
      <c r="E349" s="43"/>
    </row>
    <row r="350" spans="5:5">
      <c r="E350" s="43"/>
    </row>
    <row r="351" spans="5:5">
      <c r="E351" s="43"/>
    </row>
    <row r="352" spans="5:5">
      <c r="E352" s="43"/>
    </row>
    <row r="353" spans="5:5">
      <c r="E353" s="43"/>
    </row>
    <row r="354" spans="5:5">
      <c r="E354" s="43"/>
    </row>
    <row r="355" spans="5:5">
      <c r="E355" s="43"/>
    </row>
    <row r="356" spans="5:5">
      <c r="E356" s="43"/>
    </row>
    <row r="357" spans="5:5">
      <c r="E357" s="43"/>
    </row>
    <row r="358" spans="5:5">
      <c r="E358" s="43"/>
    </row>
    <row r="359" spans="5:5">
      <c r="E359" s="43"/>
    </row>
    <row r="360" spans="5:5">
      <c r="E360" s="43"/>
    </row>
    <row r="361" spans="5:5">
      <c r="E361" s="43"/>
    </row>
    <row r="362" spans="5:5">
      <c r="E362" s="43"/>
    </row>
    <row r="363" spans="5:5">
      <c r="E363" s="43"/>
    </row>
    <row r="364" spans="5:5">
      <c r="E364" s="43"/>
    </row>
    <row r="365" spans="5:5">
      <c r="E365" s="43"/>
    </row>
    <row r="366" spans="5:5">
      <c r="E366" s="43"/>
    </row>
    <row r="367" spans="5:5">
      <c r="E367" s="43"/>
    </row>
    <row r="368" spans="5:5">
      <c r="E368" s="43"/>
    </row>
    <row r="369" spans="5:5">
      <c r="E369" s="43"/>
    </row>
    <row r="370" spans="5:5">
      <c r="E370" s="43"/>
    </row>
    <row r="371" spans="5:5">
      <c r="E371" s="43"/>
    </row>
    <row r="372" spans="5:5">
      <c r="E372" s="43"/>
    </row>
    <row r="373" spans="5:5">
      <c r="E373" s="43"/>
    </row>
    <row r="374" spans="5:5">
      <c r="E374" s="43"/>
    </row>
    <row r="375" spans="5:5">
      <c r="E375" s="43"/>
    </row>
    <row r="376" spans="5:5">
      <c r="E376" s="43"/>
    </row>
    <row r="377" spans="5:5">
      <c r="E377" s="43"/>
    </row>
    <row r="378" spans="5:5">
      <c r="E378" s="43"/>
    </row>
    <row r="379" spans="5:5">
      <c r="E379" s="43"/>
    </row>
    <row r="380" spans="5:5">
      <c r="E380" s="43"/>
    </row>
    <row r="381" spans="5:5">
      <c r="E381" s="43"/>
    </row>
    <row r="382" spans="5:5">
      <c r="E382" s="43"/>
    </row>
    <row r="383" spans="5:5">
      <c r="E383" s="43"/>
    </row>
    <row r="384" spans="5:5">
      <c r="E384" s="43"/>
    </row>
    <row r="385" spans="5:5">
      <c r="E385" s="43"/>
    </row>
    <row r="386" spans="5:5">
      <c r="E386" s="43"/>
    </row>
    <row r="387" spans="5:5">
      <c r="E387" s="43"/>
    </row>
    <row r="388" spans="5:5">
      <c r="E388" s="43"/>
    </row>
    <row r="389" spans="5:5">
      <c r="E389" s="43"/>
    </row>
    <row r="390" spans="5:5">
      <c r="E390" s="43"/>
    </row>
    <row r="391" spans="5:5">
      <c r="E391" s="43"/>
    </row>
    <row r="392" spans="5:5">
      <c r="E392" s="43"/>
    </row>
    <row r="393" spans="5:5">
      <c r="E393" s="43"/>
    </row>
    <row r="394" spans="5:5">
      <c r="E394" s="43"/>
    </row>
    <row r="395" spans="5:5">
      <c r="E395" s="43"/>
    </row>
    <row r="396" spans="5:5">
      <c r="E396" s="43"/>
    </row>
    <row r="397" spans="5:5">
      <c r="E397" s="43"/>
    </row>
    <row r="398" spans="5:5">
      <c r="E398" s="43"/>
    </row>
    <row r="399" spans="5:5">
      <c r="E399" s="43"/>
    </row>
    <row r="400" spans="5:5">
      <c r="E400" s="43"/>
    </row>
    <row r="401" spans="5:5">
      <c r="E401" s="43"/>
    </row>
    <row r="402" spans="5:5">
      <c r="E402" s="43"/>
    </row>
    <row r="403" spans="5:5">
      <c r="E403" s="43"/>
    </row>
    <row r="404" spans="5:5">
      <c r="E404" s="43"/>
    </row>
    <row r="405" spans="5:5">
      <c r="E405" s="43"/>
    </row>
    <row r="406" spans="5:5">
      <c r="E406" s="43"/>
    </row>
    <row r="407" spans="5:5">
      <c r="E407" s="43"/>
    </row>
    <row r="408" spans="5:5">
      <c r="E408" s="43"/>
    </row>
    <row r="409" spans="5:5">
      <c r="E409" s="43"/>
    </row>
    <row r="410" spans="5:5">
      <c r="E410" s="43"/>
    </row>
    <row r="411" spans="5:5">
      <c r="E411" s="43"/>
    </row>
    <row r="412" spans="5:5">
      <c r="E412" s="43"/>
    </row>
    <row r="413" spans="5:5">
      <c r="E413" s="43"/>
    </row>
    <row r="414" spans="5:5">
      <c r="E414" s="43"/>
    </row>
    <row r="415" spans="5:5">
      <c r="E415" s="43"/>
    </row>
    <row r="416" spans="5:5">
      <c r="E416" s="43"/>
    </row>
    <row r="417" spans="5:5">
      <c r="E417" s="43"/>
    </row>
    <row r="418" spans="5:5">
      <c r="E418" s="43"/>
    </row>
    <row r="419" spans="5:5">
      <c r="E419" s="43"/>
    </row>
    <row r="420" spans="5:5">
      <c r="E420" s="43"/>
    </row>
    <row r="421" spans="5:5">
      <c r="E421" s="43"/>
    </row>
    <row r="422" spans="5:5">
      <c r="E422" s="43"/>
    </row>
    <row r="423" spans="5:5">
      <c r="E423" s="43"/>
    </row>
    <row r="424" spans="5:5">
      <c r="E424" s="43"/>
    </row>
    <row r="425" spans="5:5">
      <c r="E425" s="43"/>
    </row>
    <row r="426" spans="5:5">
      <c r="E426" s="43"/>
    </row>
    <row r="427" spans="5:5">
      <c r="E427" s="43"/>
    </row>
    <row r="428" spans="5:5">
      <c r="E428" s="43"/>
    </row>
    <row r="429" spans="5:5">
      <c r="E429" s="43"/>
    </row>
    <row r="430" spans="5:5">
      <c r="E430" s="43"/>
    </row>
    <row r="431" spans="5:5">
      <c r="E431" s="43"/>
    </row>
    <row r="432" spans="5:5">
      <c r="E432" s="43"/>
    </row>
    <row r="433" spans="5:5">
      <c r="E433" s="43"/>
    </row>
    <row r="434" spans="5:5">
      <c r="E434" s="43"/>
    </row>
    <row r="435" spans="5:5">
      <c r="E435" s="43"/>
    </row>
    <row r="436" spans="5:5">
      <c r="E436" s="43"/>
    </row>
    <row r="437" spans="5:5">
      <c r="E437" s="43"/>
    </row>
    <row r="438" spans="5:5">
      <c r="E438" s="43"/>
    </row>
    <row r="439" spans="5:5">
      <c r="E439" s="43"/>
    </row>
    <row r="440" spans="5:5">
      <c r="E440" s="43"/>
    </row>
    <row r="441" spans="5:5">
      <c r="E441" s="43"/>
    </row>
    <row r="442" spans="5:5">
      <c r="E442" s="43"/>
    </row>
    <row r="443" spans="5:5">
      <c r="E443" s="43"/>
    </row>
    <row r="444" spans="5:5">
      <c r="E444" s="43"/>
    </row>
    <row r="445" spans="5:5">
      <c r="E445" s="43"/>
    </row>
    <row r="446" spans="5:5">
      <c r="E446" s="43"/>
    </row>
    <row r="447" spans="5:5">
      <c r="E447" s="43"/>
    </row>
    <row r="448" spans="5:5">
      <c r="E448" s="43"/>
    </row>
    <row r="449" spans="5:5">
      <c r="E449" s="43"/>
    </row>
    <row r="450" spans="5:5">
      <c r="E450" s="43"/>
    </row>
    <row r="451" spans="5:5">
      <c r="E451" s="43"/>
    </row>
    <row r="452" spans="5:5">
      <c r="E452" s="43"/>
    </row>
    <row r="453" spans="5:5">
      <c r="E453" s="43"/>
    </row>
    <row r="454" spans="5:5">
      <c r="E454" s="43"/>
    </row>
    <row r="455" spans="5:5">
      <c r="E455" s="43"/>
    </row>
    <row r="456" spans="5:5">
      <c r="E456" s="43"/>
    </row>
    <row r="457" spans="5:5">
      <c r="E457" s="43"/>
    </row>
    <row r="458" spans="5:5">
      <c r="E458" s="43"/>
    </row>
    <row r="459" spans="5:5">
      <c r="E459" s="43"/>
    </row>
    <row r="460" spans="5:5">
      <c r="E460" s="43"/>
    </row>
    <row r="461" spans="5:5">
      <c r="E461" s="43"/>
    </row>
    <row r="462" spans="5:5">
      <c r="E462" s="43"/>
    </row>
    <row r="463" spans="5:5">
      <c r="E463" s="43"/>
    </row>
    <row r="464" spans="5:5">
      <c r="E464" s="43"/>
    </row>
    <row r="465" spans="5:5">
      <c r="E465" s="43"/>
    </row>
    <row r="466" spans="5:5">
      <c r="E466" s="43"/>
    </row>
    <row r="467" spans="5:5">
      <c r="E467" s="43"/>
    </row>
    <row r="468" spans="5:5">
      <c r="E468" s="43"/>
    </row>
    <row r="469" spans="5:5">
      <c r="E469" s="43"/>
    </row>
    <row r="470" spans="5:5">
      <c r="E470" s="43"/>
    </row>
    <row r="471" spans="5:5">
      <c r="E471" s="43"/>
    </row>
    <row r="472" spans="5:5">
      <c r="E472" s="43"/>
    </row>
    <row r="473" spans="5:5">
      <c r="E473" s="43"/>
    </row>
    <row r="474" spans="5:5">
      <c r="E474" s="43"/>
    </row>
    <row r="475" spans="5:5">
      <c r="E475" s="43"/>
    </row>
    <row r="476" spans="5:5">
      <c r="E476" s="43"/>
    </row>
    <row r="477" spans="5:5">
      <c r="E477" s="43"/>
    </row>
    <row r="478" spans="5:5">
      <c r="E478" s="43"/>
    </row>
    <row r="479" spans="5:5">
      <c r="E479" s="43"/>
    </row>
    <row r="480" spans="5:5">
      <c r="E480" s="43"/>
    </row>
    <row r="481" spans="5:5">
      <c r="E481" s="43"/>
    </row>
    <row r="482" spans="5:5">
      <c r="E482" s="43"/>
    </row>
    <row r="483" spans="5:5">
      <c r="E483" s="43"/>
    </row>
    <row r="484" spans="5:5">
      <c r="E484" s="43"/>
    </row>
    <row r="485" spans="5:5">
      <c r="E485" s="43"/>
    </row>
    <row r="486" spans="5:5">
      <c r="E486" s="43"/>
    </row>
    <row r="487" spans="5:5">
      <c r="E487" s="43"/>
    </row>
    <row r="488" spans="5:5">
      <c r="E488" s="43"/>
    </row>
    <row r="489" spans="5:5">
      <c r="E489" s="43"/>
    </row>
    <row r="490" spans="5:5">
      <c r="E490" s="43"/>
    </row>
    <row r="491" spans="5:5">
      <c r="E491" s="43"/>
    </row>
    <row r="492" spans="5:5">
      <c r="E492" s="43"/>
    </row>
    <row r="493" spans="5:5">
      <c r="E493" s="43"/>
    </row>
    <row r="494" spans="5:5">
      <c r="E494" s="43"/>
    </row>
    <row r="495" spans="5:5">
      <c r="E495" s="43"/>
    </row>
    <row r="496" spans="5:5">
      <c r="E496" s="43"/>
    </row>
    <row r="497" spans="5:5">
      <c r="E497" s="43"/>
    </row>
    <row r="498" spans="5:5">
      <c r="E498" s="43"/>
    </row>
    <row r="499" spans="5:5">
      <c r="E499" s="43"/>
    </row>
    <row r="500" spans="5:5">
      <c r="E500" s="43"/>
    </row>
    <row r="501" spans="5:5">
      <c r="E501" s="43"/>
    </row>
    <row r="502" spans="5:5">
      <c r="E502" s="43"/>
    </row>
    <row r="503" spans="5:5">
      <c r="E503" s="43"/>
    </row>
    <row r="504" spans="5:5">
      <c r="E504" s="43"/>
    </row>
    <row r="505" spans="5:5">
      <c r="E505" s="43"/>
    </row>
    <row r="506" spans="5:5">
      <c r="E506" s="43"/>
    </row>
    <row r="507" spans="5:5">
      <c r="E507" s="43"/>
    </row>
    <row r="508" spans="5:5">
      <c r="E508" s="43"/>
    </row>
    <row r="509" spans="5:5">
      <c r="E509" s="43"/>
    </row>
    <row r="510" spans="5:5">
      <c r="E510" s="43"/>
    </row>
    <row r="511" spans="5:5">
      <c r="E511" s="43"/>
    </row>
    <row r="512" spans="5:5">
      <c r="E512" s="43"/>
    </row>
    <row r="513" spans="5:5">
      <c r="E513" s="43"/>
    </row>
    <row r="514" spans="5:5">
      <c r="E514" s="43"/>
    </row>
    <row r="515" spans="5:5">
      <c r="E515" s="43"/>
    </row>
    <row r="516" spans="5:5">
      <c r="E516" s="43"/>
    </row>
    <row r="517" spans="5:5">
      <c r="E517" s="43"/>
    </row>
    <row r="518" spans="5:5">
      <c r="E518" s="43"/>
    </row>
    <row r="519" spans="5:5">
      <c r="E519" s="43"/>
    </row>
    <row r="520" spans="5:5">
      <c r="E520" s="43"/>
    </row>
    <row r="521" spans="5:5">
      <c r="E521" s="43"/>
    </row>
    <row r="522" spans="5:5">
      <c r="E522" s="43"/>
    </row>
    <row r="523" spans="5:5">
      <c r="E523" s="43"/>
    </row>
    <row r="524" spans="5:5">
      <c r="E524" s="43"/>
    </row>
    <row r="525" spans="5:5">
      <c r="E525" s="43"/>
    </row>
    <row r="526" spans="5:5">
      <c r="E526" s="43"/>
    </row>
    <row r="527" spans="5:5">
      <c r="E527" s="43"/>
    </row>
    <row r="528" spans="5:5">
      <c r="E528" s="43"/>
    </row>
    <row r="529" spans="5:5">
      <c r="E529" s="43"/>
    </row>
    <row r="530" spans="5:5">
      <c r="E530" s="43"/>
    </row>
    <row r="531" spans="5:5">
      <c r="E531" s="43"/>
    </row>
    <row r="532" spans="5:5">
      <c r="E532" s="43"/>
    </row>
    <row r="533" spans="5:5">
      <c r="E533" s="43"/>
    </row>
    <row r="534" spans="5:5">
      <c r="E534" s="43"/>
    </row>
    <row r="535" spans="5:5">
      <c r="E535" s="43"/>
    </row>
    <row r="536" spans="5:5">
      <c r="E536" s="43"/>
    </row>
    <row r="537" spans="5:5">
      <c r="E537" s="43"/>
    </row>
    <row r="538" spans="5:5">
      <c r="E538" s="43"/>
    </row>
    <row r="539" spans="5:5">
      <c r="E539" s="43"/>
    </row>
    <row r="540" spans="5:5">
      <c r="E540" s="43"/>
    </row>
    <row r="541" spans="5:5">
      <c r="E541" s="43"/>
    </row>
    <row r="542" spans="5:5">
      <c r="E542" s="43"/>
    </row>
    <row r="543" spans="5:5">
      <c r="E543" s="43"/>
    </row>
    <row r="544" spans="5:5">
      <c r="E544" s="43"/>
    </row>
    <row r="545" spans="5:5">
      <c r="E545" s="43"/>
    </row>
    <row r="546" spans="5:5">
      <c r="E546" s="43"/>
    </row>
    <row r="547" spans="5:5">
      <c r="E547" s="43"/>
    </row>
    <row r="548" spans="5:5">
      <c r="E548" s="43"/>
    </row>
    <row r="549" spans="5:5">
      <c r="E549" s="43"/>
    </row>
    <row r="550" spans="5:5">
      <c r="E550" s="43"/>
    </row>
    <row r="551" spans="5:5">
      <c r="E551" s="43"/>
    </row>
    <row r="552" spans="5:5">
      <c r="E552" s="43"/>
    </row>
    <row r="553" spans="5:5">
      <c r="E553" s="43"/>
    </row>
    <row r="554" spans="5:5">
      <c r="E554" s="43"/>
    </row>
    <row r="555" spans="5:5">
      <c r="E555" s="43"/>
    </row>
    <row r="556" spans="5:5">
      <c r="E556" s="43"/>
    </row>
    <row r="557" spans="5:5">
      <c r="E557" s="43"/>
    </row>
    <row r="558" spans="5:5">
      <c r="E558" s="43"/>
    </row>
    <row r="559" spans="5:5">
      <c r="E559" s="43"/>
    </row>
    <row r="560" spans="5:5">
      <c r="E560" s="43"/>
    </row>
    <row r="561" spans="5:5">
      <c r="E561" s="43"/>
    </row>
    <row r="562" spans="5:5">
      <c r="E562" s="43"/>
    </row>
    <row r="563" spans="5:5">
      <c r="E563" s="43"/>
    </row>
    <row r="564" spans="5:5">
      <c r="E564" s="43"/>
    </row>
    <row r="565" spans="5:5">
      <c r="E565" s="43"/>
    </row>
    <row r="566" spans="5:5">
      <c r="E566" s="43"/>
    </row>
    <row r="567" spans="5:5">
      <c r="E567" s="43"/>
    </row>
    <row r="568" spans="5:5">
      <c r="E568" s="43"/>
    </row>
    <row r="569" spans="5:5">
      <c r="E569" s="43"/>
    </row>
    <row r="570" spans="5:5">
      <c r="E570" s="43"/>
    </row>
    <row r="571" spans="5:5">
      <c r="E571" s="43"/>
    </row>
    <row r="572" spans="5:5">
      <c r="E572" s="43"/>
    </row>
    <row r="573" spans="5:5">
      <c r="E573" s="43"/>
    </row>
    <row r="574" spans="5:5">
      <c r="E574" s="43"/>
    </row>
    <row r="575" spans="5:5">
      <c r="E575" s="43"/>
    </row>
    <row r="576" spans="5:5">
      <c r="E576" s="43"/>
    </row>
    <row r="577" spans="5:5">
      <c r="E577" s="43"/>
    </row>
    <row r="578" spans="5:5">
      <c r="E578" s="43"/>
    </row>
    <row r="579" spans="5:5">
      <c r="E579" s="43"/>
    </row>
    <row r="580" spans="5:5">
      <c r="E580" s="43"/>
    </row>
    <row r="581" spans="5:5">
      <c r="E581" s="43"/>
    </row>
    <row r="582" spans="5:5">
      <c r="E582" s="43"/>
    </row>
    <row r="583" spans="5:5">
      <c r="E583" s="43"/>
    </row>
    <row r="584" spans="5:5">
      <c r="E584" s="43"/>
    </row>
    <row r="585" spans="5:5">
      <c r="E585" s="43"/>
    </row>
    <row r="586" spans="5:5">
      <c r="E586" s="43"/>
    </row>
    <row r="587" spans="5:5">
      <c r="E587" s="43"/>
    </row>
    <row r="588" spans="5:5">
      <c r="E588" s="43"/>
    </row>
    <row r="589" spans="5:5">
      <c r="E589" s="43"/>
    </row>
    <row r="590" spans="5:5">
      <c r="E590" s="43"/>
    </row>
    <row r="591" spans="5:5">
      <c r="E591" s="43"/>
    </row>
    <row r="592" spans="5:5">
      <c r="E592" s="43"/>
    </row>
    <row r="593" spans="5:5">
      <c r="E593" s="43"/>
    </row>
    <row r="594" spans="5:5">
      <c r="E594" s="43"/>
    </row>
    <row r="595" spans="5:5">
      <c r="E595" s="43"/>
    </row>
    <row r="596" spans="5:5">
      <c r="E596" s="43"/>
    </row>
    <row r="597" spans="5:5">
      <c r="E597" s="43"/>
    </row>
    <row r="598" spans="5:5">
      <c r="E598" s="43"/>
    </row>
    <row r="599" spans="5:5">
      <c r="E599" s="43"/>
    </row>
    <row r="600" spans="5:5">
      <c r="E600" s="43"/>
    </row>
    <row r="601" spans="5:5">
      <c r="E601" s="43"/>
    </row>
    <row r="602" spans="5:5">
      <c r="E602" s="43"/>
    </row>
    <row r="603" spans="5:5">
      <c r="E603" s="43"/>
    </row>
    <row r="604" spans="5:5">
      <c r="E604" s="43"/>
    </row>
    <row r="605" spans="5:5">
      <c r="E605" s="43"/>
    </row>
    <row r="606" spans="5:5">
      <c r="E606" s="43"/>
    </row>
    <row r="607" spans="5:5">
      <c r="E607" s="43"/>
    </row>
    <row r="608" spans="5:5">
      <c r="E608" s="43"/>
    </row>
    <row r="609" spans="5:5">
      <c r="E609" s="43"/>
    </row>
    <row r="610" spans="5:5">
      <c r="E610" s="43"/>
    </row>
    <row r="611" spans="5:5">
      <c r="E611" s="43"/>
    </row>
    <row r="612" spans="5:5">
      <c r="E612" s="43"/>
    </row>
    <row r="613" spans="5:5">
      <c r="E613" s="43"/>
    </row>
    <row r="614" spans="5:5">
      <c r="E614" s="43"/>
    </row>
    <row r="615" spans="5:5">
      <c r="E615" s="43"/>
    </row>
    <row r="616" spans="5:5">
      <c r="E616" s="43"/>
    </row>
    <row r="617" spans="5:5">
      <c r="E617" s="43"/>
    </row>
    <row r="618" spans="5:5">
      <c r="E618" s="43"/>
    </row>
    <row r="619" spans="5:5">
      <c r="E619" s="43"/>
    </row>
    <row r="620" spans="5:5">
      <c r="E620" s="43"/>
    </row>
    <row r="621" spans="5:5">
      <c r="E621" s="43"/>
    </row>
    <row r="622" spans="5:5">
      <c r="E622" s="43"/>
    </row>
    <row r="623" spans="5:5">
      <c r="E623" s="43"/>
    </row>
    <row r="624" spans="5:5">
      <c r="E624" s="43"/>
    </row>
    <row r="625" spans="5:5">
      <c r="E625" s="43"/>
    </row>
    <row r="626" spans="5:5">
      <c r="E626" s="43"/>
    </row>
    <row r="627" spans="5:5">
      <c r="E627" s="43"/>
    </row>
    <row r="628" spans="5:5">
      <c r="E628" s="43"/>
    </row>
    <row r="629" spans="5:5">
      <c r="E629" s="43"/>
    </row>
    <row r="630" spans="5:5">
      <c r="E630" s="43"/>
    </row>
    <row r="631" spans="5:5">
      <c r="E631" s="43"/>
    </row>
    <row r="632" spans="5:5">
      <c r="E632" s="43"/>
    </row>
    <row r="633" spans="5:5">
      <c r="E633" s="43"/>
    </row>
    <row r="634" spans="5:5">
      <c r="E634" s="43"/>
    </row>
    <row r="635" spans="5:5">
      <c r="E635" s="43"/>
    </row>
    <row r="636" spans="5:5">
      <c r="E636" s="43"/>
    </row>
    <row r="637" spans="5:5">
      <c r="E637" s="43"/>
    </row>
    <row r="638" spans="5:5">
      <c r="E638" s="43"/>
    </row>
    <row r="639" spans="5:5">
      <c r="E639" s="43"/>
    </row>
    <row r="640" spans="5:5">
      <c r="E640" s="43"/>
    </row>
    <row r="641" spans="5:5">
      <c r="E641" s="43"/>
    </row>
    <row r="642" spans="5:5">
      <c r="E642" s="43"/>
    </row>
    <row r="643" spans="5:5">
      <c r="E643" s="43"/>
    </row>
    <row r="644" spans="5:5">
      <c r="E644" s="43"/>
    </row>
    <row r="645" spans="5:5">
      <c r="E645" s="43"/>
    </row>
    <row r="646" spans="5:5">
      <c r="E646" s="43"/>
    </row>
    <row r="647" spans="5:5">
      <c r="E647" s="43"/>
    </row>
    <row r="648" spans="5:5">
      <c r="E648" s="43"/>
    </row>
    <row r="649" spans="5:5">
      <c r="E649" s="43"/>
    </row>
    <row r="650" spans="5:5">
      <c r="E650" s="43"/>
    </row>
    <row r="651" spans="5:5">
      <c r="E651" s="43"/>
    </row>
    <row r="652" spans="5:5">
      <c r="E652" s="43"/>
    </row>
    <row r="653" spans="5:5">
      <c r="E653" s="43"/>
    </row>
    <row r="654" spans="5:5">
      <c r="E654" s="43"/>
    </row>
    <row r="655" spans="5:5">
      <c r="E655" s="43"/>
    </row>
    <row r="656" spans="5:5">
      <c r="E656" s="43"/>
    </row>
    <row r="657" spans="5:5">
      <c r="E657" s="43"/>
    </row>
    <row r="658" spans="5:5">
      <c r="E658" s="43"/>
    </row>
    <row r="659" spans="5:5">
      <c r="E659" s="43"/>
    </row>
    <row r="660" spans="5:5">
      <c r="E660" s="43"/>
    </row>
    <row r="661" spans="5:5">
      <c r="E661" s="43"/>
    </row>
    <row r="662" spans="5:5">
      <c r="E662" s="43"/>
    </row>
    <row r="663" spans="5:5">
      <c r="E663" s="43"/>
    </row>
    <row r="664" spans="5:5">
      <c r="E664" s="43"/>
    </row>
    <row r="665" spans="5:5">
      <c r="E665" s="43"/>
    </row>
    <row r="666" spans="5:5">
      <c r="E666" s="43"/>
    </row>
    <row r="667" spans="5:5">
      <c r="E667" s="43"/>
    </row>
    <row r="668" spans="5:5">
      <c r="E668" s="43"/>
    </row>
    <row r="669" spans="5:5">
      <c r="E669" s="43"/>
    </row>
    <row r="670" spans="5:5">
      <c r="E670" s="43"/>
    </row>
    <row r="671" spans="5:5">
      <c r="E671" s="43"/>
    </row>
    <row r="672" spans="5:5">
      <c r="E672" s="43"/>
    </row>
    <row r="673" spans="5:5">
      <c r="E673" s="43"/>
    </row>
    <row r="674" spans="5:5">
      <c r="E674" s="43"/>
    </row>
    <row r="675" spans="5:5">
      <c r="E675" s="43"/>
    </row>
    <row r="676" spans="5:5">
      <c r="E676" s="43"/>
    </row>
    <row r="677" spans="5:5">
      <c r="E677" s="43"/>
    </row>
    <row r="678" spans="5:5">
      <c r="E678" s="43"/>
    </row>
    <row r="679" spans="5:5">
      <c r="E679" s="43"/>
    </row>
    <row r="680" spans="5:5">
      <c r="E680" s="43"/>
    </row>
    <row r="681" spans="5:5">
      <c r="E681" s="43"/>
    </row>
    <row r="682" spans="5:5">
      <c r="E682" s="43"/>
    </row>
    <row r="683" spans="5:5">
      <c r="E683" s="43"/>
    </row>
    <row r="684" spans="5:5">
      <c r="E684" s="43"/>
    </row>
    <row r="685" spans="5:5">
      <c r="E685" s="43"/>
    </row>
    <row r="686" spans="5:5">
      <c r="E686" s="43"/>
    </row>
    <row r="687" spans="5:5">
      <c r="E687" s="43"/>
    </row>
    <row r="688" spans="5:5">
      <c r="E688" s="43"/>
    </row>
    <row r="689" spans="5:5">
      <c r="E689" s="43"/>
    </row>
    <row r="690" spans="5:5">
      <c r="E690" s="43"/>
    </row>
    <row r="691" spans="5:5">
      <c r="E691" s="43"/>
    </row>
    <row r="692" spans="5:5">
      <c r="E692" s="43"/>
    </row>
    <row r="693" spans="5:5">
      <c r="E693" s="43"/>
    </row>
    <row r="694" spans="5:5">
      <c r="E694" s="43"/>
    </row>
    <row r="695" spans="5:5">
      <c r="E695" s="43"/>
    </row>
    <row r="696" spans="5:5">
      <c r="E696" s="43"/>
    </row>
    <row r="697" spans="5:5">
      <c r="E697" s="43"/>
    </row>
    <row r="698" spans="5:5">
      <c r="E698" s="43"/>
    </row>
    <row r="699" spans="5:5">
      <c r="E699" s="43"/>
    </row>
    <row r="700" spans="5:5">
      <c r="E700" s="43"/>
    </row>
    <row r="701" spans="5:5">
      <c r="E701" s="43"/>
    </row>
    <row r="702" spans="5:5">
      <c r="E702" s="43"/>
    </row>
    <row r="703" spans="5:5">
      <c r="E703" s="43"/>
    </row>
    <row r="704" spans="5:5">
      <c r="E704" s="43"/>
    </row>
    <row r="705" spans="5:5">
      <c r="E705" s="43"/>
    </row>
    <row r="706" spans="5:5">
      <c r="E706" s="43"/>
    </row>
    <row r="707" spans="5:5">
      <c r="E707" s="43"/>
    </row>
    <row r="708" spans="5:5">
      <c r="E708" s="43"/>
    </row>
    <row r="709" spans="5:5">
      <c r="E709" s="43"/>
    </row>
    <row r="710" spans="5:5">
      <c r="E710" s="43"/>
    </row>
    <row r="711" spans="5:5">
      <c r="E711" s="43"/>
    </row>
    <row r="712" spans="5:5">
      <c r="E712" s="43"/>
    </row>
    <row r="713" spans="5:5">
      <c r="E713" s="43"/>
    </row>
    <row r="714" spans="5:5">
      <c r="E714" s="43"/>
    </row>
    <row r="715" spans="5:5">
      <c r="E715" s="43"/>
    </row>
    <row r="716" spans="5:5">
      <c r="E716" s="43"/>
    </row>
    <row r="717" spans="5:5">
      <c r="E717" s="43"/>
    </row>
    <row r="718" spans="5:5">
      <c r="E718" s="43"/>
    </row>
    <row r="719" spans="5:5">
      <c r="E719" s="43"/>
    </row>
    <row r="720" spans="5:5">
      <c r="E720" s="43"/>
    </row>
    <row r="721" spans="5:5">
      <c r="E721" s="43"/>
    </row>
    <row r="722" spans="5:5">
      <c r="E722" s="43"/>
    </row>
    <row r="723" spans="5:5">
      <c r="E723" s="43"/>
    </row>
    <row r="724" spans="5:5">
      <c r="E724" s="43"/>
    </row>
    <row r="725" spans="5:5">
      <c r="E725" s="43"/>
    </row>
    <row r="726" spans="5:5">
      <c r="E726" s="43"/>
    </row>
    <row r="727" spans="5:5">
      <c r="E727" s="43"/>
    </row>
    <row r="728" spans="5:5">
      <c r="E728" s="43"/>
    </row>
    <row r="729" spans="5:5">
      <c r="E729" s="43"/>
    </row>
    <row r="730" spans="5:5">
      <c r="E730" s="43"/>
    </row>
    <row r="731" spans="5:5">
      <c r="E731" s="43"/>
    </row>
    <row r="732" spans="5:5">
      <c r="E732" s="43"/>
    </row>
    <row r="733" spans="5:5">
      <c r="E733" s="43"/>
    </row>
    <row r="734" spans="5:5">
      <c r="E734" s="43"/>
    </row>
    <row r="735" spans="5:5">
      <c r="E735" s="43"/>
    </row>
    <row r="736" spans="5:5">
      <c r="E736" s="43"/>
    </row>
    <row r="737" spans="5:5">
      <c r="E737" s="43"/>
    </row>
    <row r="738" spans="5:5">
      <c r="E738" s="43"/>
    </row>
    <row r="739" spans="5:5">
      <c r="E739" s="43"/>
    </row>
    <row r="740" spans="5:5">
      <c r="E740" s="43"/>
    </row>
    <row r="741" spans="5:5">
      <c r="E741" s="43"/>
    </row>
    <row r="742" spans="5:5">
      <c r="E742" s="43"/>
    </row>
    <row r="743" spans="5:5">
      <c r="E743" s="43"/>
    </row>
    <row r="744" spans="5:5">
      <c r="E744" s="43"/>
    </row>
    <row r="745" spans="5:5">
      <c r="E745" s="43"/>
    </row>
    <row r="746" spans="5:5">
      <c r="E746" s="43"/>
    </row>
    <row r="747" spans="5:5">
      <c r="E747" s="43"/>
    </row>
    <row r="748" spans="5:5">
      <c r="E748" s="43"/>
    </row>
    <row r="749" spans="5:5">
      <c r="E749" s="43"/>
    </row>
    <row r="750" spans="5:5">
      <c r="E750" s="43"/>
    </row>
    <row r="751" spans="5:5">
      <c r="E751" s="43"/>
    </row>
    <row r="752" spans="5:5">
      <c r="E752" s="43"/>
    </row>
    <row r="753" spans="5:5">
      <c r="E753" s="43"/>
    </row>
    <row r="754" spans="5:5">
      <c r="E754" s="43"/>
    </row>
    <row r="755" spans="5:5">
      <c r="E755" s="43"/>
    </row>
    <row r="756" spans="5:5">
      <c r="E756" s="43"/>
    </row>
    <row r="757" spans="5:5">
      <c r="E757" s="43"/>
    </row>
    <row r="758" spans="5:5">
      <c r="E758" s="43"/>
    </row>
    <row r="759" spans="5:5">
      <c r="E759" s="43"/>
    </row>
    <row r="760" spans="5:5">
      <c r="E760" s="43"/>
    </row>
    <row r="761" spans="5:5">
      <c r="E761" s="43"/>
    </row>
    <row r="762" spans="5:5">
      <c r="E762" s="43"/>
    </row>
    <row r="763" spans="5:5">
      <c r="E763" s="43"/>
    </row>
    <row r="764" spans="5:5">
      <c r="E764" s="43"/>
    </row>
    <row r="765" spans="5:5">
      <c r="E765" s="43"/>
    </row>
    <row r="766" spans="5:5">
      <c r="E766" s="43"/>
    </row>
    <row r="767" spans="5:5">
      <c r="E767" s="43"/>
    </row>
    <row r="768" spans="5:5">
      <c r="E768" s="43"/>
    </row>
    <row r="769" spans="5:5">
      <c r="E769" s="43"/>
    </row>
    <row r="770" spans="5:5">
      <c r="E770" s="43"/>
    </row>
    <row r="771" spans="5:5">
      <c r="E771" s="43"/>
    </row>
    <row r="772" spans="5:5">
      <c r="E772" s="43"/>
    </row>
    <row r="773" spans="5:5">
      <c r="E773" s="43"/>
    </row>
    <row r="774" spans="5:5">
      <c r="E774" s="43"/>
    </row>
    <row r="775" spans="5:5">
      <c r="E775" s="43"/>
    </row>
    <row r="776" spans="5:5">
      <c r="E776" s="43"/>
    </row>
    <row r="777" spans="5:5">
      <c r="E777" s="43"/>
    </row>
    <row r="778" spans="5:5">
      <c r="E778" s="43"/>
    </row>
    <row r="779" spans="5:5">
      <c r="E779" s="43"/>
    </row>
    <row r="780" spans="5:5">
      <c r="E780" s="43"/>
    </row>
    <row r="781" spans="5:5">
      <c r="E781" s="43"/>
    </row>
    <row r="782" spans="5:5">
      <c r="E782" s="43"/>
    </row>
    <row r="783" spans="5:5">
      <c r="E783" s="43"/>
    </row>
    <row r="784" spans="5:5">
      <c r="E784" s="43"/>
    </row>
    <row r="785" spans="5:5">
      <c r="E785" s="43"/>
    </row>
    <row r="786" spans="5:5">
      <c r="E786" s="43"/>
    </row>
    <row r="787" spans="5:5">
      <c r="E787" s="43"/>
    </row>
    <row r="788" spans="5:5">
      <c r="E788" s="43"/>
    </row>
    <row r="789" spans="5:5">
      <c r="E789" s="43"/>
    </row>
    <row r="790" spans="5:5">
      <c r="E790" s="43"/>
    </row>
    <row r="791" spans="5:5">
      <c r="E791" s="43"/>
    </row>
    <row r="792" spans="5:5">
      <c r="E792" s="43"/>
    </row>
    <row r="793" spans="5:5">
      <c r="E793" s="43"/>
    </row>
    <row r="794" spans="5:5">
      <c r="E794" s="43"/>
    </row>
    <row r="795" spans="5:5">
      <c r="E795" s="43"/>
    </row>
    <row r="796" spans="5:5">
      <c r="E796" s="43"/>
    </row>
    <row r="797" spans="5:5">
      <c r="E797" s="43"/>
    </row>
    <row r="798" spans="5:5">
      <c r="E798" s="43"/>
    </row>
    <row r="799" spans="5:5">
      <c r="E799" s="43"/>
    </row>
    <row r="800" spans="5:5">
      <c r="E800" s="43"/>
    </row>
    <row r="801" spans="5:5">
      <c r="E801" s="43"/>
    </row>
    <row r="802" spans="5:5">
      <c r="E802" s="43"/>
    </row>
    <row r="803" spans="5:5">
      <c r="E803" s="43"/>
    </row>
    <row r="804" spans="5:5">
      <c r="E804" s="43"/>
    </row>
    <row r="805" spans="5:5">
      <c r="E805" s="43"/>
    </row>
    <row r="806" spans="5:5">
      <c r="E806" s="43"/>
    </row>
    <row r="807" spans="5:5">
      <c r="E807" s="43"/>
    </row>
    <row r="808" spans="5:5">
      <c r="E808" s="43"/>
    </row>
    <row r="809" spans="5:5">
      <c r="E809" s="43"/>
    </row>
    <row r="810" spans="5:5">
      <c r="E810" s="43"/>
    </row>
    <row r="811" spans="5:5">
      <c r="E811" s="43"/>
    </row>
    <row r="812" spans="5:5">
      <c r="E812" s="43"/>
    </row>
    <row r="813" spans="5:5">
      <c r="E813" s="43"/>
    </row>
    <row r="814" spans="5:5">
      <c r="E814" s="43"/>
    </row>
    <row r="815" spans="5:5">
      <c r="E815" s="43"/>
    </row>
    <row r="816" spans="5:5">
      <c r="E816" s="43"/>
    </row>
    <row r="817" spans="5:5">
      <c r="E817" s="43"/>
    </row>
    <row r="818" spans="5:5">
      <c r="E818" s="43"/>
    </row>
    <row r="819" spans="5:5">
      <c r="E819" s="43"/>
    </row>
    <row r="820" spans="5:5">
      <c r="E820" s="43"/>
    </row>
    <row r="821" spans="5:5">
      <c r="E821" s="43"/>
    </row>
    <row r="822" spans="5:5">
      <c r="E822" s="43"/>
    </row>
    <row r="823" spans="5:5">
      <c r="E823" s="43"/>
    </row>
    <row r="824" spans="5:5">
      <c r="E824" s="43"/>
    </row>
    <row r="825" spans="5:5">
      <c r="E825" s="43"/>
    </row>
    <row r="826" spans="5:5">
      <c r="E826" s="43"/>
    </row>
    <row r="827" spans="5:5">
      <c r="E827" s="43"/>
    </row>
    <row r="828" spans="5:5">
      <c r="E828" s="43"/>
    </row>
    <row r="829" spans="5:5">
      <c r="E829" s="43"/>
    </row>
    <row r="830" spans="5:5">
      <c r="E830" s="43"/>
    </row>
    <row r="831" spans="5:5">
      <c r="E831" s="43"/>
    </row>
    <row r="832" spans="5:5">
      <c r="E832" s="43"/>
    </row>
    <row r="833" spans="5:5">
      <c r="E833" s="43"/>
    </row>
    <row r="834" spans="5:5">
      <c r="E834" s="43"/>
    </row>
    <row r="835" spans="5:5">
      <c r="E835" s="43"/>
    </row>
    <row r="836" spans="5:5">
      <c r="E836" s="43"/>
    </row>
    <row r="837" spans="5:5">
      <c r="E837" s="43"/>
    </row>
    <row r="838" spans="5:5">
      <c r="E838" s="43"/>
    </row>
    <row r="839" spans="5:5">
      <c r="E839" s="43"/>
    </row>
    <row r="840" spans="5:5">
      <c r="E840" s="43"/>
    </row>
    <row r="841" spans="5:5">
      <c r="E841" s="43"/>
    </row>
    <row r="842" spans="5:5">
      <c r="E842" s="43"/>
    </row>
    <row r="843" spans="5:5">
      <c r="E843" s="43"/>
    </row>
    <row r="844" spans="5:5">
      <c r="E844" s="43"/>
    </row>
    <row r="845" spans="5:5">
      <c r="E845" s="43"/>
    </row>
    <row r="846" spans="5:5">
      <c r="E846" s="43"/>
    </row>
    <row r="847" spans="5:5">
      <c r="E847" s="43"/>
    </row>
    <row r="848" spans="5:5">
      <c r="E848" s="43"/>
    </row>
    <row r="849" spans="5:5">
      <c r="E849" s="43"/>
    </row>
    <row r="850" spans="5:5">
      <c r="E850" s="43"/>
    </row>
    <row r="851" spans="5:5">
      <c r="E851" s="43"/>
    </row>
    <row r="852" spans="5:5">
      <c r="E852" s="43"/>
    </row>
    <row r="853" spans="5:5">
      <c r="E853" s="43"/>
    </row>
    <row r="854" spans="5:5">
      <c r="E854" s="43"/>
    </row>
    <row r="855" spans="5:5">
      <c r="E855" s="43"/>
    </row>
    <row r="856" spans="5:5">
      <c r="E856" s="43"/>
    </row>
    <row r="857" spans="5:5">
      <c r="E857" s="43"/>
    </row>
    <row r="858" spans="5:5">
      <c r="E858" s="43"/>
    </row>
    <row r="859" spans="5:5">
      <c r="E859" s="43"/>
    </row>
    <row r="860" spans="5:5">
      <c r="E860" s="43"/>
    </row>
    <row r="861" spans="5:5">
      <c r="E861" s="43"/>
    </row>
    <row r="862" spans="5:5">
      <c r="E862" s="43"/>
    </row>
    <row r="863" spans="5:5">
      <c r="E863" s="43"/>
    </row>
    <row r="864" spans="5:5">
      <c r="E864" s="43"/>
    </row>
    <row r="865" spans="5:5">
      <c r="E865" s="43"/>
    </row>
    <row r="866" spans="5:5">
      <c r="E866" s="43"/>
    </row>
    <row r="867" spans="5:5">
      <c r="E867" s="43"/>
    </row>
    <row r="868" spans="5:5">
      <c r="E868" s="43"/>
    </row>
    <row r="869" spans="5:5">
      <c r="E869" s="43"/>
    </row>
    <row r="870" spans="5:5">
      <c r="E870" s="43"/>
    </row>
    <row r="871" spans="5:5">
      <c r="E871" s="43"/>
    </row>
    <row r="872" spans="5:5">
      <c r="E872" s="43"/>
    </row>
    <row r="873" spans="5:5">
      <c r="E873" s="43"/>
    </row>
    <row r="874" spans="5:5">
      <c r="E874" s="43"/>
    </row>
    <row r="875" spans="5:5">
      <c r="E875" s="43"/>
    </row>
    <row r="876" spans="5:5">
      <c r="E876" s="43"/>
    </row>
    <row r="877" spans="5:5">
      <c r="E877" s="43"/>
    </row>
    <row r="878" spans="5:5">
      <c r="E878" s="43"/>
    </row>
    <row r="879" spans="5:5">
      <c r="E879" s="43"/>
    </row>
    <row r="880" spans="5:5">
      <c r="E880" s="43"/>
    </row>
    <row r="881" spans="5:5">
      <c r="E881" s="43"/>
    </row>
    <row r="882" spans="5:5">
      <c r="E882" s="43"/>
    </row>
    <row r="883" spans="5:5">
      <c r="E883" s="43"/>
    </row>
    <row r="884" spans="5:5">
      <c r="E884" s="43"/>
    </row>
    <row r="885" spans="5:5">
      <c r="E885" s="43"/>
    </row>
    <row r="886" spans="5:5">
      <c r="E886" s="43"/>
    </row>
    <row r="887" spans="5:5">
      <c r="E887" s="43"/>
    </row>
    <row r="888" spans="5:5">
      <c r="E888" s="43"/>
    </row>
    <row r="889" spans="5:5">
      <c r="E889" s="43"/>
    </row>
    <row r="890" spans="5:5">
      <c r="E890" s="43"/>
    </row>
    <row r="891" spans="5:5">
      <c r="E891" s="43"/>
    </row>
    <row r="892" spans="5:5">
      <c r="E892" s="43"/>
    </row>
    <row r="893" spans="5:5">
      <c r="E893" s="43"/>
    </row>
    <row r="894" spans="5:5">
      <c r="E894" s="43"/>
    </row>
    <row r="895" spans="5:5">
      <c r="E895" s="43"/>
    </row>
    <row r="896" spans="5:5">
      <c r="E896" s="43"/>
    </row>
    <row r="897" spans="5:5">
      <c r="E897" s="43"/>
    </row>
    <row r="898" spans="5:5">
      <c r="E898" s="43"/>
    </row>
    <row r="899" spans="5:5">
      <c r="E899" s="43"/>
    </row>
    <row r="900" spans="5:5">
      <c r="E900" s="43"/>
    </row>
    <row r="901" spans="5:5">
      <c r="E901" s="43"/>
    </row>
    <row r="902" spans="5:5">
      <c r="E902" s="43"/>
    </row>
    <row r="903" spans="5:5">
      <c r="E903" s="43"/>
    </row>
    <row r="904" spans="5:5">
      <c r="E904" s="43"/>
    </row>
    <row r="905" spans="5:5">
      <c r="E905" s="43"/>
    </row>
    <row r="906" spans="5:5">
      <c r="E906" s="43"/>
    </row>
    <row r="907" spans="5:5">
      <c r="E907" s="43"/>
    </row>
    <row r="908" spans="5:5">
      <c r="E908" s="43"/>
    </row>
    <row r="909" spans="5:5">
      <c r="E909" s="43"/>
    </row>
    <row r="910" spans="5:5">
      <c r="E910" s="43"/>
    </row>
    <row r="911" spans="5:5">
      <c r="E911" s="43"/>
    </row>
    <row r="912" spans="5:5">
      <c r="E912" s="43"/>
    </row>
    <row r="913" spans="5:5">
      <c r="E913" s="43"/>
    </row>
    <row r="914" spans="5:5">
      <c r="E914" s="43"/>
    </row>
    <row r="915" spans="5:5">
      <c r="E915" s="43"/>
    </row>
    <row r="916" spans="5:5">
      <c r="E916" s="43"/>
    </row>
    <row r="917" spans="5:5">
      <c r="E917" s="43"/>
    </row>
    <row r="918" spans="5:5">
      <c r="E918" s="43"/>
    </row>
    <row r="919" spans="5:5">
      <c r="E919" s="43"/>
    </row>
    <row r="920" spans="5:5">
      <c r="E920" s="43"/>
    </row>
    <row r="921" spans="5:5">
      <c r="E921" s="43"/>
    </row>
    <row r="922" spans="5:5">
      <c r="E922" s="43"/>
    </row>
    <row r="923" spans="5:5">
      <c r="E923" s="43"/>
    </row>
    <row r="924" spans="5:5">
      <c r="E924" s="43"/>
    </row>
    <row r="925" spans="5:5">
      <c r="E925" s="43"/>
    </row>
    <row r="926" spans="5:5">
      <c r="E926" s="43"/>
    </row>
    <row r="927" spans="5:5">
      <c r="E927" s="43"/>
    </row>
    <row r="928" spans="5:5">
      <c r="E928" s="43"/>
    </row>
    <row r="929" spans="5:5">
      <c r="E929" s="43"/>
    </row>
    <row r="930" spans="5:5">
      <c r="E930" s="43"/>
    </row>
    <row r="931" spans="5:5">
      <c r="E931" s="43"/>
    </row>
    <row r="932" spans="5:5">
      <c r="E932" s="43"/>
    </row>
    <row r="933" spans="5:5">
      <c r="E933" s="43"/>
    </row>
    <row r="934" spans="5:5">
      <c r="E934" s="43"/>
    </row>
    <row r="935" spans="5:5">
      <c r="E935" s="43"/>
    </row>
    <row r="936" spans="5:5">
      <c r="E936" s="43"/>
    </row>
    <row r="937" spans="5:5">
      <c r="E937" s="43"/>
    </row>
    <row r="938" spans="5:5">
      <c r="E938" s="43"/>
    </row>
    <row r="939" spans="5:5">
      <c r="E939" s="43"/>
    </row>
    <row r="940" spans="5:5">
      <c r="E940" s="43"/>
    </row>
    <row r="941" spans="5:5">
      <c r="E941" s="43"/>
    </row>
    <row r="942" spans="5:5">
      <c r="E942" s="43"/>
    </row>
    <row r="943" spans="5:5">
      <c r="E943" s="43"/>
    </row>
    <row r="944" spans="5:5">
      <c r="E944" s="43"/>
    </row>
    <row r="945" spans="5:5">
      <c r="E945" s="43"/>
    </row>
    <row r="946" spans="5:5">
      <c r="E946" s="43"/>
    </row>
    <row r="947" spans="5:5">
      <c r="E947" s="43"/>
    </row>
    <row r="948" spans="5:5">
      <c r="E948" s="43"/>
    </row>
    <row r="949" spans="5:5">
      <c r="E949" s="43"/>
    </row>
    <row r="950" spans="5:5">
      <c r="E950" s="43"/>
    </row>
    <row r="951" spans="5:5">
      <c r="E951" s="43"/>
    </row>
    <row r="952" spans="5:5">
      <c r="E952" s="43"/>
    </row>
    <row r="953" spans="5:5">
      <c r="E953" s="43"/>
    </row>
    <row r="954" spans="5:5">
      <c r="E954" s="43"/>
    </row>
    <row r="955" spans="5:5">
      <c r="E955" s="43"/>
    </row>
    <row r="956" spans="5:5">
      <c r="E956" s="43"/>
    </row>
    <row r="957" spans="5:5">
      <c r="E957" s="43"/>
    </row>
    <row r="958" spans="5:5">
      <c r="E958" s="43"/>
    </row>
    <row r="959" spans="5:5">
      <c r="E959" s="43"/>
    </row>
    <row r="960" spans="5:5">
      <c r="E960" s="43"/>
    </row>
    <row r="961" spans="5:5">
      <c r="E961" s="43"/>
    </row>
    <row r="962" spans="5:5">
      <c r="E962" s="43"/>
    </row>
    <row r="963" spans="5:5">
      <c r="E963" s="43"/>
    </row>
    <row r="964" spans="5:5">
      <c r="E964" s="43"/>
    </row>
    <row r="965" spans="5:5">
      <c r="E965" s="43"/>
    </row>
    <row r="966" spans="5:5">
      <c r="E966" s="43"/>
    </row>
    <row r="967" spans="5:5">
      <c r="E967" s="43"/>
    </row>
    <row r="968" spans="5:5">
      <c r="E968" s="43"/>
    </row>
    <row r="969" spans="5:5">
      <c r="E969" s="43"/>
    </row>
    <row r="970" spans="5:5">
      <c r="E970" s="43"/>
    </row>
    <row r="971" spans="5:5">
      <c r="E971" s="43"/>
    </row>
    <row r="972" spans="5:5">
      <c r="E972" s="43"/>
    </row>
    <row r="973" spans="5:5">
      <c r="E973" s="43"/>
    </row>
    <row r="974" spans="5:5">
      <c r="E974" s="43"/>
    </row>
    <row r="975" spans="5:5">
      <c r="E975" s="43"/>
    </row>
    <row r="976" spans="5:5">
      <c r="E976" s="43"/>
    </row>
    <row r="977" spans="5:5">
      <c r="E977" s="43"/>
    </row>
    <row r="978" spans="5:5">
      <c r="E978" s="43"/>
    </row>
    <row r="979" spans="5:5">
      <c r="E979" s="43"/>
    </row>
    <row r="980" spans="5:5">
      <c r="E980" s="43"/>
    </row>
    <row r="981" spans="5:5">
      <c r="E981" s="43"/>
    </row>
    <row r="982" spans="5:5">
      <c r="E982" s="43"/>
    </row>
    <row r="983" spans="5:5">
      <c r="E983" s="43"/>
    </row>
    <row r="984" spans="5:5">
      <c r="E984" s="43"/>
    </row>
    <row r="985" spans="5:5">
      <c r="E985" s="43"/>
    </row>
    <row r="986" spans="5:5">
      <c r="E986" s="43"/>
    </row>
    <row r="987" spans="5:5">
      <c r="E987" s="43"/>
    </row>
    <row r="988" spans="5:5">
      <c r="E988" s="43"/>
    </row>
    <row r="989" spans="5:5">
      <c r="E989" s="43"/>
    </row>
    <row r="990" spans="5:5">
      <c r="E990" s="43"/>
    </row>
    <row r="991" spans="5:5">
      <c r="E991" s="43"/>
    </row>
    <row r="992" spans="5:5">
      <c r="E992" s="43"/>
    </row>
    <row r="993" spans="5:5">
      <c r="E993" s="43"/>
    </row>
    <row r="994" spans="5:5">
      <c r="E994" s="43"/>
    </row>
    <row r="995" spans="5:5">
      <c r="E995" s="43"/>
    </row>
    <row r="996" spans="5:5">
      <c r="E996" s="43"/>
    </row>
    <row r="997" spans="5:5">
      <c r="E997" s="43"/>
    </row>
    <row r="998" spans="5:5">
      <c r="E998" s="43"/>
    </row>
    <row r="999" spans="5:5">
      <c r="E999" s="43"/>
    </row>
    <row r="1000" spans="5:5">
      <c r="E1000" s="43"/>
    </row>
    <row r="1001" spans="5:5">
      <c r="E1001" s="43"/>
    </row>
    <row r="1002" spans="5:5">
      <c r="E1002" s="43"/>
    </row>
    <row r="1003" spans="5:5">
      <c r="E1003" s="43"/>
    </row>
    <row r="1004" spans="5:5">
      <c r="E1004" s="43"/>
    </row>
    <row r="1005" spans="5:5">
      <c r="E1005" s="43"/>
    </row>
    <row r="1006" spans="5:5">
      <c r="E1006" s="43"/>
    </row>
    <row r="1007" spans="5:5">
      <c r="E1007" s="43"/>
    </row>
    <row r="1008" spans="5:5">
      <c r="E1008" s="43"/>
    </row>
    <row r="1009" spans="5:5">
      <c r="E1009" s="43"/>
    </row>
    <row r="1010" spans="5:5">
      <c r="E1010" s="4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F86"/>
  <sheetViews>
    <sheetView workbookViewId="0">
      <pane ySplit="1" topLeftCell="A11" activePane="bottomLeft" state="frozen"/>
      <selection pane="bottomLeft" activeCell="B3" sqref="B3"/>
    </sheetView>
  </sheetViews>
  <sheetFormatPr defaultColWidth="12.6640625" defaultRowHeight="15.75" customHeight="1"/>
  <cols>
    <col min="1" max="1" width="16.33203125" customWidth="1"/>
    <col min="2" max="2" width="33.77734375" customWidth="1"/>
    <col min="3" max="3" width="37.77734375" customWidth="1"/>
  </cols>
  <sheetData>
    <row r="1" spans="1:6">
      <c r="A1" s="68" t="s">
        <v>2444</v>
      </c>
      <c r="B1" s="2" t="s">
        <v>2445</v>
      </c>
      <c r="C1" s="2" t="s">
        <v>2446</v>
      </c>
      <c r="D1" s="50" t="s">
        <v>10</v>
      </c>
      <c r="E1" s="50" t="s">
        <v>11</v>
      </c>
      <c r="F1" s="81" t="s">
        <v>2447</v>
      </c>
    </row>
    <row r="2" spans="1:6">
      <c r="A2" s="7">
        <f>1</f>
        <v>1</v>
      </c>
      <c r="B2" s="10" t="s">
        <v>2448</v>
      </c>
      <c r="C2" s="10" t="s">
        <v>2449</v>
      </c>
      <c r="D2" s="53">
        <v>44712</v>
      </c>
      <c r="E2" s="53">
        <v>44904</v>
      </c>
      <c r="F2" s="8" t="s">
        <v>2450</v>
      </c>
    </row>
    <row r="3" spans="1:6">
      <c r="A3" s="7">
        <v>2</v>
      </c>
      <c r="B3" s="10" t="s">
        <v>2451</v>
      </c>
      <c r="C3" s="10"/>
      <c r="D3" s="53">
        <f t="shared" ref="D3:D18" si="0">D2</f>
        <v>44712</v>
      </c>
      <c r="E3" s="53">
        <v>44910</v>
      </c>
      <c r="F3" s="8" t="s">
        <v>2452</v>
      </c>
    </row>
    <row r="4" spans="1:6">
      <c r="A4" s="7">
        <v>3</v>
      </c>
      <c r="B4" s="10" t="s">
        <v>2453</v>
      </c>
      <c r="C4" s="10"/>
      <c r="D4" s="53">
        <f t="shared" si="0"/>
        <v>44712</v>
      </c>
      <c r="E4" s="53">
        <v>44910</v>
      </c>
      <c r="F4" s="8" t="s">
        <v>2452</v>
      </c>
    </row>
    <row r="5" spans="1:6">
      <c r="A5" s="7">
        <v>4</v>
      </c>
      <c r="B5" s="10" t="s">
        <v>2454</v>
      </c>
      <c r="C5" s="10"/>
      <c r="D5" s="53">
        <f t="shared" si="0"/>
        <v>44712</v>
      </c>
      <c r="E5" s="53">
        <v>44910</v>
      </c>
      <c r="F5" s="8" t="s">
        <v>2452</v>
      </c>
    </row>
    <row r="6" spans="1:6">
      <c r="A6" s="7">
        <v>5</v>
      </c>
      <c r="B6" s="10" t="s">
        <v>2455</v>
      </c>
      <c r="C6" s="10"/>
      <c r="D6" s="53">
        <f t="shared" si="0"/>
        <v>44712</v>
      </c>
      <c r="E6" s="53">
        <v>44910</v>
      </c>
      <c r="F6" s="8" t="s">
        <v>2450</v>
      </c>
    </row>
    <row r="7" spans="1:6">
      <c r="A7" s="7">
        <v>6</v>
      </c>
      <c r="B7" s="10" t="s">
        <v>2456</v>
      </c>
      <c r="C7" s="10"/>
      <c r="D7" s="53">
        <f t="shared" si="0"/>
        <v>44712</v>
      </c>
      <c r="E7" s="53">
        <v>44910</v>
      </c>
      <c r="F7" s="8" t="s">
        <v>2450</v>
      </c>
    </row>
    <row r="8" spans="1:6">
      <c r="A8" s="7">
        <v>7</v>
      </c>
      <c r="B8" s="10" t="s">
        <v>2457</v>
      </c>
      <c r="C8" s="10"/>
      <c r="D8" s="53">
        <f t="shared" si="0"/>
        <v>44712</v>
      </c>
      <c r="E8" s="53">
        <v>44910</v>
      </c>
      <c r="F8" s="8" t="s">
        <v>2452</v>
      </c>
    </row>
    <row r="9" spans="1:6">
      <c r="A9" s="7">
        <v>8</v>
      </c>
      <c r="B9" s="28" t="s">
        <v>2458</v>
      </c>
      <c r="C9" s="10"/>
      <c r="D9" s="53">
        <f t="shared" si="0"/>
        <v>44712</v>
      </c>
      <c r="E9" s="53">
        <v>44910</v>
      </c>
      <c r="F9" s="8" t="s">
        <v>2452</v>
      </c>
    </row>
    <row r="10" spans="1:6">
      <c r="A10" s="7">
        <v>9</v>
      </c>
      <c r="B10" s="10" t="s">
        <v>2459</v>
      </c>
      <c r="C10" s="10"/>
      <c r="D10" s="53">
        <f t="shared" si="0"/>
        <v>44712</v>
      </c>
      <c r="E10" s="53">
        <v>44910</v>
      </c>
      <c r="F10" s="8" t="s">
        <v>2452</v>
      </c>
    </row>
    <row r="11" spans="1:6">
      <c r="A11" s="7">
        <v>10</v>
      </c>
      <c r="B11" s="10" t="s">
        <v>2460</v>
      </c>
      <c r="C11" s="10" t="s">
        <v>2461</v>
      </c>
      <c r="D11" s="53">
        <f t="shared" si="0"/>
        <v>44712</v>
      </c>
      <c r="E11" s="53">
        <v>44904</v>
      </c>
      <c r="F11" s="8" t="s">
        <v>2452</v>
      </c>
    </row>
    <row r="12" spans="1:6">
      <c r="A12" s="7">
        <v>11</v>
      </c>
      <c r="B12" s="10" t="s">
        <v>2462</v>
      </c>
      <c r="C12" s="10" t="s">
        <v>2463</v>
      </c>
      <c r="D12" s="53">
        <f t="shared" si="0"/>
        <v>44712</v>
      </c>
      <c r="E12" s="53">
        <v>44904</v>
      </c>
      <c r="F12" s="8" t="s">
        <v>2452</v>
      </c>
    </row>
    <row r="13" spans="1:6">
      <c r="A13" s="7">
        <v>12</v>
      </c>
      <c r="B13" s="10" t="s">
        <v>2464</v>
      </c>
      <c r="C13" s="10" t="s">
        <v>2465</v>
      </c>
      <c r="D13" s="53">
        <f t="shared" si="0"/>
        <v>44712</v>
      </c>
      <c r="E13" s="53">
        <v>44904</v>
      </c>
      <c r="F13" s="8" t="s">
        <v>2452</v>
      </c>
    </row>
    <row r="14" spans="1:6">
      <c r="A14" s="7">
        <v>13</v>
      </c>
      <c r="B14" s="10" t="s">
        <v>2466</v>
      </c>
      <c r="C14" s="10" t="s">
        <v>2467</v>
      </c>
      <c r="D14" s="53">
        <f t="shared" si="0"/>
        <v>44712</v>
      </c>
      <c r="E14" s="53">
        <v>44904</v>
      </c>
      <c r="F14" s="8" t="s">
        <v>2452</v>
      </c>
    </row>
    <row r="15" spans="1:6">
      <c r="A15" s="7">
        <v>14</v>
      </c>
      <c r="B15" s="10" t="s">
        <v>2468</v>
      </c>
      <c r="C15" s="10" t="s">
        <v>2469</v>
      </c>
      <c r="D15" s="53">
        <f t="shared" si="0"/>
        <v>44712</v>
      </c>
      <c r="E15" s="53">
        <v>44904</v>
      </c>
      <c r="F15" s="8" t="s">
        <v>2452</v>
      </c>
    </row>
    <row r="16" spans="1:6">
      <c r="A16" s="7">
        <v>15</v>
      </c>
      <c r="B16" s="10" t="s">
        <v>2470</v>
      </c>
      <c r="C16" s="10" t="s">
        <v>2471</v>
      </c>
      <c r="D16" s="53">
        <f t="shared" si="0"/>
        <v>44712</v>
      </c>
      <c r="E16" s="53">
        <v>44904</v>
      </c>
      <c r="F16" s="8" t="s">
        <v>2450</v>
      </c>
    </row>
    <row r="17" spans="1:6">
      <c r="A17" s="7">
        <v>16</v>
      </c>
      <c r="B17" s="10" t="s">
        <v>2472</v>
      </c>
      <c r="C17" s="10" t="s">
        <v>2473</v>
      </c>
      <c r="D17" s="53">
        <f t="shared" si="0"/>
        <v>44712</v>
      </c>
      <c r="E17" s="53">
        <v>44904</v>
      </c>
      <c r="F17" s="8" t="s">
        <v>2452</v>
      </c>
    </row>
    <row r="18" spans="1:6">
      <c r="A18" s="7">
        <v>17</v>
      </c>
      <c r="B18" s="10" t="s">
        <v>2474</v>
      </c>
      <c r="C18" s="10"/>
      <c r="D18" s="53">
        <f t="shared" si="0"/>
        <v>44712</v>
      </c>
      <c r="E18" s="53">
        <v>45070</v>
      </c>
      <c r="F18" s="8" t="s">
        <v>2452</v>
      </c>
    </row>
    <row r="19" spans="1:6">
      <c r="A19" s="7">
        <v>18</v>
      </c>
      <c r="B19" s="10" t="s">
        <v>2409</v>
      </c>
      <c r="C19" s="8"/>
      <c r="D19" s="53">
        <v>44904</v>
      </c>
      <c r="E19" s="58"/>
      <c r="F19" s="8" t="s">
        <v>2452</v>
      </c>
    </row>
    <row r="20" spans="1:6">
      <c r="A20" s="7">
        <v>19</v>
      </c>
      <c r="B20" s="10" t="s">
        <v>2475</v>
      </c>
      <c r="C20" s="8"/>
      <c r="D20" s="53">
        <v>44904</v>
      </c>
      <c r="E20" s="53">
        <v>44910</v>
      </c>
      <c r="F20" s="8" t="s">
        <v>2450</v>
      </c>
    </row>
    <row r="21" spans="1:6">
      <c r="A21" s="7">
        <v>20</v>
      </c>
      <c r="B21" s="10" t="s">
        <v>2476</v>
      </c>
      <c r="C21" s="8"/>
      <c r="D21" s="53">
        <v>44904</v>
      </c>
      <c r="E21" s="53">
        <v>44910</v>
      </c>
      <c r="F21" s="8" t="s">
        <v>2452</v>
      </c>
    </row>
    <row r="22" spans="1:6">
      <c r="A22" s="7">
        <v>21</v>
      </c>
      <c r="B22" s="10" t="s">
        <v>2477</v>
      </c>
      <c r="C22" s="10" t="s">
        <v>2478</v>
      </c>
      <c r="D22" s="53">
        <v>44918</v>
      </c>
      <c r="E22" s="58"/>
      <c r="F22" s="8" t="s">
        <v>2452</v>
      </c>
    </row>
    <row r="23" spans="1:6">
      <c r="A23" s="7">
        <v>22</v>
      </c>
      <c r="B23" s="10" t="s">
        <v>2479</v>
      </c>
      <c r="C23" s="8"/>
      <c r="D23" s="53">
        <v>44918</v>
      </c>
      <c r="E23" s="58"/>
      <c r="F23" s="8" t="s">
        <v>2452</v>
      </c>
    </row>
    <row r="24" spans="1:6">
      <c r="A24" s="7">
        <v>23</v>
      </c>
      <c r="B24" s="10" t="s">
        <v>2480</v>
      </c>
      <c r="C24" s="8"/>
      <c r="D24" s="53">
        <v>44918</v>
      </c>
      <c r="E24" s="58"/>
      <c r="F24" s="8" t="s">
        <v>2452</v>
      </c>
    </row>
    <row r="25" spans="1:6">
      <c r="A25" s="7">
        <v>24</v>
      </c>
      <c r="B25" s="10" t="s">
        <v>2481</v>
      </c>
      <c r="C25" s="8"/>
      <c r="D25" s="53">
        <v>44918</v>
      </c>
      <c r="E25" s="58"/>
      <c r="F25" s="8" t="s">
        <v>2452</v>
      </c>
    </row>
    <row r="26" spans="1:6">
      <c r="A26" s="7">
        <v>25</v>
      </c>
      <c r="B26" s="10" t="s">
        <v>2482</v>
      </c>
      <c r="C26" s="8"/>
      <c r="D26" s="53">
        <v>44935</v>
      </c>
      <c r="E26" s="58"/>
      <c r="F26" s="8" t="s">
        <v>2452</v>
      </c>
    </row>
    <row r="27" spans="1:6">
      <c r="A27" s="7">
        <v>26</v>
      </c>
      <c r="B27" s="10" t="s">
        <v>2483</v>
      </c>
      <c r="C27" s="8"/>
      <c r="D27" s="53">
        <v>44935</v>
      </c>
      <c r="E27" s="58"/>
      <c r="F27" s="8" t="s">
        <v>2452</v>
      </c>
    </row>
    <row r="28" spans="1:6">
      <c r="A28" s="7">
        <v>27</v>
      </c>
      <c r="B28" s="10" t="s">
        <v>2484</v>
      </c>
      <c r="C28" s="8"/>
      <c r="D28" s="53">
        <v>44935</v>
      </c>
      <c r="E28" s="58"/>
      <c r="F28" s="8" t="s">
        <v>2452</v>
      </c>
    </row>
    <row r="29" spans="1:6">
      <c r="A29" s="7">
        <v>28</v>
      </c>
      <c r="B29" s="10" t="s">
        <v>2485</v>
      </c>
      <c r="C29" s="8"/>
      <c r="D29" s="53">
        <v>44935</v>
      </c>
      <c r="E29" s="58"/>
      <c r="F29" s="8" t="s">
        <v>2452</v>
      </c>
    </row>
    <row r="30" spans="1:6">
      <c r="A30" s="7">
        <v>29</v>
      </c>
      <c r="B30" s="10" t="s">
        <v>2486</v>
      </c>
      <c r="C30" s="8"/>
      <c r="D30" s="53">
        <v>44935</v>
      </c>
      <c r="E30" s="58"/>
      <c r="F30" s="8" t="s">
        <v>2452</v>
      </c>
    </row>
    <row r="31" spans="1:6">
      <c r="A31" s="7">
        <v>30</v>
      </c>
      <c r="B31" s="10" t="s">
        <v>2487</v>
      </c>
      <c r="C31" s="8"/>
      <c r="D31" s="53">
        <v>44935</v>
      </c>
      <c r="E31" s="58"/>
      <c r="F31" s="8" t="s">
        <v>2452</v>
      </c>
    </row>
    <row r="32" spans="1:6">
      <c r="A32" s="7">
        <v>31</v>
      </c>
      <c r="B32" s="10" t="s">
        <v>2488</v>
      </c>
      <c r="C32" s="8"/>
      <c r="D32" s="53">
        <v>44942</v>
      </c>
      <c r="E32" s="58"/>
      <c r="F32" s="8" t="s">
        <v>2452</v>
      </c>
    </row>
    <row r="33" spans="1:6">
      <c r="A33" s="7">
        <v>32</v>
      </c>
      <c r="B33" s="10" t="s">
        <v>2489</v>
      </c>
      <c r="C33" s="8"/>
      <c r="D33" s="53">
        <v>44944</v>
      </c>
      <c r="E33" s="58"/>
      <c r="F33" s="8" t="s">
        <v>2452</v>
      </c>
    </row>
    <row r="34" spans="1:6">
      <c r="A34" s="7">
        <v>33</v>
      </c>
      <c r="B34" s="10" t="s">
        <v>2490</v>
      </c>
      <c r="C34" s="8"/>
      <c r="D34" s="53">
        <v>44965</v>
      </c>
      <c r="E34" s="58"/>
      <c r="F34" s="8" t="s">
        <v>2452</v>
      </c>
    </row>
    <row r="35" spans="1:6">
      <c r="A35" s="7">
        <v>34</v>
      </c>
      <c r="B35" s="10" t="s">
        <v>2491</v>
      </c>
      <c r="C35" s="8"/>
      <c r="D35" s="53">
        <v>44965</v>
      </c>
      <c r="E35" s="58"/>
      <c r="F35" s="8" t="s">
        <v>2452</v>
      </c>
    </row>
    <row r="36" spans="1:6">
      <c r="A36" s="7">
        <v>35</v>
      </c>
      <c r="B36" s="10" t="s">
        <v>2492</v>
      </c>
      <c r="C36" s="8"/>
      <c r="D36" s="53">
        <v>45034</v>
      </c>
      <c r="E36" s="58"/>
      <c r="F36" s="8" t="s">
        <v>2452</v>
      </c>
    </row>
    <row r="37" spans="1:6">
      <c r="A37" s="7">
        <v>36</v>
      </c>
      <c r="B37" s="10" t="s">
        <v>2493</v>
      </c>
      <c r="C37" s="8"/>
      <c r="D37" s="53">
        <v>45034</v>
      </c>
      <c r="E37" s="58"/>
      <c r="F37" s="8" t="s">
        <v>2452</v>
      </c>
    </row>
    <row r="38" spans="1:6">
      <c r="A38" s="7">
        <v>37</v>
      </c>
      <c r="B38" s="10" t="s">
        <v>2494</v>
      </c>
      <c r="C38" s="8"/>
      <c r="D38" s="53">
        <v>45034</v>
      </c>
      <c r="E38" s="58"/>
      <c r="F38" s="8" t="s">
        <v>2452</v>
      </c>
    </row>
    <row r="39" spans="1:6">
      <c r="A39" s="7">
        <v>38</v>
      </c>
      <c r="B39" s="10" t="s">
        <v>2495</v>
      </c>
      <c r="C39" s="8"/>
      <c r="D39" s="53">
        <v>45034</v>
      </c>
      <c r="E39" s="58"/>
      <c r="F39" s="8" t="s">
        <v>2452</v>
      </c>
    </row>
    <row r="40" spans="1:6">
      <c r="A40" s="7">
        <v>39</v>
      </c>
      <c r="B40" s="10" t="s">
        <v>2496</v>
      </c>
      <c r="C40" s="8"/>
      <c r="D40" s="53">
        <v>45034</v>
      </c>
      <c r="E40" s="58"/>
      <c r="F40" s="8" t="s">
        <v>2452</v>
      </c>
    </row>
    <row r="41" spans="1:6">
      <c r="A41" s="7">
        <v>40</v>
      </c>
      <c r="B41" s="10" t="s">
        <v>2497</v>
      </c>
      <c r="C41" s="8"/>
      <c r="D41" s="53">
        <v>45034</v>
      </c>
      <c r="E41" s="58"/>
      <c r="F41" s="8" t="s">
        <v>2452</v>
      </c>
    </row>
    <row r="42" spans="1:6">
      <c r="A42" s="7">
        <v>41</v>
      </c>
      <c r="B42" s="10" t="s">
        <v>2498</v>
      </c>
      <c r="C42" s="10" t="s">
        <v>2499</v>
      </c>
      <c r="D42" s="53">
        <v>45034</v>
      </c>
      <c r="E42" s="58"/>
      <c r="F42" s="8" t="s">
        <v>2452</v>
      </c>
    </row>
    <row r="43" spans="1:6">
      <c r="A43" s="7">
        <v>42</v>
      </c>
      <c r="B43" s="10" t="s">
        <v>2500</v>
      </c>
      <c r="C43" s="10" t="s">
        <v>2501</v>
      </c>
      <c r="D43" s="53">
        <v>45034</v>
      </c>
      <c r="E43" s="58"/>
      <c r="F43" s="8" t="s">
        <v>2452</v>
      </c>
    </row>
    <row r="44" spans="1:6">
      <c r="A44" s="7">
        <v>43</v>
      </c>
      <c r="B44" s="10" t="s">
        <v>2502</v>
      </c>
      <c r="C44" s="8"/>
      <c r="D44" s="53">
        <v>45034</v>
      </c>
      <c r="E44" s="58"/>
      <c r="F44" s="8" t="s">
        <v>2452</v>
      </c>
    </row>
    <row r="45" spans="1:6">
      <c r="A45" s="7">
        <v>44</v>
      </c>
      <c r="B45" s="10" t="s">
        <v>2503</v>
      </c>
      <c r="C45" s="8"/>
      <c r="D45" s="53">
        <v>45034</v>
      </c>
      <c r="E45" s="58"/>
      <c r="F45" s="8" t="s">
        <v>2452</v>
      </c>
    </row>
    <row r="46" spans="1:6">
      <c r="A46" s="7">
        <v>45</v>
      </c>
      <c r="B46" s="10" t="s">
        <v>2504</v>
      </c>
      <c r="C46" s="8"/>
      <c r="D46" s="53">
        <v>45034</v>
      </c>
      <c r="E46" s="58"/>
      <c r="F46" s="8" t="s">
        <v>2452</v>
      </c>
    </row>
    <row r="47" spans="1:6">
      <c r="A47" s="7">
        <v>46</v>
      </c>
      <c r="B47" s="84" t="s">
        <v>2505</v>
      </c>
      <c r="C47" s="8"/>
      <c r="D47" s="53">
        <v>45034</v>
      </c>
      <c r="E47" s="58"/>
      <c r="F47" s="8" t="s">
        <v>2452</v>
      </c>
    </row>
    <row r="48" spans="1:6">
      <c r="A48" s="7">
        <v>47</v>
      </c>
      <c r="B48" s="10" t="s">
        <v>2506</v>
      </c>
      <c r="C48" s="8"/>
      <c r="D48" s="53">
        <v>45034</v>
      </c>
      <c r="E48" s="58"/>
      <c r="F48" s="8" t="s">
        <v>2452</v>
      </c>
    </row>
    <row r="49" spans="1:6">
      <c r="A49" s="7">
        <v>48</v>
      </c>
      <c r="B49" s="10" t="s">
        <v>2507</v>
      </c>
      <c r="C49" s="8"/>
      <c r="D49" s="53">
        <v>45034</v>
      </c>
      <c r="E49" s="58"/>
      <c r="F49" s="8" t="s">
        <v>2452</v>
      </c>
    </row>
    <row r="50" spans="1:6">
      <c r="A50" s="7">
        <v>49</v>
      </c>
      <c r="B50" s="10" t="s">
        <v>2508</v>
      </c>
      <c r="C50" s="8"/>
      <c r="D50" s="53">
        <v>45035</v>
      </c>
      <c r="E50" s="58"/>
      <c r="F50" s="8" t="s">
        <v>2452</v>
      </c>
    </row>
    <row r="51" spans="1:6">
      <c r="A51" s="7">
        <v>50</v>
      </c>
      <c r="B51" s="10" t="s">
        <v>2509</v>
      </c>
      <c r="C51" s="8"/>
      <c r="D51" s="53">
        <v>45035</v>
      </c>
      <c r="E51" s="58"/>
      <c r="F51" s="8" t="s">
        <v>2452</v>
      </c>
    </row>
    <row r="52" spans="1:6">
      <c r="A52" s="7">
        <v>51</v>
      </c>
      <c r="B52" s="10" t="s">
        <v>2510</v>
      </c>
      <c r="C52" s="10" t="s">
        <v>2511</v>
      </c>
      <c r="D52" s="53">
        <v>45035</v>
      </c>
      <c r="E52" s="58"/>
      <c r="F52" s="8" t="s">
        <v>2452</v>
      </c>
    </row>
    <row r="53" spans="1:6">
      <c r="A53" s="7">
        <v>52</v>
      </c>
      <c r="B53" s="10" t="s">
        <v>2512</v>
      </c>
      <c r="C53" s="8"/>
      <c r="D53" s="53">
        <v>45035</v>
      </c>
      <c r="E53" s="58"/>
      <c r="F53" s="8" t="s">
        <v>2452</v>
      </c>
    </row>
    <row r="54" spans="1:6">
      <c r="A54" s="7">
        <v>53</v>
      </c>
      <c r="B54" s="10" t="s">
        <v>2513</v>
      </c>
      <c r="C54" s="8"/>
      <c r="D54" s="53">
        <v>45035</v>
      </c>
      <c r="E54" s="58"/>
      <c r="F54" s="8" t="s">
        <v>2452</v>
      </c>
    </row>
    <row r="55" spans="1:6">
      <c r="A55" s="7">
        <v>54</v>
      </c>
      <c r="B55" s="10" t="s">
        <v>2514</v>
      </c>
      <c r="C55" s="8"/>
      <c r="D55" s="53">
        <v>45035</v>
      </c>
      <c r="E55" s="58"/>
      <c r="F55" s="8" t="s">
        <v>2452</v>
      </c>
    </row>
    <row r="56" spans="1:6">
      <c r="A56" s="7">
        <v>55</v>
      </c>
      <c r="B56" s="10" t="s">
        <v>2515</v>
      </c>
      <c r="C56" s="8"/>
      <c r="D56" s="53">
        <v>45035</v>
      </c>
      <c r="E56" s="58"/>
      <c r="F56" s="8" t="s">
        <v>2452</v>
      </c>
    </row>
    <row r="57" spans="1:6">
      <c r="A57" s="7">
        <v>56</v>
      </c>
      <c r="B57" s="10" t="s">
        <v>2425</v>
      </c>
      <c r="C57" s="10" t="s">
        <v>2516</v>
      </c>
      <c r="D57" s="53">
        <v>45035</v>
      </c>
      <c r="E57" s="58"/>
      <c r="F57" s="8" t="s">
        <v>2452</v>
      </c>
    </row>
    <row r="58" spans="1:6">
      <c r="A58" s="7">
        <v>57</v>
      </c>
      <c r="B58" s="10" t="s">
        <v>2517</v>
      </c>
      <c r="C58" s="8"/>
      <c r="D58" s="53">
        <v>45035</v>
      </c>
      <c r="E58" s="58"/>
      <c r="F58" s="8" t="s">
        <v>2452</v>
      </c>
    </row>
    <row r="59" spans="1:6">
      <c r="A59" s="7">
        <v>58</v>
      </c>
      <c r="B59" s="10" t="s">
        <v>2518</v>
      </c>
      <c r="C59" s="10" t="s">
        <v>2519</v>
      </c>
      <c r="D59" s="53">
        <v>45035</v>
      </c>
      <c r="E59" s="58"/>
      <c r="F59" s="8" t="s">
        <v>2452</v>
      </c>
    </row>
    <row r="60" spans="1:6">
      <c r="A60" s="7">
        <v>59</v>
      </c>
      <c r="B60" s="10" t="s">
        <v>2520</v>
      </c>
      <c r="C60" s="8"/>
      <c r="D60" s="53">
        <v>45035</v>
      </c>
      <c r="E60" s="58"/>
      <c r="F60" s="8" t="s">
        <v>2452</v>
      </c>
    </row>
    <row r="61" spans="1:6">
      <c r="A61" s="7">
        <v>60</v>
      </c>
      <c r="B61" s="10" t="s">
        <v>2521</v>
      </c>
      <c r="C61" s="10" t="s">
        <v>2521</v>
      </c>
      <c r="D61" s="53">
        <v>45035</v>
      </c>
      <c r="E61" s="58"/>
      <c r="F61" s="8" t="s">
        <v>2452</v>
      </c>
    </row>
    <row r="62" spans="1:6">
      <c r="A62" s="7">
        <v>61</v>
      </c>
      <c r="B62" s="10" t="s">
        <v>2419</v>
      </c>
      <c r="C62" s="8"/>
      <c r="D62" s="53">
        <v>45035</v>
      </c>
      <c r="E62" s="58"/>
      <c r="F62" s="8" t="s">
        <v>2452</v>
      </c>
    </row>
    <row r="63" spans="1:6">
      <c r="A63" s="7">
        <v>62</v>
      </c>
      <c r="B63" s="10" t="s">
        <v>2522</v>
      </c>
      <c r="C63" s="8"/>
      <c r="D63" s="53">
        <v>45036</v>
      </c>
      <c r="E63" s="58"/>
      <c r="F63" s="8" t="s">
        <v>2452</v>
      </c>
    </row>
    <row r="64" spans="1:6">
      <c r="A64" s="7">
        <v>63</v>
      </c>
      <c r="B64" s="10" t="s">
        <v>2523</v>
      </c>
      <c r="C64" s="8"/>
      <c r="D64" s="53">
        <v>45036</v>
      </c>
      <c r="E64" s="58"/>
      <c r="F64" s="8" t="s">
        <v>2452</v>
      </c>
    </row>
    <row r="65" spans="1:6">
      <c r="A65" s="7">
        <v>64</v>
      </c>
      <c r="B65" s="10" t="s">
        <v>2524</v>
      </c>
      <c r="C65" s="8"/>
      <c r="D65" s="53">
        <v>45036</v>
      </c>
      <c r="E65" s="58"/>
      <c r="F65" s="8" t="s">
        <v>2452</v>
      </c>
    </row>
    <row r="66" spans="1:6">
      <c r="A66" s="7">
        <v>65</v>
      </c>
      <c r="B66" s="10" t="s">
        <v>2525</v>
      </c>
      <c r="C66" s="8"/>
      <c r="D66" s="53">
        <v>45036</v>
      </c>
      <c r="E66" s="58"/>
      <c r="F66" s="8" t="s">
        <v>2452</v>
      </c>
    </row>
    <row r="67" spans="1:6">
      <c r="A67" s="7">
        <v>66</v>
      </c>
      <c r="B67" s="10" t="s">
        <v>2526</v>
      </c>
      <c r="C67" s="8"/>
      <c r="D67" s="53">
        <v>45082</v>
      </c>
      <c r="E67" s="58"/>
      <c r="F67" s="8" t="s">
        <v>2452</v>
      </c>
    </row>
    <row r="68" spans="1:6">
      <c r="A68" s="7">
        <v>67</v>
      </c>
      <c r="B68" s="10" t="s">
        <v>2527</v>
      </c>
      <c r="C68" s="8"/>
      <c r="D68" s="53">
        <v>45082</v>
      </c>
      <c r="E68" s="58"/>
      <c r="F68" s="8" t="s">
        <v>2452</v>
      </c>
    </row>
    <row r="69" spans="1:6">
      <c r="A69" s="7">
        <v>68</v>
      </c>
      <c r="B69" s="10" t="s">
        <v>2528</v>
      </c>
      <c r="C69" s="8"/>
      <c r="D69" s="53">
        <v>45083</v>
      </c>
      <c r="E69" s="58"/>
      <c r="F69" s="8" t="s">
        <v>2452</v>
      </c>
    </row>
    <row r="70" spans="1:6">
      <c r="A70" s="7">
        <v>69</v>
      </c>
      <c r="B70" s="10" t="s">
        <v>2529</v>
      </c>
      <c r="C70" s="8"/>
      <c r="D70" s="53">
        <v>45083</v>
      </c>
      <c r="E70" s="58"/>
      <c r="F70" s="8" t="s">
        <v>2452</v>
      </c>
    </row>
    <row r="71" spans="1:6">
      <c r="A71" s="7">
        <v>70</v>
      </c>
      <c r="B71" s="10" t="s">
        <v>2530</v>
      </c>
      <c r="C71" s="8"/>
      <c r="D71" s="53">
        <v>45083</v>
      </c>
      <c r="E71" s="58"/>
      <c r="F71" s="8" t="s">
        <v>2452</v>
      </c>
    </row>
    <row r="72" spans="1:6">
      <c r="A72" s="7">
        <v>71</v>
      </c>
      <c r="B72" s="10" t="s">
        <v>2531</v>
      </c>
      <c r="C72" s="8"/>
      <c r="D72" s="53">
        <v>45083</v>
      </c>
      <c r="E72" s="58"/>
      <c r="F72" s="8" t="s">
        <v>2452</v>
      </c>
    </row>
    <row r="73" spans="1:6">
      <c r="A73" s="7">
        <v>72</v>
      </c>
      <c r="B73" s="10" t="s">
        <v>2532</v>
      </c>
      <c r="C73" s="8"/>
      <c r="D73" s="53">
        <v>45084</v>
      </c>
      <c r="E73" s="58"/>
      <c r="F73" s="8" t="s">
        <v>2452</v>
      </c>
    </row>
    <row r="74" spans="1:6">
      <c r="A74" s="7">
        <v>73</v>
      </c>
      <c r="B74" s="10" t="s">
        <v>2533</v>
      </c>
      <c r="C74" s="8"/>
      <c r="D74" s="53">
        <v>45105</v>
      </c>
      <c r="E74" s="58"/>
      <c r="F74" s="8" t="s">
        <v>2452</v>
      </c>
    </row>
    <row r="75" spans="1:6">
      <c r="A75" s="29">
        <v>74</v>
      </c>
      <c r="B75" s="29" t="s">
        <v>2534</v>
      </c>
      <c r="D75" s="60">
        <v>45133</v>
      </c>
      <c r="F75" s="29" t="s">
        <v>2452</v>
      </c>
    </row>
    <row r="76" spans="1:6">
      <c r="A76" s="29">
        <v>75</v>
      </c>
      <c r="B76" s="29" t="s">
        <v>2535</v>
      </c>
      <c r="D76" s="60">
        <v>45464</v>
      </c>
      <c r="F76" s="29" t="s">
        <v>2452</v>
      </c>
    </row>
    <row r="77" spans="1:6">
      <c r="A77" s="29">
        <v>76</v>
      </c>
      <c r="B77" s="29" t="s">
        <v>2536</v>
      </c>
      <c r="D77" s="60">
        <v>45465</v>
      </c>
      <c r="F77" s="29" t="s">
        <v>2452</v>
      </c>
    </row>
    <row r="78" spans="1:6">
      <c r="A78" s="29">
        <v>77</v>
      </c>
      <c r="B78" s="29" t="s">
        <v>2537</v>
      </c>
      <c r="D78" s="60">
        <v>45467</v>
      </c>
      <c r="F78" s="29" t="s">
        <v>2452</v>
      </c>
    </row>
    <row r="79" spans="1:6">
      <c r="A79" s="29">
        <v>78</v>
      </c>
      <c r="B79" s="29" t="s">
        <v>2538</v>
      </c>
      <c r="D79" s="40">
        <v>45494</v>
      </c>
      <c r="F79" s="29" t="s">
        <v>2452</v>
      </c>
    </row>
    <row r="80" spans="1:6">
      <c r="A80" s="29">
        <v>79</v>
      </c>
      <c r="B80" s="29" t="s">
        <v>2539</v>
      </c>
      <c r="D80" s="40">
        <v>45494</v>
      </c>
      <c r="F80" s="29" t="s">
        <v>2452</v>
      </c>
    </row>
    <row r="81" spans="1:6">
      <c r="A81" s="29">
        <v>80</v>
      </c>
      <c r="B81" s="29" t="s">
        <v>2540</v>
      </c>
      <c r="D81" s="40">
        <v>45494</v>
      </c>
      <c r="F81" s="29" t="s">
        <v>2452</v>
      </c>
    </row>
    <row r="82" spans="1:6">
      <c r="A82" s="29">
        <v>81</v>
      </c>
      <c r="B82" s="29" t="s">
        <v>2541</v>
      </c>
      <c r="D82" s="40">
        <v>45494</v>
      </c>
      <c r="F82" s="29" t="s">
        <v>2452</v>
      </c>
    </row>
    <row r="83" spans="1:6">
      <c r="A83" s="29">
        <v>82</v>
      </c>
      <c r="B83" s="29" t="s">
        <v>2542</v>
      </c>
      <c r="D83" s="40">
        <v>45496</v>
      </c>
      <c r="F83" s="29" t="s">
        <v>2452</v>
      </c>
    </row>
    <row r="84" spans="1:6">
      <c r="A84" s="29">
        <v>83</v>
      </c>
      <c r="B84" s="29" t="s">
        <v>2543</v>
      </c>
      <c r="D84" s="40">
        <v>45496</v>
      </c>
      <c r="F84" s="29" t="s">
        <v>2452</v>
      </c>
    </row>
    <row r="85" spans="1:6">
      <c r="A85" s="29">
        <v>84</v>
      </c>
      <c r="B85" s="29" t="s">
        <v>2544</v>
      </c>
      <c r="D85" s="40">
        <v>45558</v>
      </c>
      <c r="F85" s="29" t="s">
        <v>2452</v>
      </c>
    </row>
    <row r="86" spans="1:6">
      <c r="A86" s="29">
        <v>85</v>
      </c>
      <c r="B86" s="29" t="s">
        <v>2545</v>
      </c>
      <c r="D86" s="40">
        <v>45622</v>
      </c>
      <c r="F86" s="29" t="s">
        <v>2452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F1376"/>
  <sheetViews>
    <sheetView workbookViewId="0">
      <pane ySplit="1" topLeftCell="A80" activePane="bottomLeft" state="frozen"/>
      <selection pane="bottomLeft" activeCell="B3" sqref="B3"/>
    </sheetView>
  </sheetViews>
  <sheetFormatPr defaultColWidth="12.6640625" defaultRowHeight="15.75" customHeight="1"/>
  <cols>
    <col min="1" max="1" width="11" customWidth="1"/>
    <col min="2" max="2" width="22.21875" customWidth="1"/>
    <col min="3" max="3" width="16.44140625" customWidth="1"/>
    <col min="4" max="4" width="36.21875" customWidth="1"/>
  </cols>
  <sheetData>
    <row r="1" spans="1:6">
      <c r="A1" s="68" t="s">
        <v>2249</v>
      </c>
      <c r="B1" s="68" t="s">
        <v>2250</v>
      </c>
      <c r="C1" s="68" t="s">
        <v>2444</v>
      </c>
      <c r="D1" s="68" t="s">
        <v>2445</v>
      </c>
      <c r="E1" s="3" t="s">
        <v>10</v>
      </c>
      <c r="F1" s="50" t="s">
        <v>11</v>
      </c>
    </row>
    <row r="2" spans="1:6">
      <c r="A2" s="7">
        <v>1</v>
      </c>
      <c r="B2" s="10" t="str">
        <f>VLOOKUP(A2,vaccines!A:B,2)</f>
        <v>BCG_Microgen</v>
      </c>
      <c r="C2" s="7">
        <v>2</v>
      </c>
      <c r="D2" s="8" t="str">
        <f>VLOOKUP(C2,contraindications_list!A:B,2)</f>
        <v>недоношенность</v>
      </c>
      <c r="E2" s="11">
        <v>44712</v>
      </c>
      <c r="F2" s="58"/>
    </row>
    <row r="3" spans="1:6">
      <c r="A3" s="7">
        <v>1</v>
      </c>
      <c r="B3" s="10" t="str">
        <f>VLOOKUP(A3,vaccines!A:B,2)</f>
        <v>BCG_Microgen</v>
      </c>
      <c r="C3" s="7">
        <v>3</v>
      </c>
      <c r="D3" s="8" t="str">
        <f>VLOOKUP(C3,contraindications_list!A:B,2)</f>
        <v>внутриутробная гипотрофия</v>
      </c>
      <c r="E3" s="11">
        <f t="shared" ref="E3:E9" si="0">E2</f>
        <v>44712</v>
      </c>
      <c r="F3" s="58"/>
    </row>
    <row r="4" spans="1:6">
      <c r="A4" s="7">
        <v>1</v>
      </c>
      <c r="B4" s="10" t="str">
        <f>VLOOKUP(A4,vaccines!A:B,2)</f>
        <v>BCG_Microgen</v>
      </c>
      <c r="C4" s="7">
        <v>5</v>
      </c>
      <c r="D4" s="8" t="str">
        <f>VLOOKUP(C4,contraindications_list!A:B,2)</f>
        <v>острое заболевание</v>
      </c>
      <c r="E4" s="11">
        <f t="shared" si="0"/>
        <v>44712</v>
      </c>
      <c r="F4" s="58"/>
    </row>
    <row r="5" spans="1:6">
      <c r="A5" s="7">
        <v>1</v>
      </c>
      <c r="B5" s="10" t="str">
        <f>VLOOKUP(A5,vaccines!A:B,2)</f>
        <v>BCG_Microgen</v>
      </c>
      <c r="C5" s="7">
        <v>6</v>
      </c>
      <c r="D5" s="8" t="str">
        <f>VLOOKUP(C5,contraindications_list!A:B,2)</f>
        <v>обострение хронического заболевания</v>
      </c>
      <c r="E5" s="11">
        <f t="shared" si="0"/>
        <v>44712</v>
      </c>
      <c r="F5" s="58"/>
    </row>
    <row r="6" spans="1:6">
      <c r="A6" s="7">
        <v>1</v>
      </c>
      <c r="B6" s="10" t="str">
        <f>VLOOKUP(A6,vaccines!A:B,2)</f>
        <v>BCG_Microgen</v>
      </c>
      <c r="C6" s="7">
        <v>7</v>
      </c>
      <c r="D6" s="8" t="str">
        <f>VLOOKUP(C6,contraindications_list!A:B,2)</f>
        <v>иммунодефицит</v>
      </c>
      <c r="E6" s="11">
        <f t="shared" si="0"/>
        <v>44712</v>
      </c>
      <c r="F6" s="58"/>
    </row>
    <row r="7" spans="1:6">
      <c r="A7" s="7">
        <v>1</v>
      </c>
      <c r="B7" s="10" t="str">
        <f>VLOOKUP(A7,vaccines!A:B,2)</f>
        <v>BCG_Microgen</v>
      </c>
      <c r="C7" s="7">
        <v>8</v>
      </c>
      <c r="D7" s="8" t="str">
        <f>VLOOKUP(C7,contraindications_list!A:B,2)</f>
        <v>злокачественное новообразование</v>
      </c>
      <c r="E7" s="11">
        <f t="shared" si="0"/>
        <v>44712</v>
      </c>
      <c r="F7" s="58"/>
    </row>
    <row r="8" spans="1:6">
      <c r="A8" s="7">
        <v>1</v>
      </c>
      <c r="B8" s="10" t="str">
        <f>VLOOKUP(A8,vaccines!A:B,2)</f>
        <v>BCG_Microgen</v>
      </c>
      <c r="C8" s="7">
        <v>9</v>
      </c>
      <c r="D8" s="8" t="str">
        <f>VLOOKUP(C8,contraindications_list!A:B,2)</f>
        <v>осложнение на вакцину у членов семьи</v>
      </c>
      <c r="E8" s="11">
        <f t="shared" si="0"/>
        <v>44712</v>
      </c>
      <c r="F8" s="58"/>
    </row>
    <row r="9" spans="1:6">
      <c r="A9" s="7">
        <v>1</v>
      </c>
      <c r="B9" s="10" t="str">
        <f>VLOOKUP(A9,vaccines!A:B,2)</f>
        <v>BCG_Microgen</v>
      </c>
      <c r="C9" s="7">
        <v>11</v>
      </c>
      <c r="D9" s="8" t="str">
        <f>VLOOKUP(C9,contraindications_list!A:B,2)</f>
        <v>ВИЧ у матери</v>
      </c>
      <c r="E9" s="11">
        <f t="shared" si="0"/>
        <v>44712</v>
      </c>
      <c r="F9" s="58"/>
    </row>
    <row r="10" spans="1:6">
      <c r="A10" s="7">
        <v>1</v>
      </c>
      <c r="B10" s="10" t="str">
        <f>VLOOKUP(A10,vaccines!A:B,2)</f>
        <v>BCG_Microgen</v>
      </c>
      <c r="C10" s="7">
        <v>18</v>
      </c>
      <c r="D10" s="8" t="str">
        <f>VLOOKUP(C10,contraindications_list!A:B,2)</f>
        <v>туберкулез</v>
      </c>
      <c r="E10" s="11">
        <v>44904</v>
      </c>
      <c r="F10" s="58"/>
    </row>
    <row r="11" spans="1:6">
      <c r="A11" s="7">
        <v>1</v>
      </c>
      <c r="B11" s="10" t="str">
        <f>VLOOKUP(A11,vaccines!A:B,2)</f>
        <v>BCG_Microgen</v>
      </c>
      <c r="C11" s="7">
        <v>10</v>
      </c>
      <c r="D11" s="8" t="str">
        <f>VLOOKUP(C11,contraindications_list!A:B,2)</f>
        <v>ВИЧ</v>
      </c>
      <c r="E11" s="11">
        <v>44904</v>
      </c>
      <c r="F11" s="58"/>
    </row>
    <row r="12" spans="1:6">
      <c r="A12" s="7">
        <v>1</v>
      </c>
      <c r="B12" s="10" t="str">
        <f>VLOOKUP(A12,vaccines!A:B,2)</f>
        <v>BCG_Microgen</v>
      </c>
      <c r="C12" s="7">
        <v>19</v>
      </c>
      <c r="D12" s="8" t="str">
        <f>VLOOKUP(C12,contraindications_list!A:B,2)</f>
        <v>осложнение на предыдущее введение вакцины</v>
      </c>
      <c r="E12" s="11">
        <v>44904</v>
      </c>
      <c r="F12" s="58"/>
    </row>
    <row r="13" spans="1:6">
      <c r="A13" s="7">
        <v>1</v>
      </c>
      <c r="B13" s="10" t="str">
        <f>VLOOKUP(A13,vaccines!A:B,2)</f>
        <v>BCG_Microgen</v>
      </c>
      <c r="C13" s="7">
        <v>20</v>
      </c>
      <c r="D13" s="8" t="str">
        <f>VLOOKUP(C13,contraindications_list!A:B,2)</f>
        <v>положительная реакция Манту</v>
      </c>
      <c r="E13" s="11">
        <v>44904</v>
      </c>
      <c r="F13" s="58"/>
    </row>
    <row r="14" spans="1:6">
      <c r="A14" s="7">
        <v>1</v>
      </c>
      <c r="B14" s="10" t="str">
        <f>VLOOKUP(A14,vaccines!A:B,2)</f>
        <v>BCG_Microgen</v>
      </c>
      <c r="C14" s="7">
        <v>4</v>
      </c>
      <c r="D14" s="8" t="str">
        <f>VLOOKUP(C14,contraindications_list!A:B,2)</f>
        <v>низкая масса тела</v>
      </c>
      <c r="E14" s="11">
        <v>45070</v>
      </c>
      <c r="F14" s="58"/>
    </row>
    <row r="15" spans="1:6">
      <c r="A15" s="7">
        <v>1</v>
      </c>
      <c r="B15" s="10" t="str">
        <f>VLOOKUP(A15,vaccines!A:B,2)</f>
        <v>BCG_Microgen</v>
      </c>
      <c r="C15" s="54">
        <v>74</v>
      </c>
      <c r="D15" s="8" t="str">
        <f>VLOOKUP(C15,contraindications_list!A:B,2)</f>
        <v>злокачественное заболевание крови</v>
      </c>
      <c r="E15" s="12">
        <v>45133</v>
      </c>
      <c r="F15" s="58"/>
    </row>
    <row r="16" spans="1:6">
      <c r="A16" s="7">
        <v>1</v>
      </c>
      <c r="B16" s="10" t="str">
        <f>VLOOKUP(A16,vaccines!A:B,2)</f>
        <v>BCG_Microgen</v>
      </c>
      <c r="C16" s="54">
        <v>1</v>
      </c>
      <c r="D16" s="8" t="str">
        <f>VLOOKUP(C16,contraindications_list!A:B,2)</f>
        <v>гиперчувствительность к компонентам</v>
      </c>
      <c r="E16" s="12">
        <v>45517</v>
      </c>
      <c r="F16" s="58"/>
    </row>
    <row r="17" spans="1:6">
      <c r="A17" s="7">
        <v>2</v>
      </c>
      <c r="B17" s="10" t="str">
        <f>VLOOKUP(A17,vaccines!A:B,2)</f>
        <v>BCG_M_Microgen</v>
      </c>
      <c r="C17" s="7">
        <v>2</v>
      </c>
      <c r="D17" s="8" t="str">
        <f>VLOOKUP(C17,contraindications_list!A:B,2)</f>
        <v>недоношенность</v>
      </c>
      <c r="E17" s="11">
        <v>44904</v>
      </c>
      <c r="F17" s="58"/>
    </row>
    <row r="18" spans="1:6">
      <c r="A18" s="7">
        <v>2</v>
      </c>
      <c r="B18" s="10" t="str">
        <f>VLOOKUP(A18,vaccines!A:B,2)</f>
        <v>BCG_M_Microgen</v>
      </c>
      <c r="C18" s="7">
        <v>5</v>
      </c>
      <c r="D18" s="8" t="str">
        <f>VLOOKUP(C18,contraindications_list!A:B,2)</f>
        <v>острое заболевание</v>
      </c>
      <c r="E18" s="11">
        <v>44904</v>
      </c>
      <c r="F18" s="58"/>
    </row>
    <row r="19" spans="1:6">
      <c r="A19" s="7">
        <v>2</v>
      </c>
      <c r="B19" s="10" t="str">
        <f>VLOOKUP(A19,vaccines!A:B,2)</f>
        <v>BCG_M_Microgen</v>
      </c>
      <c r="C19" s="7">
        <v>6</v>
      </c>
      <c r="D19" s="8" t="str">
        <f>VLOOKUP(C19,contraindications_list!A:B,2)</f>
        <v>обострение хронического заболевания</v>
      </c>
      <c r="E19" s="11">
        <v>44904</v>
      </c>
      <c r="F19" s="58"/>
    </row>
    <row r="20" spans="1:6">
      <c r="A20" s="7">
        <v>2</v>
      </c>
      <c r="B20" s="10" t="str">
        <f>VLOOKUP(A20,vaccines!A:B,2)</f>
        <v>BCG_M_Microgen</v>
      </c>
      <c r="C20" s="7">
        <v>7</v>
      </c>
      <c r="D20" s="8" t="str">
        <f>VLOOKUP(C20,contraindications_list!A:B,2)</f>
        <v>иммунодефицит</v>
      </c>
      <c r="E20" s="11">
        <v>44904</v>
      </c>
      <c r="F20" s="58"/>
    </row>
    <row r="21" spans="1:6">
      <c r="A21" s="7">
        <v>2</v>
      </c>
      <c r="B21" s="10" t="str">
        <f>VLOOKUP(A21,vaccines!A:B,2)</f>
        <v>BCG_M_Microgen</v>
      </c>
      <c r="C21" s="7">
        <v>8</v>
      </c>
      <c r="D21" s="8" t="str">
        <f>VLOOKUP(C21,contraindications_list!A:B,2)</f>
        <v>злокачественное новообразование</v>
      </c>
      <c r="E21" s="11">
        <v>44904</v>
      </c>
      <c r="F21" s="58"/>
    </row>
    <row r="22" spans="1:6">
      <c r="A22" s="7">
        <v>2</v>
      </c>
      <c r="B22" s="10" t="str">
        <f>VLOOKUP(A22,vaccines!A:B,2)</f>
        <v>BCG_M_Microgen</v>
      </c>
      <c r="C22" s="7">
        <v>9</v>
      </c>
      <c r="D22" s="8" t="str">
        <f>VLOOKUP(C22,contraindications_list!A:B,2)</f>
        <v>осложнение на вакцину у членов семьи</v>
      </c>
      <c r="E22" s="11">
        <v>44904</v>
      </c>
      <c r="F22" s="58"/>
    </row>
    <row r="23" spans="1:6">
      <c r="A23" s="7">
        <v>2</v>
      </c>
      <c r="B23" s="10" t="str">
        <f>VLOOKUP(A23,vaccines!A:B,2)</f>
        <v>BCG_M_Microgen</v>
      </c>
      <c r="C23" s="7">
        <v>10</v>
      </c>
      <c r="D23" s="8" t="str">
        <f>VLOOKUP(C23,contraindications_list!A:B,2)</f>
        <v>ВИЧ</v>
      </c>
      <c r="E23" s="11">
        <v>44904</v>
      </c>
      <c r="F23" s="58"/>
    </row>
    <row r="24" spans="1:6">
      <c r="A24" s="7">
        <v>2</v>
      </c>
      <c r="B24" s="10" t="str">
        <f>VLOOKUP(A24,vaccines!A:B,2)</f>
        <v>BCG_M_Microgen</v>
      </c>
      <c r="C24" s="7">
        <v>11</v>
      </c>
      <c r="D24" s="8" t="str">
        <f>VLOOKUP(C24,contraindications_list!A:B,2)</f>
        <v>ВИЧ у матери</v>
      </c>
      <c r="E24" s="11">
        <v>44904</v>
      </c>
      <c r="F24" s="58"/>
    </row>
    <row r="25" spans="1:6">
      <c r="A25" s="7">
        <v>2</v>
      </c>
      <c r="B25" s="10" t="str">
        <f>VLOOKUP(A25,vaccines!A:B,2)</f>
        <v>BCG_M_Microgen</v>
      </c>
      <c r="C25" s="7">
        <v>4</v>
      </c>
      <c r="D25" s="8" t="str">
        <f>VLOOKUP(C25,contraindications_list!A:B,2)</f>
        <v>низкая масса тела</v>
      </c>
      <c r="E25" s="11">
        <v>45070</v>
      </c>
      <c r="F25" s="58"/>
    </row>
    <row r="26" spans="1:6">
      <c r="A26" s="7">
        <v>2</v>
      </c>
      <c r="B26" s="10" t="str">
        <f>VLOOKUP(A26,vaccines!A:B,2)</f>
        <v>BCG_M_Microgen</v>
      </c>
      <c r="C26" s="54">
        <v>1</v>
      </c>
      <c r="D26" s="8" t="str">
        <f>VLOOKUP(C26,contraindications_list!A:B,2)</f>
        <v>гиперчувствительность к компонентам</v>
      </c>
      <c r="E26" s="12">
        <v>45517</v>
      </c>
      <c r="F26" s="58"/>
    </row>
    <row r="27" spans="1:6">
      <c r="A27" s="7">
        <v>3</v>
      </c>
      <c r="B27" s="10" t="str">
        <f>VLOOKUP(A27,vaccines!A:B,2)</f>
        <v>BCG_Gamaleya</v>
      </c>
      <c r="C27" s="7">
        <v>2</v>
      </c>
      <c r="D27" s="8" t="str">
        <f>VLOOKUP(C27,contraindications_list!A:B,2)</f>
        <v>недоношенность</v>
      </c>
      <c r="E27" s="11">
        <v>44904</v>
      </c>
      <c r="F27" s="58"/>
    </row>
    <row r="28" spans="1:6">
      <c r="A28" s="7">
        <v>3</v>
      </c>
      <c r="B28" s="10" t="str">
        <f>VLOOKUP(A28,vaccines!A:B,2)</f>
        <v>BCG_Gamaleya</v>
      </c>
      <c r="C28" s="7">
        <v>3</v>
      </c>
      <c r="D28" s="8" t="str">
        <f>VLOOKUP(C28,contraindications_list!A:B,2)</f>
        <v>внутриутробная гипотрофия</v>
      </c>
      <c r="E28" s="11">
        <v>44904</v>
      </c>
      <c r="F28" s="58"/>
    </row>
    <row r="29" spans="1:6">
      <c r="A29" s="7">
        <v>3</v>
      </c>
      <c r="B29" s="10" t="str">
        <f>VLOOKUP(A29,vaccines!A:B,2)</f>
        <v>BCG_Gamaleya</v>
      </c>
      <c r="C29" s="7">
        <v>5</v>
      </c>
      <c r="D29" s="8" t="str">
        <f>VLOOKUP(C29,contraindications_list!A:B,2)</f>
        <v>острое заболевание</v>
      </c>
      <c r="E29" s="11">
        <v>44904</v>
      </c>
      <c r="F29" s="58"/>
    </row>
    <row r="30" spans="1:6">
      <c r="A30" s="7">
        <v>3</v>
      </c>
      <c r="B30" s="10" t="str">
        <f>VLOOKUP(A30,vaccines!A:B,2)</f>
        <v>BCG_Gamaleya</v>
      </c>
      <c r="C30" s="7">
        <v>7</v>
      </c>
      <c r="D30" s="8" t="str">
        <f>VLOOKUP(C30,contraindications_list!A:B,2)</f>
        <v>иммунодефицит</v>
      </c>
      <c r="E30" s="11">
        <v>44904</v>
      </c>
      <c r="F30" s="58"/>
    </row>
    <row r="31" spans="1:6">
      <c r="A31" s="7">
        <v>3</v>
      </c>
      <c r="B31" s="10" t="str">
        <f>VLOOKUP(A31,vaccines!A:B,2)</f>
        <v>BCG_Gamaleya</v>
      </c>
      <c r="C31" s="7">
        <v>9</v>
      </c>
      <c r="D31" s="8" t="str">
        <f>VLOOKUP(C31,contraindications_list!A:B,2)</f>
        <v>осложнение на вакцину у членов семьи</v>
      </c>
      <c r="E31" s="11">
        <v>44904</v>
      </c>
      <c r="F31" s="58"/>
    </row>
    <row r="32" spans="1:6">
      <c r="A32" s="7">
        <v>3</v>
      </c>
      <c r="B32" s="10" t="str">
        <f>VLOOKUP(A32,vaccines!A:B,2)</f>
        <v>BCG_Gamaleya</v>
      </c>
      <c r="C32" s="7">
        <v>11</v>
      </c>
      <c r="D32" s="8" t="str">
        <f>VLOOKUP(C32,contraindications_list!A:B,2)</f>
        <v>ВИЧ у матери</v>
      </c>
      <c r="E32" s="11">
        <v>44904</v>
      </c>
      <c r="F32" s="58"/>
    </row>
    <row r="33" spans="1:6">
      <c r="A33" s="7">
        <v>3</v>
      </c>
      <c r="B33" s="10" t="str">
        <f>VLOOKUP(A33,vaccines!A:B,2)</f>
        <v>BCG_Gamaleya</v>
      </c>
      <c r="C33" s="7">
        <v>6</v>
      </c>
      <c r="D33" s="8" t="str">
        <f>VLOOKUP(C33,contraindications_list!A:B,2)</f>
        <v>обострение хронического заболевания</v>
      </c>
      <c r="E33" s="11">
        <v>44904</v>
      </c>
      <c r="F33" s="58"/>
    </row>
    <row r="34" spans="1:6">
      <c r="A34" s="7">
        <v>3</v>
      </c>
      <c r="B34" s="10" t="str">
        <f>VLOOKUP(A34,vaccines!A:B,2)</f>
        <v>BCG_Gamaleya</v>
      </c>
      <c r="C34" s="7">
        <v>8</v>
      </c>
      <c r="D34" s="8" t="str">
        <f>VLOOKUP(C34,contraindications_list!A:B,2)</f>
        <v>злокачественное новообразование</v>
      </c>
      <c r="E34" s="11">
        <v>44904</v>
      </c>
      <c r="F34" s="58"/>
    </row>
    <row r="35" spans="1:6">
      <c r="A35" s="7">
        <v>3</v>
      </c>
      <c r="B35" s="10" t="str">
        <f>VLOOKUP(A35,vaccines!A:B,2)</f>
        <v>BCG_Gamaleya</v>
      </c>
      <c r="C35" s="7">
        <v>18</v>
      </c>
      <c r="D35" s="8" t="str">
        <f>VLOOKUP(C35,contraindications_list!A:B,2)</f>
        <v>туберкулез</v>
      </c>
      <c r="E35" s="11">
        <v>44904</v>
      </c>
      <c r="F35" s="58"/>
    </row>
    <row r="36" spans="1:6">
      <c r="A36" s="7">
        <v>3</v>
      </c>
      <c r="B36" s="10" t="str">
        <f>VLOOKUP(A36,vaccines!A:B,2)</f>
        <v>BCG_Gamaleya</v>
      </c>
      <c r="C36" s="7">
        <v>10</v>
      </c>
      <c r="D36" s="8" t="str">
        <f>VLOOKUP(C36,contraindications_list!A:B,2)</f>
        <v>ВИЧ</v>
      </c>
      <c r="E36" s="11">
        <v>44904</v>
      </c>
      <c r="F36" s="58"/>
    </row>
    <row r="37" spans="1:6">
      <c r="A37" s="7">
        <v>3</v>
      </c>
      <c r="B37" s="10" t="str">
        <f>VLOOKUP(A37,vaccines!A:B,2)</f>
        <v>BCG_Gamaleya</v>
      </c>
      <c r="C37" s="7">
        <v>19</v>
      </c>
      <c r="D37" s="8" t="str">
        <f>VLOOKUP(C37,contraindications_list!A:B,2)</f>
        <v>осложнение на предыдущее введение вакцины</v>
      </c>
      <c r="E37" s="11">
        <v>44904</v>
      </c>
      <c r="F37" s="58"/>
    </row>
    <row r="38" spans="1:6">
      <c r="A38" s="7">
        <v>3</v>
      </c>
      <c r="B38" s="10" t="str">
        <f>VLOOKUP(A38,vaccines!A:B,2)</f>
        <v>BCG_Gamaleya</v>
      </c>
      <c r="C38" s="7">
        <v>20</v>
      </c>
      <c r="D38" s="8" t="str">
        <f>VLOOKUP(C38,contraindications_list!A:B,2)</f>
        <v>положительная реакция Манту</v>
      </c>
      <c r="E38" s="11">
        <v>44904</v>
      </c>
      <c r="F38" s="58"/>
    </row>
    <row r="39" spans="1:6">
      <c r="A39" s="7">
        <v>3</v>
      </c>
      <c r="B39" s="10" t="str">
        <f>VLOOKUP(A39,vaccines!A:B,2)</f>
        <v>BCG_Gamaleya</v>
      </c>
      <c r="C39" s="7">
        <v>4</v>
      </c>
      <c r="D39" s="8" t="str">
        <f>VLOOKUP(C39,contraindications_list!A:B,2)</f>
        <v>низкая масса тела</v>
      </c>
      <c r="E39" s="11">
        <v>45070</v>
      </c>
      <c r="F39" s="58"/>
    </row>
    <row r="40" spans="1:6">
      <c r="A40" s="7">
        <v>3</v>
      </c>
      <c r="B40" s="10" t="str">
        <f>VLOOKUP(A40,vaccines!A:B,2)</f>
        <v>BCG_Gamaleya</v>
      </c>
      <c r="C40" s="54">
        <v>74</v>
      </c>
      <c r="D40" s="8" t="str">
        <f>VLOOKUP(C40,contraindications_list!A:B,2)</f>
        <v>злокачественное заболевание крови</v>
      </c>
      <c r="E40" s="12">
        <v>45133</v>
      </c>
      <c r="F40" s="58"/>
    </row>
    <row r="41" spans="1:6">
      <c r="A41" s="7">
        <v>4</v>
      </c>
      <c r="B41" s="10" t="str">
        <f>VLOOKUP(A41,vaccines!A:B,2)</f>
        <v>BCG_M_Gamaleya</v>
      </c>
      <c r="C41" s="7">
        <v>2</v>
      </c>
      <c r="D41" s="8" t="str">
        <f>VLOOKUP(C41,contraindications_list!A:B,2)</f>
        <v>недоношенность</v>
      </c>
      <c r="E41" s="11">
        <v>44904</v>
      </c>
      <c r="F41" s="58"/>
    </row>
    <row r="42" spans="1:6">
      <c r="A42" s="7">
        <v>4</v>
      </c>
      <c r="B42" s="10" t="str">
        <f>VLOOKUP(A42,vaccines!A:B,2)</f>
        <v>BCG_M_Gamaleya</v>
      </c>
      <c r="C42" s="7">
        <v>5</v>
      </c>
      <c r="D42" s="8" t="str">
        <f>VLOOKUP(C42,contraindications_list!A:B,2)</f>
        <v>острое заболевание</v>
      </c>
      <c r="E42" s="11">
        <v>44904</v>
      </c>
      <c r="F42" s="58"/>
    </row>
    <row r="43" spans="1:6">
      <c r="A43" s="7">
        <v>4</v>
      </c>
      <c r="B43" s="10" t="str">
        <f>VLOOKUP(A43,vaccines!A:B,2)</f>
        <v>BCG_M_Gamaleya</v>
      </c>
      <c r="C43" s="7">
        <v>7</v>
      </c>
      <c r="D43" s="8" t="str">
        <f>VLOOKUP(C43,contraindications_list!A:B,2)</f>
        <v>иммунодефицит</v>
      </c>
      <c r="E43" s="11">
        <v>44904</v>
      </c>
      <c r="F43" s="58"/>
    </row>
    <row r="44" spans="1:6">
      <c r="A44" s="7">
        <v>4</v>
      </c>
      <c r="B44" s="10" t="str">
        <f>VLOOKUP(A44,vaccines!A:B,2)</f>
        <v>BCG_M_Gamaleya</v>
      </c>
      <c r="C44" s="7">
        <v>9</v>
      </c>
      <c r="D44" s="8" t="str">
        <f>VLOOKUP(C44,contraindications_list!A:B,2)</f>
        <v>осложнение на вакцину у членов семьи</v>
      </c>
      <c r="E44" s="11">
        <v>44904</v>
      </c>
      <c r="F44" s="58"/>
    </row>
    <row r="45" spans="1:6">
      <c r="A45" s="7">
        <v>4</v>
      </c>
      <c r="B45" s="10" t="str">
        <f>VLOOKUP(A45,vaccines!A:B,2)</f>
        <v>BCG_M_Gamaleya</v>
      </c>
      <c r="C45" s="7">
        <v>10</v>
      </c>
      <c r="D45" s="8" t="str">
        <f>VLOOKUP(C45,contraindications_list!A:B,2)</f>
        <v>ВИЧ</v>
      </c>
      <c r="E45" s="11">
        <v>44904</v>
      </c>
      <c r="F45" s="58"/>
    </row>
    <row r="46" spans="1:6">
      <c r="A46" s="7">
        <v>4</v>
      </c>
      <c r="B46" s="10" t="str">
        <f>VLOOKUP(A46,vaccines!A:B,2)</f>
        <v>BCG_M_Gamaleya</v>
      </c>
      <c r="C46" s="7">
        <v>11</v>
      </c>
      <c r="D46" s="8" t="str">
        <f>VLOOKUP(C46,contraindications_list!A:B,2)</f>
        <v>ВИЧ у матери</v>
      </c>
      <c r="E46" s="11">
        <v>44904</v>
      </c>
      <c r="F46" s="58"/>
    </row>
    <row r="47" spans="1:6">
      <c r="A47" s="7">
        <v>4</v>
      </c>
      <c r="B47" s="10" t="str">
        <f>VLOOKUP(A47,vaccines!A:B,2)</f>
        <v>BCG_M_Gamaleya</v>
      </c>
      <c r="C47" s="7">
        <v>6</v>
      </c>
      <c r="D47" s="8" t="str">
        <f>VLOOKUP(C47,contraindications_list!A:B,2)</f>
        <v>обострение хронического заболевания</v>
      </c>
      <c r="E47" s="11">
        <v>44904</v>
      </c>
      <c r="F47" s="58"/>
    </row>
    <row r="48" spans="1:6">
      <c r="A48" s="7">
        <v>4</v>
      </c>
      <c r="B48" s="10" t="str">
        <f>VLOOKUP(A48,vaccines!A:B,2)</f>
        <v>BCG_M_Gamaleya</v>
      </c>
      <c r="C48" s="7">
        <v>4</v>
      </c>
      <c r="D48" s="8" t="str">
        <f>VLOOKUP(C48,contraindications_list!A:B,2)</f>
        <v>низкая масса тела</v>
      </c>
      <c r="E48" s="11">
        <v>45070</v>
      </c>
      <c r="F48" s="58"/>
    </row>
    <row r="49" spans="1:6">
      <c r="A49" s="7">
        <v>5</v>
      </c>
      <c r="B49" s="10" t="str">
        <f>VLOOKUP(A49,vaccines!A:B,2)</f>
        <v>Infanrix</v>
      </c>
      <c r="C49" s="7">
        <v>1</v>
      </c>
      <c r="D49" s="8" t="str">
        <f>VLOOKUP(C49,contraindications_list!A:B,2)</f>
        <v>гиперчувствительность к компонентам</v>
      </c>
      <c r="E49" s="11">
        <v>44904</v>
      </c>
      <c r="F49" s="58"/>
    </row>
    <row r="50" spans="1:6">
      <c r="A50" s="7">
        <v>5</v>
      </c>
      <c r="B50" s="10" t="str">
        <f>VLOOKUP(A50,vaccines!A:B,2)</f>
        <v>Infanrix</v>
      </c>
      <c r="C50" s="7">
        <v>12</v>
      </c>
      <c r="D50" s="8" t="str">
        <f>VLOOKUP(C50,contraindications_list!A:B,2)</f>
        <v>энцефалопатия после вакцинации</v>
      </c>
      <c r="E50" s="11">
        <v>44904</v>
      </c>
      <c r="F50" s="58"/>
    </row>
    <row r="51" spans="1:6">
      <c r="A51" s="7">
        <v>5</v>
      </c>
      <c r="B51" s="10" t="str">
        <f>VLOOKUP(A51,vaccines!A:B,2)</f>
        <v>Infanrix</v>
      </c>
      <c r="C51" s="7">
        <v>5</v>
      </c>
      <c r="D51" s="8" t="str">
        <f>VLOOKUP(C51,contraindications_list!A:B,2)</f>
        <v>острое заболевание</v>
      </c>
      <c r="E51" s="11">
        <v>44904</v>
      </c>
      <c r="F51" s="58"/>
    </row>
    <row r="52" spans="1:6">
      <c r="A52" s="7">
        <v>5</v>
      </c>
      <c r="B52" s="10" t="str">
        <f>VLOOKUP(A52,vaccines!A:B,2)</f>
        <v>Infanrix</v>
      </c>
      <c r="C52" s="7">
        <v>6</v>
      </c>
      <c r="D52" s="8" t="str">
        <f>VLOOKUP(C52,contraindications_list!A:B,2)</f>
        <v>обострение хронического заболевания</v>
      </c>
      <c r="E52" s="11">
        <v>44904</v>
      </c>
      <c r="F52" s="58"/>
    </row>
    <row r="53" spans="1:6">
      <c r="A53" s="7">
        <v>6</v>
      </c>
      <c r="B53" s="10" t="str">
        <f>VLOOKUP(A53,vaccines!A:B,2)</f>
        <v>AKDS_Microgen</v>
      </c>
      <c r="C53" s="7">
        <v>13</v>
      </c>
      <c r="D53" s="8" t="str">
        <f>VLOOKUP(C53,contraindications_list!A:B,2)</f>
        <v>прогрессирующее неврологическое заболевание</v>
      </c>
      <c r="E53" s="11">
        <v>44904</v>
      </c>
      <c r="F53" s="58"/>
    </row>
    <row r="54" spans="1:6">
      <c r="A54" s="7">
        <v>6</v>
      </c>
      <c r="B54" s="10" t="str">
        <f>VLOOKUP(A54,vaccines!A:B,2)</f>
        <v>AKDS_Microgen</v>
      </c>
      <c r="C54" s="7">
        <v>14</v>
      </c>
      <c r="D54" s="8" t="str">
        <f>VLOOKUP(C54,contraindications_list!A:B,2)</f>
        <v>афебрильные судороги</v>
      </c>
      <c r="E54" s="11">
        <v>44904</v>
      </c>
      <c r="F54" s="58"/>
    </row>
    <row r="55" spans="1:6">
      <c r="A55" s="54">
        <v>6</v>
      </c>
      <c r="B55" s="10" t="str">
        <f>VLOOKUP(A55,vaccines!A:B,2)</f>
        <v>AKDS_Microgen</v>
      </c>
      <c r="C55" s="54">
        <v>1</v>
      </c>
      <c r="D55" s="8" t="str">
        <f>VLOOKUP(C55,contraindications_list!A:B,2)</f>
        <v>гиперчувствительность к компонентам</v>
      </c>
      <c r="E55" s="12">
        <v>45461</v>
      </c>
      <c r="F55" s="58"/>
    </row>
    <row r="56" spans="1:6">
      <c r="A56" s="7">
        <v>6</v>
      </c>
      <c r="B56" s="10" t="str">
        <f>VLOOKUP(A56,vaccines!A:B,2)</f>
        <v>AKDS_Microgen</v>
      </c>
      <c r="C56" s="7">
        <v>15</v>
      </c>
      <c r="D56" s="8" t="str">
        <f>VLOOKUP(C56,contraindications_list!A:B,2)</f>
        <v>сильная общая реакция на предыдущее введение вакцины</v>
      </c>
      <c r="E56" s="11">
        <v>44904</v>
      </c>
      <c r="F56" s="58"/>
    </row>
    <row r="57" spans="1:6">
      <c r="A57" s="7">
        <v>7</v>
      </c>
      <c r="B57" s="10" t="str">
        <f>VLOOKUP(A57,vaccines!A:B,2)</f>
        <v>AKDS_Biomed</v>
      </c>
      <c r="C57" s="7">
        <v>13</v>
      </c>
      <c r="D57" s="8" t="str">
        <f>VLOOKUP(C57,contraindications_list!A:B,2)</f>
        <v>прогрессирующее неврологическое заболевание</v>
      </c>
      <c r="E57" s="11">
        <v>44904</v>
      </c>
      <c r="F57" s="58"/>
    </row>
    <row r="58" spans="1:6">
      <c r="A58" s="7">
        <v>7</v>
      </c>
      <c r="B58" s="10" t="str">
        <f>VLOOKUP(A58,vaccines!A:B,2)</f>
        <v>AKDS_Biomed</v>
      </c>
      <c r="C58" s="7">
        <v>14</v>
      </c>
      <c r="D58" s="8" t="str">
        <f>VLOOKUP(C58,contraindications_list!A:B,2)</f>
        <v>афебрильные судороги</v>
      </c>
      <c r="E58" s="11">
        <v>44904</v>
      </c>
      <c r="F58" s="58"/>
    </row>
    <row r="59" spans="1:6">
      <c r="A59" s="7">
        <v>7</v>
      </c>
      <c r="B59" s="10" t="str">
        <f>VLOOKUP(A59,vaccines!A:B,2)</f>
        <v>AKDS_Biomed</v>
      </c>
      <c r="C59" s="7">
        <v>15</v>
      </c>
      <c r="D59" s="8" t="str">
        <f>VLOOKUP(C59,contraindications_list!A:B,2)</f>
        <v>сильная общая реакция на предыдущее введение вакцины</v>
      </c>
      <c r="E59" s="11">
        <v>44904</v>
      </c>
      <c r="F59" s="58"/>
    </row>
    <row r="60" spans="1:6">
      <c r="A60" s="7">
        <v>7</v>
      </c>
      <c r="B60" s="10" t="str">
        <f>VLOOKUP(A60,vaccines!A:B,2)</f>
        <v>AKDS_Biomed</v>
      </c>
      <c r="C60" s="7">
        <v>1</v>
      </c>
      <c r="D60" s="8" t="str">
        <f>VLOOKUP(C60,contraindications_list!A:B,2)</f>
        <v>гиперчувствительность к компонентам</v>
      </c>
      <c r="E60" s="11">
        <v>44904</v>
      </c>
      <c r="F60" s="58"/>
    </row>
    <row r="61" spans="1:6">
      <c r="A61" s="7">
        <v>7</v>
      </c>
      <c r="B61" s="10" t="str">
        <f>VLOOKUP(A61,vaccines!A:B,2)</f>
        <v>AKDS_Biomed</v>
      </c>
      <c r="C61" s="7">
        <v>5</v>
      </c>
      <c r="D61" s="8" t="str">
        <f>VLOOKUP(C61,contraindications_list!A:B,2)</f>
        <v>острое заболевание</v>
      </c>
      <c r="E61" s="11">
        <v>44910</v>
      </c>
      <c r="F61" s="58"/>
    </row>
    <row r="62" spans="1:6">
      <c r="A62" s="7">
        <v>7</v>
      </c>
      <c r="B62" s="10" t="str">
        <f>VLOOKUP(A62,vaccines!A:B,2)</f>
        <v>AKDS_Biomed</v>
      </c>
      <c r="C62" s="7">
        <v>6</v>
      </c>
      <c r="D62" s="8" t="str">
        <f>VLOOKUP(C62,contraindications_list!A:B,2)</f>
        <v>обострение хронического заболевания</v>
      </c>
      <c r="E62" s="11">
        <v>44910</v>
      </c>
      <c r="F62" s="58"/>
    </row>
    <row r="63" spans="1:6">
      <c r="A63" s="7">
        <v>8</v>
      </c>
      <c r="B63" s="10" t="str">
        <f>VLOOKUP(A63,vaccines!A:B,2)</f>
        <v>Bubo_kok</v>
      </c>
      <c r="C63" s="7">
        <v>13</v>
      </c>
      <c r="D63" s="8" t="str">
        <f>VLOOKUP(C63,contraindications_list!A:B,2)</f>
        <v>прогрессирующее неврологическое заболевание</v>
      </c>
      <c r="E63" s="11">
        <v>44910</v>
      </c>
      <c r="F63" s="58"/>
    </row>
    <row r="64" spans="1:6">
      <c r="A64" s="7">
        <v>8</v>
      </c>
      <c r="B64" s="10" t="str">
        <f>VLOOKUP(A64,vaccines!A:B,2)</f>
        <v>Bubo_kok</v>
      </c>
      <c r="C64" s="7">
        <v>14</v>
      </c>
      <c r="D64" s="8" t="str">
        <f>VLOOKUP(C64,contraindications_list!A:B,2)</f>
        <v>афебрильные судороги</v>
      </c>
      <c r="E64" s="11">
        <v>44910</v>
      </c>
      <c r="F64" s="58"/>
    </row>
    <row r="65" spans="1:6">
      <c r="A65" s="7">
        <v>8</v>
      </c>
      <c r="B65" s="10" t="str">
        <f>VLOOKUP(A65,vaccines!A:B,2)</f>
        <v>Bubo_kok</v>
      </c>
      <c r="C65" s="7">
        <v>16</v>
      </c>
      <c r="D65" s="8" t="str">
        <f>VLOOKUP(C65,contraindications_list!A:B,2)</f>
        <v>аллергия на дрожжи</v>
      </c>
      <c r="E65" s="11">
        <v>44910</v>
      </c>
      <c r="F65" s="58"/>
    </row>
    <row r="66" spans="1:6">
      <c r="A66" s="7">
        <v>8</v>
      </c>
      <c r="B66" s="10" t="str">
        <f>VLOOKUP(A66,vaccines!A:B,2)</f>
        <v>Bubo_kok</v>
      </c>
      <c r="C66" s="7">
        <v>15</v>
      </c>
      <c r="D66" s="8" t="str">
        <f>VLOOKUP(C66,contraindications_list!A:B,2)</f>
        <v>сильная общая реакция на предыдущее введение вакцины</v>
      </c>
      <c r="E66" s="11">
        <v>44910</v>
      </c>
      <c r="F66" s="58"/>
    </row>
    <row r="67" spans="1:6">
      <c r="A67" s="7">
        <v>8</v>
      </c>
      <c r="B67" s="10" t="str">
        <f>VLOOKUP(A67,vaccines!A:B,2)</f>
        <v>Bubo_kok</v>
      </c>
      <c r="C67" s="7">
        <v>19</v>
      </c>
      <c r="D67" s="8" t="str">
        <f>VLOOKUP(C67,contraindications_list!A:B,2)</f>
        <v>осложнение на предыдущее введение вакцины</v>
      </c>
      <c r="E67" s="11">
        <v>44910</v>
      </c>
      <c r="F67" s="58"/>
    </row>
    <row r="68" spans="1:6">
      <c r="A68" s="7">
        <v>8</v>
      </c>
      <c r="B68" s="10" t="str">
        <f>VLOOKUP(A68,vaccines!A:B,2)</f>
        <v>Bubo_kok</v>
      </c>
      <c r="C68" s="7">
        <v>5</v>
      </c>
      <c r="D68" s="8" t="str">
        <f>VLOOKUP(C68,contraindications_list!A:B,2)</f>
        <v>острое заболевание</v>
      </c>
      <c r="E68" s="11">
        <v>44910</v>
      </c>
      <c r="F68" s="58"/>
    </row>
    <row r="69" spans="1:6">
      <c r="A69" s="7">
        <v>8</v>
      </c>
      <c r="B69" s="10" t="str">
        <f>VLOOKUP(A69,vaccines!A:B,2)</f>
        <v>Bubo_kok</v>
      </c>
      <c r="C69" s="7">
        <v>6</v>
      </c>
      <c r="D69" s="8" t="str">
        <f>VLOOKUP(C69,contraindications_list!A:B,2)</f>
        <v>обострение хронического заболевания</v>
      </c>
      <c r="E69" s="11">
        <v>44910</v>
      </c>
      <c r="F69" s="58"/>
    </row>
    <row r="70" spans="1:6">
      <c r="A70" s="7">
        <v>9</v>
      </c>
      <c r="B70" s="10" t="str">
        <f>VLOOKUP(A70,vaccines!A:B,2)</f>
        <v>Pentaxim</v>
      </c>
      <c r="C70" s="7">
        <v>1</v>
      </c>
      <c r="D70" s="8" t="str">
        <f>VLOOKUP(C70,contraindications_list!A:B,2)</f>
        <v>гиперчувствительность к компонентам</v>
      </c>
      <c r="E70" s="11">
        <v>44910</v>
      </c>
      <c r="F70" s="58"/>
    </row>
    <row r="71" spans="1:6">
      <c r="A71" s="7">
        <v>9</v>
      </c>
      <c r="B71" s="10" t="str">
        <f>VLOOKUP(A71,vaccines!A:B,2)</f>
        <v>Pentaxim</v>
      </c>
      <c r="C71" s="7">
        <v>15</v>
      </c>
      <c r="D71" s="8" t="str">
        <f>VLOOKUP(C71,contraindications_list!A:B,2)</f>
        <v>сильная общая реакция на предыдущее введение вакцины</v>
      </c>
      <c r="E71" s="11">
        <v>44910</v>
      </c>
      <c r="F71" s="58"/>
    </row>
    <row r="72" spans="1:6">
      <c r="A72" s="7">
        <v>9</v>
      </c>
      <c r="B72" s="10" t="str">
        <f>VLOOKUP(A72,vaccines!A:B,2)</f>
        <v>Pentaxim</v>
      </c>
      <c r="C72" s="7">
        <v>5</v>
      </c>
      <c r="D72" s="8" t="str">
        <f>VLOOKUP(C72,contraindications_list!A:B,2)</f>
        <v>острое заболевание</v>
      </c>
      <c r="E72" s="11">
        <v>44910</v>
      </c>
      <c r="F72" s="58"/>
    </row>
    <row r="73" spans="1:6">
      <c r="A73" s="7">
        <v>9</v>
      </c>
      <c r="B73" s="10" t="str">
        <f>VLOOKUP(A73,vaccines!A:B,2)</f>
        <v>Pentaxim</v>
      </c>
      <c r="C73" s="7">
        <v>6</v>
      </c>
      <c r="D73" s="8" t="str">
        <f>VLOOKUP(C73,contraindications_list!A:B,2)</f>
        <v>обострение хронического заболевания</v>
      </c>
      <c r="E73" s="11">
        <v>44910</v>
      </c>
      <c r="F73" s="58"/>
    </row>
    <row r="74" spans="1:6">
      <c r="A74" s="7">
        <v>9</v>
      </c>
      <c r="B74" s="10" t="str">
        <f>VLOOKUP(A74,vaccines!A:B,2)</f>
        <v>Pentaxim</v>
      </c>
      <c r="C74" s="7">
        <v>13</v>
      </c>
      <c r="D74" s="8" t="str">
        <f>VLOOKUP(C74,contraindications_list!A:B,2)</f>
        <v>прогрессирующее неврологическое заболевание</v>
      </c>
      <c r="E74" s="11">
        <v>44910</v>
      </c>
      <c r="F74" s="58"/>
    </row>
    <row r="75" spans="1:6">
      <c r="A75" s="7">
        <v>9</v>
      </c>
      <c r="B75" s="10" t="str">
        <f>VLOOKUP(A75,vaccines!A:B,2)</f>
        <v>Pentaxim</v>
      </c>
      <c r="C75" s="7">
        <v>12</v>
      </c>
      <c r="D75" s="8" t="str">
        <f>VLOOKUP(C75,contraindications_list!A:B,2)</f>
        <v>энцефалопатия после вакцинации</v>
      </c>
      <c r="E75" s="11">
        <v>44910</v>
      </c>
      <c r="F75" s="58"/>
    </row>
    <row r="76" spans="1:6">
      <c r="A76" s="7">
        <v>9</v>
      </c>
      <c r="B76" s="10" t="str">
        <f>VLOOKUP(A76,vaccines!A:B,2)</f>
        <v>Pentaxim</v>
      </c>
      <c r="C76" s="54">
        <v>84</v>
      </c>
      <c r="D76" s="8" t="str">
        <f>VLOOKUP(C76,contraindications_list!A:B,2)</f>
        <v>фенилкетонурия</v>
      </c>
      <c r="E76" s="12">
        <v>45715</v>
      </c>
      <c r="F76" s="58"/>
    </row>
    <row r="77" spans="1:6">
      <c r="A77" s="7">
        <v>10</v>
      </c>
      <c r="B77" s="10" t="str">
        <f>VLOOKUP(A77,vaccines!A:B,2)</f>
        <v>Infanrix_Hexa</v>
      </c>
      <c r="C77" s="7">
        <v>1</v>
      </c>
      <c r="D77" s="8" t="str">
        <f>VLOOKUP(C77,contraindications_list!A:B,2)</f>
        <v>гиперчувствительность к компонентам</v>
      </c>
      <c r="E77" s="11">
        <v>44911</v>
      </c>
      <c r="F77" s="58"/>
    </row>
    <row r="78" spans="1:6">
      <c r="A78" s="7">
        <v>10</v>
      </c>
      <c r="B78" s="10" t="str">
        <f>VLOOKUP(A78,vaccines!A:B,2)</f>
        <v>Infanrix_Hexa</v>
      </c>
      <c r="C78" s="7">
        <v>19</v>
      </c>
      <c r="D78" s="8" t="str">
        <f>VLOOKUP(C78,contraindications_list!A:B,2)</f>
        <v>осложнение на предыдущее введение вакцины</v>
      </c>
      <c r="E78" s="11">
        <v>44911</v>
      </c>
      <c r="F78" s="58"/>
    </row>
    <row r="79" spans="1:6">
      <c r="A79" s="7">
        <v>10</v>
      </c>
      <c r="B79" s="10" t="str">
        <f>VLOOKUP(A79,vaccines!A:B,2)</f>
        <v>Infanrix_Hexa</v>
      </c>
      <c r="C79" s="7">
        <v>12</v>
      </c>
      <c r="D79" s="8" t="str">
        <f>VLOOKUP(C79,contraindications_list!A:B,2)</f>
        <v>энцефалопатия после вакцинации</v>
      </c>
      <c r="E79" s="11">
        <v>44911</v>
      </c>
      <c r="F79" s="58"/>
    </row>
    <row r="80" spans="1:6">
      <c r="A80" s="7">
        <v>10</v>
      </c>
      <c r="B80" s="10" t="str">
        <f>VLOOKUP(A80,vaccines!A:B,2)</f>
        <v>Infanrix_Hexa</v>
      </c>
      <c r="C80" s="7">
        <v>5</v>
      </c>
      <c r="D80" s="8" t="str">
        <f>VLOOKUP(C80,contraindications_list!A:B,2)</f>
        <v>острое заболевание</v>
      </c>
      <c r="E80" s="11">
        <v>44911</v>
      </c>
      <c r="F80" s="58"/>
    </row>
    <row r="81" spans="1:6">
      <c r="A81" s="7">
        <v>10</v>
      </c>
      <c r="B81" s="10" t="str">
        <f>VLOOKUP(A81,vaccines!A:B,2)</f>
        <v>Infanrix_Hexa</v>
      </c>
      <c r="C81" s="7">
        <v>6</v>
      </c>
      <c r="D81" s="8" t="str">
        <f>VLOOKUP(C81,contraindications_list!A:B,2)</f>
        <v>обострение хронического заболевания</v>
      </c>
      <c r="E81" s="11">
        <v>44911</v>
      </c>
      <c r="F81" s="58"/>
    </row>
    <row r="82" spans="1:6">
      <c r="A82" s="7">
        <v>10</v>
      </c>
      <c r="B82" s="10" t="str">
        <f>VLOOKUP(A82,vaccines!A:B,2)</f>
        <v>Infanrix_Hexa</v>
      </c>
      <c r="C82" s="54">
        <v>40</v>
      </c>
      <c r="D82" s="8" t="str">
        <f>VLOOKUP(C82,contraindications_list!A:B,2)</f>
        <v>гиперчувствительность к антибиотикам</v>
      </c>
      <c r="E82" s="12">
        <v>46000</v>
      </c>
      <c r="F82" s="58"/>
    </row>
    <row r="83" spans="1:6">
      <c r="A83" s="7">
        <v>10</v>
      </c>
      <c r="B83" s="10" t="str">
        <f>VLOOKUP(A83,vaccines!A:B,2)</f>
        <v>Infanrix_Hexa</v>
      </c>
      <c r="C83" s="54">
        <v>69</v>
      </c>
      <c r="D83" s="8" t="str">
        <f>VLOOKUP(C83,contraindications_list!A:B,2)</f>
        <v>аллергия на формальдегид</v>
      </c>
      <c r="E83" s="12">
        <v>46000</v>
      </c>
      <c r="F83" s="58"/>
    </row>
    <row r="84" spans="1:6">
      <c r="A84" s="7">
        <v>11</v>
      </c>
      <c r="B84" s="10" t="str">
        <f>VLOOKUP(A84,vaccines!A:B,2)</f>
        <v>Bubo_M</v>
      </c>
      <c r="C84" s="7">
        <v>1</v>
      </c>
      <c r="D84" s="8" t="str">
        <f>VLOOKUP(C84,contraindications_list!A:B,2)</f>
        <v>гиперчувствительность к компонентам</v>
      </c>
      <c r="E84" s="11">
        <v>44911</v>
      </c>
      <c r="F84" s="58"/>
    </row>
    <row r="85" spans="1:6">
      <c r="A85" s="7">
        <v>11</v>
      </c>
      <c r="B85" s="10" t="str">
        <f>VLOOKUP(A85,vaccines!A:B,2)</f>
        <v>Bubo_M</v>
      </c>
      <c r="C85" s="7">
        <v>5</v>
      </c>
      <c r="D85" s="8" t="str">
        <f>VLOOKUP(C85,contraindications_list!A:B,2)</f>
        <v>острое заболевание</v>
      </c>
      <c r="E85" s="11">
        <v>44911</v>
      </c>
      <c r="F85" s="58"/>
    </row>
    <row r="86" spans="1:6">
      <c r="A86" s="7">
        <v>11</v>
      </c>
      <c r="B86" s="10" t="str">
        <f>VLOOKUP(A86,vaccines!A:B,2)</f>
        <v>Bubo_M</v>
      </c>
      <c r="C86" s="54">
        <v>15</v>
      </c>
      <c r="D86" s="8" t="str">
        <f>VLOOKUP(C86,contraindications_list!A:B,2)</f>
        <v>сильная общая реакция на предыдущее введение вакцины</v>
      </c>
      <c r="E86" s="12">
        <v>46188</v>
      </c>
      <c r="F86" s="58"/>
    </row>
    <row r="87" spans="1:6">
      <c r="A87" s="7">
        <v>12</v>
      </c>
      <c r="B87" s="10" t="str">
        <f>VLOOKUP(A87,vaccines!A:B,2)</f>
        <v>AD_M_Microgen</v>
      </c>
      <c r="C87" s="7">
        <v>1</v>
      </c>
      <c r="D87" s="8" t="str">
        <f>VLOOKUP(C87,contraindications_list!A:B,2)</f>
        <v>гиперчувствительность к компонентам</v>
      </c>
      <c r="E87" s="11">
        <v>44911</v>
      </c>
      <c r="F87" s="58"/>
    </row>
    <row r="88" spans="1:6">
      <c r="A88" s="7">
        <v>12</v>
      </c>
      <c r="B88" s="10" t="str">
        <f>VLOOKUP(A88,vaccines!A:B,2)</f>
        <v>AD_M_Microgen</v>
      </c>
      <c r="C88" s="7">
        <v>15</v>
      </c>
      <c r="D88" s="8" t="str">
        <f>VLOOKUP(C88,contraindications_list!A:B,2)</f>
        <v>сильная общая реакция на предыдущее введение вакцины</v>
      </c>
      <c r="E88" s="11">
        <v>44911</v>
      </c>
      <c r="F88" s="58"/>
    </row>
    <row r="89" spans="1:6">
      <c r="A89" s="7">
        <v>12</v>
      </c>
      <c r="B89" s="10" t="str">
        <f>VLOOKUP(A89,vaccines!A:B,2)</f>
        <v>AD_M_Microgen</v>
      </c>
      <c r="C89" s="7">
        <v>19</v>
      </c>
      <c r="D89" s="8" t="str">
        <f>VLOOKUP(C89,contraindications_list!A:B,2)</f>
        <v>осложнение на предыдущее введение вакцины</v>
      </c>
      <c r="E89" s="11">
        <v>44911</v>
      </c>
      <c r="F89" s="58"/>
    </row>
    <row r="90" spans="1:6">
      <c r="A90" s="7">
        <v>12</v>
      </c>
      <c r="B90" s="10" t="str">
        <f>VLOOKUP(A90,vaccines!A:B,2)</f>
        <v>AD_M_Microgen</v>
      </c>
      <c r="C90" s="7">
        <v>5</v>
      </c>
      <c r="D90" s="8" t="str">
        <f>VLOOKUP(C90,contraindications_list!A:B,2)</f>
        <v>острое заболевание</v>
      </c>
      <c r="E90" s="11">
        <v>44911</v>
      </c>
      <c r="F90" s="58"/>
    </row>
    <row r="91" spans="1:6">
      <c r="A91" s="7">
        <v>12</v>
      </c>
      <c r="B91" s="10" t="str">
        <f>VLOOKUP(A91,vaccines!A:B,2)</f>
        <v>AD_M_Microgen</v>
      </c>
      <c r="C91" s="7">
        <v>6</v>
      </c>
      <c r="D91" s="8" t="str">
        <f>VLOOKUP(C91,contraindications_list!A:B,2)</f>
        <v>обострение хронического заболевания</v>
      </c>
      <c r="E91" s="11">
        <v>44911</v>
      </c>
      <c r="F91" s="58"/>
    </row>
    <row r="92" spans="1:6">
      <c r="A92" s="7">
        <v>12</v>
      </c>
      <c r="B92" s="10" t="str">
        <f>VLOOKUP(A92,vaccines!A:B,2)</f>
        <v>AD_M_Microgen</v>
      </c>
      <c r="C92" s="7">
        <v>13</v>
      </c>
      <c r="D92" s="8" t="str">
        <f>VLOOKUP(C92,contraindications_list!A:B,2)</f>
        <v>прогрессирующее неврологическое заболевание</v>
      </c>
      <c r="E92" s="11">
        <v>44911</v>
      </c>
      <c r="F92" s="58"/>
    </row>
    <row r="93" spans="1:6">
      <c r="A93" s="7">
        <v>12</v>
      </c>
      <c r="B93" s="10" t="str">
        <f>VLOOKUP(A93,vaccines!A:B,2)</f>
        <v>AD_M_Microgen</v>
      </c>
      <c r="C93" s="7">
        <v>14</v>
      </c>
      <c r="D93" s="8" t="str">
        <f>VLOOKUP(C93,contraindications_list!A:B,2)</f>
        <v>афебрильные судороги</v>
      </c>
      <c r="E93" s="11">
        <v>44911</v>
      </c>
      <c r="F93" s="58"/>
    </row>
    <row r="94" spans="1:6">
      <c r="A94" s="7">
        <v>12</v>
      </c>
      <c r="B94" s="10" t="str">
        <f>VLOOKUP(A94,vaccines!A:B,2)</f>
        <v>AD_M_Microgen</v>
      </c>
      <c r="C94" s="54">
        <v>69</v>
      </c>
      <c r="D94" s="8" t="str">
        <f>VLOOKUP(C94,contraindications_list!A:B,2)</f>
        <v>аллергия на формальдегид</v>
      </c>
      <c r="E94" s="12">
        <v>45518</v>
      </c>
      <c r="F94" s="58"/>
    </row>
    <row r="95" spans="1:6">
      <c r="A95" s="7">
        <v>12</v>
      </c>
      <c r="B95" s="10" t="str">
        <f>VLOOKUP(A95,vaccines!A:B,2)</f>
        <v>AD_M_Microgen</v>
      </c>
      <c r="C95" s="54">
        <v>21</v>
      </c>
      <c r="D95" s="8" t="str">
        <f>VLOOKUP(C95,contraindications_list!A:B,2)</f>
        <v>тяжелые аллергические реакции</v>
      </c>
      <c r="E95" s="12">
        <v>45518</v>
      </c>
      <c r="F95" s="58"/>
    </row>
    <row r="96" spans="1:6">
      <c r="A96" s="7">
        <v>13</v>
      </c>
      <c r="B96" s="10" t="str">
        <f>VLOOKUP(A96,vaccines!A:B,2)</f>
        <v>ADS_Microgen</v>
      </c>
      <c r="C96" s="54">
        <v>1</v>
      </c>
      <c r="D96" s="8" t="str">
        <f>VLOOKUP(C96,contraindications_list!A:B,2)</f>
        <v>гиперчувствительность к компонентам</v>
      </c>
      <c r="E96" s="12">
        <v>45518</v>
      </c>
      <c r="F96" s="58"/>
    </row>
    <row r="97" spans="1:6">
      <c r="A97" s="7">
        <v>13</v>
      </c>
      <c r="B97" s="10" t="str">
        <f>VLOOKUP(A97,vaccines!A:B,2)</f>
        <v>ADS_Microgen</v>
      </c>
      <c r="C97" s="54">
        <v>69</v>
      </c>
      <c r="D97" s="8" t="str">
        <f>VLOOKUP(C97,contraindications_list!A:B,2)</f>
        <v>аллергия на формальдегид</v>
      </c>
      <c r="E97" s="12">
        <v>45518</v>
      </c>
      <c r="F97" s="58"/>
    </row>
    <row r="98" spans="1:6">
      <c r="A98" s="7">
        <v>13</v>
      </c>
      <c r="B98" s="10" t="str">
        <f>VLOOKUP(A98,vaccines!A:B,2)</f>
        <v>ADS_Microgen</v>
      </c>
      <c r="C98" s="7">
        <v>15</v>
      </c>
      <c r="D98" s="8" t="str">
        <f>VLOOKUP(C98,contraindications_list!A:B,2)</f>
        <v>сильная общая реакция на предыдущее введение вакцины</v>
      </c>
      <c r="E98" s="11">
        <v>44911</v>
      </c>
      <c r="F98" s="58"/>
    </row>
    <row r="99" spans="1:6">
      <c r="A99" s="7">
        <v>13</v>
      </c>
      <c r="B99" s="10" t="str">
        <f>VLOOKUP(A99,vaccines!A:B,2)</f>
        <v>ADS_Microgen</v>
      </c>
      <c r="C99" s="7">
        <v>19</v>
      </c>
      <c r="D99" s="8" t="str">
        <f>VLOOKUP(C99,contraindications_list!A:B,2)</f>
        <v>осложнение на предыдущее введение вакцины</v>
      </c>
      <c r="E99" s="11">
        <v>44911</v>
      </c>
      <c r="F99" s="58"/>
    </row>
    <row r="100" spans="1:6">
      <c r="A100" s="7">
        <v>13</v>
      </c>
      <c r="B100" s="10" t="str">
        <f>VLOOKUP(A100,vaccines!A:B,2)</f>
        <v>ADS_Microgen</v>
      </c>
      <c r="C100" s="7">
        <v>5</v>
      </c>
      <c r="D100" s="8" t="str">
        <f>VLOOKUP(C100,contraindications_list!A:B,2)</f>
        <v>острое заболевание</v>
      </c>
      <c r="E100" s="11">
        <v>44911</v>
      </c>
      <c r="F100" s="58"/>
    </row>
    <row r="101" spans="1:6">
      <c r="A101" s="7">
        <v>13</v>
      </c>
      <c r="B101" s="10" t="str">
        <f>VLOOKUP(A101,vaccines!A:B,2)</f>
        <v>ADS_Microgen</v>
      </c>
      <c r="C101" s="7">
        <v>6</v>
      </c>
      <c r="D101" s="8" t="str">
        <f>VLOOKUP(C101,contraindications_list!A:B,2)</f>
        <v>обострение хронического заболевания</v>
      </c>
      <c r="E101" s="11">
        <v>44911</v>
      </c>
      <c r="F101" s="58"/>
    </row>
    <row r="102" spans="1:6">
      <c r="A102" s="7">
        <v>13</v>
      </c>
      <c r="B102" s="10" t="str">
        <f>VLOOKUP(A102,vaccines!A:B,2)</f>
        <v>ADS_Microgen</v>
      </c>
      <c r="C102" s="7">
        <v>13</v>
      </c>
      <c r="D102" s="8" t="str">
        <f>VLOOKUP(C102,contraindications_list!A:B,2)</f>
        <v>прогрессирующее неврологическое заболевание</v>
      </c>
      <c r="E102" s="11">
        <v>44911</v>
      </c>
      <c r="F102" s="58"/>
    </row>
    <row r="103" spans="1:6">
      <c r="A103" s="7">
        <v>13</v>
      </c>
      <c r="B103" s="10" t="str">
        <f>VLOOKUP(A103,vaccines!A:B,2)</f>
        <v>ADS_Microgen</v>
      </c>
      <c r="C103" s="7">
        <v>14</v>
      </c>
      <c r="D103" s="8" t="str">
        <f>VLOOKUP(C103,contraindications_list!A:B,2)</f>
        <v>афебрильные судороги</v>
      </c>
      <c r="E103" s="11">
        <v>44911</v>
      </c>
      <c r="F103" s="58"/>
    </row>
    <row r="104" spans="1:6">
      <c r="A104" s="7">
        <v>14</v>
      </c>
      <c r="B104" s="10" t="str">
        <f>VLOOKUP(A104,vaccines!A:B,2)</f>
        <v>ADS_M_Microgen</v>
      </c>
      <c r="C104" s="54">
        <v>1</v>
      </c>
      <c r="D104" s="8" t="str">
        <f>VLOOKUP(C104,contraindications_list!A:B,2)</f>
        <v>гиперчувствительность к компонентам</v>
      </c>
      <c r="E104" s="12">
        <v>45518</v>
      </c>
      <c r="F104" s="58"/>
    </row>
    <row r="105" spans="1:6">
      <c r="A105" s="7">
        <v>14</v>
      </c>
      <c r="B105" s="10" t="str">
        <f>VLOOKUP(A105,vaccines!A:B,2)</f>
        <v>ADS_M_Microgen</v>
      </c>
      <c r="C105" s="7">
        <v>15</v>
      </c>
      <c r="D105" s="8" t="str">
        <f>VLOOKUP(C105,contraindications_list!A:B,2)</f>
        <v>сильная общая реакция на предыдущее введение вакцины</v>
      </c>
      <c r="E105" s="11">
        <v>44914</v>
      </c>
      <c r="F105" s="58"/>
    </row>
    <row r="106" spans="1:6">
      <c r="A106" s="7">
        <v>14</v>
      </c>
      <c r="B106" s="10" t="str">
        <f>VLOOKUP(A106,vaccines!A:B,2)</f>
        <v>ADS_M_Microgen</v>
      </c>
      <c r="C106" s="7">
        <v>19</v>
      </c>
      <c r="D106" s="8" t="str">
        <f>VLOOKUP(C106,contraindications_list!A:B,2)</f>
        <v>осложнение на предыдущее введение вакцины</v>
      </c>
      <c r="E106" s="11">
        <v>44914</v>
      </c>
      <c r="F106" s="58"/>
    </row>
    <row r="107" spans="1:6">
      <c r="A107" s="7">
        <v>14</v>
      </c>
      <c r="B107" s="10" t="str">
        <f>VLOOKUP(A107,vaccines!A:B,2)</f>
        <v>ADS_M_Microgen</v>
      </c>
      <c r="C107" s="7">
        <v>5</v>
      </c>
      <c r="D107" s="8" t="str">
        <f>VLOOKUP(C107,contraindications_list!A:B,2)</f>
        <v>острое заболевание</v>
      </c>
      <c r="E107" s="11">
        <v>44914</v>
      </c>
      <c r="F107" s="58"/>
    </row>
    <row r="108" spans="1:6">
      <c r="A108" s="7">
        <v>14</v>
      </c>
      <c r="B108" s="10" t="str">
        <f>VLOOKUP(A108,vaccines!A:B,2)</f>
        <v>ADS_M_Microgen</v>
      </c>
      <c r="C108" s="7">
        <v>6</v>
      </c>
      <c r="D108" s="8" t="str">
        <f>VLOOKUP(C108,contraindications_list!A:B,2)</f>
        <v>обострение хронического заболевания</v>
      </c>
      <c r="E108" s="11">
        <v>44914</v>
      </c>
      <c r="F108" s="58"/>
    </row>
    <row r="109" spans="1:6">
      <c r="A109" s="7">
        <v>14</v>
      </c>
      <c r="B109" s="10" t="str">
        <f>VLOOKUP(A109,vaccines!A:B,2)</f>
        <v>ADS_M_Microgen</v>
      </c>
      <c r="C109" s="7">
        <v>13</v>
      </c>
      <c r="D109" s="8" t="str">
        <f>VLOOKUP(C109,contraindications_list!A:B,2)</f>
        <v>прогрессирующее неврологическое заболевание</v>
      </c>
      <c r="E109" s="11">
        <v>44914</v>
      </c>
      <c r="F109" s="58"/>
    </row>
    <row r="110" spans="1:6">
      <c r="A110" s="7">
        <v>14</v>
      </c>
      <c r="B110" s="10" t="str">
        <f>VLOOKUP(A110,vaccines!A:B,2)</f>
        <v>ADS_M_Microgen</v>
      </c>
      <c r="C110" s="54">
        <v>69</v>
      </c>
      <c r="D110" s="8" t="str">
        <f>VLOOKUP(C110,contraindications_list!A:B,2)</f>
        <v>аллергия на формальдегид</v>
      </c>
      <c r="E110" s="12">
        <v>45518</v>
      </c>
      <c r="F110" s="58"/>
    </row>
    <row r="111" spans="1:6">
      <c r="A111" s="7">
        <v>15</v>
      </c>
      <c r="B111" s="10" t="str">
        <f>VLOOKUP(A111,vaccines!A:B,2)</f>
        <v>ADS_M_Biomed</v>
      </c>
      <c r="C111" s="7">
        <v>15</v>
      </c>
      <c r="D111" s="8" t="str">
        <f>VLOOKUP(C111,contraindications_list!A:B,2)</f>
        <v>сильная общая реакция на предыдущее введение вакцины</v>
      </c>
      <c r="E111" s="11">
        <v>44914</v>
      </c>
      <c r="F111" s="58"/>
    </row>
    <row r="112" spans="1:6">
      <c r="A112" s="7">
        <v>15</v>
      </c>
      <c r="B112" s="10" t="str">
        <f>VLOOKUP(A112,vaccines!A:B,2)</f>
        <v>ADS_M_Biomed</v>
      </c>
      <c r="C112" s="7">
        <v>19</v>
      </c>
      <c r="D112" s="8" t="str">
        <f>VLOOKUP(C112,contraindications_list!A:B,2)</f>
        <v>осложнение на предыдущее введение вакцины</v>
      </c>
      <c r="E112" s="11">
        <v>44914</v>
      </c>
      <c r="F112" s="58"/>
    </row>
    <row r="113" spans="1:6">
      <c r="A113" s="7">
        <v>15</v>
      </c>
      <c r="B113" s="10" t="str">
        <f>VLOOKUP(A113,vaccines!A:B,2)</f>
        <v>ADS_M_Biomed</v>
      </c>
      <c r="C113" s="7">
        <v>5</v>
      </c>
      <c r="D113" s="8" t="str">
        <f>VLOOKUP(C113,contraindications_list!A:B,2)</f>
        <v>острое заболевание</v>
      </c>
      <c r="E113" s="11">
        <v>44914</v>
      </c>
      <c r="F113" s="58"/>
    </row>
    <row r="114" spans="1:6">
      <c r="A114" s="7">
        <v>15</v>
      </c>
      <c r="B114" s="10" t="str">
        <f>VLOOKUP(A114,vaccines!A:B,2)</f>
        <v>ADS_M_Biomed</v>
      </c>
      <c r="C114" s="7">
        <v>6</v>
      </c>
      <c r="D114" s="8" t="str">
        <f>VLOOKUP(C114,contraindications_list!A:B,2)</f>
        <v>обострение хронического заболевания</v>
      </c>
      <c r="E114" s="11">
        <v>44914</v>
      </c>
      <c r="F114" s="58"/>
    </row>
    <row r="115" spans="1:6">
      <c r="A115" s="7">
        <v>15</v>
      </c>
      <c r="B115" s="10" t="str">
        <f>VLOOKUP(A115,vaccines!A:B,2)</f>
        <v>ADS_M_Biomed</v>
      </c>
      <c r="C115" s="7">
        <v>13</v>
      </c>
      <c r="D115" s="8" t="str">
        <f>VLOOKUP(C115,contraindications_list!A:B,2)</f>
        <v>прогрессирующее неврологическое заболевание</v>
      </c>
      <c r="E115" s="11">
        <v>44914</v>
      </c>
      <c r="F115" s="58"/>
    </row>
    <row r="116" spans="1:6">
      <c r="A116" s="7">
        <v>16</v>
      </c>
      <c r="B116" s="10" t="str">
        <f>VLOOKUP(A116,vaccines!A:B,2)</f>
        <v>Adacel</v>
      </c>
      <c r="C116" s="7">
        <v>1</v>
      </c>
      <c r="D116" s="8" t="str">
        <f>VLOOKUP(C116,contraindications_list!A:B,2)</f>
        <v>гиперчувствительность к компонентам</v>
      </c>
      <c r="E116" s="11">
        <v>44915</v>
      </c>
      <c r="F116" s="58"/>
    </row>
    <row r="117" spans="1:6">
      <c r="A117" s="7">
        <v>16</v>
      </c>
      <c r="B117" s="10" t="str">
        <f>VLOOKUP(A117,vaccines!A:B,2)</f>
        <v>Adacel</v>
      </c>
      <c r="C117" s="7">
        <v>5</v>
      </c>
      <c r="D117" s="8" t="str">
        <f>VLOOKUP(C117,contraindications_list!A:B,2)</f>
        <v>острое заболевание</v>
      </c>
      <c r="E117" s="11">
        <v>44915</v>
      </c>
      <c r="F117" s="58"/>
    </row>
    <row r="118" spans="1:6">
      <c r="A118" s="7">
        <v>16</v>
      </c>
      <c r="B118" s="10" t="str">
        <f>VLOOKUP(A118,vaccines!A:B,2)</f>
        <v>Adacel</v>
      </c>
      <c r="C118" s="7">
        <v>6</v>
      </c>
      <c r="D118" s="8" t="str">
        <f>VLOOKUP(C118,contraindications_list!A:B,2)</f>
        <v>обострение хронического заболевания</v>
      </c>
      <c r="E118" s="11">
        <v>44915</v>
      </c>
      <c r="F118" s="58"/>
    </row>
    <row r="119" spans="1:6">
      <c r="A119" s="7">
        <v>16</v>
      </c>
      <c r="B119" s="10" t="str">
        <f>VLOOKUP(A119,vaccines!A:B,2)</f>
        <v>Adacel</v>
      </c>
      <c r="C119" s="7">
        <v>12</v>
      </c>
      <c r="D119" s="8" t="str">
        <f>VLOOKUP(C119,contraindications_list!A:B,2)</f>
        <v>энцефалопатия после вакцинации</v>
      </c>
      <c r="E119" s="11">
        <v>44915</v>
      </c>
      <c r="F119" s="58"/>
    </row>
    <row r="120" spans="1:6">
      <c r="A120" s="7">
        <v>16</v>
      </c>
      <c r="B120" s="10" t="str">
        <f>VLOOKUP(A120,vaccines!A:B,2)</f>
        <v>Adacel</v>
      </c>
      <c r="C120" s="7">
        <v>13</v>
      </c>
      <c r="D120" s="8" t="str">
        <f>VLOOKUP(C120,contraindications_list!A:B,2)</f>
        <v>прогрессирующее неврологическое заболевание</v>
      </c>
      <c r="E120" s="11">
        <v>44915</v>
      </c>
      <c r="F120" s="58"/>
    </row>
    <row r="121" spans="1:6">
      <c r="A121" s="7">
        <v>17</v>
      </c>
      <c r="B121" s="10" t="str">
        <f>VLOOKUP(A121,vaccines!A:B,2)</f>
        <v>Algavac_M</v>
      </c>
      <c r="C121" s="7">
        <v>15</v>
      </c>
      <c r="D121" s="8" t="str">
        <f>VLOOKUP(C121,contraindications_list!A:B,2)</f>
        <v>сильная общая реакция на предыдущее введение вакцины</v>
      </c>
      <c r="E121" s="11">
        <v>44915</v>
      </c>
      <c r="F121" s="58"/>
    </row>
    <row r="122" spans="1:6">
      <c r="A122" s="7">
        <v>17</v>
      </c>
      <c r="B122" s="10" t="str">
        <f>VLOOKUP(A122,vaccines!A:B,2)</f>
        <v>Algavac_M</v>
      </c>
      <c r="C122" s="7">
        <v>1</v>
      </c>
      <c r="D122" s="8" t="str">
        <f>VLOOKUP(C122,contraindications_list!A:B,2)</f>
        <v>гиперчувствительность к компонентам</v>
      </c>
      <c r="E122" s="11">
        <v>44915</v>
      </c>
      <c r="F122" s="58"/>
    </row>
    <row r="123" spans="1:6">
      <c r="A123" s="7">
        <v>17</v>
      </c>
      <c r="B123" s="10" t="str">
        <f>VLOOKUP(A123,vaccines!A:B,2)</f>
        <v>Algavac_M</v>
      </c>
      <c r="C123" s="7">
        <v>5</v>
      </c>
      <c r="D123" s="8" t="str">
        <f>VLOOKUP(C123,contraindications_list!A:B,2)</f>
        <v>острое заболевание</v>
      </c>
      <c r="E123" s="11">
        <v>44915</v>
      </c>
      <c r="F123" s="58"/>
    </row>
    <row r="124" spans="1:6">
      <c r="A124" s="7">
        <v>17</v>
      </c>
      <c r="B124" s="10" t="str">
        <f>VLOOKUP(A124,vaccines!A:B,2)</f>
        <v>Algavac_M</v>
      </c>
      <c r="C124" s="7">
        <v>6</v>
      </c>
      <c r="D124" s="8" t="str">
        <f>VLOOKUP(C124,contraindications_list!A:B,2)</f>
        <v>обострение хронического заболевания</v>
      </c>
      <c r="E124" s="11">
        <v>44915</v>
      </c>
      <c r="F124" s="58"/>
    </row>
    <row r="125" spans="1:6">
      <c r="A125" s="7">
        <v>18</v>
      </c>
      <c r="B125" s="10" t="str">
        <f>VLOOKUP(A125,vaccines!A:B,2)</f>
        <v>Algavac</v>
      </c>
      <c r="C125" s="7">
        <v>1</v>
      </c>
      <c r="D125" s="8" t="str">
        <f>VLOOKUP(C125,contraindications_list!A:B,2)</f>
        <v>гиперчувствительность к компонентам</v>
      </c>
      <c r="E125" s="11">
        <v>44915</v>
      </c>
      <c r="F125" s="58"/>
    </row>
    <row r="126" spans="1:6">
      <c r="A126" s="7">
        <v>18</v>
      </c>
      <c r="B126" s="10" t="str">
        <f>VLOOKUP(A126,vaccines!A:B,2)</f>
        <v>Algavac</v>
      </c>
      <c r="C126" s="7">
        <v>5</v>
      </c>
      <c r="D126" s="8" t="str">
        <f>VLOOKUP(C126,contraindications_list!A:B,2)</f>
        <v>острое заболевание</v>
      </c>
      <c r="E126" s="11">
        <v>44915</v>
      </c>
      <c r="F126" s="58"/>
    </row>
    <row r="127" spans="1:6">
      <c r="A127" s="7">
        <v>18</v>
      </c>
      <c r="B127" s="10" t="str">
        <f>VLOOKUP(A127,vaccines!A:B,2)</f>
        <v>Algavac</v>
      </c>
      <c r="C127" s="7">
        <v>6</v>
      </c>
      <c r="D127" s="8" t="str">
        <f>VLOOKUP(C127,contraindications_list!A:B,2)</f>
        <v>обострение хронического заболевания</v>
      </c>
      <c r="E127" s="11">
        <v>44915</v>
      </c>
      <c r="F127" s="58"/>
    </row>
    <row r="128" spans="1:6">
      <c r="A128" s="7">
        <v>19</v>
      </c>
      <c r="B128" s="10" t="str">
        <f>VLOOKUP(A128,vaccines!A:B,2)</f>
        <v>Havrix_720</v>
      </c>
      <c r="C128" s="7">
        <v>1</v>
      </c>
      <c r="D128" s="8" t="str">
        <f>VLOOKUP(C128,contraindications_list!A:B,2)</f>
        <v>гиперчувствительность к компонентам</v>
      </c>
      <c r="E128" s="11">
        <v>44916</v>
      </c>
      <c r="F128" s="58"/>
    </row>
    <row r="129" spans="1:6">
      <c r="A129" s="7">
        <v>19</v>
      </c>
      <c r="B129" s="10" t="str">
        <f>VLOOKUP(A129,vaccines!A:B,2)</f>
        <v>Havrix_720</v>
      </c>
      <c r="C129" s="7">
        <v>5</v>
      </c>
      <c r="D129" s="8" t="str">
        <f>VLOOKUP(C129,contraindications_list!A:B,2)</f>
        <v>острое заболевание</v>
      </c>
      <c r="E129" s="11">
        <v>44916</v>
      </c>
      <c r="F129" s="58"/>
    </row>
    <row r="130" spans="1:6">
      <c r="A130" s="7">
        <v>19</v>
      </c>
      <c r="B130" s="10" t="str">
        <f>VLOOKUP(A130,vaccines!A:B,2)</f>
        <v>Havrix_720</v>
      </c>
      <c r="C130" s="7">
        <v>6</v>
      </c>
      <c r="D130" s="8" t="str">
        <f>VLOOKUP(C130,contraindications_list!A:B,2)</f>
        <v>обострение хронического заболевания</v>
      </c>
      <c r="E130" s="11">
        <v>44916</v>
      </c>
      <c r="F130" s="58"/>
    </row>
    <row r="131" spans="1:6">
      <c r="A131" s="7">
        <v>19</v>
      </c>
      <c r="B131" s="10" t="str">
        <f>VLOOKUP(A131,vaccines!A:B,2)</f>
        <v>Havrix_720</v>
      </c>
      <c r="C131" s="54">
        <v>15</v>
      </c>
      <c r="D131" s="8" t="str">
        <f>VLOOKUP(C131,contraindications_list!A:B,2)</f>
        <v>сильная общая реакция на предыдущее введение вакцины</v>
      </c>
      <c r="E131" s="12">
        <v>45558</v>
      </c>
      <c r="F131" s="58"/>
    </row>
    <row r="132" spans="1:6">
      <c r="A132" s="7">
        <v>19</v>
      </c>
      <c r="B132" s="10" t="str">
        <f>VLOOKUP(A132,vaccines!A:B,2)</f>
        <v>Havrix_720</v>
      </c>
      <c r="C132" s="54">
        <v>25</v>
      </c>
      <c r="D132" s="8" t="str">
        <f>VLOOKUP(C132,contraindications_list!A:B,2)</f>
        <v>аллергия на аминогликозиды</v>
      </c>
      <c r="E132" s="12">
        <v>45558</v>
      </c>
      <c r="F132" s="58"/>
    </row>
    <row r="133" spans="1:6">
      <c r="A133" s="7">
        <v>19</v>
      </c>
      <c r="B133" s="10" t="str">
        <f>VLOOKUP(A133,vaccines!A:B,2)</f>
        <v>Havrix_720</v>
      </c>
      <c r="C133" s="54">
        <v>84</v>
      </c>
      <c r="D133" s="8" t="str">
        <f>VLOOKUP(C133,contraindications_list!A:B,2)</f>
        <v>фенилкетонурия</v>
      </c>
      <c r="E133" s="12">
        <v>45558</v>
      </c>
      <c r="F133" s="58"/>
    </row>
    <row r="134" spans="1:6">
      <c r="A134" s="7">
        <v>20</v>
      </c>
      <c r="B134" s="10" t="str">
        <f>VLOOKUP(A134,vaccines!A:B,2)</f>
        <v>Havrix_1440</v>
      </c>
      <c r="C134" s="7">
        <v>1</v>
      </c>
      <c r="D134" s="8" t="str">
        <f>VLOOKUP(C134,contraindications_list!A:B,2)</f>
        <v>гиперчувствительность к компонентам</v>
      </c>
      <c r="E134" s="11">
        <v>44916</v>
      </c>
      <c r="F134" s="58"/>
    </row>
    <row r="135" spans="1:6">
      <c r="A135" s="7">
        <v>20</v>
      </c>
      <c r="B135" s="10" t="str">
        <f>VLOOKUP(A135,vaccines!A:B,2)</f>
        <v>Havrix_1440</v>
      </c>
      <c r="C135" s="7">
        <v>5</v>
      </c>
      <c r="D135" s="8" t="str">
        <f>VLOOKUP(C135,contraindications_list!A:B,2)</f>
        <v>острое заболевание</v>
      </c>
      <c r="E135" s="11">
        <v>44916</v>
      </c>
      <c r="F135" s="58"/>
    </row>
    <row r="136" spans="1:6">
      <c r="A136" s="7">
        <v>20</v>
      </c>
      <c r="B136" s="10" t="str">
        <f>VLOOKUP(A136,vaccines!A:B,2)</f>
        <v>Havrix_1440</v>
      </c>
      <c r="C136" s="7">
        <v>6</v>
      </c>
      <c r="D136" s="8" t="str">
        <f>VLOOKUP(C136,contraindications_list!A:B,2)</f>
        <v>обострение хронического заболевания</v>
      </c>
      <c r="E136" s="11">
        <v>44916</v>
      </c>
      <c r="F136" s="58"/>
    </row>
    <row r="137" spans="1:6">
      <c r="A137" s="7">
        <v>20</v>
      </c>
      <c r="B137" s="10" t="str">
        <f>VLOOKUP(A137,vaccines!A:B,2)</f>
        <v>Havrix_1440</v>
      </c>
      <c r="C137" s="54">
        <v>15</v>
      </c>
      <c r="D137" s="8" t="str">
        <f>VLOOKUP(C137,contraindications_list!A:B,2)</f>
        <v>сильная общая реакция на предыдущее введение вакцины</v>
      </c>
      <c r="E137" s="12">
        <v>45558</v>
      </c>
      <c r="F137" s="58"/>
    </row>
    <row r="138" spans="1:6">
      <c r="A138" s="7">
        <v>20</v>
      </c>
      <c r="B138" s="10" t="str">
        <f>VLOOKUP(A138,vaccines!A:B,2)</f>
        <v>Havrix_1440</v>
      </c>
      <c r="C138" s="54">
        <v>25</v>
      </c>
      <c r="D138" s="8" t="str">
        <f>VLOOKUP(C138,contraindications_list!A:B,2)</f>
        <v>аллергия на аминогликозиды</v>
      </c>
      <c r="E138" s="12">
        <v>45558</v>
      </c>
      <c r="F138" s="58"/>
    </row>
    <row r="139" spans="1:6">
      <c r="A139" s="7">
        <v>20</v>
      </c>
      <c r="B139" s="10" t="str">
        <f>VLOOKUP(A139,vaccines!A:B,2)</f>
        <v>Havrix_1440</v>
      </c>
      <c r="C139" s="54">
        <v>84</v>
      </c>
      <c r="D139" s="8" t="str">
        <f>VLOOKUP(C139,contraindications_list!A:B,2)</f>
        <v>фенилкетонурия</v>
      </c>
      <c r="E139" s="12">
        <v>45558</v>
      </c>
      <c r="F139" s="58"/>
    </row>
    <row r="140" spans="1:6">
      <c r="A140" s="7">
        <v>21</v>
      </c>
      <c r="B140" s="10" t="str">
        <f>VLOOKUP(A140,vaccines!A:B,2)</f>
        <v>Avaxim_80</v>
      </c>
      <c r="C140" s="7">
        <v>1</v>
      </c>
      <c r="D140" s="8" t="str">
        <f>VLOOKUP(C140,contraindications_list!A:B,2)</f>
        <v>гиперчувствительность к компонентам</v>
      </c>
      <c r="E140" s="11">
        <v>45082</v>
      </c>
      <c r="F140" s="58"/>
    </row>
    <row r="141" spans="1:6">
      <c r="A141" s="7">
        <v>21</v>
      </c>
      <c r="B141" s="10" t="str">
        <f>VLOOKUP(A141,vaccines!A:B,2)</f>
        <v>Avaxim_80</v>
      </c>
      <c r="C141" s="7">
        <v>5</v>
      </c>
      <c r="D141" s="8" t="str">
        <f>VLOOKUP(C141,contraindications_list!A:B,2)</f>
        <v>острое заболевание</v>
      </c>
      <c r="E141" s="11">
        <v>45082</v>
      </c>
      <c r="F141" s="58"/>
    </row>
    <row r="142" spans="1:6">
      <c r="A142" s="7">
        <v>21</v>
      </c>
      <c r="B142" s="10" t="str">
        <f>VLOOKUP(A142,vaccines!A:B,2)</f>
        <v>Avaxim_80</v>
      </c>
      <c r="C142" s="7">
        <v>6</v>
      </c>
      <c r="D142" s="8" t="str">
        <f>VLOOKUP(C142,contraindications_list!A:B,2)</f>
        <v>обострение хронического заболевания</v>
      </c>
      <c r="E142" s="11">
        <v>45082</v>
      </c>
      <c r="F142" s="58"/>
    </row>
    <row r="143" spans="1:6">
      <c r="A143" s="7">
        <v>22</v>
      </c>
      <c r="B143" s="10" t="str">
        <f>VLOOKUP(A143,vaccines!A:B,2)</f>
        <v>Avaxim_160</v>
      </c>
      <c r="C143" s="7">
        <v>1</v>
      </c>
      <c r="D143" s="8" t="str">
        <f>VLOOKUP(C143,contraindications_list!A:B,2)</f>
        <v>гиперчувствительность к компонентам</v>
      </c>
      <c r="E143" s="11">
        <v>45082</v>
      </c>
      <c r="F143" s="58"/>
    </row>
    <row r="144" spans="1:6">
      <c r="A144" s="7">
        <v>22</v>
      </c>
      <c r="B144" s="10" t="str">
        <f>VLOOKUP(A144,vaccines!A:B,2)</f>
        <v>Avaxim_160</v>
      </c>
      <c r="C144" s="7">
        <v>5</v>
      </c>
      <c r="D144" s="8" t="str">
        <f>VLOOKUP(C144,contraindications_list!A:B,2)</f>
        <v>острое заболевание</v>
      </c>
      <c r="E144" s="11">
        <v>45082</v>
      </c>
      <c r="F144" s="58"/>
    </row>
    <row r="145" spans="1:6">
      <c r="A145" s="7">
        <v>22</v>
      </c>
      <c r="B145" s="10" t="str">
        <f>VLOOKUP(A145,vaccines!A:B,2)</f>
        <v>Avaxim_160</v>
      </c>
      <c r="C145" s="7">
        <v>6</v>
      </c>
      <c r="D145" s="8" t="str">
        <f>VLOOKUP(C145,contraindications_list!A:B,2)</f>
        <v>обострение хронического заболевания</v>
      </c>
      <c r="E145" s="11">
        <v>45082</v>
      </c>
      <c r="F145" s="58"/>
    </row>
    <row r="146" spans="1:6">
      <c r="A146" s="7">
        <v>23</v>
      </c>
      <c r="B146" s="10" t="str">
        <f>VLOOKUP(A146,vaccines!A:B,2)</f>
        <v>Regevac_0_5</v>
      </c>
      <c r="C146" s="7">
        <v>1</v>
      </c>
      <c r="D146" s="8" t="str">
        <f>VLOOKUP(C146,contraindications_list!A:B,2)</f>
        <v>гиперчувствительность к компонентам</v>
      </c>
      <c r="E146" s="11">
        <v>44916</v>
      </c>
      <c r="F146" s="58"/>
    </row>
    <row r="147" spans="1:6">
      <c r="A147" s="7">
        <v>23</v>
      </c>
      <c r="B147" s="10" t="str">
        <f>VLOOKUP(A147,vaccines!A:B,2)</f>
        <v>Regevac_0_5</v>
      </c>
      <c r="C147" s="7">
        <v>16</v>
      </c>
      <c r="D147" s="8" t="str">
        <f>VLOOKUP(C147,contraindications_list!A:B,2)</f>
        <v>аллергия на дрожжи</v>
      </c>
      <c r="E147" s="11">
        <v>44916</v>
      </c>
      <c r="F147" s="58"/>
    </row>
    <row r="148" spans="1:6">
      <c r="A148" s="7">
        <v>23</v>
      </c>
      <c r="B148" s="10" t="str">
        <f>VLOOKUP(A148,vaccines!A:B,2)</f>
        <v>Regevac_0_5</v>
      </c>
      <c r="C148" s="7">
        <v>15</v>
      </c>
      <c r="D148" s="8" t="str">
        <f>VLOOKUP(C148,contraindications_list!A:B,2)</f>
        <v>сильная общая реакция на предыдущее введение вакцины</v>
      </c>
      <c r="E148" s="11">
        <v>44916</v>
      </c>
      <c r="F148" s="58"/>
    </row>
    <row r="149" spans="1:6">
      <c r="A149" s="7">
        <v>23</v>
      </c>
      <c r="B149" s="10" t="str">
        <f>VLOOKUP(A149,vaccines!A:B,2)</f>
        <v>Regevac_0_5</v>
      </c>
      <c r="C149" s="7">
        <v>19</v>
      </c>
      <c r="D149" s="8" t="str">
        <f>VLOOKUP(C149,contraindications_list!A:B,2)</f>
        <v>осложнение на предыдущее введение вакцины</v>
      </c>
      <c r="E149" s="11">
        <v>44916</v>
      </c>
      <c r="F149" s="58"/>
    </row>
    <row r="150" spans="1:6">
      <c r="A150" s="7">
        <v>23</v>
      </c>
      <c r="B150" s="10" t="str">
        <f>VLOOKUP(A150,vaccines!A:B,2)</f>
        <v>Regevac_0_5</v>
      </c>
      <c r="C150" s="7">
        <v>5</v>
      </c>
      <c r="D150" s="8" t="str">
        <f>VLOOKUP(C150,contraindications_list!A:B,2)</f>
        <v>острое заболевание</v>
      </c>
      <c r="E150" s="11">
        <v>44916</v>
      </c>
      <c r="F150" s="58"/>
    </row>
    <row r="151" spans="1:6">
      <c r="A151" s="7">
        <v>23</v>
      </c>
      <c r="B151" s="10" t="str">
        <f>VLOOKUP(A151,vaccines!A:B,2)</f>
        <v>Regevac_0_5</v>
      </c>
      <c r="C151" s="7">
        <v>6</v>
      </c>
      <c r="D151" s="8" t="str">
        <f>VLOOKUP(C151,contraindications_list!A:B,2)</f>
        <v>обострение хронического заболевания</v>
      </c>
      <c r="E151" s="11">
        <v>44916</v>
      </c>
      <c r="F151" s="58"/>
    </row>
    <row r="152" spans="1:6">
      <c r="A152" s="7">
        <v>24</v>
      </c>
      <c r="B152" s="10" t="str">
        <f>VLOOKUP(A152,vaccines!A:B,2)</f>
        <v>HepB_Combiotech_0_5</v>
      </c>
      <c r="C152" s="7">
        <v>1</v>
      </c>
      <c r="D152" s="8" t="str">
        <f>VLOOKUP(C152,contraindications_list!A:B,2)</f>
        <v>гиперчувствительность к компонентам</v>
      </c>
      <c r="E152" s="11">
        <v>44916</v>
      </c>
      <c r="F152" s="58"/>
    </row>
    <row r="153" spans="1:6">
      <c r="A153" s="7">
        <v>24</v>
      </c>
      <c r="B153" s="10" t="str">
        <f>VLOOKUP(A153,vaccines!A:B,2)</f>
        <v>HepB_Combiotech_0_5</v>
      </c>
      <c r="C153" s="7">
        <v>16</v>
      </c>
      <c r="D153" s="8" t="str">
        <f>VLOOKUP(C153,contraindications_list!A:B,2)</f>
        <v>аллергия на дрожжи</v>
      </c>
      <c r="E153" s="11">
        <v>44916</v>
      </c>
      <c r="F153" s="58"/>
    </row>
    <row r="154" spans="1:6">
      <c r="A154" s="7">
        <v>24</v>
      </c>
      <c r="B154" s="10" t="str">
        <f>VLOOKUP(A154,vaccines!A:B,2)</f>
        <v>HepB_Combiotech_0_5</v>
      </c>
      <c r="C154" s="7">
        <v>15</v>
      </c>
      <c r="D154" s="8" t="str">
        <f>VLOOKUP(C154,contraindications_list!A:B,2)</f>
        <v>сильная общая реакция на предыдущее введение вакцины</v>
      </c>
      <c r="E154" s="11">
        <v>44916</v>
      </c>
      <c r="F154" s="58"/>
    </row>
    <row r="155" spans="1:6">
      <c r="A155" s="7">
        <v>24</v>
      </c>
      <c r="B155" s="10" t="str">
        <f>VLOOKUP(A155,vaccines!A:B,2)</f>
        <v>HepB_Combiotech_0_5</v>
      </c>
      <c r="C155" s="7">
        <v>19</v>
      </c>
      <c r="D155" s="8" t="str">
        <f>VLOOKUP(C155,contraindications_list!A:B,2)</f>
        <v>осложнение на предыдущее введение вакцины</v>
      </c>
      <c r="E155" s="11">
        <v>44916</v>
      </c>
      <c r="F155" s="58"/>
    </row>
    <row r="156" spans="1:6">
      <c r="A156" s="7">
        <v>24</v>
      </c>
      <c r="B156" s="10" t="str">
        <f>VLOOKUP(A156,vaccines!A:B,2)</f>
        <v>HepB_Combiotech_0_5</v>
      </c>
      <c r="C156" s="7">
        <v>5</v>
      </c>
      <c r="D156" s="8" t="str">
        <f>VLOOKUP(C156,contraindications_list!A:B,2)</f>
        <v>острое заболевание</v>
      </c>
      <c r="E156" s="11">
        <v>44916</v>
      </c>
      <c r="F156" s="58"/>
    </row>
    <row r="157" spans="1:6">
      <c r="A157" s="7">
        <v>24</v>
      </c>
      <c r="B157" s="10" t="str">
        <f>VLOOKUP(A157,vaccines!A:B,2)</f>
        <v>HepB_Combiotech_0_5</v>
      </c>
      <c r="C157" s="7">
        <v>6</v>
      </c>
      <c r="D157" s="8" t="str">
        <f>VLOOKUP(C157,contraindications_list!A:B,2)</f>
        <v>обострение хронического заболевания</v>
      </c>
      <c r="E157" s="11">
        <v>44916</v>
      </c>
      <c r="F157" s="58"/>
    </row>
    <row r="158" spans="1:6">
      <c r="A158" s="7">
        <v>25</v>
      </c>
      <c r="B158" s="10" t="str">
        <f>VLOOKUP(A158,vaccines!A:B,2)</f>
        <v>Euvax_B_0_5</v>
      </c>
      <c r="C158" s="7">
        <v>1</v>
      </c>
      <c r="D158" s="8" t="str">
        <f>VLOOKUP(C158,contraindications_list!A:B,2)</f>
        <v>гиперчувствительность к компонентам</v>
      </c>
      <c r="E158" s="11">
        <v>44916</v>
      </c>
      <c r="F158" s="58"/>
    </row>
    <row r="159" spans="1:6">
      <c r="A159" s="7">
        <v>25</v>
      </c>
      <c r="B159" s="10" t="str">
        <f>VLOOKUP(A159,vaccines!A:B,2)</f>
        <v>Euvax_B_0_5</v>
      </c>
      <c r="C159" s="7">
        <v>16</v>
      </c>
      <c r="D159" s="8" t="str">
        <f>VLOOKUP(C159,contraindications_list!A:B,2)</f>
        <v>аллергия на дрожжи</v>
      </c>
      <c r="E159" s="11">
        <v>44916</v>
      </c>
      <c r="F159" s="58"/>
    </row>
    <row r="160" spans="1:6">
      <c r="A160" s="7">
        <v>25</v>
      </c>
      <c r="B160" s="10" t="str">
        <f>VLOOKUP(A160,vaccines!A:B,2)</f>
        <v>Euvax_B_0_5</v>
      </c>
      <c r="C160" s="7">
        <v>15</v>
      </c>
      <c r="D160" s="8" t="str">
        <f>VLOOKUP(C160,contraindications_list!A:B,2)</f>
        <v>сильная общая реакция на предыдущее введение вакцины</v>
      </c>
      <c r="E160" s="11">
        <v>44916</v>
      </c>
      <c r="F160" s="58"/>
    </row>
    <row r="161" spans="1:6">
      <c r="A161" s="7">
        <v>25</v>
      </c>
      <c r="B161" s="10" t="str">
        <f>VLOOKUP(A161,vaccines!A:B,2)</f>
        <v>Euvax_B_0_5</v>
      </c>
      <c r="C161" s="7">
        <v>19</v>
      </c>
      <c r="D161" s="8" t="str">
        <f>VLOOKUP(C161,contraindications_list!A:B,2)</f>
        <v>осложнение на предыдущее введение вакцины</v>
      </c>
      <c r="E161" s="11">
        <v>44916</v>
      </c>
      <c r="F161" s="58"/>
    </row>
    <row r="162" spans="1:6">
      <c r="A162" s="7">
        <v>25</v>
      </c>
      <c r="B162" s="10" t="str">
        <f>VLOOKUP(A162,vaccines!A:B,2)</f>
        <v>Euvax_B_0_5</v>
      </c>
      <c r="C162" s="7">
        <v>5</v>
      </c>
      <c r="D162" s="8" t="str">
        <f>VLOOKUP(C162,contraindications_list!A:B,2)</f>
        <v>острое заболевание</v>
      </c>
      <c r="E162" s="11">
        <v>44916</v>
      </c>
      <c r="F162" s="58"/>
    </row>
    <row r="163" spans="1:6">
      <c r="A163" s="7">
        <v>25</v>
      </c>
      <c r="B163" s="10" t="str">
        <f>VLOOKUP(A163,vaccines!A:B,2)</f>
        <v>Euvax_B_0_5</v>
      </c>
      <c r="C163" s="7">
        <v>6</v>
      </c>
      <c r="D163" s="8" t="str">
        <f>VLOOKUP(C163,contraindications_list!A:B,2)</f>
        <v>обострение хронического заболевания</v>
      </c>
      <c r="E163" s="11">
        <v>44916</v>
      </c>
      <c r="F163" s="58"/>
    </row>
    <row r="164" spans="1:6">
      <c r="A164" s="7">
        <v>26</v>
      </c>
      <c r="B164" s="10" t="str">
        <f>VLOOKUP(A164,vaccines!A:B,2)</f>
        <v>Euvax_B_1_0</v>
      </c>
      <c r="C164" s="7">
        <v>1</v>
      </c>
      <c r="D164" s="8" t="str">
        <f>VLOOKUP(C164,contraindications_list!A:B,2)</f>
        <v>гиперчувствительность к компонентам</v>
      </c>
      <c r="E164" s="11">
        <v>44916</v>
      </c>
      <c r="F164" s="58"/>
    </row>
    <row r="165" spans="1:6">
      <c r="A165" s="7">
        <v>26</v>
      </c>
      <c r="B165" s="10" t="str">
        <f>VLOOKUP(A165,vaccines!A:B,2)</f>
        <v>Euvax_B_1_0</v>
      </c>
      <c r="C165" s="7">
        <v>16</v>
      </c>
      <c r="D165" s="8" t="str">
        <f>VLOOKUP(C165,contraindications_list!A:B,2)</f>
        <v>аллергия на дрожжи</v>
      </c>
      <c r="E165" s="11">
        <v>44916</v>
      </c>
      <c r="F165" s="58"/>
    </row>
    <row r="166" spans="1:6">
      <c r="A166" s="7">
        <v>26</v>
      </c>
      <c r="B166" s="10" t="str">
        <f>VLOOKUP(A166,vaccines!A:B,2)</f>
        <v>Euvax_B_1_0</v>
      </c>
      <c r="C166" s="7">
        <v>15</v>
      </c>
      <c r="D166" s="8" t="str">
        <f>VLOOKUP(C166,contraindications_list!A:B,2)</f>
        <v>сильная общая реакция на предыдущее введение вакцины</v>
      </c>
      <c r="E166" s="11">
        <v>44916</v>
      </c>
      <c r="F166" s="58"/>
    </row>
    <row r="167" spans="1:6">
      <c r="A167" s="7">
        <v>26</v>
      </c>
      <c r="B167" s="10" t="str">
        <f>VLOOKUP(A167,vaccines!A:B,2)</f>
        <v>Euvax_B_1_0</v>
      </c>
      <c r="C167" s="7">
        <v>19</v>
      </c>
      <c r="D167" s="8" t="str">
        <f>VLOOKUP(C167,contraindications_list!A:B,2)</f>
        <v>осложнение на предыдущее введение вакцины</v>
      </c>
      <c r="E167" s="11">
        <v>44916</v>
      </c>
      <c r="F167" s="58"/>
    </row>
    <row r="168" spans="1:6">
      <c r="A168" s="7">
        <v>26</v>
      </c>
      <c r="B168" s="10" t="str">
        <f>VLOOKUP(A168,vaccines!A:B,2)</f>
        <v>Euvax_B_1_0</v>
      </c>
      <c r="C168" s="7">
        <v>5</v>
      </c>
      <c r="D168" s="8" t="str">
        <f>VLOOKUP(C168,contraindications_list!A:B,2)</f>
        <v>острое заболевание</v>
      </c>
      <c r="E168" s="11">
        <v>44916</v>
      </c>
      <c r="F168" s="58"/>
    </row>
    <row r="169" spans="1:6">
      <c r="A169" s="7">
        <v>26</v>
      </c>
      <c r="B169" s="10" t="str">
        <f>VLOOKUP(A169,vaccines!A:B,2)</f>
        <v>Euvax_B_1_0</v>
      </c>
      <c r="C169" s="7">
        <v>6</v>
      </c>
      <c r="D169" s="8" t="str">
        <f>VLOOKUP(C169,contraindications_list!A:B,2)</f>
        <v>обострение хронического заболевания</v>
      </c>
      <c r="E169" s="11">
        <v>44916</v>
      </c>
      <c r="F169" s="58"/>
    </row>
    <row r="170" spans="1:6">
      <c r="A170" s="7">
        <v>27</v>
      </c>
      <c r="B170" s="10" t="str">
        <f>VLOOKUP(A170,vaccines!A:B,2)</f>
        <v>Cervarix</v>
      </c>
      <c r="C170" s="7">
        <v>1</v>
      </c>
      <c r="D170" s="8" t="str">
        <f>VLOOKUP(C170,contraindications_list!A:B,2)</f>
        <v>гиперчувствительность к компонентам</v>
      </c>
      <c r="E170" s="11">
        <v>44916</v>
      </c>
      <c r="F170" s="58"/>
    </row>
    <row r="171" spans="1:6">
      <c r="A171" s="7">
        <v>27</v>
      </c>
      <c r="B171" s="10" t="str">
        <f>VLOOKUP(A171,vaccines!A:B,2)</f>
        <v>Cervarix</v>
      </c>
      <c r="C171" s="7">
        <v>15</v>
      </c>
      <c r="D171" s="8" t="str">
        <f>VLOOKUP(C171,contraindications_list!A:B,2)</f>
        <v>сильная общая реакция на предыдущее введение вакцины</v>
      </c>
      <c r="E171" s="11">
        <v>44916</v>
      </c>
      <c r="F171" s="58"/>
    </row>
    <row r="172" spans="1:6">
      <c r="A172" s="7">
        <v>27</v>
      </c>
      <c r="B172" s="10" t="str">
        <f>VLOOKUP(A172,vaccines!A:B,2)</f>
        <v>Cervarix</v>
      </c>
      <c r="C172" s="7">
        <v>19</v>
      </c>
      <c r="D172" s="8" t="str">
        <f>VLOOKUP(C172,contraindications_list!A:B,2)</f>
        <v>осложнение на предыдущее введение вакцины</v>
      </c>
      <c r="E172" s="11">
        <v>44916</v>
      </c>
      <c r="F172" s="58"/>
    </row>
    <row r="173" spans="1:6">
      <c r="A173" s="7">
        <v>27</v>
      </c>
      <c r="B173" s="10" t="str">
        <f>VLOOKUP(A173,vaccines!A:B,2)</f>
        <v>Cervarix</v>
      </c>
      <c r="C173" s="7">
        <v>5</v>
      </c>
      <c r="D173" s="8" t="str">
        <f>VLOOKUP(C173,contraindications_list!A:B,2)</f>
        <v>острое заболевание</v>
      </c>
      <c r="E173" s="11">
        <v>44916</v>
      </c>
      <c r="F173" s="58"/>
    </row>
    <row r="174" spans="1:6">
      <c r="A174" s="7">
        <v>27</v>
      </c>
      <c r="B174" s="10" t="str">
        <f>VLOOKUP(A174,vaccines!A:B,2)</f>
        <v>Cervarix</v>
      </c>
      <c r="C174" s="7">
        <v>6</v>
      </c>
      <c r="D174" s="8" t="str">
        <f>VLOOKUP(C174,contraindications_list!A:B,2)</f>
        <v>обострение хронического заболевания</v>
      </c>
      <c r="E174" s="11">
        <v>44916</v>
      </c>
      <c r="F174" s="58"/>
    </row>
    <row r="175" spans="1:6">
      <c r="A175" s="7">
        <v>28</v>
      </c>
      <c r="B175" s="10" t="str">
        <f>VLOOKUP(A175,vaccines!A:B,2)</f>
        <v>Gardasil_4</v>
      </c>
      <c r="C175" s="7">
        <v>1</v>
      </c>
      <c r="D175" s="8" t="str">
        <f>VLOOKUP(C175,contraindications_list!A:B,2)</f>
        <v>гиперчувствительность к компонентам</v>
      </c>
      <c r="E175" s="11">
        <v>44916</v>
      </c>
      <c r="F175" s="58"/>
    </row>
    <row r="176" spans="1:6">
      <c r="A176" s="7">
        <v>28</v>
      </c>
      <c r="B176" s="10" t="str">
        <f>VLOOKUP(A176,vaccines!A:B,2)</f>
        <v>Gardasil_4</v>
      </c>
      <c r="C176" s="54">
        <v>15</v>
      </c>
      <c r="D176" s="8" t="str">
        <f>VLOOKUP(C176,contraindications_list!A:B,2)</f>
        <v>сильная общая реакция на предыдущее введение вакцины</v>
      </c>
      <c r="E176" s="12">
        <v>45483</v>
      </c>
      <c r="F176" s="58"/>
    </row>
    <row r="177" spans="1:6">
      <c r="A177" s="7">
        <v>28</v>
      </c>
      <c r="B177" s="10" t="str">
        <f>VLOOKUP(A177,vaccines!A:B,2)</f>
        <v>Gardasil_4</v>
      </c>
      <c r="C177" s="7">
        <v>17</v>
      </c>
      <c r="D177" s="8" t="str">
        <f>VLOOKUP(C177,contraindications_list!A:B,2)</f>
        <v>нарушение свертываемости крови</v>
      </c>
      <c r="E177" s="11">
        <v>45070</v>
      </c>
      <c r="F177" s="58"/>
    </row>
    <row r="178" spans="1:6">
      <c r="A178" s="7">
        <v>28</v>
      </c>
      <c r="B178" s="10" t="str">
        <f>VLOOKUP(A178,vaccines!A:B,2)</f>
        <v>Gardasil_4</v>
      </c>
      <c r="C178" s="7">
        <v>5</v>
      </c>
      <c r="D178" s="8" t="str">
        <f>VLOOKUP(C178,contraindications_list!A:B,2)</f>
        <v>острое заболевание</v>
      </c>
      <c r="E178" s="11">
        <v>45070</v>
      </c>
      <c r="F178" s="58"/>
    </row>
    <row r="179" spans="1:6">
      <c r="A179" s="7">
        <v>29</v>
      </c>
      <c r="B179" s="10" t="str">
        <f>VLOOKUP(A179,vaccines!A:B,2)</f>
        <v>Sputnik</v>
      </c>
      <c r="C179" s="7">
        <v>1</v>
      </c>
      <c r="D179" s="8" t="str">
        <f>VLOOKUP(C179,contraindications_list!A:B,2)</f>
        <v>гиперчувствительность к компонентам</v>
      </c>
      <c r="E179" s="11">
        <v>44918</v>
      </c>
      <c r="F179" s="58"/>
    </row>
    <row r="180" spans="1:6">
      <c r="A180" s="7">
        <v>29</v>
      </c>
      <c r="B180" s="10" t="str">
        <f>VLOOKUP(A180,vaccines!A:B,2)</f>
        <v>Sputnik</v>
      </c>
      <c r="C180" s="7">
        <v>5</v>
      </c>
      <c r="D180" s="8" t="str">
        <f>VLOOKUP(C180,contraindications_list!A:B,2)</f>
        <v>острое заболевание</v>
      </c>
      <c r="E180" s="11">
        <v>44918</v>
      </c>
      <c r="F180" s="58"/>
    </row>
    <row r="181" spans="1:6">
      <c r="A181" s="7">
        <v>29</v>
      </c>
      <c r="B181" s="10" t="str">
        <f>VLOOKUP(A181,vaccines!A:B,2)</f>
        <v>Sputnik</v>
      </c>
      <c r="C181" s="7">
        <v>6</v>
      </c>
      <c r="D181" s="8" t="str">
        <f>VLOOKUP(C181,contraindications_list!A:B,2)</f>
        <v>обострение хронического заболевания</v>
      </c>
      <c r="E181" s="11">
        <v>44918</v>
      </c>
      <c r="F181" s="58"/>
    </row>
    <row r="182" spans="1:6">
      <c r="A182" s="7">
        <v>29</v>
      </c>
      <c r="B182" s="10" t="str">
        <f>VLOOKUP(A182,vaccines!A:B,2)</f>
        <v>Sputnik</v>
      </c>
      <c r="C182" s="7">
        <v>19</v>
      </c>
      <c r="D182" s="8" t="str">
        <f>VLOOKUP(C182,contraindications_list!A:B,2)</f>
        <v>осложнение на предыдущее введение вакцины</v>
      </c>
      <c r="E182" s="11">
        <v>44918</v>
      </c>
      <c r="F182" s="58"/>
    </row>
    <row r="183" spans="1:6">
      <c r="A183" s="7">
        <v>30</v>
      </c>
      <c r="B183" s="10" t="str">
        <f>VLOOKUP(A183,vaccines!A:B,2)</f>
        <v>Sputnik_Lyo</v>
      </c>
      <c r="C183" s="7">
        <v>1</v>
      </c>
      <c r="D183" s="8" t="str">
        <f>VLOOKUP(C183,contraindications_list!A:B,2)</f>
        <v>гиперчувствительность к компонентам</v>
      </c>
      <c r="E183" s="11">
        <v>45078</v>
      </c>
      <c r="F183" s="58"/>
    </row>
    <row r="184" spans="1:6">
      <c r="A184" s="7">
        <v>30</v>
      </c>
      <c r="B184" s="10" t="str">
        <f>VLOOKUP(A184,vaccines!A:B,2)</f>
        <v>Sputnik_Lyo</v>
      </c>
      <c r="C184" s="7">
        <v>21</v>
      </c>
      <c r="D184" s="8" t="str">
        <f>VLOOKUP(C184,contraindications_list!A:B,2)</f>
        <v>тяжелые аллергические реакции</v>
      </c>
      <c r="E184" s="11">
        <v>45078</v>
      </c>
      <c r="F184" s="58"/>
    </row>
    <row r="185" spans="1:6">
      <c r="A185" s="7">
        <v>30</v>
      </c>
      <c r="B185" s="10" t="str">
        <f>VLOOKUP(A185,vaccines!A:B,2)</f>
        <v>Sputnik_Lyo</v>
      </c>
      <c r="C185" s="7">
        <v>5</v>
      </c>
      <c r="D185" s="8" t="str">
        <f>VLOOKUP(C185,contraindications_list!A:B,2)</f>
        <v>острое заболевание</v>
      </c>
      <c r="E185" s="11">
        <v>45078</v>
      </c>
      <c r="F185" s="58"/>
    </row>
    <row r="186" spans="1:6">
      <c r="A186" s="7">
        <v>30</v>
      </c>
      <c r="B186" s="10" t="str">
        <f>VLOOKUP(A186,vaccines!A:B,2)</f>
        <v>Sputnik_Lyo</v>
      </c>
      <c r="C186" s="7">
        <v>6</v>
      </c>
      <c r="D186" s="8" t="str">
        <f>VLOOKUP(C186,contraindications_list!A:B,2)</f>
        <v>обострение хронического заболевания</v>
      </c>
      <c r="E186" s="11">
        <v>45078</v>
      </c>
      <c r="F186" s="58"/>
    </row>
    <row r="187" spans="1:6">
      <c r="A187" s="7">
        <v>31</v>
      </c>
      <c r="B187" s="10" t="str">
        <f>VLOOKUP(A187,vaccines!A:B,2)</f>
        <v>EpiVacCorona</v>
      </c>
      <c r="C187" s="7">
        <v>1</v>
      </c>
      <c r="D187" s="8" t="str">
        <f>VLOOKUP(C187,contraindications_list!A:B,2)</f>
        <v>гиперчувствительность к компонентам</v>
      </c>
      <c r="E187" s="11">
        <v>45082</v>
      </c>
      <c r="F187" s="58"/>
    </row>
    <row r="188" spans="1:6">
      <c r="A188" s="7">
        <v>31</v>
      </c>
      <c r="B188" s="10" t="str">
        <f>VLOOKUP(A188,vaccines!A:B,2)</f>
        <v>EpiVacCorona</v>
      </c>
      <c r="C188" s="7">
        <v>21</v>
      </c>
      <c r="D188" s="8" t="str">
        <f>VLOOKUP(C188,contraindications_list!A:B,2)</f>
        <v>тяжелые аллергические реакции</v>
      </c>
      <c r="E188" s="11">
        <v>45082</v>
      </c>
      <c r="F188" s="58"/>
    </row>
    <row r="189" spans="1:6">
      <c r="A189" s="7">
        <v>31</v>
      </c>
      <c r="B189" s="10" t="str">
        <f>VLOOKUP(A189,vaccines!A:B,2)</f>
        <v>EpiVacCorona</v>
      </c>
      <c r="C189" s="7">
        <v>15</v>
      </c>
      <c r="D189" s="8" t="str">
        <f>VLOOKUP(C189,contraindications_list!A:B,2)</f>
        <v>сильная общая реакция на предыдущее введение вакцины</v>
      </c>
      <c r="E189" s="11">
        <v>45082</v>
      </c>
      <c r="F189" s="58"/>
    </row>
    <row r="190" spans="1:6">
      <c r="A190" s="7">
        <v>31</v>
      </c>
      <c r="B190" s="10" t="str">
        <f>VLOOKUP(A190,vaccines!A:B,2)</f>
        <v>EpiVacCorona</v>
      </c>
      <c r="C190" s="7">
        <v>19</v>
      </c>
      <c r="D190" s="8" t="str">
        <f>VLOOKUP(C190,contraindications_list!A:B,2)</f>
        <v>осложнение на предыдущее введение вакцины</v>
      </c>
      <c r="E190" s="11">
        <v>45082</v>
      </c>
      <c r="F190" s="58"/>
    </row>
    <row r="191" spans="1:6">
      <c r="A191" s="7">
        <v>31</v>
      </c>
      <c r="B191" s="10" t="str">
        <f>VLOOKUP(A191,vaccines!A:B,2)</f>
        <v>EpiVacCorona</v>
      </c>
      <c r="C191" s="7">
        <v>5</v>
      </c>
      <c r="D191" s="8" t="str">
        <f>VLOOKUP(C191,contraindications_list!A:B,2)</f>
        <v>острое заболевание</v>
      </c>
      <c r="E191" s="11">
        <v>45082</v>
      </c>
      <c r="F191" s="58"/>
    </row>
    <row r="192" spans="1:6">
      <c r="A192" s="7">
        <v>31</v>
      </c>
      <c r="B192" s="10" t="str">
        <f>VLOOKUP(A192,vaccines!A:B,2)</f>
        <v>EpiVacCorona</v>
      </c>
      <c r="C192" s="7">
        <v>6</v>
      </c>
      <c r="D192" s="8" t="str">
        <f>VLOOKUP(C192,contraindications_list!A:B,2)</f>
        <v>обострение хронического заболевания</v>
      </c>
      <c r="E192" s="11">
        <v>45082</v>
      </c>
      <c r="F192" s="58"/>
    </row>
    <row r="193" spans="1:6">
      <c r="A193" s="7">
        <v>31</v>
      </c>
      <c r="B193" s="10" t="str">
        <f>VLOOKUP(A193,vaccines!A:B,2)</f>
        <v>EpiVacCorona</v>
      </c>
      <c r="C193" s="7">
        <v>7</v>
      </c>
      <c r="D193" s="8" t="str">
        <f>VLOOKUP(C193,contraindications_list!A:B,2)</f>
        <v>иммунодефицит</v>
      </c>
      <c r="E193" s="11">
        <v>45082</v>
      </c>
      <c r="F193" s="58"/>
    </row>
    <row r="194" spans="1:6">
      <c r="A194" s="7">
        <v>31</v>
      </c>
      <c r="B194" s="10" t="str">
        <f>VLOOKUP(A194,vaccines!A:B,2)</f>
        <v>EpiVacCorona</v>
      </c>
      <c r="C194" s="7">
        <v>8</v>
      </c>
      <c r="D194" s="8" t="str">
        <f>VLOOKUP(C194,contraindications_list!A:B,2)</f>
        <v>злокачественное новообразование</v>
      </c>
      <c r="E194" s="11">
        <v>45082</v>
      </c>
      <c r="F194" s="58"/>
    </row>
    <row r="195" spans="1:6">
      <c r="A195" s="7">
        <v>31</v>
      </c>
      <c r="B195" s="10" t="str">
        <f>VLOOKUP(A195,vaccines!A:B,2)</f>
        <v>EpiVacCorona</v>
      </c>
      <c r="C195" s="7">
        <v>22</v>
      </c>
      <c r="D195" s="8" t="str">
        <f>VLOOKUP(C195,contraindications_list!A:B,2)</f>
        <v>беременность</v>
      </c>
      <c r="E195" s="11">
        <v>45082</v>
      </c>
      <c r="F195" s="58"/>
    </row>
    <row r="196" spans="1:6">
      <c r="A196" s="7">
        <v>31</v>
      </c>
      <c r="B196" s="10" t="str">
        <f>VLOOKUP(A196,vaccines!A:B,2)</f>
        <v>EpiVacCorona</v>
      </c>
      <c r="C196" s="7">
        <v>23</v>
      </c>
      <c r="D196" s="8" t="str">
        <f>VLOOKUP(C196,contraindications_list!A:B,2)</f>
        <v>грудное вскармливание</v>
      </c>
      <c r="E196" s="11">
        <v>45082</v>
      </c>
      <c r="F196" s="58"/>
    </row>
    <row r="197" spans="1:6">
      <c r="A197" s="7">
        <v>31</v>
      </c>
      <c r="B197" s="10" t="str">
        <f>VLOOKUP(A197,vaccines!A:B,2)</f>
        <v>EpiVacCorona</v>
      </c>
      <c r="C197" s="54">
        <v>74</v>
      </c>
      <c r="D197" s="8" t="str">
        <f>VLOOKUP(C197,contraindications_list!A:B,2)</f>
        <v>злокачественное заболевание крови</v>
      </c>
      <c r="E197" s="12">
        <v>45133</v>
      </c>
      <c r="F197" s="58"/>
    </row>
    <row r="198" spans="1:6">
      <c r="A198" s="7">
        <v>32</v>
      </c>
      <c r="B198" s="10" t="str">
        <f>VLOOKUP(A198,vaccines!A:B,2)</f>
        <v>Grippol_Microgen</v>
      </c>
      <c r="C198" s="7">
        <v>24</v>
      </c>
      <c r="D198" s="8" t="str">
        <f>VLOOKUP(C198,contraindications_list!A:B,2)</f>
        <v>аллергия на куриный белок</v>
      </c>
      <c r="E198" s="11">
        <v>45082</v>
      </c>
      <c r="F198" s="58"/>
    </row>
    <row r="199" spans="1:6">
      <c r="A199" s="7">
        <v>32</v>
      </c>
      <c r="B199" s="10" t="str">
        <f>VLOOKUP(A199,vaccines!A:B,2)</f>
        <v>Grippol_Microgen</v>
      </c>
      <c r="C199" s="7">
        <v>1</v>
      </c>
      <c r="D199" s="8" t="str">
        <f>VLOOKUP(C199,contraindications_list!A:B,2)</f>
        <v>гиперчувствительность к компонентам</v>
      </c>
      <c r="E199" s="11">
        <v>45082</v>
      </c>
      <c r="F199" s="58"/>
    </row>
    <row r="200" spans="1:6">
      <c r="A200" s="7">
        <v>32</v>
      </c>
      <c r="B200" s="10" t="str">
        <f>VLOOKUP(A200,vaccines!A:B,2)</f>
        <v>Grippol_Microgen</v>
      </c>
      <c r="C200" s="7">
        <v>5</v>
      </c>
      <c r="D200" s="8" t="str">
        <f>VLOOKUP(C200,contraindications_list!A:B,2)</f>
        <v>острое заболевание</v>
      </c>
      <c r="E200" s="11">
        <v>45082</v>
      </c>
      <c r="F200" s="58"/>
    </row>
    <row r="201" spans="1:6">
      <c r="A201" s="7">
        <v>32</v>
      </c>
      <c r="B201" s="10" t="str">
        <f>VLOOKUP(A201,vaccines!A:B,2)</f>
        <v>Grippol_Microgen</v>
      </c>
      <c r="C201" s="7">
        <v>6</v>
      </c>
      <c r="D201" s="8" t="str">
        <f>VLOOKUP(C201,contraindications_list!A:B,2)</f>
        <v>обострение хронического заболевания</v>
      </c>
      <c r="E201" s="11">
        <v>45082</v>
      </c>
      <c r="F201" s="58"/>
    </row>
    <row r="202" spans="1:6">
      <c r="A202" s="7">
        <v>32</v>
      </c>
      <c r="B202" s="10" t="str">
        <f>VLOOKUP(A202,vaccines!A:B,2)</f>
        <v>Grippol_Microgen</v>
      </c>
      <c r="C202" s="7">
        <v>19</v>
      </c>
      <c r="D202" s="8" t="str">
        <f>VLOOKUP(C202,contraindications_list!A:B,2)</f>
        <v>осложнение на предыдущее введение вакцины</v>
      </c>
      <c r="E202" s="11">
        <v>45082</v>
      </c>
      <c r="F202" s="58"/>
    </row>
    <row r="203" spans="1:6">
      <c r="A203" s="7">
        <v>33</v>
      </c>
      <c r="B203" s="10" t="str">
        <f>VLOOKUP(A203,vaccines!A:B,2)</f>
        <v>Grippol_Petrovax</v>
      </c>
      <c r="C203" s="7">
        <v>24</v>
      </c>
      <c r="D203" s="8" t="str">
        <f>VLOOKUP(C203,contraindications_list!A:B,2)</f>
        <v>аллергия на куриный белок</v>
      </c>
      <c r="E203" s="11">
        <v>45082</v>
      </c>
      <c r="F203" s="58"/>
    </row>
    <row r="204" spans="1:6">
      <c r="A204" s="7">
        <v>33</v>
      </c>
      <c r="B204" s="10" t="str">
        <f>VLOOKUP(A204,vaccines!A:B,2)</f>
        <v>Grippol_Petrovax</v>
      </c>
      <c r="C204" s="7">
        <v>1</v>
      </c>
      <c r="D204" s="8" t="str">
        <f>VLOOKUP(C204,contraindications_list!A:B,2)</f>
        <v>гиперчувствительность к компонентам</v>
      </c>
      <c r="E204" s="11">
        <v>45082</v>
      </c>
      <c r="F204" s="58"/>
    </row>
    <row r="205" spans="1:6">
      <c r="A205" s="7">
        <v>33</v>
      </c>
      <c r="B205" s="10" t="str">
        <f>VLOOKUP(A205,vaccines!A:B,2)</f>
        <v>Grippol_Petrovax</v>
      </c>
      <c r="C205" s="7">
        <v>5</v>
      </c>
      <c r="D205" s="8" t="str">
        <f>VLOOKUP(C205,contraindications_list!A:B,2)</f>
        <v>острое заболевание</v>
      </c>
      <c r="E205" s="11">
        <v>45082</v>
      </c>
      <c r="F205" s="58"/>
    </row>
    <row r="206" spans="1:6">
      <c r="A206" s="7">
        <v>33</v>
      </c>
      <c r="B206" s="10" t="str">
        <f>VLOOKUP(A206,vaccines!A:B,2)</f>
        <v>Grippol_Petrovax</v>
      </c>
      <c r="C206" s="7">
        <v>6</v>
      </c>
      <c r="D206" s="8" t="str">
        <f>VLOOKUP(C206,contraindications_list!A:B,2)</f>
        <v>обострение хронического заболевания</v>
      </c>
      <c r="E206" s="11">
        <v>45082</v>
      </c>
      <c r="F206" s="58"/>
    </row>
    <row r="207" spans="1:6">
      <c r="A207" s="7">
        <v>34</v>
      </c>
      <c r="B207" s="10" t="str">
        <f>VLOOKUP(A207,vaccines!A:B,2)</f>
        <v>Grippol_plus_0_5</v>
      </c>
      <c r="C207" s="7">
        <v>1</v>
      </c>
      <c r="D207" s="8" t="str">
        <f>VLOOKUP(C207,contraindications_list!A:B,2)</f>
        <v>гиперчувствительность к компонентам</v>
      </c>
      <c r="E207" s="11">
        <v>44918</v>
      </c>
      <c r="F207" s="58"/>
    </row>
    <row r="208" spans="1:6">
      <c r="A208" s="7">
        <v>34</v>
      </c>
      <c r="B208" s="10" t="str">
        <f>VLOOKUP(A208,vaccines!A:B,2)</f>
        <v>Grippol_plus_0_5</v>
      </c>
      <c r="C208" s="54">
        <v>15</v>
      </c>
      <c r="D208" s="8" t="str">
        <f>VLOOKUP(C208,contraindications_list!A:B,2)</f>
        <v>сильная общая реакция на предыдущее введение вакцины</v>
      </c>
      <c r="E208" s="12">
        <v>45483</v>
      </c>
      <c r="F208" s="58"/>
    </row>
    <row r="209" spans="1:6">
      <c r="A209" s="7">
        <v>34</v>
      </c>
      <c r="B209" s="10" t="str">
        <f>VLOOKUP(A209,vaccines!A:B,2)</f>
        <v>Grippol_plus_0_5</v>
      </c>
      <c r="C209" s="7">
        <v>24</v>
      </c>
      <c r="D209" s="8" t="str">
        <f>VLOOKUP(C209,contraindications_list!A:B,2)</f>
        <v>аллергия на куриный белок</v>
      </c>
      <c r="E209" s="11">
        <v>44918</v>
      </c>
      <c r="F209" s="58"/>
    </row>
    <row r="210" spans="1:6">
      <c r="A210" s="7">
        <v>34</v>
      </c>
      <c r="B210" s="10" t="str">
        <f>VLOOKUP(A210,vaccines!A:B,2)</f>
        <v>Grippol_plus_0_5</v>
      </c>
      <c r="C210" s="7">
        <v>5</v>
      </c>
      <c r="D210" s="8" t="str">
        <f>VLOOKUP(C210,contraindications_list!A:B,2)</f>
        <v>острое заболевание</v>
      </c>
      <c r="E210" s="11">
        <v>44918</v>
      </c>
      <c r="F210" s="58"/>
    </row>
    <row r="211" spans="1:6">
      <c r="A211" s="7">
        <v>34</v>
      </c>
      <c r="B211" s="10" t="str">
        <f>VLOOKUP(A211,vaccines!A:B,2)</f>
        <v>Grippol_plus_0_5</v>
      </c>
      <c r="C211" s="7">
        <v>6</v>
      </c>
      <c r="D211" s="8" t="str">
        <f>VLOOKUP(C211,contraindications_list!A:B,2)</f>
        <v>обострение хронического заболевания</v>
      </c>
      <c r="E211" s="11">
        <v>44918</v>
      </c>
      <c r="F211" s="58"/>
    </row>
    <row r="212" spans="1:6">
      <c r="A212" s="7">
        <v>35</v>
      </c>
      <c r="B212" s="10" t="str">
        <f>VLOOKUP(A212,vaccines!A:B,2)</f>
        <v>Sovigripp</v>
      </c>
      <c r="C212" s="7">
        <v>24</v>
      </c>
      <c r="D212" s="8" t="str">
        <f>VLOOKUP(C212,contraindications_list!A:B,2)</f>
        <v>аллергия на куриный белок</v>
      </c>
      <c r="E212" s="11">
        <v>44918</v>
      </c>
      <c r="F212" s="58"/>
    </row>
    <row r="213" spans="1:6">
      <c r="A213" s="7">
        <v>35</v>
      </c>
      <c r="B213" s="10" t="str">
        <f>VLOOKUP(A213,vaccines!A:B,2)</f>
        <v>Sovigripp</v>
      </c>
      <c r="C213" s="7">
        <v>1</v>
      </c>
      <c r="D213" s="8" t="str">
        <f>VLOOKUP(C213,contraindications_list!A:B,2)</f>
        <v>гиперчувствительность к компонентам</v>
      </c>
      <c r="E213" s="11">
        <v>44918</v>
      </c>
      <c r="F213" s="58"/>
    </row>
    <row r="214" spans="1:6">
      <c r="A214" s="7">
        <v>35</v>
      </c>
      <c r="B214" s="10" t="str">
        <f>VLOOKUP(A214,vaccines!A:B,2)</f>
        <v>Sovigripp</v>
      </c>
      <c r="C214" s="7">
        <v>15</v>
      </c>
      <c r="D214" s="8" t="str">
        <f>VLOOKUP(C214,contraindications_list!A:B,2)</f>
        <v>сильная общая реакция на предыдущее введение вакцины</v>
      </c>
      <c r="E214" s="11">
        <v>44918</v>
      </c>
      <c r="F214" s="58"/>
    </row>
    <row r="215" spans="1:6">
      <c r="A215" s="7">
        <v>35</v>
      </c>
      <c r="B215" s="10" t="str">
        <f>VLOOKUP(A215,vaccines!A:B,2)</f>
        <v>Sovigripp</v>
      </c>
      <c r="C215" s="7">
        <v>19</v>
      </c>
      <c r="D215" s="8" t="str">
        <f>VLOOKUP(C215,contraindications_list!A:B,2)</f>
        <v>осложнение на предыдущее введение вакцины</v>
      </c>
      <c r="E215" s="11">
        <v>44918</v>
      </c>
      <c r="F215" s="58"/>
    </row>
    <row r="216" spans="1:6">
      <c r="A216" s="7">
        <v>35</v>
      </c>
      <c r="B216" s="10" t="str">
        <f>VLOOKUP(A216,vaccines!A:B,2)</f>
        <v>Sovigripp</v>
      </c>
      <c r="C216" s="7">
        <v>5</v>
      </c>
      <c r="D216" s="8" t="str">
        <f>VLOOKUP(C216,contraindications_list!A:B,2)</f>
        <v>острое заболевание</v>
      </c>
      <c r="E216" s="11">
        <v>44918</v>
      </c>
      <c r="F216" s="58"/>
    </row>
    <row r="217" spans="1:6">
      <c r="A217" s="7">
        <v>36</v>
      </c>
      <c r="B217" s="10" t="str">
        <f>VLOOKUP(A217,vaccines!A:B,2)</f>
        <v>Ultrix</v>
      </c>
      <c r="C217" s="7">
        <v>1</v>
      </c>
      <c r="D217" s="8" t="str">
        <f>VLOOKUP(C217,contraindications_list!A:B,2)</f>
        <v>гиперчувствительность к компонентам</v>
      </c>
      <c r="E217" s="11">
        <v>44918</v>
      </c>
      <c r="F217" s="58"/>
    </row>
    <row r="218" spans="1:6">
      <c r="A218" s="7">
        <v>36</v>
      </c>
      <c r="B218" s="10" t="str">
        <f>VLOOKUP(A218,vaccines!A:B,2)</f>
        <v>Ultrix</v>
      </c>
      <c r="C218" s="7">
        <v>24</v>
      </c>
      <c r="D218" s="8" t="str">
        <f>VLOOKUP(C218,contraindications_list!A:B,2)</f>
        <v>аллергия на куриный белок</v>
      </c>
      <c r="E218" s="11">
        <v>44918</v>
      </c>
      <c r="F218" s="58"/>
    </row>
    <row r="219" spans="1:6">
      <c r="A219" s="7">
        <v>36</v>
      </c>
      <c r="B219" s="10" t="str">
        <f>VLOOKUP(A219,vaccines!A:B,2)</f>
        <v>Ultrix</v>
      </c>
      <c r="C219" s="7">
        <v>15</v>
      </c>
      <c r="D219" s="8" t="str">
        <f>VLOOKUP(C219,contraindications_list!A:B,2)</f>
        <v>сильная общая реакция на предыдущее введение вакцины</v>
      </c>
      <c r="E219" s="11">
        <v>44918</v>
      </c>
      <c r="F219" s="58"/>
    </row>
    <row r="220" spans="1:6">
      <c r="A220" s="7">
        <v>36</v>
      </c>
      <c r="B220" s="10" t="str">
        <f>VLOOKUP(A220,vaccines!A:B,2)</f>
        <v>Ultrix</v>
      </c>
      <c r="C220" s="7">
        <v>19</v>
      </c>
      <c r="D220" s="8" t="str">
        <f>VLOOKUP(C220,contraindications_list!A:B,2)</f>
        <v>осложнение на предыдущее введение вакцины</v>
      </c>
      <c r="E220" s="11">
        <v>44918</v>
      </c>
      <c r="F220" s="58"/>
    </row>
    <row r="221" spans="1:6">
      <c r="A221" s="7">
        <v>36</v>
      </c>
      <c r="B221" s="10" t="str">
        <f>VLOOKUP(A221,vaccines!A:B,2)</f>
        <v>Ultrix</v>
      </c>
      <c r="C221" s="7">
        <v>5</v>
      </c>
      <c r="D221" s="8" t="str">
        <f>VLOOKUP(C221,contraindications_list!A:B,2)</f>
        <v>острое заболевание</v>
      </c>
      <c r="E221" s="11">
        <v>44918</v>
      </c>
      <c r="F221" s="58"/>
    </row>
    <row r="222" spans="1:6">
      <c r="A222" s="7">
        <v>36</v>
      </c>
      <c r="B222" s="10" t="str">
        <f>VLOOKUP(A222,vaccines!A:B,2)</f>
        <v>Ultrix</v>
      </c>
      <c r="C222" s="7">
        <v>6</v>
      </c>
      <c r="D222" s="8" t="str">
        <f>VLOOKUP(C222,contraindications_list!A:B,2)</f>
        <v>обострение хронического заболевания</v>
      </c>
      <c r="E222" s="11">
        <v>44918</v>
      </c>
      <c r="F222" s="58"/>
    </row>
    <row r="223" spans="1:6">
      <c r="A223" s="7">
        <v>37</v>
      </c>
      <c r="B223" s="10" t="str">
        <f>VLOOKUP(A223,vaccines!A:B,2)</f>
        <v>Flu_M</v>
      </c>
      <c r="C223" s="7">
        <v>24</v>
      </c>
      <c r="D223" s="8" t="str">
        <f>VLOOKUP(C223,contraindications_list!A:B,2)</f>
        <v>аллергия на куриный белок</v>
      </c>
      <c r="E223" s="11">
        <v>44932</v>
      </c>
      <c r="F223" s="58"/>
    </row>
    <row r="224" spans="1:6">
      <c r="A224" s="7">
        <v>37</v>
      </c>
      <c r="B224" s="10" t="str">
        <f>VLOOKUP(A224,vaccines!A:B,2)</f>
        <v>Flu_M</v>
      </c>
      <c r="C224" s="7">
        <v>1</v>
      </c>
      <c r="D224" s="8" t="str">
        <f>VLOOKUP(C224,contraindications_list!A:B,2)</f>
        <v>гиперчувствительность к компонентам</v>
      </c>
      <c r="E224" s="11">
        <v>44932</v>
      </c>
      <c r="F224" s="58"/>
    </row>
    <row r="225" spans="1:6">
      <c r="A225" s="7">
        <v>37</v>
      </c>
      <c r="B225" s="10" t="str">
        <f>VLOOKUP(A225,vaccines!A:B,2)</f>
        <v>Flu_M</v>
      </c>
      <c r="C225" s="7">
        <v>15</v>
      </c>
      <c r="D225" s="8" t="str">
        <f>VLOOKUP(C225,contraindications_list!A:B,2)</f>
        <v>сильная общая реакция на предыдущее введение вакцины</v>
      </c>
      <c r="E225" s="11">
        <v>44932</v>
      </c>
      <c r="F225" s="58"/>
    </row>
    <row r="226" spans="1:6">
      <c r="A226" s="7">
        <v>37</v>
      </c>
      <c r="B226" s="10" t="str">
        <f>VLOOKUP(A226,vaccines!A:B,2)</f>
        <v>Flu_M</v>
      </c>
      <c r="C226" s="7">
        <v>19</v>
      </c>
      <c r="D226" s="8" t="str">
        <f>VLOOKUP(C226,contraindications_list!A:B,2)</f>
        <v>осложнение на предыдущее введение вакцины</v>
      </c>
      <c r="E226" s="11">
        <v>44932</v>
      </c>
      <c r="F226" s="58"/>
    </row>
    <row r="227" spans="1:6">
      <c r="A227" s="7">
        <v>37</v>
      </c>
      <c r="B227" s="10" t="str">
        <f>VLOOKUP(A227,vaccines!A:B,2)</f>
        <v>Flu_M</v>
      </c>
      <c r="C227" s="7">
        <v>5</v>
      </c>
      <c r="D227" s="8" t="str">
        <f>VLOOKUP(C227,contraindications_list!A:B,2)</f>
        <v>острое заболевание</v>
      </c>
      <c r="E227" s="11">
        <v>44932</v>
      </c>
      <c r="F227" s="58"/>
    </row>
    <row r="228" spans="1:6">
      <c r="A228" s="7">
        <v>38</v>
      </c>
      <c r="B228" s="10" t="str">
        <f>VLOOKUP(A228,vaccines!A:B,2)</f>
        <v>Vaxigrip</v>
      </c>
      <c r="C228" s="7">
        <v>1</v>
      </c>
      <c r="D228" s="8" t="str">
        <f>VLOOKUP(C228,contraindications_list!A:B,2)</f>
        <v>гиперчувствительность к компонентам</v>
      </c>
      <c r="E228" s="11">
        <v>45082</v>
      </c>
      <c r="F228" s="58"/>
    </row>
    <row r="229" spans="1:6">
      <c r="A229" s="7">
        <v>38</v>
      </c>
      <c r="B229" s="10" t="str">
        <f>VLOOKUP(A229,vaccines!A:B,2)</f>
        <v>Vaxigrip</v>
      </c>
      <c r="C229" s="7">
        <v>24</v>
      </c>
      <c r="D229" s="8" t="str">
        <f>VLOOKUP(C229,contraindications_list!A:B,2)</f>
        <v>аллергия на куриный белок</v>
      </c>
      <c r="E229" s="11">
        <v>45082</v>
      </c>
      <c r="F229" s="58"/>
    </row>
    <row r="230" spans="1:6">
      <c r="A230" s="7">
        <v>38</v>
      </c>
      <c r="B230" s="10" t="str">
        <f>VLOOKUP(A230,vaccines!A:B,2)</f>
        <v>Vaxigrip</v>
      </c>
      <c r="C230" s="7">
        <v>25</v>
      </c>
      <c r="D230" s="8" t="str">
        <f>VLOOKUP(C230,contraindications_list!A:B,2)</f>
        <v>аллергия на аминогликозиды</v>
      </c>
      <c r="E230" s="11">
        <v>45082</v>
      </c>
      <c r="F230" s="58"/>
    </row>
    <row r="231" spans="1:6">
      <c r="A231" s="7">
        <v>38</v>
      </c>
      <c r="B231" s="10" t="str">
        <f>VLOOKUP(A231,vaccines!A:B,2)</f>
        <v>Vaxigrip</v>
      </c>
      <c r="C231" s="7">
        <v>69</v>
      </c>
      <c r="D231" s="8" t="str">
        <f>VLOOKUP(C231,contraindications_list!A:B,2)</f>
        <v>аллергия на формальдегид</v>
      </c>
      <c r="E231" s="11">
        <v>45083</v>
      </c>
      <c r="F231" s="58"/>
    </row>
    <row r="232" spans="1:6">
      <c r="A232" s="7">
        <v>38</v>
      </c>
      <c r="B232" s="10" t="str">
        <f>VLOOKUP(A232,vaccines!A:B,2)</f>
        <v>Vaxigrip</v>
      </c>
      <c r="C232" s="7">
        <v>15</v>
      </c>
      <c r="D232" s="8" t="str">
        <f>VLOOKUP(C232,contraindications_list!A:B,2)</f>
        <v>сильная общая реакция на предыдущее введение вакцины</v>
      </c>
      <c r="E232" s="11">
        <v>45082</v>
      </c>
      <c r="F232" s="58"/>
    </row>
    <row r="233" spans="1:6">
      <c r="A233" s="7">
        <v>38</v>
      </c>
      <c r="B233" s="10" t="str">
        <f>VLOOKUP(A233,vaccines!A:B,2)</f>
        <v>Vaxigrip</v>
      </c>
      <c r="C233" s="7">
        <v>19</v>
      </c>
      <c r="D233" s="8" t="str">
        <f>VLOOKUP(C233,contraindications_list!A:B,2)</f>
        <v>осложнение на предыдущее введение вакцины</v>
      </c>
      <c r="E233" s="11">
        <v>45082</v>
      </c>
      <c r="F233" s="58"/>
    </row>
    <row r="234" spans="1:6">
      <c r="A234" s="7">
        <v>38</v>
      </c>
      <c r="B234" s="10" t="str">
        <f>VLOOKUP(A234,vaccines!A:B,2)</f>
        <v>Vaxigrip</v>
      </c>
      <c r="C234" s="7">
        <v>5</v>
      </c>
      <c r="D234" s="8" t="str">
        <f>VLOOKUP(C234,contraindications_list!A:B,2)</f>
        <v>острое заболевание</v>
      </c>
      <c r="E234" s="11">
        <v>45082</v>
      </c>
      <c r="F234" s="58"/>
    </row>
    <row r="235" spans="1:6">
      <c r="A235" s="7">
        <v>38</v>
      </c>
      <c r="B235" s="10" t="str">
        <f>VLOOKUP(A235,vaccines!A:B,2)</f>
        <v>Vaxigrip</v>
      </c>
      <c r="C235" s="7">
        <v>6</v>
      </c>
      <c r="D235" s="8" t="str">
        <f>VLOOKUP(C235,contraindications_list!A:B,2)</f>
        <v>обострение хронического заболевания</v>
      </c>
      <c r="E235" s="11">
        <v>45082</v>
      </c>
      <c r="F235" s="58"/>
    </row>
    <row r="236" spans="1:6">
      <c r="A236" s="7">
        <v>39</v>
      </c>
      <c r="B236" s="10" t="str">
        <f>VLOOKUP(A236,vaccines!A:B,2)</f>
        <v>Influvac</v>
      </c>
      <c r="C236" s="7">
        <v>1</v>
      </c>
      <c r="D236" s="8" t="str">
        <f>VLOOKUP(C236,contraindications_list!A:B,2)</f>
        <v>гиперчувствительность к компонентам</v>
      </c>
      <c r="E236" s="11">
        <v>44935</v>
      </c>
      <c r="F236" s="58"/>
    </row>
    <row r="237" spans="1:6">
      <c r="A237" s="7">
        <v>39</v>
      </c>
      <c r="B237" s="10" t="str">
        <f>VLOOKUP(A237,vaccines!A:B,2)</f>
        <v>Influvac</v>
      </c>
      <c r="C237" s="7">
        <v>24</v>
      </c>
      <c r="D237" s="8" t="str">
        <f>VLOOKUP(C237,contraindications_list!A:B,2)</f>
        <v>аллергия на куриный белок</v>
      </c>
      <c r="E237" s="11">
        <v>44935</v>
      </c>
      <c r="F237" s="58"/>
    </row>
    <row r="238" spans="1:6">
      <c r="A238" s="7">
        <v>39</v>
      </c>
      <c r="B238" s="10" t="str">
        <f>VLOOKUP(A238,vaccines!A:B,2)</f>
        <v>Influvac</v>
      </c>
      <c r="C238" s="7">
        <v>69</v>
      </c>
      <c r="D238" s="8" t="str">
        <f>VLOOKUP(C238,contraindications_list!A:B,2)</f>
        <v>аллергия на формальдегид</v>
      </c>
      <c r="E238" s="11">
        <v>45083</v>
      </c>
      <c r="F238" s="58"/>
    </row>
    <row r="239" spans="1:6">
      <c r="A239" s="7">
        <v>39</v>
      </c>
      <c r="B239" s="10" t="str">
        <f>VLOOKUP(A239,vaccines!A:B,2)</f>
        <v>Influvac</v>
      </c>
      <c r="C239" s="7">
        <v>15</v>
      </c>
      <c r="D239" s="8" t="str">
        <f>VLOOKUP(C239,contraindications_list!A:B,2)</f>
        <v>сильная общая реакция на предыдущее введение вакцины</v>
      </c>
      <c r="E239" s="11">
        <v>44935</v>
      </c>
      <c r="F239" s="58"/>
    </row>
    <row r="240" spans="1:6">
      <c r="A240" s="7">
        <v>39</v>
      </c>
      <c r="B240" s="10" t="str">
        <f>VLOOKUP(A240,vaccines!A:B,2)</f>
        <v>Influvac</v>
      </c>
      <c r="C240" s="7">
        <v>19</v>
      </c>
      <c r="D240" s="8" t="str">
        <f>VLOOKUP(C240,contraindications_list!A:B,2)</f>
        <v>осложнение на предыдущее введение вакцины</v>
      </c>
      <c r="E240" s="11">
        <v>44935</v>
      </c>
      <c r="F240" s="58"/>
    </row>
    <row r="241" spans="1:6">
      <c r="A241" s="7">
        <v>39</v>
      </c>
      <c r="B241" s="10" t="str">
        <f>VLOOKUP(A241,vaccines!A:B,2)</f>
        <v>Influvac</v>
      </c>
      <c r="C241" s="7">
        <v>5</v>
      </c>
      <c r="D241" s="8" t="str">
        <f>VLOOKUP(C241,contraindications_list!A:B,2)</f>
        <v>острое заболевание</v>
      </c>
      <c r="E241" s="11">
        <v>44935</v>
      </c>
      <c r="F241" s="58"/>
    </row>
    <row r="242" spans="1:6">
      <c r="A242" s="7">
        <v>39</v>
      </c>
      <c r="B242" s="10" t="str">
        <f>VLOOKUP(A242,vaccines!A:B,2)</f>
        <v>Influvac</v>
      </c>
      <c r="C242" s="7">
        <v>6</v>
      </c>
      <c r="D242" s="8" t="str">
        <f>VLOOKUP(C242,contraindications_list!A:B,2)</f>
        <v>обострение хронического заболевания</v>
      </c>
      <c r="E242" s="11">
        <v>44935</v>
      </c>
      <c r="F242" s="58"/>
    </row>
    <row r="243" spans="1:6">
      <c r="A243" s="7">
        <v>40</v>
      </c>
      <c r="B243" s="10" t="str">
        <f>VLOOKUP(A243,vaccines!A:B,2)</f>
        <v>Ultrix_quadri</v>
      </c>
      <c r="C243" s="7">
        <v>1</v>
      </c>
      <c r="D243" s="8" t="str">
        <f>VLOOKUP(C243,contraindications_list!A:B,2)</f>
        <v>гиперчувствительность к компонентам</v>
      </c>
      <c r="E243" s="11">
        <v>44935</v>
      </c>
      <c r="F243" s="58"/>
    </row>
    <row r="244" spans="1:6">
      <c r="A244" s="7">
        <v>40</v>
      </c>
      <c r="B244" s="10" t="str">
        <f>VLOOKUP(A244,vaccines!A:B,2)</f>
        <v>Ultrix_quadri</v>
      </c>
      <c r="C244" s="7">
        <v>24</v>
      </c>
      <c r="D244" s="8" t="str">
        <f>VLOOKUP(C244,contraindications_list!A:B,2)</f>
        <v>аллергия на куриный белок</v>
      </c>
      <c r="E244" s="11">
        <v>44935</v>
      </c>
      <c r="F244" s="58"/>
    </row>
    <row r="245" spans="1:6">
      <c r="A245" s="7">
        <v>40</v>
      </c>
      <c r="B245" s="10" t="str">
        <f>VLOOKUP(A245,vaccines!A:B,2)</f>
        <v>Ultrix_quadri</v>
      </c>
      <c r="C245" s="7">
        <v>15</v>
      </c>
      <c r="D245" s="8" t="str">
        <f>VLOOKUP(C245,contraindications_list!A:B,2)</f>
        <v>сильная общая реакция на предыдущее введение вакцины</v>
      </c>
      <c r="E245" s="11">
        <v>44935</v>
      </c>
      <c r="F245" s="58"/>
    </row>
    <row r="246" spans="1:6">
      <c r="A246" s="7">
        <v>40</v>
      </c>
      <c r="B246" s="10" t="str">
        <f>VLOOKUP(A246,vaccines!A:B,2)</f>
        <v>Ultrix_quadri</v>
      </c>
      <c r="C246" s="7">
        <v>19</v>
      </c>
      <c r="D246" s="8" t="str">
        <f>VLOOKUP(C246,contraindications_list!A:B,2)</f>
        <v>осложнение на предыдущее введение вакцины</v>
      </c>
      <c r="E246" s="11">
        <v>44935</v>
      </c>
      <c r="F246" s="58"/>
    </row>
    <row r="247" spans="1:6">
      <c r="A247" s="7">
        <v>40</v>
      </c>
      <c r="B247" s="10" t="str">
        <f>VLOOKUP(A247,vaccines!A:B,2)</f>
        <v>Ultrix_quadri</v>
      </c>
      <c r="C247" s="7">
        <v>5</v>
      </c>
      <c r="D247" s="8" t="str">
        <f>VLOOKUP(C247,contraindications_list!A:B,2)</f>
        <v>острое заболевание</v>
      </c>
      <c r="E247" s="11">
        <v>44935</v>
      </c>
      <c r="F247" s="58"/>
    </row>
    <row r="248" spans="1:6">
      <c r="A248" s="7">
        <v>40</v>
      </c>
      <c r="B248" s="10" t="str">
        <f>VLOOKUP(A248,vaccines!A:B,2)</f>
        <v>Ultrix_quadri</v>
      </c>
      <c r="C248" s="7">
        <v>6</v>
      </c>
      <c r="D248" s="8" t="str">
        <f>VLOOKUP(C248,contraindications_list!A:B,2)</f>
        <v>обострение хронического заболевания</v>
      </c>
      <c r="E248" s="11">
        <v>44935</v>
      </c>
      <c r="F248" s="58"/>
    </row>
    <row r="249" spans="1:6">
      <c r="A249" s="7">
        <v>41</v>
      </c>
      <c r="B249" s="10" t="str">
        <f>VLOOKUP(A249,vaccines!A:B,2)</f>
        <v>Grippol_quadrivalent</v>
      </c>
      <c r="C249" s="7">
        <v>24</v>
      </c>
      <c r="D249" s="8" t="str">
        <f>VLOOKUP(C249,contraindications_list!A:B,2)</f>
        <v>аллергия на куриный белок</v>
      </c>
      <c r="E249" s="11">
        <v>44935</v>
      </c>
      <c r="F249" s="58"/>
    </row>
    <row r="250" spans="1:6">
      <c r="A250" s="7">
        <v>41</v>
      </c>
      <c r="B250" s="10" t="str">
        <f>VLOOKUP(A250,vaccines!A:B,2)</f>
        <v>Grippol_quadrivalent</v>
      </c>
      <c r="C250" s="7">
        <v>1</v>
      </c>
      <c r="D250" s="8" t="str">
        <f>VLOOKUP(C250,contraindications_list!A:B,2)</f>
        <v>гиперчувствительность к компонентам</v>
      </c>
      <c r="E250" s="11">
        <v>44935</v>
      </c>
      <c r="F250" s="58"/>
    </row>
    <row r="251" spans="1:6">
      <c r="A251" s="7">
        <v>41</v>
      </c>
      <c r="B251" s="10" t="str">
        <f>VLOOKUP(A251,vaccines!A:B,2)</f>
        <v>Grippol_quadrivalent</v>
      </c>
      <c r="C251" s="7">
        <v>15</v>
      </c>
      <c r="D251" s="8" t="str">
        <f>VLOOKUP(C251,contraindications_list!A:B,2)</f>
        <v>сильная общая реакция на предыдущее введение вакцины</v>
      </c>
      <c r="E251" s="11">
        <v>44935</v>
      </c>
      <c r="F251" s="58"/>
    </row>
    <row r="252" spans="1:6">
      <c r="A252" s="7">
        <v>41</v>
      </c>
      <c r="B252" s="10" t="str">
        <f>VLOOKUP(A252,vaccines!A:B,2)</f>
        <v>Grippol_quadrivalent</v>
      </c>
      <c r="C252" s="7">
        <v>19</v>
      </c>
      <c r="D252" s="8" t="str">
        <f>VLOOKUP(C252,contraindications_list!A:B,2)</f>
        <v>осложнение на предыдущее введение вакцины</v>
      </c>
      <c r="E252" s="11">
        <v>44935</v>
      </c>
      <c r="F252" s="58"/>
    </row>
    <row r="253" spans="1:6">
      <c r="A253" s="7">
        <v>41</v>
      </c>
      <c r="B253" s="10" t="str">
        <f>VLOOKUP(A253,vaccines!A:B,2)</f>
        <v>Grippol_quadrivalent</v>
      </c>
      <c r="C253" s="7">
        <v>5</v>
      </c>
      <c r="D253" s="8" t="str">
        <f>VLOOKUP(C253,contraindications_list!A:B,2)</f>
        <v>острое заболевание</v>
      </c>
      <c r="E253" s="11">
        <v>44935</v>
      </c>
      <c r="F253" s="58"/>
    </row>
    <row r="254" spans="1:6">
      <c r="A254" s="7">
        <v>41</v>
      </c>
      <c r="B254" s="10" t="str">
        <f>VLOOKUP(A254,vaccines!A:B,2)</f>
        <v>Grippol_quadrivalent</v>
      </c>
      <c r="C254" s="7">
        <v>6</v>
      </c>
      <c r="D254" s="8" t="str">
        <f>VLOOKUP(C254,contraindications_list!A:B,2)</f>
        <v>обострение хронического заболевания</v>
      </c>
      <c r="E254" s="11">
        <v>44935</v>
      </c>
      <c r="F254" s="58"/>
    </row>
    <row r="255" spans="1:6">
      <c r="A255" s="7">
        <v>42</v>
      </c>
      <c r="B255" s="10" t="str">
        <f>VLOOKUP(A255,vaccines!A:B,2)</f>
        <v>measles_Microgen</v>
      </c>
      <c r="C255" s="7">
        <v>25</v>
      </c>
      <c r="D255" s="8" t="str">
        <f>VLOOKUP(C255,contraindications_list!A:B,2)</f>
        <v>аллергия на аминогликозиды</v>
      </c>
      <c r="E255" s="11">
        <v>44935</v>
      </c>
      <c r="F255" s="58"/>
    </row>
    <row r="256" spans="1:6">
      <c r="A256" s="7">
        <v>42</v>
      </c>
      <c r="B256" s="10" t="str">
        <f>VLOOKUP(A256,vaccines!A:B,2)</f>
        <v>measles_Microgen</v>
      </c>
      <c r="C256" s="7">
        <v>24</v>
      </c>
      <c r="D256" s="8" t="str">
        <f>VLOOKUP(C256,contraindications_list!A:B,2)</f>
        <v>аллергия на куриный белок</v>
      </c>
      <c r="E256" s="11">
        <v>44935</v>
      </c>
      <c r="F256" s="58"/>
    </row>
    <row r="257" spans="1:6">
      <c r="A257" s="7">
        <v>42</v>
      </c>
      <c r="B257" s="10" t="str">
        <f>VLOOKUP(A257,vaccines!A:B,2)</f>
        <v>measles_Microgen</v>
      </c>
      <c r="C257" s="7">
        <v>7</v>
      </c>
      <c r="D257" s="8" t="str">
        <f>VLOOKUP(C257,contraindications_list!A:B,2)</f>
        <v>иммунодефицит</v>
      </c>
      <c r="E257" s="11">
        <v>44935</v>
      </c>
      <c r="F257" s="58"/>
    </row>
    <row r="258" spans="1:6">
      <c r="A258" s="7">
        <v>42</v>
      </c>
      <c r="B258" s="10" t="str">
        <f>VLOOKUP(A258,vaccines!A:B,2)</f>
        <v>measles_Microgen</v>
      </c>
      <c r="C258" s="7">
        <v>8</v>
      </c>
      <c r="D258" s="8" t="str">
        <f>VLOOKUP(C258,contraindications_list!A:B,2)</f>
        <v>злокачественное новообразование</v>
      </c>
      <c r="E258" s="11">
        <v>44935</v>
      </c>
      <c r="F258" s="58"/>
    </row>
    <row r="259" spans="1:6">
      <c r="A259" s="7">
        <v>42</v>
      </c>
      <c r="B259" s="10" t="str">
        <f>VLOOKUP(A259,vaccines!A:B,2)</f>
        <v>measles_Microgen</v>
      </c>
      <c r="C259" s="7">
        <v>15</v>
      </c>
      <c r="D259" s="8" t="str">
        <f>VLOOKUP(C259,contraindications_list!A:B,2)</f>
        <v>сильная общая реакция на предыдущее введение вакцины</v>
      </c>
      <c r="E259" s="11">
        <v>44935</v>
      </c>
      <c r="F259" s="58"/>
    </row>
    <row r="260" spans="1:6">
      <c r="A260" s="7">
        <v>42</v>
      </c>
      <c r="B260" s="10" t="str">
        <f>VLOOKUP(A260,vaccines!A:B,2)</f>
        <v>measles_Microgen</v>
      </c>
      <c r="C260" s="7">
        <v>19</v>
      </c>
      <c r="D260" s="8" t="str">
        <f>VLOOKUP(C260,contraindications_list!A:B,2)</f>
        <v>осложнение на предыдущее введение вакцины</v>
      </c>
      <c r="E260" s="11">
        <v>44935</v>
      </c>
      <c r="F260" s="58"/>
    </row>
    <row r="261" spans="1:6">
      <c r="A261" s="7">
        <v>42</v>
      </c>
      <c r="B261" s="10" t="str">
        <f>VLOOKUP(A261,vaccines!A:B,2)</f>
        <v>measles_Microgen</v>
      </c>
      <c r="C261" s="7">
        <v>22</v>
      </c>
      <c r="D261" s="8" t="str">
        <f>VLOOKUP(C261,contraindications_list!A:B,2)</f>
        <v>беременность</v>
      </c>
      <c r="E261" s="11">
        <v>44935</v>
      </c>
      <c r="F261" s="58"/>
    </row>
    <row r="262" spans="1:6">
      <c r="A262" s="7">
        <v>42</v>
      </c>
      <c r="B262" s="10" t="str">
        <f>VLOOKUP(A262,vaccines!A:B,2)</f>
        <v>measles_Microgen</v>
      </c>
      <c r="C262" s="54">
        <v>74</v>
      </c>
      <c r="D262" s="8" t="str">
        <f>VLOOKUP(C262,contraindications_list!A:B,2)</f>
        <v>злокачественное заболевание крови</v>
      </c>
      <c r="E262" s="12">
        <v>45133</v>
      </c>
      <c r="F262" s="58"/>
    </row>
    <row r="263" spans="1:6">
      <c r="A263" s="7">
        <v>42</v>
      </c>
      <c r="B263" s="10" t="str">
        <f>VLOOKUP(A263,vaccines!A:B,2)</f>
        <v>measles_Microgen</v>
      </c>
      <c r="C263" s="54">
        <v>5</v>
      </c>
      <c r="D263" s="8" t="str">
        <f>VLOOKUP(C263,contraindications_list!A:B,2)</f>
        <v>острое заболевание</v>
      </c>
      <c r="E263" s="12">
        <v>45483</v>
      </c>
      <c r="F263" s="58"/>
    </row>
    <row r="264" spans="1:6">
      <c r="A264" s="7">
        <v>42</v>
      </c>
      <c r="B264" s="10" t="str">
        <f>VLOOKUP(A264,vaccines!A:B,2)</f>
        <v>measles_Microgen</v>
      </c>
      <c r="C264" s="54">
        <v>6</v>
      </c>
      <c r="D264" s="8" t="str">
        <f>VLOOKUP(C264,contraindications_list!A:B,2)</f>
        <v>обострение хронического заболевания</v>
      </c>
      <c r="E264" s="12">
        <v>45483</v>
      </c>
      <c r="F264" s="58"/>
    </row>
    <row r="265" spans="1:6">
      <c r="A265" s="7">
        <v>43</v>
      </c>
      <c r="B265" s="10" t="str">
        <f>VLOOKUP(A265,vaccines!A:B,2)</f>
        <v>measles_Serum_India</v>
      </c>
      <c r="C265" s="7">
        <v>7</v>
      </c>
      <c r="D265" s="8" t="str">
        <f>VLOOKUP(C265,contraindications_list!A:B,2)</f>
        <v>иммунодефицит</v>
      </c>
      <c r="E265" s="11">
        <v>44935</v>
      </c>
      <c r="F265" s="58"/>
    </row>
    <row r="266" spans="1:6">
      <c r="A266" s="7">
        <v>43</v>
      </c>
      <c r="B266" s="10" t="str">
        <f>VLOOKUP(A266,vaccines!A:B,2)</f>
        <v>measles_Serum_India</v>
      </c>
      <c r="C266" s="7">
        <v>8</v>
      </c>
      <c r="D266" s="8" t="str">
        <f>VLOOKUP(C266,contraindications_list!A:B,2)</f>
        <v>злокачественное новообразование</v>
      </c>
      <c r="E266" s="11">
        <v>44935</v>
      </c>
      <c r="F266" s="58"/>
    </row>
    <row r="267" spans="1:6">
      <c r="A267" s="7">
        <v>43</v>
      </c>
      <c r="B267" s="10" t="str">
        <f>VLOOKUP(A267,vaccines!A:B,2)</f>
        <v>measles_Serum_India</v>
      </c>
      <c r="C267" s="7">
        <v>15</v>
      </c>
      <c r="D267" s="8" t="str">
        <f>VLOOKUP(C267,contraindications_list!A:B,2)</f>
        <v>сильная общая реакция на предыдущее введение вакцины</v>
      </c>
      <c r="E267" s="11">
        <v>44935</v>
      </c>
      <c r="F267" s="58"/>
    </row>
    <row r="268" spans="1:6">
      <c r="A268" s="7">
        <v>43</v>
      </c>
      <c r="B268" s="10" t="str">
        <f>VLOOKUP(A268,vaccines!A:B,2)</f>
        <v>measles_Serum_India</v>
      </c>
      <c r="C268" s="7">
        <v>19</v>
      </c>
      <c r="D268" s="8" t="str">
        <f>VLOOKUP(C268,contraindications_list!A:B,2)</f>
        <v>осложнение на предыдущее введение вакцины</v>
      </c>
      <c r="E268" s="11">
        <v>44935</v>
      </c>
      <c r="F268" s="58"/>
    </row>
    <row r="269" spans="1:6">
      <c r="A269" s="7">
        <v>43</v>
      </c>
      <c r="B269" s="10" t="str">
        <f>VLOOKUP(A269,vaccines!A:B,2)</f>
        <v>measles_Serum_India</v>
      </c>
      <c r="C269" s="7">
        <v>26</v>
      </c>
      <c r="D269" s="8" t="str">
        <f>VLOOKUP(C269,contraindications_list!A:B,2)</f>
        <v>тяжелое нарушение функции почек</v>
      </c>
      <c r="E269" s="11">
        <v>44935</v>
      </c>
      <c r="F269" s="58"/>
    </row>
    <row r="270" spans="1:6">
      <c r="A270" s="7">
        <v>43</v>
      </c>
      <c r="B270" s="10" t="str">
        <f>VLOOKUP(A270,vaccines!A:B,2)</f>
        <v>measles_Serum_India</v>
      </c>
      <c r="C270" s="7">
        <v>27</v>
      </c>
      <c r="D270" s="8" t="str">
        <f>VLOOKUP(C270,contraindications_list!A:B,2)</f>
        <v>тяжелое заболевание сердца</v>
      </c>
      <c r="E270" s="11">
        <v>44935</v>
      </c>
      <c r="F270" s="58"/>
    </row>
    <row r="271" spans="1:6">
      <c r="A271" s="7">
        <v>43</v>
      </c>
      <c r="B271" s="10" t="str">
        <f>VLOOKUP(A271,vaccines!A:B,2)</f>
        <v>measles_Serum_India</v>
      </c>
      <c r="C271" s="7">
        <v>22</v>
      </c>
      <c r="D271" s="8" t="str">
        <f>VLOOKUP(C271,contraindications_list!A:B,2)</f>
        <v>беременность</v>
      </c>
      <c r="E271" s="11">
        <v>44935</v>
      </c>
      <c r="F271" s="58"/>
    </row>
    <row r="272" spans="1:6">
      <c r="A272" s="7">
        <v>43</v>
      </c>
      <c r="B272" s="10" t="str">
        <f>VLOOKUP(A272,vaccines!A:B,2)</f>
        <v>measles_Serum_India</v>
      </c>
      <c r="C272" s="54">
        <v>74</v>
      </c>
      <c r="D272" s="8" t="str">
        <f>VLOOKUP(C272,contraindications_list!A:B,2)</f>
        <v>злокачественное заболевание крови</v>
      </c>
      <c r="E272" s="12">
        <v>45133</v>
      </c>
      <c r="F272" s="58"/>
    </row>
    <row r="273" spans="1:6">
      <c r="A273" s="7">
        <v>43</v>
      </c>
      <c r="B273" s="10" t="str">
        <f>VLOOKUP(A273,vaccines!A:B,2)</f>
        <v>measles_Serum_India</v>
      </c>
      <c r="C273" s="54">
        <v>1</v>
      </c>
      <c r="D273" s="8" t="str">
        <f>VLOOKUP(C273,contraindications_list!A:B,2)</f>
        <v>гиперчувствительность к компонентам</v>
      </c>
      <c r="E273" s="12">
        <v>46053</v>
      </c>
      <c r="F273" s="58"/>
    </row>
    <row r="274" spans="1:6">
      <c r="A274" s="7">
        <v>43</v>
      </c>
      <c r="B274" s="10" t="str">
        <f>VLOOKUP(A274,vaccines!A:B,2)</f>
        <v>measles_Serum_India</v>
      </c>
      <c r="C274" s="54">
        <v>5</v>
      </c>
      <c r="D274" s="8" t="str">
        <f>VLOOKUP(C274,contraindications_list!A:B,2)</f>
        <v>острое заболевание</v>
      </c>
      <c r="E274" s="12">
        <v>46053</v>
      </c>
      <c r="F274" s="58"/>
    </row>
    <row r="275" spans="1:6">
      <c r="A275" s="7">
        <v>43</v>
      </c>
      <c r="B275" s="10" t="str">
        <f>VLOOKUP(A275,vaccines!A:B,2)</f>
        <v>measles_Serum_India</v>
      </c>
      <c r="C275" s="54">
        <v>6</v>
      </c>
      <c r="D275" s="8" t="str">
        <f>VLOOKUP(C275,contraindications_list!A:B,2)</f>
        <v>обострение хронического заболевания</v>
      </c>
      <c r="E275" s="12">
        <v>46053</v>
      </c>
      <c r="F275" s="58"/>
    </row>
    <row r="276" spans="1:6">
      <c r="A276" s="7">
        <v>43</v>
      </c>
      <c r="B276" s="10" t="str">
        <f>VLOOKUP(A276,vaccines!A:B,2)</f>
        <v>measles_Serum_India</v>
      </c>
      <c r="C276" s="54">
        <v>67</v>
      </c>
      <c r="D276" s="8" t="str">
        <f>VLOOKUP(C276,contraindications_list!A:B,2)</f>
        <v>хроническое заболевание сердца</v>
      </c>
      <c r="E276" s="12">
        <v>46053</v>
      </c>
      <c r="F276" s="58"/>
    </row>
    <row r="277" spans="1:6">
      <c r="A277" s="7">
        <v>43</v>
      </c>
      <c r="B277" s="10" t="str">
        <f>VLOOKUP(A277,vaccines!A:B,2)</f>
        <v>measles_Serum_India</v>
      </c>
      <c r="C277" s="54">
        <v>52</v>
      </c>
      <c r="D277" s="8" t="str">
        <f>VLOOKUP(C277,contraindications_list!A:B,2)</f>
        <v>болезни крови</v>
      </c>
      <c r="E277" s="12">
        <v>46053</v>
      </c>
      <c r="F277" s="58"/>
    </row>
    <row r="278" spans="1:6">
      <c r="A278" s="7">
        <v>43</v>
      </c>
      <c r="B278" s="10" t="str">
        <f>VLOOKUP(A278,vaccines!A:B,2)</f>
        <v>measles_Serum_India</v>
      </c>
      <c r="C278" s="54">
        <v>74</v>
      </c>
      <c r="D278" s="8" t="str">
        <f>VLOOKUP(C278,contraindications_list!A:B,2)</f>
        <v>злокачественное заболевание крови</v>
      </c>
      <c r="E278" s="12">
        <v>46053</v>
      </c>
      <c r="F278" s="58"/>
    </row>
    <row r="279" spans="1:6">
      <c r="A279" s="7">
        <v>43</v>
      </c>
      <c r="B279" s="10" t="str">
        <f>VLOOKUP(A279,vaccines!A:B,2)</f>
        <v>measles_Serum_India</v>
      </c>
      <c r="C279" s="54">
        <v>64</v>
      </c>
      <c r="D279" s="8" t="str">
        <f>VLOOKUP(C279,contraindications_list!A:B,2)</f>
        <v>переливание крови или плазмы</v>
      </c>
      <c r="E279" s="12">
        <v>46053</v>
      </c>
      <c r="F279" s="58"/>
    </row>
    <row r="280" spans="1:6">
      <c r="A280" s="7">
        <v>43</v>
      </c>
      <c r="B280" s="10" t="str">
        <f>VLOOKUP(A280,vaccines!A:B,2)</f>
        <v>measles_Serum_India</v>
      </c>
      <c r="C280" s="54">
        <v>65</v>
      </c>
      <c r="D280" s="8" t="str">
        <f>VLOOKUP(C280,contraindications_list!A:B,2)</f>
        <v>введение иммуноглобулина</v>
      </c>
      <c r="E280" s="12">
        <v>46053</v>
      </c>
      <c r="F280" s="58"/>
    </row>
    <row r="281" spans="1:6">
      <c r="A281" s="7">
        <v>43</v>
      </c>
      <c r="B281" s="10" t="str">
        <f>VLOOKUP(A281,vaccines!A:B,2)</f>
        <v>measles_Serum_India</v>
      </c>
      <c r="C281" s="54">
        <v>28</v>
      </c>
      <c r="D281" s="8" t="str">
        <f>VLOOKUP(C281,contraindications_list!A:B,2)</f>
        <v>иммуносупрессивная терапия</v>
      </c>
      <c r="E281" s="12">
        <v>46053</v>
      </c>
      <c r="F281" s="58"/>
    </row>
    <row r="282" spans="1:6">
      <c r="A282" s="7">
        <v>43</v>
      </c>
      <c r="B282" s="10" t="str">
        <f>VLOOKUP(A282,vaccines!A:B,2)</f>
        <v>measles_Serum_India</v>
      </c>
      <c r="C282" s="54">
        <v>29</v>
      </c>
      <c r="D282" s="8" t="str">
        <f>VLOOKUP(C282,contraindications_list!A:B,2)</f>
        <v>лучевая терапия</v>
      </c>
      <c r="E282" s="12">
        <v>46053</v>
      </c>
      <c r="F282" s="58"/>
    </row>
    <row r="283" spans="1:6">
      <c r="A283" s="7">
        <v>44</v>
      </c>
      <c r="B283" s="10" t="str">
        <f>VLOOKUP(A283,vaccines!A:B,2)</f>
        <v>measles_Vector</v>
      </c>
      <c r="C283" s="7">
        <v>25</v>
      </c>
      <c r="D283" s="8" t="str">
        <f>VLOOKUP(C283,contraindications_list!A:B,2)</f>
        <v>аллергия на аминогликозиды</v>
      </c>
      <c r="E283" s="11">
        <v>44935</v>
      </c>
      <c r="F283" s="58"/>
    </row>
    <row r="284" spans="1:6">
      <c r="A284" s="7">
        <v>44</v>
      </c>
      <c r="B284" s="10" t="str">
        <f>VLOOKUP(A284,vaccines!A:B,2)</f>
        <v>measles_Vector</v>
      </c>
      <c r="C284" s="7">
        <v>24</v>
      </c>
      <c r="D284" s="8" t="str">
        <f>VLOOKUP(C284,contraindications_list!A:B,2)</f>
        <v>аллергия на куриный белок</v>
      </c>
      <c r="E284" s="11">
        <v>44935</v>
      </c>
      <c r="F284" s="58"/>
    </row>
    <row r="285" spans="1:6">
      <c r="A285" s="7">
        <v>44</v>
      </c>
      <c r="B285" s="10" t="str">
        <f>VLOOKUP(A285,vaccines!A:B,2)</f>
        <v>measles_Vector</v>
      </c>
      <c r="C285" s="7">
        <v>7</v>
      </c>
      <c r="D285" s="8" t="str">
        <f>VLOOKUP(C285,contraindications_list!A:B,2)</f>
        <v>иммунодефицит</v>
      </c>
      <c r="E285" s="11">
        <v>44935</v>
      </c>
      <c r="F285" s="58"/>
    </row>
    <row r="286" spans="1:6">
      <c r="A286" s="7">
        <v>44</v>
      </c>
      <c r="B286" s="10" t="str">
        <f>VLOOKUP(A286,vaccines!A:B,2)</f>
        <v>measles_Vector</v>
      </c>
      <c r="C286" s="7">
        <v>8</v>
      </c>
      <c r="D286" s="8" t="str">
        <f>VLOOKUP(C286,contraindications_list!A:B,2)</f>
        <v>злокачественное новообразование</v>
      </c>
      <c r="E286" s="11">
        <v>44935</v>
      </c>
      <c r="F286" s="58"/>
    </row>
    <row r="287" spans="1:6">
      <c r="A287" s="7">
        <v>44</v>
      </c>
      <c r="B287" s="10" t="str">
        <f>VLOOKUP(A287,vaccines!A:B,2)</f>
        <v>measles_Vector</v>
      </c>
      <c r="C287" s="7">
        <v>15</v>
      </c>
      <c r="D287" s="8" t="str">
        <f>VLOOKUP(C287,contraindications_list!A:B,2)</f>
        <v>сильная общая реакция на предыдущее введение вакцины</v>
      </c>
      <c r="E287" s="11">
        <v>44935</v>
      </c>
      <c r="F287" s="58"/>
    </row>
    <row r="288" spans="1:6">
      <c r="A288" s="7">
        <v>44</v>
      </c>
      <c r="B288" s="10" t="str">
        <f>VLOOKUP(A288,vaccines!A:B,2)</f>
        <v>measles_Vector</v>
      </c>
      <c r="C288" s="7">
        <v>19</v>
      </c>
      <c r="D288" s="8" t="str">
        <f>VLOOKUP(C288,contraindications_list!A:B,2)</f>
        <v>осложнение на предыдущее введение вакцины</v>
      </c>
      <c r="E288" s="11">
        <v>44935</v>
      </c>
      <c r="F288" s="58"/>
    </row>
    <row r="289" spans="1:6">
      <c r="A289" s="7">
        <v>44</v>
      </c>
      <c r="B289" s="10" t="str">
        <f>VLOOKUP(A289,vaccines!A:B,2)</f>
        <v>measles_Vector</v>
      </c>
      <c r="C289" s="7">
        <v>22</v>
      </c>
      <c r="D289" s="8" t="str">
        <f>VLOOKUP(C289,contraindications_list!A:B,2)</f>
        <v>беременность</v>
      </c>
      <c r="E289" s="11">
        <v>44935</v>
      </c>
      <c r="F289" s="58"/>
    </row>
    <row r="290" spans="1:6">
      <c r="A290" s="7">
        <v>44</v>
      </c>
      <c r="B290" s="10" t="str">
        <f>VLOOKUP(A290,vaccines!A:B,2)</f>
        <v>measles_Vector</v>
      </c>
      <c r="C290" s="54">
        <v>74</v>
      </c>
      <c r="D290" s="8" t="str">
        <f>VLOOKUP(C290,contraindications_list!A:B,2)</f>
        <v>злокачественное заболевание крови</v>
      </c>
      <c r="E290" s="12">
        <v>45133</v>
      </c>
      <c r="F290" s="58"/>
    </row>
    <row r="291" spans="1:6">
      <c r="A291" s="7">
        <v>45</v>
      </c>
      <c r="B291" s="10" t="str">
        <f>VLOOKUP(A291,vaccines!A:B,2)</f>
        <v>measles_mumps_Microgen</v>
      </c>
      <c r="C291" s="7">
        <v>25</v>
      </c>
      <c r="D291" s="8" t="str">
        <f>VLOOKUP(C291,contraindications_list!A:B,2)</f>
        <v>аллергия на аминогликозиды</v>
      </c>
      <c r="E291" s="11">
        <v>44935</v>
      </c>
      <c r="F291" s="58"/>
    </row>
    <row r="292" spans="1:6">
      <c r="A292" s="7">
        <v>45</v>
      </c>
      <c r="B292" s="10" t="str">
        <f>VLOOKUP(A292,vaccines!A:B,2)</f>
        <v>measles_mumps_Microgen</v>
      </c>
      <c r="C292" s="7">
        <v>24</v>
      </c>
      <c r="D292" s="8" t="str">
        <f>VLOOKUP(C292,contraindications_list!A:B,2)</f>
        <v>аллергия на куриный белок</v>
      </c>
      <c r="E292" s="11">
        <v>44935</v>
      </c>
      <c r="F292" s="58"/>
    </row>
    <row r="293" spans="1:6">
      <c r="A293" s="7">
        <v>45</v>
      </c>
      <c r="B293" s="10" t="str">
        <f>VLOOKUP(A293,vaccines!A:B,2)</f>
        <v>measles_mumps_Microgen</v>
      </c>
      <c r="C293" s="7">
        <v>7</v>
      </c>
      <c r="D293" s="8" t="str">
        <f>VLOOKUP(C293,contraindications_list!A:B,2)</f>
        <v>иммунодефицит</v>
      </c>
      <c r="E293" s="11">
        <v>44935</v>
      </c>
      <c r="F293" s="58"/>
    </row>
    <row r="294" spans="1:6">
      <c r="A294" s="7">
        <v>45</v>
      </c>
      <c r="B294" s="10" t="str">
        <f>VLOOKUP(A294,vaccines!A:B,2)</f>
        <v>measles_mumps_Microgen</v>
      </c>
      <c r="C294" s="7">
        <v>8</v>
      </c>
      <c r="D294" s="8" t="str">
        <f>VLOOKUP(C294,contraindications_list!A:B,2)</f>
        <v>злокачественное новообразование</v>
      </c>
      <c r="E294" s="11">
        <v>44935</v>
      </c>
      <c r="F294" s="58"/>
    </row>
    <row r="295" spans="1:6">
      <c r="A295" s="7">
        <v>45</v>
      </c>
      <c r="B295" s="10" t="str">
        <f>VLOOKUP(A295,vaccines!A:B,2)</f>
        <v>measles_mumps_Microgen</v>
      </c>
      <c r="C295" s="7">
        <v>15</v>
      </c>
      <c r="D295" s="8" t="str">
        <f>VLOOKUP(C295,contraindications_list!A:B,2)</f>
        <v>сильная общая реакция на предыдущее введение вакцины</v>
      </c>
      <c r="E295" s="11">
        <v>44935</v>
      </c>
      <c r="F295" s="58"/>
    </row>
    <row r="296" spans="1:6">
      <c r="A296" s="7">
        <v>45</v>
      </c>
      <c r="B296" s="10" t="str">
        <f>VLOOKUP(A296,vaccines!A:B,2)</f>
        <v>measles_mumps_Microgen</v>
      </c>
      <c r="C296" s="7">
        <v>19</v>
      </c>
      <c r="D296" s="8" t="str">
        <f>VLOOKUP(C296,contraindications_list!A:B,2)</f>
        <v>осложнение на предыдущее введение вакцины</v>
      </c>
      <c r="E296" s="11">
        <v>44935</v>
      </c>
      <c r="F296" s="58"/>
    </row>
    <row r="297" spans="1:6">
      <c r="A297" s="7">
        <v>45</v>
      </c>
      <c r="B297" s="10" t="str">
        <f>VLOOKUP(A297,vaccines!A:B,2)</f>
        <v>measles_mumps_Microgen</v>
      </c>
      <c r="C297" s="7">
        <v>22</v>
      </c>
      <c r="D297" s="8" t="str">
        <f>VLOOKUP(C297,contraindications_list!A:B,2)</f>
        <v>беременность</v>
      </c>
      <c r="E297" s="11">
        <v>44935</v>
      </c>
      <c r="F297" s="58"/>
    </row>
    <row r="298" spans="1:6">
      <c r="A298" s="7">
        <v>45</v>
      </c>
      <c r="B298" s="10" t="str">
        <f>VLOOKUP(A298,vaccines!A:B,2)</f>
        <v>measles_mumps_Microgen</v>
      </c>
      <c r="C298" s="7">
        <v>23</v>
      </c>
      <c r="D298" s="8" t="str">
        <f>VLOOKUP(C298,contraindications_list!A:B,2)</f>
        <v>грудное вскармливание</v>
      </c>
      <c r="E298" s="11">
        <v>44935</v>
      </c>
      <c r="F298" s="58"/>
    </row>
    <row r="299" spans="1:6">
      <c r="A299" s="7">
        <v>45</v>
      </c>
      <c r="B299" s="10" t="str">
        <f>VLOOKUP(A299,vaccines!A:B,2)</f>
        <v>measles_mumps_Microgen</v>
      </c>
      <c r="C299" s="7">
        <v>5</v>
      </c>
      <c r="D299" s="8" t="str">
        <f>VLOOKUP(C299,contraindications_list!A:B,2)</f>
        <v>острое заболевание</v>
      </c>
      <c r="E299" s="11">
        <v>44935</v>
      </c>
      <c r="F299" s="58"/>
    </row>
    <row r="300" spans="1:6">
      <c r="A300" s="7">
        <v>45</v>
      </c>
      <c r="B300" s="10" t="str">
        <f>VLOOKUP(A300,vaccines!A:B,2)</f>
        <v>measles_mumps_Microgen</v>
      </c>
      <c r="C300" s="7">
        <v>6</v>
      </c>
      <c r="D300" s="8" t="str">
        <f>VLOOKUP(C300,contraindications_list!A:B,2)</f>
        <v>обострение хронического заболевания</v>
      </c>
      <c r="E300" s="11">
        <v>44935</v>
      </c>
      <c r="F300" s="58"/>
    </row>
    <row r="301" spans="1:6">
      <c r="A301" s="7">
        <v>45</v>
      </c>
      <c r="B301" s="10" t="str">
        <f>VLOOKUP(A301,vaccines!A:B,2)</f>
        <v>measles_mumps_Microgen</v>
      </c>
      <c r="C301" s="54">
        <v>74</v>
      </c>
      <c r="D301" s="8" t="str">
        <f>VLOOKUP(C301,contraindications_list!A:B,2)</f>
        <v>злокачественное заболевание крови</v>
      </c>
      <c r="E301" s="12">
        <v>45133</v>
      </c>
      <c r="F301" s="58"/>
    </row>
    <row r="302" spans="1:6">
      <c r="A302" s="7">
        <v>46</v>
      </c>
      <c r="B302" s="10" t="str">
        <f>VLOOKUP(A302,vaccines!A:B,2)</f>
        <v>Vactrivir</v>
      </c>
      <c r="C302" s="7">
        <v>25</v>
      </c>
      <c r="D302" s="8" t="str">
        <f>VLOOKUP(C302,contraindications_list!A:B,2)</f>
        <v>аллергия на аминогликозиды</v>
      </c>
      <c r="E302" s="11">
        <v>44935</v>
      </c>
      <c r="F302" s="58"/>
    </row>
    <row r="303" spans="1:6">
      <c r="A303" s="7">
        <v>46</v>
      </c>
      <c r="B303" s="10" t="str">
        <f>VLOOKUP(A303,vaccines!A:B,2)</f>
        <v>Vactrivir</v>
      </c>
      <c r="C303" s="7">
        <v>24</v>
      </c>
      <c r="D303" s="8" t="str">
        <f>VLOOKUP(C303,contraindications_list!A:B,2)</f>
        <v>аллергия на куриный белок</v>
      </c>
      <c r="E303" s="11">
        <v>44935</v>
      </c>
      <c r="F303" s="58"/>
    </row>
    <row r="304" spans="1:6">
      <c r="A304" s="7">
        <v>46</v>
      </c>
      <c r="B304" s="10" t="str">
        <f>VLOOKUP(A304,vaccines!A:B,2)</f>
        <v>Vactrivir</v>
      </c>
      <c r="C304" s="7">
        <v>1</v>
      </c>
      <c r="D304" s="8" t="str">
        <f>VLOOKUP(C304,contraindications_list!A:B,2)</f>
        <v>гиперчувствительность к компонентам</v>
      </c>
      <c r="E304" s="11">
        <v>44935</v>
      </c>
      <c r="F304" s="58"/>
    </row>
    <row r="305" spans="1:6">
      <c r="A305" s="7">
        <v>46</v>
      </c>
      <c r="B305" s="10" t="str">
        <f>VLOOKUP(A305,vaccines!A:B,2)</f>
        <v>Vactrivir</v>
      </c>
      <c r="C305" s="7">
        <v>7</v>
      </c>
      <c r="D305" s="8" t="str">
        <f>VLOOKUP(C305,contraindications_list!A:B,2)</f>
        <v>иммунодефицит</v>
      </c>
      <c r="E305" s="11">
        <v>44935</v>
      </c>
      <c r="F305" s="58"/>
    </row>
    <row r="306" spans="1:6">
      <c r="A306" s="7">
        <v>46</v>
      </c>
      <c r="B306" s="10" t="str">
        <f>VLOOKUP(A306,vaccines!A:B,2)</f>
        <v>Vactrivir</v>
      </c>
      <c r="C306" s="7">
        <v>8</v>
      </c>
      <c r="D306" s="8" t="str">
        <f>VLOOKUP(C306,contraindications_list!A:B,2)</f>
        <v>злокачественное новообразование</v>
      </c>
      <c r="E306" s="11">
        <v>44935</v>
      </c>
      <c r="F306" s="58"/>
    </row>
    <row r="307" spans="1:6">
      <c r="A307" s="7">
        <v>46</v>
      </c>
      <c r="B307" s="10" t="str">
        <f>VLOOKUP(A307,vaccines!A:B,2)</f>
        <v>Vactrivir</v>
      </c>
      <c r="C307" s="7">
        <v>15</v>
      </c>
      <c r="D307" s="8" t="str">
        <f>VLOOKUP(C307,contraindications_list!A:B,2)</f>
        <v>сильная общая реакция на предыдущее введение вакцины</v>
      </c>
      <c r="E307" s="11">
        <v>44935</v>
      </c>
      <c r="F307" s="58"/>
    </row>
    <row r="308" spans="1:6">
      <c r="A308" s="7">
        <v>46</v>
      </c>
      <c r="B308" s="10" t="str">
        <f>VLOOKUP(A308,vaccines!A:B,2)</f>
        <v>Vactrivir</v>
      </c>
      <c r="C308" s="7">
        <v>19</v>
      </c>
      <c r="D308" s="8" t="str">
        <f>VLOOKUP(C308,contraindications_list!A:B,2)</f>
        <v>осложнение на предыдущее введение вакцины</v>
      </c>
      <c r="E308" s="11">
        <v>44935</v>
      </c>
      <c r="F308" s="58"/>
    </row>
    <row r="309" spans="1:6">
      <c r="A309" s="7">
        <v>46</v>
      </c>
      <c r="B309" s="10" t="str">
        <f>VLOOKUP(A309,vaccines!A:B,2)</f>
        <v>Vactrivir</v>
      </c>
      <c r="C309" s="7">
        <v>22</v>
      </c>
      <c r="D309" s="8" t="str">
        <f>VLOOKUP(C309,contraindications_list!A:B,2)</f>
        <v>беременность</v>
      </c>
      <c r="E309" s="11">
        <v>44935</v>
      </c>
      <c r="F309" s="58"/>
    </row>
    <row r="310" spans="1:6">
      <c r="A310" s="7">
        <v>46</v>
      </c>
      <c r="B310" s="10" t="str">
        <f>VLOOKUP(A310,vaccines!A:B,2)</f>
        <v>Vactrivir</v>
      </c>
      <c r="C310" s="7">
        <v>23</v>
      </c>
      <c r="D310" s="8" t="str">
        <f>VLOOKUP(C310,contraindications_list!A:B,2)</f>
        <v>грудное вскармливание</v>
      </c>
      <c r="E310" s="11">
        <v>44935</v>
      </c>
      <c r="F310" s="58"/>
    </row>
    <row r="311" spans="1:6">
      <c r="A311" s="7">
        <v>46</v>
      </c>
      <c r="B311" s="10" t="str">
        <f>VLOOKUP(A311,vaccines!A:B,2)</f>
        <v>Vactrivir</v>
      </c>
      <c r="C311" s="7">
        <v>5</v>
      </c>
      <c r="D311" s="8" t="str">
        <f>VLOOKUP(C311,contraindications_list!A:B,2)</f>
        <v>острое заболевание</v>
      </c>
      <c r="E311" s="11">
        <v>44935</v>
      </c>
      <c r="F311" s="58"/>
    </row>
    <row r="312" spans="1:6">
      <c r="A312" s="7">
        <v>46</v>
      </c>
      <c r="B312" s="10" t="str">
        <f>VLOOKUP(A312,vaccines!A:B,2)</f>
        <v>Vactrivir</v>
      </c>
      <c r="C312" s="7">
        <v>6</v>
      </c>
      <c r="D312" s="8" t="str">
        <f>VLOOKUP(C312,contraindications_list!A:B,2)</f>
        <v>обострение хронического заболевания</v>
      </c>
      <c r="E312" s="11">
        <v>44935</v>
      </c>
      <c r="F312" s="58"/>
    </row>
    <row r="313" spans="1:6">
      <c r="A313" s="7">
        <v>46</v>
      </c>
      <c r="B313" s="10" t="str">
        <f>VLOOKUP(A313,vaccines!A:B,2)</f>
        <v>Vactrivir</v>
      </c>
      <c r="C313" s="7">
        <v>28</v>
      </c>
      <c r="D313" s="8" t="str">
        <f>VLOOKUP(C313,contraindications_list!A:B,2)</f>
        <v>иммуносупрессивная терапия</v>
      </c>
      <c r="E313" s="11">
        <v>44935</v>
      </c>
      <c r="F313" s="58"/>
    </row>
    <row r="314" spans="1:6">
      <c r="A314" s="7">
        <v>46</v>
      </c>
      <c r="B314" s="10" t="str">
        <f>VLOOKUP(A314,vaccines!A:B,2)</f>
        <v>Vactrivir</v>
      </c>
      <c r="C314" s="7">
        <v>29</v>
      </c>
      <c r="D314" s="8" t="str">
        <f>VLOOKUP(C314,contraindications_list!A:B,2)</f>
        <v>лучевая терапия</v>
      </c>
      <c r="E314" s="11">
        <v>44935</v>
      </c>
      <c r="F314" s="58"/>
    </row>
    <row r="315" spans="1:6">
      <c r="A315" s="7">
        <v>46</v>
      </c>
      <c r="B315" s="10" t="str">
        <f>VLOOKUP(A315,vaccines!A:B,2)</f>
        <v>Vactrivir</v>
      </c>
      <c r="C315" s="54">
        <v>74</v>
      </c>
      <c r="D315" s="8" t="str">
        <f>VLOOKUP(C315,contraindications_list!A:B,2)</f>
        <v>злокачественное заболевание крови</v>
      </c>
      <c r="E315" s="12">
        <v>45133</v>
      </c>
      <c r="F315" s="58"/>
    </row>
    <row r="316" spans="1:6">
      <c r="A316" s="7">
        <v>47</v>
      </c>
      <c r="B316" s="10" t="str">
        <f>VLOOKUP(A316,vaccines!A:B,2)</f>
        <v>MMR_II</v>
      </c>
      <c r="C316" s="7">
        <v>1</v>
      </c>
      <c r="D316" s="8" t="str">
        <f>VLOOKUP(C316,contraindications_list!A:B,2)</f>
        <v>гиперчувствительность к компонентам</v>
      </c>
      <c r="E316" s="11">
        <v>44935</v>
      </c>
      <c r="F316" s="58"/>
    </row>
    <row r="317" spans="1:6">
      <c r="A317" s="7">
        <v>47</v>
      </c>
      <c r="B317" s="10" t="str">
        <f>VLOOKUP(A317,vaccines!A:B,2)</f>
        <v>MMR_II</v>
      </c>
      <c r="C317" s="7">
        <v>22</v>
      </c>
      <c r="D317" s="8" t="str">
        <f>VLOOKUP(C317,contraindications_list!A:B,2)</f>
        <v>беременность</v>
      </c>
      <c r="E317" s="11">
        <v>44935</v>
      </c>
      <c r="F317" s="58"/>
    </row>
    <row r="318" spans="1:6">
      <c r="A318" s="7">
        <v>47</v>
      </c>
      <c r="B318" s="10" t="str">
        <f>VLOOKUP(A318,vaccines!A:B,2)</f>
        <v>MMR_II</v>
      </c>
      <c r="C318" s="7">
        <v>25</v>
      </c>
      <c r="D318" s="8" t="str">
        <f>VLOOKUP(C318,contraindications_list!A:B,2)</f>
        <v>аллергия на аминогликозиды</v>
      </c>
      <c r="E318" s="11">
        <v>44935</v>
      </c>
      <c r="F318" s="58"/>
    </row>
    <row r="319" spans="1:6">
      <c r="A319" s="7">
        <v>47</v>
      </c>
      <c r="B319" s="10" t="str">
        <f>VLOOKUP(A319,vaccines!A:B,2)</f>
        <v>MMR_II</v>
      </c>
      <c r="C319" s="7">
        <v>5</v>
      </c>
      <c r="D319" s="8" t="str">
        <f>VLOOKUP(C319,contraindications_list!A:B,2)</f>
        <v>острое заболевание</v>
      </c>
      <c r="E319" s="11">
        <v>44935</v>
      </c>
      <c r="F319" s="58"/>
    </row>
    <row r="320" spans="1:6">
      <c r="A320" s="7">
        <v>47</v>
      </c>
      <c r="B320" s="10" t="str">
        <f>VLOOKUP(A320,vaccines!A:B,2)</f>
        <v>MMR_II</v>
      </c>
      <c r="C320" s="7">
        <v>18</v>
      </c>
      <c r="D320" s="8" t="str">
        <f>VLOOKUP(C320,contraindications_list!A:B,2)</f>
        <v>туберкулез</v>
      </c>
      <c r="E320" s="11">
        <v>44935</v>
      </c>
      <c r="F320" s="58"/>
    </row>
    <row r="321" spans="1:6">
      <c r="A321" s="7">
        <v>47</v>
      </c>
      <c r="B321" s="10" t="str">
        <f>VLOOKUP(A321,vaccines!A:B,2)</f>
        <v>MMR_II</v>
      </c>
      <c r="C321" s="7">
        <v>28</v>
      </c>
      <c r="D321" s="8" t="str">
        <f>VLOOKUP(C321,contraindications_list!A:B,2)</f>
        <v>иммуносупрессивная терапия</v>
      </c>
      <c r="E321" s="11">
        <v>44935</v>
      </c>
      <c r="F321" s="58"/>
    </row>
    <row r="322" spans="1:6">
      <c r="A322" s="7">
        <v>47</v>
      </c>
      <c r="B322" s="10" t="str">
        <f>VLOOKUP(A322,vaccines!A:B,2)</f>
        <v>MMR_II</v>
      </c>
      <c r="C322" s="7">
        <v>8</v>
      </c>
      <c r="D322" s="8" t="str">
        <f>VLOOKUP(C322,contraindications_list!A:B,2)</f>
        <v>злокачественное новообразование</v>
      </c>
      <c r="E322" s="11">
        <v>44935</v>
      </c>
      <c r="F322" s="58"/>
    </row>
    <row r="323" spans="1:6">
      <c r="A323" s="7">
        <v>47</v>
      </c>
      <c r="B323" s="10" t="str">
        <f>VLOOKUP(A323,vaccines!A:B,2)</f>
        <v>MMR_II</v>
      </c>
      <c r="C323" s="7">
        <v>7</v>
      </c>
      <c r="D323" s="8" t="str">
        <f>VLOOKUP(C323,contraindications_list!A:B,2)</f>
        <v>иммунодефицит</v>
      </c>
      <c r="E323" s="11">
        <v>44935</v>
      </c>
      <c r="F323" s="58"/>
    </row>
    <row r="324" spans="1:6">
      <c r="A324" s="7">
        <v>47</v>
      </c>
      <c r="B324" s="10" t="str">
        <f>VLOOKUP(A324,vaccines!A:B,2)</f>
        <v>MMR_II</v>
      </c>
      <c r="C324" s="7">
        <v>30</v>
      </c>
      <c r="D324" s="8" t="str">
        <f>VLOOKUP(C324,contraindications_list!A:B,2)</f>
        <v>иммунодефицит у родственников</v>
      </c>
      <c r="E324" s="11">
        <v>44935</v>
      </c>
      <c r="F324" s="58"/>
    </row>
    <row r="325" spans="1:6">
      <c r="A325" s="7">
        <v>47</v>
      </c>
      <c r="B325" s="10" t="str">
        <f>VLOOKUP(A325,vaccines!A:B,2)</f>
        <v>MMR_II</v>
      </c>
      <c r="C325" s="7">
        <v>24</v>
      </c>
      <c r="D325" s="8" t="str">
        <f>VLOOKUP(C325,contraindications_list!A:B,2)</f>
        <v>аллергия на куриный белок</v>
      </c>
      <c r="E325" s="11">
        <v>44935</v>
      </c>
      <c r="F325" s="58"/>
    </row>
    <row r="326" spans="1:6">
      <c r="A326" s="7">
        <v>47</v>
      </c>
      <c r="B326" s="10" t="str">
        <f>VLOOKUP(A326,vaccines!A:B,2)</f>
        <v>MMR_II</v>
      </c>
      <c r="C326" s="54">
        <v>74</v>
      </c>
      <c r="D326" s="8" t="str">
        <f>VLOOKUP(C326,contraindications_list!A:B,2)</f>
        <v>злокачественное заболевание крови</v>
      </c>
      <c r="E326" s="12">
        <v>45133</v>
      </c>
      <c r="F326" s="58"/>
    </row>
    <row r="327" spans="1:6">
      <c r="A327" s="7">
        <v>48</v>
      </c>
      <c r="B327" s="10" t="str">
        <f>VLOOKUP(A327,vaccines!A:B,2)</f>
        <v>MenA_Microgen</v>
      </c>
      <c r="C327" s="7">
        <v>31</v>
      </c>
      <c r="D327" s="8" t="str">
        <f>VLOOKUP(C327,contraindications_list!A:B,2)</f>
        <v>гиперчувствительность к лактозе</v>
      </c>
      <c r="E327" s="11">
        <v>44942</v>
      </c>
      <c r="F327" s="58"/>
    </row>
    <row r="328" spans="1:6">
      <c r="A328" s="7">
        <v>48</v>
      </c>
      <c r="B328" s="10" t="str">
        <f>VLOOKUP(A328,vaccines!A:B,2)</f>
        <v>MenA_Microgen</v>
      </c>
      <c r="C328" s="7">
        <v>1</v>
      </c>
      <c r="D328" s="8" t="str">
        <f>VLOOKUP(C328,contraindications_list!A:B,2)</f>
        <v>гиперчувствительность к компонентам</v>
      </c>
      <c r="E328" s="11">
        <v>44942</v>
      </c>
      <c r="F328" s="58"/>
    </row>
    <row r="329" spans="1:6">
      <c r="A329" s="7">
        <v>48</v>
      </c>
      <c r="B329" s="10" t="str">
        <f>VLOOKUP(A329,vaccines!A:B,2)</f>
        <v>MenA_Microgen</v>
      </c>
      <c r="C329" s="7">
        <v>5</v>
      </c>
      <c r="D329" s="8" t="str">
        <f>VLOOKUP(C329,contraindications_list!A:B,2)</f>
        <v>острое заболевание</v>
      </c>
      <c r="E329" s="11">
        <v>44942</v>
      </c>
      <c r="F329" s="58"/>
    </row>
    <row r="330" spans="1:6">
      <c r="A330" s="7">
        <v>48</v>
      </c>
      <c r="B330" s="10" t="str">
        <f>VLOOKUP(A330,vaccines!A:B,2)</f>
        <v>MenA_Microgen</v>
      </c>
      <c r="C330" s="7">
        <v>6</v>
      </c>
      <c r="D330" s="8" t="str">
        <f>VLOOKUP(C330,contraindications_list!A:B,2)</f>
        <v>обострение хронического заболевания</v>
      </c>
      <c r="E330" s="11">
        <v>44942</v>
      </c>
      <c r="F330" s="58"/>
    </row>
    <row r="331" spans="1:6">
      <c r="A331" s="7">
        <v>48</v>
      </c>
      <c r="B331" s="10" t="str">
        <f>VLOOKUP(A331,vaccines!A:B,2)</f>
        <v>MenA_Microgen</v>
      </c>
      <c r="C331" s="7">
        <v>8</v>
      </c>
      <c r="D331" s="8" t="str">
        <f>VLOOKUP(C331,contraindications_list!A:B,2)</f>
        <v>злокачественное новообразование</v>
      </c>
      <c r="E331" s="11">
        <v>44942</v>
      </c>
      <c r="F331" s="58"/>
    </row>
    <row r="332" spans="1:6">
      <c r="A332" s="7">
        <v>48</v>
      </c>
      <c r="B332" s="10" t="str">
        <f>VLOOKUP(A332,vaccines!A:B,2)</f>
        <v>MenA_Microgen</v>
      </c>
      <c r="C332" s="7">
        <v>22</v>
      </c>
      <c r="D332" s="8" t="str">
        <f>VLOOKUP(C332,contraindications_list!A:B,2)</f>
        <v>беременность</v>
      </c>
      <c r="E332" s="11">
        <v>44942</v>
      </c>
      <c r="F332" s="58"/>
    </row>
    <row r="333" spans="1:6">
      <c r="A333" s="7">
        <v>48</v>
      </c>
      <c r="B333" s="10" t="str">
        <f>VLOOKUP(A333,vaccines!A:B,2)</f>
        <v>MenA_Microgen</v>
      </c>
      <c r="C333" s="7">
        <v>23</v>
      </c>
      <c r="D333" s="8" t="str">
        <f>VLOOKUP(C333,contraindications_list!A:B,2)</f>
        <v>грудное вскармливание</v>
      </c>
      <c r="E333" s="11">
        <v>44942</v>
      </c>
      <c r="F333" s="58"/>
    </row>
    <row r="334" spans="1:6">
      <c r="A334" s="7">
        <v>48</v>
      </c>
      <c r="B334" s="10" t="str">
        <f>VLOOKUP(A334,vaccines!A:B,2)</f>
        <v>MenA_Microgen</v>
      </c>
      <c r="C334" s="7">
        <v>15</v>
      </c>
      <c r="D334" s="8" t="str">
        <f>VLOOKUP(C334,contraindications_list!A:B,2)</f>
        <v>сильная общая реакция на предыдущее введение вакцины</v>
      </c>
      <c r="E334" s="11">
        <v>44942</v>
      </c>
      <c r="F334" s="58"/>
    </row>
    <row r="335" spans="1:6">
      <c r="A335" s="7">
        <v>48</v>
      </c>
      <c r="B335" s="10" t="str">
        <f>VLOOKUP(A335,vaccines!A:B,2)</f>
        <v>MenA_Microgen</v>
      </c>
      <c r="C335" s="7">
        <v>19</v>
      </c>
      <c r="D335" s="8" t="str">
        <f>VLOOKUP(C335,contraindications_list!A:B,2)</f>
        <v>осложнение на предыдущее введение вакцины</v>
      </c>
      <c r="E335" s="11">
        <v>44942</v>
      </c>
      <c r="F335" s="58"/>
    </row>
    <row r="336" spans="1:6">
      <c r="A336" s="7">
        <v>48</v>
      </c>
      <c r="B336" s="10" t="str">
        <f>VLOOKUP(A336,vaccines!A:B,2)</f>
        <v>MenA_Microgen</v>
      </c>
      <c r="C336" s="54">
        <v>74</v>
      </c>
      <c r="D336" s="8" t="str">
        <f>VLOOKUP(C336,contraindications_list!A:B,2)</f>
        <v>злокачественное заболевание крови</v>
      </c>
      <c r="E336" s="12">
        <v>45133</v>
      </c>
      <c r="F336" s="58"/>
    </row>
    <row r="337" spans="1:6">
      <c r="A337" s="7">
        <v>49</v>
      </c>
      <c r="B337" s="10" t="str">
        <f>VLOOKUP(A337,vaccines!A:B,2)</f>
        <v>MeningoVac_A_C</v>
      </c>
      <c r="C337" s="7">
        <v>31</v>
      </c>
      <c r="D337" s="8" t="str">
        <f>VLOOKUP(C337,contraindications_list!A:B,2)</f>
        <v>гиперчувствительность к лактозе</v>
      </c>
      <c r="E337" s="11">
        <v>45082</v>
      </c>
      <c r="F337" s="58"/>
    </row>
    <row r="338" spans="1:6">
      <c r="A338" s="7">
        <v>49</v>
      </c>
      <c r="B338" s="10" t="str">
        <f>VLOOKUP(A338,vaccines!A:B,2)</f>
        <v>MeningoVac_A_C</v>
      </c>
      <c r="C338" s="7">
        <v>1</v>
      </c>
      <c r="D338" s="8" t="str">
        <f>VLOOKUP(C338,contraindications_list!A:B,2)</f>
        <v>гиперчувствительность к компонентам</v>
      </c>
      <c r="E338" s="11">
        <v>45082</v>
      </c>
      <c r="F338" s="58"/>
    </row>
    <row r="339" spans="1:6">
      <c r="A339" s="7">
        <v>49</v>
      </c>
      <c r="B339" s="10" t="str">
        <f>VLOOKUP(A339,vaccines!A:B,2)</f>
        <v>MeningoVac_A_C</v>
      </c>
      <c r="C339" s="7">
        <v>15</v>
      </c>
      <c r="D339" s="8" t="str">
        <f>VLOOKUP(C339,contraindications_list!A:B,2)</f>
        <v>сильная общая реакция на предыдущее введение вакцины</v>
      </c>
      <c r="E339" s="11">
        <v>45082</v>
      </c>
      <c r="F339" s="58"/>
    </row>
    <row r="340" spans="1:6">
      <c r="A340" s="7">
        <v>49</v>
      </c>
      <c r="B340" s="10" t="str">
        <f>VLOOKUP(A340,vaccines!A:B,2)</f>
        <v>MeningoVac_A_C</v>
      </c>
      <c r="C340" s="7">
        <v>19</v>
      </c>
      <c r="D340" s="8" t="str">
        <f>VLOOKUP(C340,contraindications_list!A:B,2)</f>
        <v>осложнение на предыдущее введение вакцины</v>
      </c>
      <c r="E340" s="11">
        <v>45082</v>
      </c>
      <c r="F340" s="58"/>
    </row>
    <row r="341" spans="1:6">
      <c r="A341" s="7">
        <v>49</v>
      </c>
      <c r="B341" s="10" t="str">
        <f>VLOOKUP(A341,vaccines!A:B,2)</f>
        <v>MeningoVac_A_C</v>
      </c>
      <c r="C341" s="7">
        <v>5</v>
      </c>
      <c r="D341" s="8" t="str">
        <f>VLOOKUP(C341,contraindications_list!A:B,2)</f>
        <v>острое заболевание</v>
      </c>
      <c r="E341" s="11">
        <v>45082</v>
      </c>
      <c r="F341" s="58"/>
    </row>
    <row r="342" spans="1:6">
      <c r="A342" s="7">
        <v>49</v>
      </c>
      <c r="B342" s="10" t="str">
        <f>VLOOKUP(A342,vaccines!A:B,2)</f>
        <v>MeningoVac_A_C</v>
      </c>
      <c r="C342" s="7">
        <v>6</v>
      </c>
      <c r="D342" s="8" t="str">
        <f>VLOOKUP(C342,contraindications_list!A:B,2)</f>
        <v>обострение хронического заболевания</v>
      </c>
      <c r="E342" s="11">
        <v>45082</v>
      </c>
      <c r="F342" s="58"/>
    </row>
    <row r="343" spans="1:6">
      <c r="A343" s="7">
        <v>49</v>
      </c>
      <c r="B343" s="10" t="str">
        <f>VLOOKUP(A343,vaccines!A:B,2)</f>
        <v>MeningoVac_A_C</v>
      </c>
      <c r="C343" s="7">
        <v>8</v>
      </c>
      <c r="D343" s="8" t="str">
        <f>VLOOKUP(C343,contraindications_list!A:B,2)</f>
        <v>злокачественное новообразование</v>
      </c>
      <c r="E343" s="11">
        <v>45082</v>
      </c>
      <c r="F343" s="58"/>
    </row>
    <row r="344" spans="1:6">
      <c r="A344" s="7">
        <v>49</v>
      </c>
      <c r="B344" s="10" t="str">
        <f>VLOOKUP(A344,vaccines!A:B,2)</f>
        <v>MeningoVac_A_C</v>
      </c>
      <c r="C344" s="7">
        <v>52</v>
      </c>
      <c r="D344" s="8" t="str">
        <f>VLOOKUP(C344,contraindications_list!A:B,2)</f>
        <v>болезни крови</v>
      </c>
      <c r="E344" s="11">
        <v>45082</v>
      </c>
      <c r="F344" s="58"/>
    </row>
    <row r="345" spans="1:6">
      <c r="A345" s="7">
        <v>49</v>
      </c>
      <c r="B345" s="10" t="str">
        <f>VLOOKUP(A345,vaccines!A:B,2)</f>
        <v>MeningoVac_A_C</v>
      </c>
      <c r="C345" s="54">
        <v>74</v>
      </c>
      <c r="D345" s="8" t="str">
        <f>VLOOKUP(C345,contraindications_list!A:B,2)</f>
        <v>злокачественное заболевание крови</v>
      </c>
      <c r="E345" s="12">
        <v>45133</v>
      </c>
      <c r="F345" s="58"/>
    </row>
    <row r="346" spans="1:6">
      <c r="A346" s="7">
        <v>50</v>
      </c>
      <c r="B346" s="10" t="str">
        <f>VLOOKUP(A346,vaccines!A:B,2)</f>
        <v>Menactra</v>
      </c>
      <c r="C346" s="7">
        <v>1</v>
      </c>
      <c r="D346" s="8" t="str">
        <f>VLOOKUP(C346,contraindications_list!A:B,2)</f>
        <v>гиперчувствительность к компонентам</v>
      </c>
      <c r="E346" s="11">
        <v>44943</v>
      </c>
      <c r="F346" s="58"/>
    </row>
    <row r="347" spans="1:6">
      <c r="A347" s="7">
        <v>50</v>
      </c>
      <c r="B347" s="10" t="str">
        <f>VLOOKUP(A347,vaccines!A:B,2)</f>
        <v>Menactra</v>
      </c>
      <c r="C347" s="7">
        <v>5</v>
      </c>
      <c r="D347" s="8" t="str">
        <f>VLOOKUP(C347,contraindications_list!A:B,2)</f>
        <v>острое заболевание</v>
      </c>
      <c r="E347" s="11">
        <v>44943</v>
      </c>
      <c r="F347" s="58"/>
    </row>
    <row r="348" spans="1:6">
      <c r="A348" s="7">
        <v>50</v>
      </c>
      <c r="B348" s="10" t="str">
        <f>VLOOKUP(A348,vaccines!A:B,2)</f>
        <v>Menactra</v>
      </c>
      <c r="C348" s="7">
        <v>6</v>
      </c>
      <c r="D348" s="8" t="str">
        <f>VLOOKUP(C348,contraindications_list!A:B,2)</f>
        <v>обострение хронического заболевания</v>
      </c>
      <c r="E348" s="11">
        <v>44943</v>
      </c>
      <c r="F348" s="58"/>
    </row>
    <row r="349" spans="1:6">
      <c r="A349" s="7">
        <v>51</v>
      </c>
      <c r="B349" s="10" t="str">
        <f>VLOOKUP(A349,vaccines!A:B,2)</f>
        <v>mumps_Microgen</v>
      </c>
      <c r="C349" s="7">
        <v>25</v>
      </c>
      <c r="D349" s="8" t="str">
        <f>VLOOKUP(C349,contraindications_list!A:B,2)</f>
        <v>аллергия на аминогликозиды</v>
      </c>
      <c r="E349" s="11">
        <v>44944</v>
      </c>
      <c r="F349" s="58"/>
    </row>
    <row r="350" spans="1:6">
      <c r="A350" s="7">
        <v>51</v>
      </c>
      <c r="B350" s="10" t="str">
        <f>VLOOKUP(A350,vaccines!A:B,2)</f>
        <v>mumps_Microgen</v>
      </c>
      <c r="C350" s="7">
        <v>24</v>
      </c>
      <c r="D350" s="8" t="str">
        <f>VLOOKUP(C350,contraindications_list!A:B,2)</f>
        <v>аллергия на куриный белок</v>
      </c>
      <c r="E350" s="11">
        <v>44944</v>
      </c>
      <c r="F350" s="58"/>
    </row>
    <row r="351" spans="1:6">
      <c r="A351" s="7">
        <v>51</v>
      </c>
      <c r="B351" s="10" t="str">
        <f>VLOOKUP(A351,vaccines!A:B,2)</f>
        <v>mumps_Microgen</v>
      </c>
      <c r="C351" s="7">
        <v>7</v>
      </c>
      <c r="D351" s="8" t="str">
        <f>VLOOKUP(C351,contraindications_list!A:B,2)</f>
        <v>иммунодефицит</v>
      </c>
      <c r="E351" s="11">
        <v>44944</v>
      </c>
      <c r="F351" s="58"/>
    </row>
    <row r="352" spans="1:6">
      <c r="A352" s="7">
        <v>51</v>
      </c>
      <c r="B352" s="10" t="str">
        <f>VLOOKUP(A352,vaccines!A:B,2)</f>
        <v>mumps_Microgen</v>
      </c>
      <c r="C352" s="7">
        <v>8</v>
      </c>
      <c r="D352" s="8" t="str">
        <f>VLOOKUP(C352,contraindications_list!A:B,2)</f>
        <v>злокачественное новообразование</v>
      </c>
      <c r="E352" s="11">
        <v>44944</v>
      </c>
      <c r="F352" s="58"/>
    </row>
    <row r="353" spans="1:6">
      <c r="A353" s="7">
        <v>51</v>
      </c>
      <c r="B353" s="10" t="str">
        <f>VLOOKUP(A353,vaccines!A:B,2)</f>
        <v>mumps_Microgen</v>
      </c>
      <c r="C353" s="7">
        <v>15</v>
      </c>
      <c r="D353" s="8" t="str">
        <f>VLOOKUP(C353,contraindications_list!A:B,2)</f>
        <v>сильная общая реакция на предыдущее введение вакцины</v>
      </c>
      <c r="E353" s="11">
        <v>44944</v>
      </c>
      <c r="F353" s="58"/>
    </row>
    <row r="354" spans="1:6">
      <c r="A354" s="7">
        <v>51</v>
      </c>
      <c r="B354" s="10" t="str">
        <f>VLOOKUP(A354,vaccines!A:B,2)</f>
        <v>mumps_Microgen</v>
      </c>
      <c r="C354" s="7">
        <v>19</v>
      </c>
      <c r="D354" s="8" t="str">
        <f>VLOOKUP(C354,contraindications_list!A:B,2)</f>
        <v>осложнение на предыдущее введение вакцины</v>
      </c>
      <c r="E354" s="11">
        <v>44944</v>
      </c>
      <c r="F354" s="58"/>
    </row>
    <row r="355" spans="1:6">
      <c r="A355" s="7">
        <v>51</v>
      </c>
      <c r="B355" s="10" t="str">
        <f>VLOOKUP(A355,vaccines!A:B,2)</f>
        <v>mumps_Microgen</v>
      </c>
      <c r="C355" s="7">
        <v>22</v>
      </c>
      <c r="D355" s="8" t="str">
        <f>VLOOKUP(C355,contraindications_list!A:B,2)</f>
        <v>беременность</v>
      </c>
      <c r="E355" s="11">
        <v>44944</v>
      </c>
      <c r="F355" s="58"/>
    </row>
    <row r="356" spans="1:6">
      <c r="A356" s="7">
        <v>51</v>
      </c>
      <c r="B356" s="10" t="str">
        <f>VLOOKUP(A356,vaccines!A:B,2)</f>
        <v>mumps_Microgen</v>
      </c>
      <c r="C356" s="7">
        <v>23</v>
      </c>
      <c r="D356" s="8" t="str">
        <f>VLOOKUP(C356,contraindications_list!A:B,2)</f>
        <v>грудное вскармливание</v>
      </c>
      <c r="E356" s="11">
        <v>44944</v>
      </c>
      <c r="F356" s="58"/>
    </row>
    <row r="357" spans="1:6">
      <c r="A357" s="7">
        <v>51</v>
      </c>
      <c r="B357" s="10" t="str">
        <f>VLOOKUP(A357,vaccines!A:B,2)</f>
        <v>mumps_Microgen</v>
      </c>
      <c r="C357" s="7">
        <v>5</v>
      </c>
      <c r="D357" s="8" t="str">
        <f>VLOOKUP(C357,contraindications_list!A:B,2)</f>
        <v>острое заболевание</v>
      </c>
      <c r="E357" s="11">
        <v>44944</v>
      </c>
      <c r="F357" s="58"/>
    </row>
    <row r="358" spans="1:6">
      <c r="A358" s="7">
        <v>51</v>
      </c>
      <c r="B358" s="10" t="str">
        <f>VLOOKUP(A358,vaccines!A:B,2)</f>
        <v>mumps_Microgen</v>
      </c>
      <c r="C358" s="7">
        <v>6</v>
      </c>
      <c r="D358" s="8" t="str">
        <f>VLOOKUP(C358,contraindications_list!A:B,2)</f>
        <v>обострение хронического заболевания</v>
      </c>
      <c r="E358" s="11">
        <v>44944</v>
      </c>
      <c r="F358" s="58"/>
    </row>
    <row r="359" spans="1:6">
      <c r="A359" s="7">
        <v>51</v>
      </c>
      <c r="B359" s="10" t="str">
        <f>VLOOKUP(A359,vaccines!A:B,2)</f>
        <v>mumps_Microgen</v>
      </c>
      <c r="C359" s="54">
        <v>74</v>
      </c>
      <c r="D359" s="8" t="str">
        <f>VLOOKUP(C359,contraindications_list!A:B,2)</f>
        <v>злокачественное заболевание крови</v>
      </c>
      <c r="E359" s="12">
        <v>45133</v>
      </c>
      <c r="F359" s="58"/>
    </row>
    <row r="360" spans="1:6">
      <c r="A360" s="7">
        <v>52</v>
      </c>
      <c r="B360" s="10" t="str">
        <f>VLOOKUP(A360,vaccines!A:B,2)</f>
        <v>Prevenar_13</v>
      </c>
      <c r="C360" s="7">
        <v>1</v>
      </c>
      <c r="D360" s="8" t="str">
        <f>VLOOKUP(C360,contraindications_list!A:B,2)</f>
        <v>гиперчувствительность к компонентам</v>
      </c>
      <c r="E360" s="11">
        <v>44944</v>
      </c>
      <c r="F360" s="58"/>
    </row>
    <row r="361" spans="1:6">
      <c r="A361" s="7">
        <v>52</v>
      </c>
      <c r="B361" s="10" t="str">
        <f>VLOOKUP(A361,vaccines!A:B,2)</f>
        <v>Prevenar_13</v>
      </c>
      <c r="C361" s="7">
        <v>32</v>
      </c>
      <c r="D361" s="8" t="str">
        <f>VLOOKUP(C361,contraindications_list!A:B,2)</f>
        <v>повышенная чувствительность к дифтерийному анатоксину</v>
      </c>
      <c r="E361" s="11">
        <v>44944</v>
      </c>
      <c r="F361" s="58"/>
    </row>
    <row r="362" spans="1:6">
      <c r="A362" s="7">
        <v>52</v>
      </c>
      <c r="B362" s="10" t="str">
        <f>VLOOKUP(A362,vaccines!A:B,2)</f>
        <v>Prevenar_13</v>
      </c>
      <c r="C362" s="7">
        <v>5</v>
      </c>
      <c r="D362" s="8" t="str">
        <f>VLOOKUP(C362,contraindications_list!A:B,2)</f>
        <v>острое заболевание</v>
      </c>
      <c r="E362" s="11">
        <v>44944</v>
      </c>
      <c r="F362" s="58"/>
    </row>
    <row r="363" spans="1:6">
      <c r="A363" s="7">
        <v>53</v>
      </c>
      <c r="B363" s="10" t="str">
        <f>VLOOKUP(A363,vaccines!A:B,2)</f>
        <v>Synflorix</v>
      </c>
      <c r="C363" s="7">
        <v>1</v>
      </c>
      <c r="D363" s="8" t="str">
        <f>VLOOKUP(C363,contraindications_list!A:B,2)</f>
        <v>гиперчувствительность к компонентам</v>
      </c>
      <c r="E363" s="11">
        <v>44944</v>
      </c>
      <c r="F363" s="58"/>
    </row>
    <row r="364" spans="1:6">
      <c r="A364" s="7">
        <v>53</v>
      </c>
      <c r="B364" s="10" t="str">
        <f>VLOOKUP(A364,vaccines!A:B,2)</f>
        <v>Synflorix</v>
      </c>
      <c r="C364" s="7">
        <v>5</v>
      </c>
      <c r="D364" s="8" t="str">
        <f>VLOOKUP(C364,contraindications_list!A:B,2)</f>
        <v>острое заболевание</v>
      </c>
      <c r="E364" s="11">
        <v>44944</v>
      </c>
      <c r="F364" s="58"/>
    </row>
    <row r="365" spans="1:6">
      <c r="A365" s="7">
        <v>53</v>
      </c>
      <c r="B365" s="10" t="str">
        <f>VLOOKUP(A365,vaccines!A:B,2)</f>
        <v>Synflorix</v>
      </c>
      <c r="C365" s="7">
        <v>6</v>
      </c>
      <c r="D365" s="8" t="str">
        <f>VLOOKUP(C365,contraindications_list!A:B,2)</f>
        <v>обострение хронического заболевания</v>
      </c>
      <c r="E365" s="11">
        <v>44944</v>
      </c>
      <c r="F365" s="58"/>
    </row>
    <row r="366" spans="1:6">
      <c r="A366" s="7">
        <v>54</v>
      </c>
      <c r="B366" s="10" t="str">
        <f>VLOOKUP(A366,vaccines!A:B,2)</f>
        <v>Pneumovax_23</v>
      </c>
      <c r="C366" s="7">
        <v>1</v>
      </c>
      <c r="D366" s="8" t="str">
        <f>VLOOKUP(C366,contraindications_list!A:B,2)</f>
        <v>гиперчувствительность к компонентам</v>
      </c>
      <c r="E366" s="11">
        <v>44944</v>
      </c>
      <c r="F366" s="58"/>
    </row>
    <row r="367" spans="1:6">
      <c r="A367" s="7">
        <v>54</v>
      </c>
      <c r="B367" s="10" t="str">
        <f>VLOOKUP(A367,vaccines!A:B,2)</f>
        <v>Pneumovax_23</v>
      </c>
      <c r="C367" s="7">
        <v>15</v>
      </c>
      <c r="D367" s="8" t="str">
        <f>VLOOKUP(C367,contraindications_list!A:B,2)</f>
        <v>сильная общая реакция на предыдущее введение вакцины</v>
      </c>
      <c r="E367" s="11">
        <v>44944</v>
      </c>
      <c r="F367" s="58"/>
    </row>
    <row r="368" spans="1:6">
      <c r="A368" s="7">
        <v>54</v>
      </c>
      <c r="B368" s="10" t="str">
        <f>VLOOKUP(A368,vaccines!A:B,2)</f>
        <v>Pneumovax_23</v>
      </c>
      <c r="C368" s="7">
        <v>19</v>
      </c>
      <c r="D368" s="8" t="str">
        <f>VLOOKUP(C368,contraindications_list!A:B,2)</f>
        <v>осложнение на предыдущее введение вакцины</v>
      </c>
      <c r="E368" s="11">
        <v>44944</v>
      </c>
      <c r="F368" s="58"/>
    </row>
    <row r="369" spans="1:6">
      <c r="A369" s="7">
        <v>54</v>
      </c>
      <c r="B369" s="10" t="str">
        <f>VLOOKUP(A369,vaccines!A:B,2)</f>
        <v>Pneumovax_23</v>
      </c>
      <c r="C369" s="7">
        <v>5</v>
      </c>
      <c r="D369" s="8" t="str">
        <f>VLOOKUP(C369,contraindications_list!A:B,2)</f>
        <v>острое заболевание</v>
      </c>
      <c r="E369" s="11">
        <v>44944</v>
      </c>
      <c r="F369" s="58"/>
    </row>
    <row r="370" spans="1:6">
      <c r="A370" s="7">
        <v>54</v>
      </c>
      <c r="B370" s="10" t="str">
        <f>VLOOKUP(A370,vaccines!A:B,2)</f>
        <v>Pneumovax_23</v>
      </c>
      <c r="C370" s="7">
        <v>6</v>
      </c>
      <c r="D370" s="8" t="str">
        <f>VLOOKUP(C370,contraindications_list!A:B,2)</f>
        <v>обострение хронического заболевания</v>
      </c>
      <c r="E370" s="11">
        <v>44944</v>
      </c>
      <c r="F370" s="58"/>
    </row>
    <row r="371" spans="1:6">
      <c r="A371" s="7">
        <v>55</v>
      </c>
      <c r="B371" s="10" t="str">
        <f>VLOOKUP(A371,vaccines!A:B,2)</f>
        <v>MonoVac_Polio</v>
      </c>
      <c r="C371" s="7">
        <v>19</v>
      </c>
      <c r="D371" s="8" t="str">
        <f>VLOOKUP(C371,contraindications_list!A:B,2)</f>
        <v>осложнение на предыдущее введение вакцины</v>
      </c>
      <c r="E371" s="11">
        <v>44944</v>
      </c>
      <c r="F371" s="58"/>
    </row>
    <row r="372" spans="1:6">
      <c r="A372" s="7">
        <v>55</v>
      </c>
      <c r="B372" s="10" t="str">
        <f>VLOOKUP(A372,vaccines!A:B,2)</f>
        <v>MonoVac_Polio</v>
      </c>
      <c r="C372" s="7">
        <v>7</v>
      </c>
      <c r="D372" s="8" t="str">
        <f>VLOOKUP(C372,contraindications_list!A:B,2)</f>
        <v>иммунодефицит</v>
      </c>
      <c r="E372" s="11">
        <v>44944</v>
      </c>
      <c r="F372" s="58"/>
    </row>
    <row r="373" spans="1:6">
      <c r="A373" s="7">
        <v>55</v>
      </c>
      <c r="B373" s="10" t="str">
        <f>VLOOKUP(A373,vaccines!A:B,2)</f>
        <v>MonoVac_Polio</v>
      </c>
      <c r="C373" s="7">
        <v>8</v>
      </c>
      <c r="D373" s="8" t="str">
        <f>VLOOKUP(C373,contraindications_list!A:B,2)</f>
        <v>злокачественное новообразование</v>
      </c>
      <c r="E373" s="11">
        <v>44944</v>
      </c>
      <c r="F373" s="58"/>
    </row>
    <row r="374" spans="1:6">
      <c r="A374" s="7">
        <v>55</v>
      </c>
      <c r="B374" s="10" t="str">
        <f>VLOOKUP(A374,vaccines!A:B,2)</f>
        <v>MonoVac_Polio</v>
      </c>
      <c r="C374" s="7">
        <v>28</v>
      </c>
      <c r="D374" s="8" t="str">
        <f>VLOOKUP(C374,contraindications_list!A:B,2)</f>
        <v>иммуносупрессивная терапия</v>
      </c>
      <c r="E374" s="11">
        <v>44944</v>
      </c>
      <c r="F374" s="58"/>
    </row>
    <row r="375" spans="1:6">
      <c r="A375" s="7">
        <v>55</v>
      </c>
      <c r="B375" s="10" t="str">
        <f>VLOOKUP(A375,vaccines!A:B,2)</f>
        <v>MonoVac_Polio</v>
      </c>
      <c r="C375" s="7">
        <v>22</v>
      </c>
      <c r="D375" s="8" t="str">
        <f>VLOOKUP(C375,contraindications_list!A:B,2)</f>
        <v>беременность</v>
      </c>
      <c r="E375" s="11">
        <v>44944</v>
      </c>
      <c r="F375" s="58"/>
    </row>
    <row r="376" spans="1:6">
      <c r="A376" s="7">
        <v>55</v>
      </c>
      <c r="B376" s="10" t="str">
        <f>VLOOKUP(A376,vaccines!A:B,2)</f>
        <v>MonoVac_Polio</v>
      </c>
      <c r="C376" s="7">
        <v>1</v>
      </c>
      <c r="D376" s="8" t="str">
        <f>VLOOKUP(C376,contraindications_list!A:B,2)</f>
        <v>гиперчувствительность к компонентам</v>
      </c>
      <c r="E376" s="11">
        <v>44944</v>
      </c>
      <c r="F376" s="58"/>
    </row>
    <row r="377" spans="1:6">
      <c r="A377" s="7">
        <v>55</v>
      </c>
      <c r="B377" s="10" t="str">
        <f>VLOOKUP(A377,vaccines!A:B,2)</f>
        <v>MonoVac_Polio</v>
      </c>
      <c r="C377" s="7">
        <v>15</v>
      </c>
      <c r="D377" s="8" t="str">
        <f>VLOOKUP(C377,contraindications_list!A:B,2)</f>
        <v>сильная общая реакция на предыдущее введение вакцины</v>
      </c>
      <c r="E377" s="11">
        <v>44944</v>
      </c>
      <c r="F377" s="58"/>
    </row>
    <row r="378" spans="1:6">
      <c r="A378" s="7">
        <v>55</v>
      </c>
      <c r="B378" s="10" t="str">
        <f>VLOOKUP(A378,vaccines!A:B,2)</f>
        <v>MonoVac_Polio</v>
      </c>
      <c r="C378" s="7">
        <v>5</v>
      </c>
      <c r="D378" s="8" t="str">
        <f>VLOOKUP(C378,contraindications_list!A:B,2)</f>
        <v>острое заболевание</v>
      </c>
      <c r="E378" s="11">
        <v>44944</v>
      </c>
      <c r="F378" s="58"/>
    </row>
    <row r="379" spans="1:6">
      <c r="A379" s="7">
        <v>55</v>
      </c>
      <c r="B379" s="10" t="str">
        <f>VLOOKUP(A379,vaccines!A:B,2)</f>
        <v>MonoVac_Polio</v>
      </c>
      <c r="C379" s="7">
        <v>6</v>
      </c>
      <c r="D379" s="8" t="str">
        <f>VLOOKUP(C379,contraindications_list!A:B,2)</f>
        <v>обострение хронического заболевания</v>
      </c>
      <c r="E379" s="11">
        <v>44944</v>
      </c>
      <c r="F379" s="58"/>
    </row>
    <row r="380" spans="1:6">
      <c r="A380" s="7">
        <v>56</v>
      </c>
      <c r="B380" s="10" t="str">
        <f>VLOOKUP(A380,vaccines!A:B,2)</f>
        <v>BiVac_Polio</v>
      </c>
      <c r="C380" s="7">
        <v>19</v>
      </c>
      <c r="D380" s="8" t="str">
        <f>VLOOKUP(C380,contraindications_list!A:B,2)</f>
        <v>осложнение на предыдущее введение вакцины</v>
      </c>
      <c r="E380" s="11">
        <v>44965</v>
      </c>
      <c r="F380" s="58"/>
    </row>
    <row r="381" spans="1:6">
      <c r="A381" s="7">
        <v>56</v>
      </c>
      <c r="B381" s="10" t="str">
        <f>VLOOKUP(A381,vaccines!A:B,2)</f>
        <v>BiVac_Polio</v>
      </c>
      <c r="C381" s="7">
        <v>7</v>
      </c>
      <c r="D381" s="8" t="str">
        <f>VLOOKUP(C381,contraindications_list!A:B,2)</f>
        <v>иммунодефицит</v>
      </c>
      <c r="E381" s="11">
        <v>44965</v>
      </c>
      <c r="F381" s="58"/>
    </row>
    <row r="382" spans="1:6">
      <c r="A382" s="7">
        <v>56</v>
      </c>
      <c r="B382" s="10" t="str">
        <f>VLOOKUP(A382,vaccines!A:B,2)</f>
        <v>BiVac_Polio</v>
      </c>
      <c r="C382" s="7">
        <v>22</v>
      </c>
      <c r="D382" s="8" t="str">
        <f>VLOOKUP(C382,contraindications_list!A:B,2)</f>
        <v>беременность</v>
      </c>
      <c r="E382" s="11">
        <v>44965</v>
      </c>
      <c r="F382" s="58"/>
    </row>
    <row r="383" spans="1:6">
      <c r="A383" s="7">
        <v>56</v>
      </c>
      <c r="B383" s="10" t="str">
        <f>VLOOKUP(A383,vaccines!A:B,2)</f>
        <v>BiVac_Polio</v>
      </c>
      <c r="C383" s="7">
        <v>1</v>
      </c>
      <c r="D383" s="8" t="str">
        <f>VLOOKUP(C383,contraindications_list!A:B,2)</f>
        <v>гиперчувствительность к компонентам</v>
      </c>
      <c r="E383" s="11">
        <v>44965</v>
      </c>
      <c r="F383" s="58"/>
    </row>
    <row r="384" spans="1:6">
      <c r="A384" s="7">
        <v>56</v>
      </c>
      <c r="B384" s="10" t="str">
        <f>VLOOKUP(A384,vaccines!A:B,2)</f>
        <v>BiVac_Polio</v>
      </c>
      <c r="C384" s="7">
        <v>15</v>
      </c>
      <c r="D384" s="8" t="str">
        <f>VLOOKUP(C384,contraindications_list!A:B,2)</f>
        <v>сильная общая реакция на предыдущее введение вакцины</v>
      </c>
      <c r="E384" s="11">
        <v>44965</v>
      </c>
      <c r="F384" s="58"/>
    </row>
    <row r="385" spans="1:6">
      <c r="A385" s="7">
        <v>56</v>
      </c>
      <c r="B385" s="10" t="str">
        <f>VLOOKUP(A385,vaccines!A:B,2)</f>
        <v>BiVac_Polio</v>
      </c>
      <c r="C385" s="7">
        <v>5</v>
      </c>
      <c r="D385" s="8" t="str">
        <f>VLOOKUP(C385,contraindications_list!A:B,2)</f>
        <v>острое заболевание</v>
      </c>
      <c r="E385" s="11">
        <v>44965</v>
      </c>
      <c r="F385" s="58"/>
    </row>
    <row r="386" spans="1:6">
      <c r="A386" s="7">
        <v>56</v>
      </c>
      <c r="B386" s="10" t="str">
        <f>VLOOKUP(A386,vaccines!A:B,2)</f>
        <v>BiVac_Polio</v>
      </c>
      <c r="C386" s="7">
        <v>6</v>
      </c>
      <c r="D386" s="8" t="str">
        <f>VLOOKUP(C386,contraindications_list!A:B,2)</f>
        <v>обострение хронического заболевания</v>
      </c>
      <c r="E386" s="11">
        <v>44965</v>
      </c>
      <c r="F386" s="58"/>
    </row>
    <row r="387" spans="1:6">
      <c r="A387" s="7">
        <v>56</v>
      </c>
      <c r="B387" s="10" t="str">
        <f>VLOOKUP(A387,vaccines!A:B,2)</f>
        <v>BiVac_Polio</v>
      </c>
      <c r="C387" s="7">
        <v>33</v>
      </c>
      <c r="D387" s="8" t="str">
        <f>VLOOKUP(C387,contraindications_list!A:B,2)</f>
        <v>аномалия развития кишечника</v>
      </c>
      <c r="E387" s="11">
        <v>44965</v>
      </c>
      <c r="F387" s="58"/>
    </row>
    <row r="388" spans="1:6">
      <c r="A388" s="7">
        <v>56</v>
      </c>
      <c r="B388" s="10" t="str">
        <f>VLOOKUP(A388,vaccines!A:B,2)</f>
        <v>BiVac_Polio</v>
      </c>
      <c r="C388" s="7">
        <v>8</v>
      </c>
      <c r="D388" s="8" t="str">
        <f>VLOOKUP(C388,contraindications_list!A:B,2)</f>
        <v>злокачественное новообразование</v>
      </c>
      <c r="E388" s="11">
        <v>44965</v>
      </c>
      <c r="F388" s="58"/>
    </row>
    <row r="389" spans="1:6">
      <c r="A389" s="7">
        <v>56</v>
      </c>
      <c r="B389" s="10" t="str">
        <f>VLOOKUP(A389,vaccines!A:B,2)</f>
        <v>BiVac_Polio</v>
      </c>
      <c r="C389" s="7">
        <v>28</v>
      </c>
      <c r="D389" s="8" t="str">
        <f>VLOOKUP(C389,contraindications_list!A:B,2)</f>
        <v>иммуносупрессивная терапия</v>
      </c>
      <c r="E389" s="11">
        <v>44965</v>
      </c>
      <c r="F389" s="58"/>
    </row>
    <row r="390" spans="1:6">
      <c r="A390" s="7">
        <v>56</v>
      </c>
      <c r="B390" s="10" t="str">
        <f>VLOOKUP(A390,vaccines!A:B,2)</f>
        <v>BiVac_Polio</v>
      </c>
      <c r="C390" s="7">
        <v>10</v>
      </c>
      <c r="D390" s="8" t="str">
        <f>VLOOKUP(C390,contraindications_list!A:B,2)</f>
        <v>ВИЧ</v>
      </c>
      <c r="E390" s="11">
        <v>44965</v>
      </c>
      <c r="F390" s="58"/>
    </row>
    <row r="391" spans="1:6">
      <c r="A391" s="7">
        <v>56</v>
      </c>
      <c r="B391" s="10" t="str">
        <f>VLOOKUP(A391,vaccines!A:B,2)</f>
        <v>BiVac_Polio</v>
      </c>
      <c r="C391" s="7">
        <v>11</v>
      </c>
      <c r="D391" s="8" t="str">
        <f>VLOOKUP(C391,contraindications_list!A:B,2)</f>
        <v>ВИЧ у матери</v>
      </c>
      <c r="E391" s="11">
        <v>44965</v>
      </c>
      <c r="F391" s="58"/>
    </row>
    <row r="392" spans="1:6">
      <c r="A392" s="7">
        <v>56</v>
      </c>
      <c r="B392" s="10" t="str">
        <f>VLOOKUP(A392,vaccines!A:B,2)</f>
        <v>BiVac_Polio</v>
      </c>
      <c r="C392" s="7">
        <v>2</v>
      </c>
      <c r="D392" s="8" t="str">
        <f>VLOOKUP(C392,contraindications_list!A:B,2)</f>
        <v>недоношенность</v>
      </c>
      <c r="E392" s="11">
        <v>44965</v>
      </c>
      <c r="F392" s="58"/>
    </row>
    <row r="393" spans="1:6">
      <c r="A393" s="7">
        <v>56</v>
      </c>
      <c r="B393" s="10" t="str">
        <f>VLOOKUP(A393,vaccines!A:B,2)</f>
        <v>BiVac_Polio</v>
      </c>
      <c r="C393" s="7">
        <v>4</v>
      </c>
      <c r="D393" s="8" t="str">
        <f>VLOOKUP(C393,contraindications_list!A:B,2)</f>
        <v>низкая масса тела</v>
      </c>
      <c r="E393" s="11">
        <v>44965</v>
      </c>
      <c r="F393" s="58"/>
    </row>
    <row r="394" spans="1:6">
      <c r="A394" s="7">
        <v>56</v>
      </c>
      <c r="B394" s="10" t="str">
        <f>VLOOKUP(A394,vaccines!A:B,2)</f>
        <v>BiVac_Polio</v>
      </c>
      <c r="C394" s="7">
        <v>34</v>
      </c>
      <c r="D394" s="8" t="str">
        <f>VLOOKUP(C394,contraindications_list!A:B,2)</f>
        <v>проживание в доме ребенка</v>
      </c>
      <c r="E394" s="11">
        <v>44965</v>
      </c>
      <c r="F394" s="58"/>
    </row>
    <row r="395" spans="1:6">
      <c r="A395" s="7">
        <v>56</v>
      </c>
      <c r="B395" s="10" t="str">
        <f>VLOOKUP(A395,vaccines!A:B,2)</f>
        <v>BiVac_Polio</v>
      </c>
      <c r="C395" s="54">
        <v>73</v>
      </c>
      <c r="D395" s="8" t="str">
        <f>VLOOKUP(C395,contraindications_list!A:B,2)</f>
        <v>анатомические дефекты, повышающие риск гемофильной инфекции</v>
      </c>
      <c r="E395" s="12">
        <v>45988</v>
      </c>
      <c r="F395" s="58"/>
    </row>
    <row r="396" spans="1:6">
      <c r="A396" s="7">
        <v>56</v>
      </c>
      <c r="B396" s="10" t="str">
        <f>VLOOKUP(A396,vaccines!A:B,2)</f>
        <v>BiVac_Polio</v>
      </c>
      <c r="C396" s="54">
        <v>53</v>
      </c>
      <c r="D396" s="8" t="str">
        <f>VLOOKUP(C396,contraindications_list!A:B,2)</f>
        <v>неврологическое заболевание</v>
      </c>
      <c r="E396" s="12">
        <v>45988</v>
      </c>
      <c r="F396" s="58"/>
    </row>
    <row r="397" spans="1:6">
      <c r="A397" s="7">
        <v>57</v>
      </c>
      <c r="B397" s="10" t="str">
        <f>VLOOKUP(A397,vaccines!A:B,2)</f>
        <v>Polymilex</v>
      </c>
      <c r="C397" s="7">
        <v>19</v>
      </c>
      <c r="D397" s="8" t="str">
        <f>VLOOKUP(C397,contraindications_list!A:B,2)</f>
        <v>осложнение на предыдущее введение вакцины</v>
      </c>
      <c r="E397" s="11">
        <v>44965</v>
      </c>
      <c r="F397" s="58"/>
    </row>
    <row r="398" spans="1:6">
      <c r="A398" s="7">
        <v>57</v>
      </c>
      <c r="B398" s="10" t="str">
        <f>VLOOKUP(A398,vaccines!A:B,2)</f>
        <v>Polymilex</v>
      </c>
      <c r="C398" s="7">
        <v>1</v>
      </c>
      <c r="D398" s="8" t="str">
        <f>VLOOKUP(C398,contraindications_list!A:B,2)</f>
        <v>гиперчувствительность к компонентам</v>
      </c>
      <c r="E398" s="11">
        <v>44965</v>
      </c>
      <c r="F398" s="58"/>
    </row>
    <row r="399" spans="1:6">
      <c r="A399" s="7">
        <v>57</v>
      </c>
      <c r="B399" s="10" t="str">
        <f>VLOOKUP(A399,vaccines!A:B,2)</f>
        <v>Polymilex</v>
      </c>
      <c r="C399" s="7">
        <v>5</v>
      </c>
      <c r="D399" s="8" t="str">
        <f>VLOOKUP(C399,contraindications_list!A:B,2)</f>
        <v>острое заболевание</v>
      </c>
      <c r="E399" s="11">
        <v>44965</v>
      </c>
      <c r="F399" s="58"/>
    </row>
    <row r="400" spans="1:6">
      <c r="A400" s="7">
        <v>57</v>
      </c>
      <c r="B400" s="10" t="str">
        <f>VLOOKUP(A400,vaccines!A:B,2)</f>
        <v>Polymilex</v>
      </c>
      <c r="C400" s="7">
        <v>6</v>
      </c>
      <c r="D400" s="8" t="str">
        <f>VLOOKUP(C400,contraindications_list!A:B,2)</f>
        <v>обострение хронического заболевания</v>
      </c>
      <c r="E400" s="11">
        <v>44965</v>
      </c>
      <c r="F400" s="58"/>
    </row>
    <row r="401" spans="1:6">
      <c r="A401" s="7">
        <v>57</v>
      </c>
      <c r="B401" s="10" t="str">
        <f>VLOOKUP(A401,vaccines!A:B,2)</f>
        <v>Polymilex</v>
      </c>
      <c r="C401" s="7">
        <v>15</v>
      </c>
      <c r="D401" s="8" t="str">
        <f>VLOOKUP(C401,contraindications_list!A:B,2)</f>
        <v>сильная общая реакция на предыдущее введение вакцины</v>
      </c>
      <c r="E401" s="11">
        <v>44965</v>
      </c>
      <c r="F401" s="58"/>
    </row>
    <row r="402" spans="1:6">
      <c r="A402" s="7">
        <v>58</v>
      </c>
      <c r="B402" s="10" t="str">
        <f>VLOOKUP(A402,vaccines!A:B,2)</f>
        <v>COCAV</v>
      </c>
      <c r="C402" s="7">
        <v>5</v>
      </c>
      <c r="D402" s="8" t="str">
        <f>VLOOKUP(C402,contraindications_list!A:B,2)</f>
        <v>острое заболевание</v>
      </c>
      <c r="E402" s="11">
        <v>45034</v>
      </c>
      <c r="F402" s="58"/>
    </row>
    <row r="403" spans="1:6">
      <c r="A403" s="7">
        <v>58</v>
      </c>
      <c r="B403" s="10" t="str">
        <f>VLOOKUP(A403,vaccines!A:B,2)</f>
        <v>COCAV</v>
      </c>
      <c r="C403" s="7">
        <v>6</v>
      </c>
      <c r="D403" s="8" t="str">
        <f>VLOOKUP(C403,contraindications_list!A:B,2)</f>
        <v>обострение хронического заболевания</v>
      </c>
      <c r="E403" s="11">
        <v>45034</v>
      </c>
      <c r="F403" s="58"/>
    </row>
    <row r="404" spans="1:6">
      <c r="A404" s="7">
        <v>58</v>
      </c>
      <c r="B404" s="10" t="str">
        <f>VLOOKUP(A404,vaccines!A:B,2)</f>
        <v>COCAV</v>
      </c>
      <c r="C404" s="7">
        <v>1</v>
      </c>
      <c r="D404" s="8" t="str">
        <f>VLOOKUP(C404,contraindications_list!A:B,2)</f>
        <v>гиперчувствительность к компонентам</v>
      </c>
      <c r="E404" s="11">
        <v>45034</v>
      </c>
      <c r="F404" s="58"/>
    </row>
    <row r="405" spans="1:6">
      <c r="A405" s="7">
        <v>58</v>
      </c>
      <c r="B405" s="10" t="str">
        <f>VLOOKUP(A405,vaccines!A:B,2)</f>
        <v>COCAV</v>
      </c>
      <c r="C405" s="7">
        <v>15</v>
      </c>
      <c r="D405" s="8" t="str">
        <f>VLOOKUP(C405,contraindications_list!A:B,2)</f>
        <v>сильная общая реакция на предыдущее введение вакцины</v>
      </c>
      <c r="E405" s="11">
        <v>45034</v>
      </c>
      <c r="F405" s="58"/>
    </row>
    <row r="406" spans="1:6">
      <c r="A406" s="7">
        <v>58</v>
      </c>
      <c r="B406" s="10" t="str">
        <f>VLOOKUP(A406,vaccines!A:B,2)</f>
        <v>COCAV</v>
      </c>
      <c r="C406" s="7">
        <v>19</v>
      </c>
      <c r="D406" s="8" t="str">
        <f>VLOOKUP(C406,contraindications_list!A:B,2)</f>
        <v>осложнение на предыдущее введение вакцины</v>
      </c>
      <c r="E406" s="11">
        <v>45034</v>
      </c>
      <c r="F406" s="58"/>
    </row>
    <row r="407" spans="1:6">
      <c r="A407" s="7">
        <v>58</v>
      </c>
      <c r="B407" s="10" t="str">
        <f>VLOOKUP(A407,vaccines!A:B,2)</f>
        <v>COCAV</v>
      </c>
      <c r="C407" s="7">
        <v>22</v>
      </c>
      <c r="D407" s="8" t="str">
        <f>VLOOKUP(C407,contraindications_list!A:B,2)</f>
        <v>беременность</v>
      </c>
      <c r="E407" s="11">
        <v>45034</v>
      </c>
      <c r="F407" s="58"/>
    </row>
    <row r="408" spans="1:6">
      <c r="A408" s="7">
        <v>59</v>
      </c>
      <c r="B408" s="10" t="str">
        <f>VLOOKUP(A408,vaccines!A:B,2)</f>
        <v>rabies_Chumakov</v>
      </c>
      <c r="C408" s="7">
        <v>5</v>
      </c>
      <c r="D408" s="8" t="str">
        <f>VLOOKUP(C408,contraindications_list!A:B,2)</f>
        <v>острое заболевание</v>
      </c>
      <c r="E408" s="11">
        <v>45034</v>
      </c>
      <c r="F408" s="58"/>
    </row>
    <row r="409" spans="1:6">
      <c r="A409" s="7">
        <v>59</v>
      </c>
      <c r="B409" s="10" t="str">
        <f>VLOOKUP(A409,vaccines!A:B,2)</f>
        <v>rabies_Chumakov</v>
      </c>
      <c r="C409" s="7">
        <v>6</v>
      </c>
      <c r="D409" s="8" t="str">
        <f>VLOOKUP(C409,contraindications_list!A:B,2)</f>
        <v>обострение хронического заболевания</v>
      </c>
      <c r="E409" s="11">
        <v>45034</v>
      </c>
      <c r="F409" s="58"/>
    </row>
    <row r="410" spans="1:6">
      <c r="A410" s="7">
        <v>59</v>
      </c>
      <c r="B410" s="10" t="str">
        <f>VLOOKUP(A410,vaccines!A:B,2)</f>
        <v>rabies_Chumakov</v>
      </c>
      <c r="C410" s="7">
        <v>1</v>
      </c>
      <c r="D410" s="8" t="str">
        <f>VLOOKUP(C410,contraindications_list!A:B,2)</f>
        <v>гиперчувствительность к компонентам</v>
      </c>
      <c r="E410" s="11">
        <v>45034</v>
      </c>
      <c r="F410" s="58"/>
    </row>
    <row r="411" spans="1:6">
      <c r="A411" s="7">
        <v>59</v>
      </c>
      <c r="B411" s="10" t="str">
        <f>VLOOKUP(A411,vaccines!A:B,2)</f>
        <v>rabies_Chumakov</v>
      </c>
      <c r="C411" s="7">
        <v>15</v>
      </c>
      <c r="D411" s="8" t="str">
        <f>VLOOKUP(C411,contraindications_list!A:B,2)</f>
        <v>сильная общая реакция на предыдущее введение вакцины</v>
      </c>
      <c r="E411" s="11">
        <v>45034</v>
      </c>
      <c r="F411" s="58"/>
    </row>
    <row r="412" spans="1:6">
      <c r="A412" s="7">
        <v>59</v>
      </c>
      <c r="B412" s="10" t="str">
        <f>VLOOKUP(A412,vaccines!A:B,2)</f>
        <v>rabies_Chumakov</v>
      </c>
      <c r="C412" s="7">
        <v>19</v>
      </c>
      <c r="D412" s="8" t="str">
        <f>VLOOKUP(C412,contraindications_list!A:B,2)</f>
        <v>осложнение на предыдущее введение вакцины</v>
      </c>
      <c r="E412" s="11">
        <v>45034</v>
      </c>
      <c r="F412" s="58"/>
    </row>
    <row r="413" spans="1:6">
      <c r="A413" s="7">
        <v>59</v>
      </c>
      <c r="B413" s="10" t="str">
        <f>VLOOKUP(A413,vaccines!A:B,2)</f>
        <v>rabies_Chumakov</v>
      </c>
      <c r="C413" s="7">
        <v>22</v>
      </c>
      <c r="D413" s="8" t="str">
        <f>VLOOKUP(C413,contraindications_list!A:B,2)</f>
        <v>беременность</v>
      </c>
      <c r="E413" s="11">
        <v>45034</v>
      </c>
      <c r="F413" s="58"/>
    </row>
    <row r="414" spans="1:6">
      <c r="A414" s="7">
        <v>60</v>
      </c>
      <c r="B414" s="10" t="str">
        <f>VLOOKUP(A414,vaccines!A:B,2)</f>
        <v>Rabivac_Vnukovo_32</v>
      </c>
      <c r="C414" s="7">
        <v>5</v>
      </c>
      <c r="D414" s="8" t="str">
        <f>VLOOKUP(C414,contraindications_list!A:B,2)</f>
        <v>острое заболевание</v>
      </c>
      <c r="E414" s="11">
        <v>45034</v>
      </c>
      <c r="F414" s="58"/>
    </row>
    <row r="415" spans="1:6">
      <c r="A415" s="7">
        <v>60</v>
      </c>
      <c r="B415" s="10" t="str">
        <f>VLOOKUP(A415,vaccines!A:B,2)</f>
        <v>Rabivac_Vnukovo_32</v>
      </c>
      <c r="C415" s="7">
        <v>6</v>
      </c>
      <c r="D415" s="8" t="str">
        <f>VLOOKUP(C415,contraindications_list!A:B,2)</f>
        <v>обострение хронического заболевания</v>
      </c>
      <c r="E415" s="11">
        <v>45034</v>
      </c>
      <c r="F415" s="58"/>
    </row>
    <row r="416" spans="1:6">
      <c r="A416" s="7">
        <v>60</v>
      </c>
      <c r="B416" s="10" t="str">
        <f>VLOOKUP(A416,vaccines!A:B,2)</f>
        <v>Rabivac_Vnukovo_32</v>
      </c>
      <c r="C416" s="7">
        <v>35</v>
      </c>
      <c r="D416" s="8" t="str">
        <f>VLOOKUP(C416,contraindications_list!A:B,2)</f>
        <v>сердечно-сосудистая недостаточность</v>
      </c>
      <c r="E416" s="11">
        <v>45034</v>
      </c>
      <c r="F416" s="58"/>
    </row>
    <row r="417" spans="1:6">
      <c r="A417" s="7">
        <v>60</v>
      </c>
      <c r="B417" s="10" t="str">
        <f>VLOOKUP(A417,vaccines!A:B,2)</f>
        <v>Rabivac_Vnukovo_32</v>
      </c>
      <c r="C417" s="7">
        <v>36</v>
      </c>
      <c r="D417" s="8" t="str">
        <f>VLOOKUP(C417,contraindications_list!A:B,2)</f>
        <v>хроническое заболевание почек</v>
      </c>
      <c r="E417" s="11">
        <v>45034</v>
      </c>
      <c r="F417" s="58"/>
    </row>
    <row r="418" spans="1:6">
      <c r="A418" s="7">
        <v>60</v>
      </c>
      <c r="B418" s="10" t="str">
        <f>VLOOKUP(A418,vaccines!A:B,2)</f>
        <v>Rabivac_Vnukovo_32</v>
      </c>
      <c r="C418" s="7">
        <v>37</v>
      </c>
      <c r="D418" s="8" t="str">
        <f>VLOOKUP(C418,contraindications_list!A:B,2)</f>
        <v>хроническое заболевание печени</v>
      </c>
      <c r="E418" s="11">
        <v>45034</v>
      </c>
      <c r="F418" s="58"/>
    </row>
    <row r="419" spans="1:6">
      <c r="A419" s="7">
        <v>60</v>
      </c>
      <c r="B419" s="10" t="str">
        <f>VLOOKUP(A419,vaccines!A:B,2)</f>
        <v>Rabivac_Vnukovo_32</v>
      </c>
      <c r="C419" s="7">
        <v>38</v>
      </c>
      <c r="D419" s="8" t="str">
        <f>VLOOKUP(C419,contraindications_list!A:B,2)</f>
        <v>хроническое заболевание эндокринной системы</v>
      </c>
      <c r="E419" s="11">
        <v>45034</v>
      </c>
      <c r="F419" s="58"/>
    </row>
    <row r="420" spans="1:6">
      <c r="A420" s="7">
        <v>60</v>
      </c>
      <c r="B420" s="10" t="str">
        <f>VLOOKUP(A420,vaccines!A:B,2)</f>
        <v>Rabivac_Vnukovo_32</v>
      </c>
      <c r="C420" s="7">
        <v>39</v>
      </c>
      <c r="D420" s="8" t="str">
        <f>VLOOKUP(C420,contraindications_list!A:B,2)</f>
        <v>системное заболевание соединительной ткани</v>
      </c>
      <c r="E420" s="11">
        <v>45034</v>
      </c>
      <c r="F420" s="58"/>
    </row>
    <row r="421" spans="1:6">
      <c r="A421" s="7">
        <v>60</v>
      </c>
      <c r="B421" s="10" t="str">
        <f>VLOOKUP(A421,vaccines!A:B,2)</f>
        <v>Rabivac_Vnukovo_32</v>
      </c>
      <c r="C421" s="7">
        <v>1</v>
      </c>
      <c r="D421" s="8" t="str">
        <f>VLOOKUP(C421,contraindications_list!A:B,2)</f>
        <v>гиперчувствительность к компонентам</v>
      </c>
      <c r="E421" s="11">
        <v>45034</v>
      </c>
      <c r="F421" s="58"/>
    </row>
    <row r="422" spans="1:6">
      <c r="A422" s="7">
        <v>60</v>
      </c>
      <c r="B422" s="10" t="str">
        <f>VLOOKUP(A422,vaccines!A:B,2)</f>
        <v>Rabivac_Vnukovo_32</v>
      </c>
      <c r="C422" s="7">
        <v>40</v>
      </c>
      <c r="D422" s="8" t="str">
        <f>VLOOKUP(C422,contraindications_list!A:B,2)</f>
        <v>гиперчувствительность к антибиотикам</v>
      </c>
      <c r="E422" s="11">
        <v>45034</v>
      </c>
      <c r="F422" s="58"/>
    </row>
    <row r="423" spans="1:6">
      <c r="A423" s="7">
        <v>60</v>
      </c>
      <c r="B423" s="10" t="str">
        <f>VLOOKUP(A423,vaccines!A:B,2)</f>
        <v>Rabivac_Vnukovo_32</v>
      </c>
      <c r="C423" s="7">
        <v>22</v>
      </c>
      <c r="D423" s="8" t="str">
        <f>VLOOKUP(C423,contraindications_list!A:B,2)</f>
        <v>беременность</v>
      </c>
      <c r="E423" s="11">
        <v>45034</v>
      </c>
      <c r="F423" s="58"/>
    </row>
    <row r="424" spans="1:6">
      <c r="A424" s="7">
        <v>61</v>
      </c>
      <c r="B424" s="10" t="str">
        <f>VLOOKUP(A424,vaccines!A:B,2)</f>
        <v>RotaTeq</v>
      </c>
      <c r="C424" s="7">
        <v>1</v>
      </c>
      <c r="D424" s="8" t="str">
        <f>VLOOKUP(C424,contraindications_list!A:B,2)</f>
        <v>гиперчувствительность к компонентам</v>
      </c>
      <c r="E424" s="11">
        <v>45034</v>
      </c>
      <c r="F424" s="58"/>
    </row>
    <row r="425" spans="1:6">
      <c r="A425" s="7">
        <v>61</v>
      </c>
      <c r="B425" s="10" t="str">
        <f>VLOOKUP(A425,vaccines!A:B,2)</f>
        <v>RotaTeq</v>
      </c>
      <c r="C425" s="7">
        <v>15</v>
      </c>
      <c r="D425" s="8" t="str">
        <f>VLOOKUP(C425,contraindications_list!A:B,2)</f>
        <v>сильная общая реакция на предыдущее введение вакцины</v>
      </c>
      <c r="E425" s="11">
        <v>45034</v>
      </c>
      <c r="F425" s="58"/>
    </row>
    <row r="426" spans="1:6">
      <c r="A426" s="7">
        <v>61</v>
      </c>
      <c r="B426" s="10" t="str">
        <f>VLOOKUP(A426,vaccines!A:B,2)</f>
        <v>RotaTeq</v>
      </c>
      <c r="C426" s="7">
        <v>41</v>
      </c>
      <c r="D426" s="8" t="str">
        <f>VLOOKUP(C426,contraindications_list!A:B,2)</f>
        <v>инвагинация кишечника</v>
      </c>
      <c r="E426" s="11">
        <v>45034</v>
      </c>
      <c r="F426" s="58"/>
    </row>
    <row r="427" spans="1:6">
      <c r="A427" s="7">
        <v>61</v>
      </c>
      <c r="B427" s="10" t="str">
        <f>VLOOKUP(A427,vaccines!A:B,2)</f>
        <v>RotaTeq</v>
      </c>
      <c r="C427" s="7">
        <v>7</v>
      </c>
      <c r="D427" s="8" t="str">
        <f>VLOOKUP(C427,contraindications_list!A:B,2)</f>
        <v>иммунодефицит</v>
      </c>
      <c r="E427" s="11">
        <v>45034</v>
      </c>
      <c r="F427" s="58"/>
    </row>
    <row r="428" spans="1:6">
      <c r="A428" s="7">
        <v>61</v>
      </c>
      <c r="B428" s="10" t="str">
        <f>VLOOKUP(A428,vaccines!A:B,2)</f>
        <v>RotaTeq</v>
      </c>
      <c r="C428" s="7">
        <v>5</v>
      </c>
      <c r="D428" s="8" t="str">
        <f>VLOOKUP(C428,contraindications_list!A:B,2)</f>
        <v>острое заболевание</v>
      </c>
      <c r="E428" s="11">
        <v>45034</v>
      </c>
      <c r="F428" s="58"/>
    </row>
    <row r="429" spans="1:6">
      <c r="A429" s="7">
        <v>61</v>
      </c>
      <c r="B429" s="10" t="str">
        <f>VLOOKUP(A429,vaccines!A:B,2)</f>
        <v>RotaTeq</v>
      </c>
      <c r="C429" s="7">
        <v>6</v>
      </c>
      <c r="D429" s="8" t="str">
        <f>VLOOKUP(C429,contraindications_list!A:B,2)</f>
        <v>обострение хронического заболевания</v>
      </c>
      <c r="E429" s="11">
        <v>45034</v>
      </c>
      <c r="F429" s="58"/>
    </row>
    <row r="430" spans="1:6">
      <c r="A430" s="7">
        <v>61</v>
      </c>
      <c r="B430" s="10" t="str">
        <f>VLOOKUP(A430,vaccines!A:B,2)</f>
        <v>RotaTeq</v>
      </c>
      <c r="C430" s="7">
        <v>43</v>
      </c>
      <c r="D430" s="8" t="str">
        <f>VLOOKUP(C430,contraindications_list!A:B,2)</f>
        <v>диарея</v>
      </c>
      <c r="E430" s="11">
        <v>45034</v>
      </c>
      <c r="F430" s="58"/>
    </row>
    <row r="431" spans="1:6">
      <c r="A431" s="7">
        <v>61</v>
      </c>
      <c r="B431" s="10" t="str">
        <f>VLOOKUP(A431,vaccines!A:B,2)</f>
        <v>RotaTeq</v>
      </c>
      <c r="C431" s="7">
        <v>44</v>
      </c>
      <c r="D431" s="8" t="str">
        <f>VLOOKUP(C431,contraindications_list!A:B,2)</f>
        <v>рвота</v>
      </c>
      <c r="E431" s="11">
        <v>45034</v>
      </c>
      <c r="F431" s="58"/>
    </row>
    <row r="432" spans="1:6">
      <c r="A432" s="7">
        <v>61</v>
      </c>
      <c r="B432" s="10" t="str">
        <f>VLOOKUP(A432,vaccines!A:B,2)</f>
        <v>RotaTeq</v>
      </c>
      <c r="C432" s="7">
        <v>45</v>
      </c>
      <c r="D432" s="8" t="str">
        <f>VLOOKUP(C432,contraindications_list!A:B,2)</f>
        <v>непереносимость фруктозы</v>
      </c>
      <c r="E432" s="11">
        <v>45034</v>
      </c>
      <c r="F432" s="58"/>
    </row>
    <row r="433" spans="1:6">
      <c r="A433" s="7">
        <v>61</v>
      </c>
      <c r="B433" s="10" t="str">
        <f>VLOOKUP(A433,vaccines!A:B,2)</f>
        <v>RotaTeq</v>
      </c>
      <c r="C433" s="7">
        <v>46</v>
      </c>
      <c r="D433" s="8" t="str">
        <f>VLOOKUP(C433,contraindications_list!A:B,2)</f>
        <v>нарушение всасывания глюкозо-галактозного комплекса</v>
      </c>
      <c r="E433" s="11">
        <v>45034</v>
      </c>
      <c r="F433" s="58"/>
    </row>
    <row r="434" spans="1:6">
      <c r="A434" s="7">
        <v>61</v>
      </c>
      <c r="B434" s="10" t="str">
        <f>VLOOKUP(A434,vaccines!A:B,2)</f>
        <v>RotaTeq</v>
      </c>
      <c r="C434" s="7">
        <v>47</v>
      </c>
      <c r="D434" s="8" t="str">
        <f>VLOOKUP(C434,contraindications_list!A:B,2)</f>
        <v>недостаточность сахаразы</v>
      </c>
      <c r="E434" s="11">
        <v>45034</v>
      </c>
      <c r="F434" s="58"/>
    </row>
    <row r="435" spans="1:6">
      <c r="A435" s="7">
        <v>61</v>
      </c>
      <c r="B435" s="10" t="str">
        <f>VLOOKUP(A435,vaccines!A:B,2)</f>
        <v>RotaTeq</v>
      </c>
      <c r="C435" s="7">
        <v>48</v>
      </c>
      <c r="D435" s="8" t="str">
        <f>VLOOKUP(C435,contraindications_list!A:B,2)</f>
        <v>недостаточность изомальтазы</v>
      </c>
      <c r="E435" s="11">
        <v>45034</v>
      </c>
      <c r="F435" s="58"/>
    </row>
    <row r="436" spans="1:6">
      <c r="A436" s="7">
        <v>62</v>
      </c>
      <c r="B436" s="10" t="str">
        <f>VLOOKUP(A436,vaccines!A:B,2)</f>
        <v>rubella_Microgen</v>
      </c>
      <c r="C436" s="7">
        <v>1</v>
      </c>
      <c r="D436" s="8" t="str">
        <f>VLOOKUP(C436,contraindications_list!A:B,2)</f>
        <v>гиперчувствительность к компонентам</v>
      </c>
      <c r="E436" s="11">
        <v>45035</v>
      </c>
      <c r="F436" s="58"/>
    </row>
    <row r="437" spans="1:6">
      <c r="A437" s="7">
        <v>62</v>
      </c>
      <c r="B437" s="10" t="str">
        <f>VLOOKUP(A437,vaccines!A:B,2)</f>
        <v>rubella_Microgen</v>
      </c>
      <c r="C437" s="7">
        <v>5</v>
      </c>
      <c r="D437" s="8" t="str">
        <f>VLOOKUP(C437,contraindications_list!A:B,2)</f>
        <v>острое заболевание</v>
      </c>
      <c r="E437" s="11">
        <v>45035</v>
      </c>
      <c r="F437" s="58"/>
    </row>
    <row r="438" spans="1:6">
      <c r="A438" s="7">
        <v>62</v>
      </c>
      <c r="B438" s="10" t="str">
        <f>VLOOKUP(A438,vaccines!A:B,2)</f>
        <v>rubella_Microgen</v>
      </c>
      <c r="C438" s="7">
        <v>6</v>
      </c>
      <c r="D438" s="8" t="str">
        <f>VLOOKUP(C438,contraindications_list!A:B,2)</f>
        <v>обострение хронического заболевания</v>
      </c>
      <c r="E438" s="11">
        <v>45035</v>
      </c>
      <c r="F438" s="58"/>
    </row>
    <row r="439" spans="1:6">
      <c r="A439" s="7">
        <v>62</v>
      </c>
      <c r="B439" s="10" t="str">
        <f>VLOOKUP(A439,vaccines!A:B,2)</f>
        <v>rubella_Microgen</v>
      </c>
      <c r="C439" s="7">
        <v>7</v>
      </c>
      <c r="D439" s="8" t="str">
        <f>VLOOKUP(C439,contraindications_list!A:B,2)</f>
        <v>иммунодефицит</v>
      </c>
      <c r="E439" s="11">
        <v>45035</v>
      </c>
      <c r="F439" s="58"/>
    </row>
    <row r="440" spans="1:6">
      <c r="A440" s="7">
        <v>62</v>
      </c>
      <c r="B440" s="10" t="str">
        <f>VLOOKUP(A440,vaccines!A:B,2)</f>
        <v>rubella_Microgen</v>
      </c>
      <c r="C440" s="7">
        <v>8</v>
      </c>
      <c r="D440" s="8" t="str">
        <f>VLOOKUP(C440,contraindications_list!A:B,2)</f>
        <v>злокачественное новообразование</v>
      </c>
      <c r="E440" s="11">
        <v>45035</v>
      </c>
      <c r="F440" s="58"/>
    </row>
    <row r="441" spans="1:6">
      <c r="A441" s="7">
        <v>62</v>
      </c>
      <c r="B441" s="10" t="str">
        <f>VLOOKUP(A441,vaccines!A:B,2)</f>
        <v>rubella_Microgen</v>
      </c>
      <c r="C441" s="7">
        <v>22</v>
      </c>
      <c r="D441" s="8" t="str">
        <f>VLOOKUP(C441,contraindications_list!A:B,2)</f>
        <v>беременность</v>
      </c>
      <c r="E441" s="11">
        <v>45035</v>
      </c>
      <c r="F441" s="58"/>
    </row>
    <row r="442" spans="1:6">
      <c r="A442" s="7">
        <v>62</v>
      </c>
      <c r="B442" s="10" t="str">
        <f>VLOOKUP(A442,vaccines!A:B,2)</f>
        <v>rubella_Microgen</v>
      </c>
      <c r="C442" s="7">
        <v>23</v>
      </c>
      <c r="D442" s="8" t="str">
        <f>VLOOKUP(C442,contraindications_list!A:B,2)</f>
        <v>грудное вскармливание</v>
      </c>
      <c r="E442" s="11">
        <v>45035</v>
      </c>
      <c r="F442" s="58"/>
    </row>
    <row r="443" spans="1:6">
      <c r="A443" s="7">
        <v>62</v>
      </c>
      <c r="B443" s="10" t="str">
        <f>VLOOKUP(A443,vaccines!A:B,2)</f>
        <v>rubella_Microgen</v>
      </c>
      <c r="C443" s="7">
        <v>15</v>
      </c>
      <c r="D443" s="8" t="str">
        <f>VLOOKUP(C443,contraindications_list!A:B,2)</f>
        <v>сильная общая реакция на предыдущее введение вакцины</v>
      </c>
      <c r="E443" s="11">
        <v>45035</v>
      </c>
      <c r="F443" s="58"/>
    </row>
    <row r="444" spans="1:6">
      <c r="A444" s="7">
        <v>62</v>
      </c>
      <c r="B444" s="10" t="str">
        <f>VLOOKUP(A444,vaccines!A:B,2)</f>
        <v>rubella_Microgen</v>
      </c>
      <c r="C444" s="7">
        <v>19</v>
      </c>
      <c r="D444" s="8" t="str">
        <f>VLOOKUP(C444,contraindications_list!A:B,2)</f>
        <v>осложнение на предыдущее введение вакцины</v>
      </c>
      <c r="E444" s="11">
        <v>45035</v>
      </c>
      <c r="F444" s="58"/>
    </row>
    <row r="445" spans="1:6">
      <c r="A445" s="7">
        <v>62</v>
      </c>
      <c r="B445" s="10" t="str">
        <f>VLOOKUP(A445,vaccines!A:B,2)</f>
        <v>rubella_Microgen</v>
      </c>
      <c r="C445" s="54">
        <v>74</v>
      </c>
      <c r="D445" s="8" t="str">
        <f>VLOOKUP(C445,contraindications_list!A:B,2)</f>
        <v>злокачественное заболевание крови</v>
      </c>
      <c r="E445" s="12">
        <v>45133</v>
      </c>
      <c r="F445" s="58"/>
    </row>
    <row r="446" spans="1:6">
      <c r="A446" s="7">
        <v>63</v>
      </c>
      <c r="B446" s="10" t="str">
        <f>VLOOKUP(A446,vaccines!A:B,2)</f>
        <v>rubella_Serum</v>
      </c>
      <c r="C446" s="7">
        <v>22</v>
      </c>
      <c r="D446" s="8" t="str">
        <f>VLOOKUP(C446,contraindications_list!A:B,2)</f>
        <v>беременность</v>
      </c>
      <c r="E446" s="11">
        <v>45082</v>
      </c>
      <c r="F446" s="58"/>
    </row>
    <row r="447" spans="1:6">
      <c r="A447" s="7">
        <v>63</v>
      </c>
      <c r="B447" s="10" t="str">
        <f>VLOOKUP(A447,vaccines!A:B,2)</f>
        <v>rubella_Serum</v>
      </c>
      <c r="C447" s="7">
        <v>5</v>
      </c>
      <c r="D447" s="8" t="str">
        <f>VLOOKUP(C447,contraindications_list!A:B,2)</f>
        <v>острое заболевание</v>
      </c>
      <c r="E447" s="11">
        <v>45082</v>
      </c>
      <c r="F447" s="58"/>
    </row>
    <row r="448" spans="1:6">
      <c r="A448" s="7">
        <v>63</v>
      </c>
      <c r="B448" s="10" t="str">
        <f>VLOOKUP(A448,vaccines!A:B,2)</f>
        <v>rubella_Serum</v>
      </c>
      <c r="C448" s="7">
        <v>6</v>
      </c>
      <c r="D448" s="8" t="str">
        <f>VLOOKUP(C448,contraindications_list!A:B,2)</f>
        <v>обострение хронического заболевания</v>
      </c>
      <c r="E448" s="11">
        <v>45082</v>
      </c>
      <c r="F448" s="58"/>
    </row>
    <row r="449" spans="1:6">
      <c r="A449" s="7">
        <v>63</v>
      </c>
      <c r="B449" s="10" t="str">
        <f>VLOOKUP(A449,vaccines!A:B,2)</f>
        <v>rubella_Serum</v>
      </c>
      <c r="C449" s="7">
        <v>7</v>
      </c>
      <c r="D449" s="8" t="str">
        <f>VLOOKUP(C449,contraindications_list!A:B,2)</f>
        <v>иммунодефицит</v>
      </c>
      <c r="E449" s="11">
        <v>45082</v>
      </c>
      <c r="F449" s="58"/>
    </row>
    <row r="450" spans="1:6">
      <c r="A450" s="7">
        <v>63</v>
      </c>
      <c r="B450" s="10" t="str">
        <f>VLOOKUP(A450,vaccines!A:B,2)</f>
        <v>rubella_Serum</v>
      </c>
      <c r="C450" s="7">
        <v>8</v>
      </c>
      <c r="D450" s="8" t="str">
        <f>VLOOKUP(C450,contraindications_list!A:B,2)</f>
        <v>злокачественное новообразование</v>
      </c>
      <c r="E450" s="11">
        <v>45082</v>
      </c>
      <c r="F450" s="58"/>
    </row>
    <row r="451" spans="1:6">
      <c r="A451" s="7">
        <v>63</v>
      </c>
      <c r="B451" s="10" t="str">
        <f>VLOOKUP(A451,vaccines!A:B,2)</f>
        <v>rubella_Serum</v>
      </c>
      <c r="C451" s="7">
        <v>15</v>
      </c>
      <c r="D451" s="8" t="str">
        <f>VLOOKUP(C451,contraindications_list!A:B,2)</f>
        <v>сильная общая реакция на предыдущее введение вакцины</v>
      </c>
      <c r="E451" s="11">
        <v>45082</v>
      </c>
      <c r="F451" s="58"/>
    </row>
    <row r="452" spans="1:6">
      <c r="A452" s="7">
        <v>63</v>
      </c>
      <c r="B452" s="10" t="str">
        <f>VLOOKUP(A452,vaccines!A:B,2)</f>
        <v>rubella_Serum</v>
      </c>
      <c r="C452" s="7">
        <v>19</v>
      </c>
      <c r="D452" s="8" t="str">
        <f>VLOOKUP(C452,contraindications_list!A:B,2)</f>
        <v>осложнение на предыдущее введение вакцины</v>
      </c>
      <c r="E452" s="11">
        <v>45082</v>
      </c>
      <c r="F452" s="58"/>
    </row>
    <row r="453" spans="1:6">
      <c r="A453" s="7">
        <v>63</v>
      </c>
      <c r="B453" s="10" t="str">
        <f>VLOOKUP(A453,vaccines!A:B,2)</f>
        <v>rubella_Serum</v>
      </c>
      <c r="C453" s="54">
        <v>74</v>
      </c>
      <c r="D453" s="8" t="str">
        <f>VLOOKUP(C453,contraindications_list!A:B,2)</f>
        <v>злокачественное заболевание крови</v>
      </c>
      <c r="E453" s="12">
        <v>45133</v>
      </c>
      <c r="F453" s="58"/>
    </row>
    <row r="454" spans="1:6">
      <c r="A454" s="7">
        <v>64</v>
      </c>
      <c r="B454" s="10" t="str">
        <f>VLOOKUP(A454,vaccines!A:B,2)</f>
        <v>AS_Microgen</v>
      </c>
      <c r="C454" s="7">
        <v>15</v>
      </c>
      <c r="D454" s="8" t="str">
        <f>VLOOKUP(C454,contraindications_list!A:B,2)</f>
        <v>сильная общая реакция на предыдущее введение вакцины</v>
      </c>
      <c r="E454" s="11">
        <v>45035</v>
      </c>
      <c r="F454" s="58"/>
    </row>
    <row r="455" spans="1:6">
      <c r="A455" s="7">
        <v>64</v>
      </c>
      <c r="B455" s="10" t="str">
        <f>VLOOKUP(A455,vaccines!A:B,2)</f>
        <v>AS_Microgen</v>
      </c>
      <c r="C455" s="7">
        <v>19</v>
      </c>
      <c r="D455" s="8" t="str">
        <f>VLOOKUP(C455,contraindications_list!A:B,2)</f>
        <v>осложнение на предыдущее введение вакцины</v>
      </c>
      <c r="E455" s="11">
        <v>45035</v>
      </c>
      <c r="F455" s="58"/>
    </row>
    <row r="456" spans="1:6">
      <c r="A456" s="7">
        <v>64</v>
      </c>
      <c r="B456" s="10" t="str">
        <f>VLOOKUP(A456,vaccines!A:B,2)</f>
        <v>AS_Microgen</v>
      </c>
      <c r="C456" s="7">
        <v>22</v>
      </c>
      <c r="D456" s="8" t="str">
        <f>VLOOKUP(C456,contraindications_list!A:B,2)</f>
        <v>беременность</v>
      </c>
      <c r="E456" s="11">
        <v>45035</v>
      </c>
      <c r="F456" s="58"/>
    </row>
    <row r="457" spans="1:6">
      <c r="A457" s="7">
        <v>64</v>
      </c>
      <c r="B457" s="10" t="str">
        <f>VLOOKUP(A457,vaccines!A:B,2)</f>
        <v>AS_Microgen</v>
      </c>
      <c r="C457" s="7">
        <v>5</v>
      </c>
      <c r="D457" s="8" t="str">
        <f>VLOOKUP(C457,contraindications_list!A:B,2)</f>
        <v>острое заболевание</v>
      </c>
      <c r="E457" s="11">
        <v>45035</v>
      </c>
      <c r="F457" s="58"/>
    </row>
    <row r="458" spans="1:6">
      <c r="A458" s="7">
        <v>64</v>
      </c>
      <c r="B458" s="10" t="str">
        <f>VLOOKUP(A458,vaccines!A:B,2)</f>
        <v>AS_Microgen</v>
      </c>
      <c r="C458" s="7">
        <v>6</v>
      </c>
      <c r="D458" s="8" t="str">
        <f>VLOOKUP(C458,contraindications_list!A:B,2)</f>
        <v>обострение хронического заболевания</v>
      </c>
      <c r="E458" s="11">
        <v>45035</v>
      </c>
      <c r="F458" s="58"/>
    </row>
    <row r="459" spans="1:6">
      <c r="A459" s="7">
        <v>64</v>
      </c>
      <c r="B459" s="10" t="str">
        <f>VLOOKUP(A459,vaccines!A:B,2)</f>
        <v>AS_Microgen</v>
      </c>
      <c r="C459" s="7">
        <v>13</v>
      </c>
      <c r="D459" s="8" t="str">
        <f>VLOOKUP(C459,contraindications_list!A:B,2)</f>
        <v>прогрессирующее неврологическое заболевание</v>
      </c>
      <c r="E459" s="11">
        <v>45035</v>
      </c>
      <c r="F459" s="58"/>
    </row>
    <row r="460" spans="1:6">
      <c r="A460" s="7">
        <v>64</v>
      </c>
      <c r="B460" s="10" t="str">
        <f>VLOOKUP(A460,vaccines!A:B,2)</f>
        <v>AS_Microgen</v>
      </c>
      <c r="C460" s="54">
        <v>69</v>
      </c>
      <c r="D460" s="8" t="str">
        <f>VLOOKUP(C460,contraindications_list!A:B,2)</f>
        <v>аллергия на формальдегид</v>
      </c>
      <c r="E460" s="12">
        <v>45517</v>
      </c>
      <c r="F460" s="58"/>
    </row>
    <row r="461" spans="1:6">
      <c r="A461" s="7">
        <v>64</v>
      </c>
      <c r="B461" s="10" t="str">
        <f>VLOOKUP(A461,vaccines!A:B,2)</f>
        <v>AS_Microgen</v>
      </c>
      <c r="C461" s="54">
        <v>58</v>
      </c>
      <c r="D461" s="8" t="str">
        <f>VLOOKUP(C461,contraindications_list!A:B,2)</f>
        <v>аллергия</v>
      </c>
      <c r="E461" s="12">
        <v>45517</v>
      </c>
      <c r="F461" s="58"/>
    </row>
    <row r="462" spans="1:6">
      <c r="A462" s="7">
        <v>65</v>
      </c>
      <c r="B462" s="10" t="str">
        <f>VLOOKUP(A462,vaccines!A:B,2)</f>
        <v>AS_Biomed</v>
      </c>
      <c r="C462" s="7">
        <v>15</v>
      </c>
      <c r="D462" s="8" t="str">
        <f>VLOOKUP(C462,contraindications_list!A:B,2)</f>
        <v>сильная общая реакция на предыдущее введение вакцины</v>
      </c>
      <c r="E462" s="11">
        <v>45035</v>
      </c>
      <c r="F462" s="58"/>
    </row>
    <row r="463" spans="1:6">
      <c r="A463" s="7">
        <v>65</v>
      </c>
      <c r="B463" s="10" t="str">
        <f>VLOOKUP(A463,vaccines!A:B,2)</f>
        <v>AS_Biomed</v>
      </c>
      <c r="C463" s="7">
        <v>19</v>
      </c>
      <c r="D463" s="8" t="str">
        <f>VLOOKUP(C463,contraindications_list!A:B,2)</f>
        <v>осложнение на предыдущее введение вакцины</v>
      </c>
      <c r="E463" s="11">
        <v>45035</v>
      </c>
      <c r="F463" s="58"/>
    </row>
    <row r="464" spans="1:6">
      <c r="A464" s="7">
        <v>65</v>
      </c>
      <c r="B464" s="10" t="str">
        <f>VLOOKUP(A464,vaccines!A:B,2)</f>
        <v>AS_Biomed</v>
      </c>
      <c r="C464" s="7">
        <v>22</v>
      </c>
      <c r="D464" s="8" t="str">
        <f>VLOOKUP(C464,contraindications_list!A:B,2)</f>
        <v>беременность</v>
      </c>
      <c r="E464" s="11">
        <v>45035</v>
      </c>
      <c r="F464" s="58"/>
    </row>
    <row r="465" spans="1:6">
      <c r="A465" s="7">
        <v>65</v>
      </c>
      <c r="B465" s="10" t="str">
        <f>VLOOKUP(A465,vaccines!A:B,2)</f>
        <v>AS_Biomed</v>
      </c>
      <c r="C465" s="7">
        <v>23</v>
      </c>
      <c r="D465" s="8" t="str">
        <f>VLOOKUP(C465,contraindications_list!A:B,2)</f>
        <v>грудное вскармливание</v>
      </c>
      <c r="E465" s="11">
        <v>45035</v>
      </c>
      <c r="F465" s="58"/>
    </row>
    <row r="466" spans="1:6">
      <c r="A466" s="7">
        <v>65</v>
      </c>
      <c r="B466" s="10" t="str">
        <f>VLOOKUP(A466,vaccines!A:B,2)</f>
        <v>AS_Biomed</v>
      </c>
      <c r="C466" s="7">
        <v>5</v>
      </c>
      <c r="D466" s="8" t="str">
        <f>VLOOKUP(C466,contraindications_list!A:B,2)</f>
        <v>острое заболевание</v>
      </c>
      <c r="E466" s="11">
        <v>45035</v>
      </c>
      <c r="F466" s="58"/>
    </row>
    <row r="467" spans="1:6">
      <c r="A467" s="7">
        <v>65</v>
      </c>
      <c r="B467" s="10" t="str">
        <f>VLOOKUP(A467,vaccines!A:B,2)</f>
        <v>AS_Biomed</v>
      </c>
      <c r="C467" s="7">
        <v>6</v>
      </c>
      <c r="D467" s="8" t="str">
        <f>VLOOKUP(C467,contraindications_list!A:B,2)</f>
        <v>обострение хронического заболевания</v>
      </c>
      <c r="E467" s="11">
        <v>45035</v>
      </c>
      <c r="F467" s="58"/>
    </row>
    <row r="468" spans="1:6">
      <c r="A468" s="7">
        <v>66</v>
      </c>
      <c r="B468" s="10" t="str">
        <f>VLOOKUP(A468,vaccines!A:B,2)</f>
        <v>Vaqta_25</v>
      </c>
      <c r="C468" s="7">
        <v>1</v>
      </c>
      <c r="D468" s="8" t="str">
        <f>VLOOKUP(C468,contraindications_list!A:B,2)</f>
        <v>гиперчувствительность к компонентам</v>
      </c>
      <c r="E468" s="11">
        <v>45082</v>
      </c>
      <c r="F468" s="58"/>
    </row>
    <row r="469" spans="1:6">
      <c r="A469" s="7">
        <v>66</v>
      </c>
      <c r="B469" s="10" t="str">
        <f>VLOOKUP(A469,vaccines!A:B,2)</f>
        <v>Vaqta_25</v>
      </c>
      <c r="C469" s="7">
        <v>25</v>
      </c>
      <c r="D469" s="8" t="str">
        <f>VLOOKUP(C469,contraindications_list!A:B,2)</f>
        <v>аллергия на аминогликозиды</v>
      </c>
      <c r="E469" s="11">
        <v>45082</v>
      </c>
      <c r="F469" s="58"/>
    </row>
    <row r="470" spans="1:6">
      <c r="A470" s="7">
        <v>67</v>
      </c>
      <c r="B470" s="10" t="str">
        <f>VLOOKUP(A470,vaccines!A:B,2)</f>
        <v>Vaqta_50</v>
      </c>
      <c r="C470" s="7">
        <v>1</v>
      </c>
      <c r="D470" s="8" t="str">
        <f>VLOOKUP(C470,contraindications_list!A:B,2)</f>
        <v>гиперчувствительность к компонентам</v>
      </c>
      <c r="E470" s="11">
        <v>45082</v>
      </c>
      <c r="F470" s="58"/>
    </row>
    <row r="471" spans="1:6">
      <c r="A471" s="7">
        <v>67</v>
      </c>
      <c r="B471" s="10" t="str">
        <f>VLOOKUP(A471,vaccines!A:B,2)</f>
        <v>Vaqta_50</v>
      </c>
      <c r="C471" s="7">
        <v>25</v>
      </c>
      <c r="D471" s="8" t="str">
        <f>VLOOKUP(C471,contraindications_list!A:B,2)</f>
        <v>аллергия на аминогликозиды</v>
      </c>
      <c r="E471" s="11">
        <v>45082</v>
      </c>
      <c r="F471" s="58"/>
    </row>
    <row r="472" spans="1:6">
      <c r="A472" s="7">
        <v>68</v>
      </c>
      <c r="B472" s="10" t="str">
        <f>VLOOKUP(A472,vaccines!A:B,2)</f>
        <v>Klesh_E_Vac_0_5</v>
      </c>
      <c r="C472" s="7">
        <v>5</v>
      </c>
      <c r="D472" s="8" t="str">
        <f>VLOOKUP(C472,contraindications_list!A:B,2)</f>
        <v>острое заболевание</v>
      </c>
      <c r="E472" s="11">
        <v>45035</v>
      </c>
      <c r="F472" s="58"/>
    </row>
    <row r="473" spans="1:6">
      <c r="A473" s="7">
        <v>68</v>
      </c>
      <c r="B473" s="10" t="str">
        <f>VLOOKUP(A473,vaccines!A:B,2)</f>
        <v>Klesh_E_Vac_0_5</v>
      </c>
      <c r="C473" s="7">
        <v>6</v>
      </c>
      <c r="D473" s="8" t="str">
        <f>VLOOKUP(C473,contraindications_list!A:B,2)</f>
        <v>обострение хронического заболевания</v>
      </c>
      <c r="E473" s="11">
        <v>45035</v>
      </c>
      <c r="F473" s="58"/>
    </row>
    <row r="474" spans="1:6">
      <c r="A474" s="7">
        <v>68</v>
      </c>
      <c r="B474" s="10" t="str">
        <f>VLOOKUP(A474,vaccines!A:B,2)</f>
        <v>Klesh_E_Vac_0_5</v>
      </c>
      <c r="C474" s="7">
        <v>1</v>
      </c>
      <c r="D474" s="8" t="str">
        <f>VLOOKUP(C474,contraindications_list!A:B,2)</f>
        <v>гиперчувствительность к компонентам</v>
      </c>
      <c r="E474" s="11">
        <v>45035</v>
      </c>
      <c r="F474" s="58"/>
    </row>
    <row r="475" spans="1:6">
      <c r="A475" s="7">
        <v>68</v>
      </c>
      <c r="B475" s="10" t="str">
        <f>VLOOKUP(A475,vaccines!A:B,2)</f>
        <v>Klesh_E_Vac_0_5</v>
      </c>
      <c r="C475" s="7">
        <v>15</v>
      </c>
      <c r="D475" s="8" t="str">
        <f>VLOOKUP(C475,contraindications_list!A:B,2)</f>
        <v>сильная общая реакция на предыдущее введение вакцины</v>
      </c>
      <c r="E475" s="11">
        <v>45035</v>
      </c>
      <c r="F475" s="58"/>
    </row>
    <row r="476" spans="1:6">
      <c r="A476" s="7">
        <v>68</v>
      </c>
      <c r="B476" s="10" t="str">
        <f>VLOOKUP(A476,vaccines!A:B,2)</f>
        <v>Klesh_E_Vac_0_5</v>
      </c>
      <c r="C476" s="7">
        <v>19</v>
      </c>
      <c r="D476" s="8" t="str">
        <f>VLOOKUP(C476,contraindications_list!A:B,2)</f>
        <v>осложнение на предыдущее введение вакцины</v>
      </c>
      <c r="E476" s="11">
        <v>45035</v>
      </c>
      <c r="F476" s="58"/>
    </row>
    <row r="477" spans="1:6">
      <c r="A477" s="7">
        <v>69</v>
      </c>
      <c r="B477" s="10" t="str">
        <f>VLOOKUP(A477,vaccines!A:B,2)</f>
        <v>Klesh_E_Vac_0_25</v>
      </c>
      <c r="C477" s="7">
        <v>5</v>
      </c>
      <c r="D477" s="8" t="str">
        <f>VLOOKUP(C477,contraindications_list!A:B,2)</f>
        <v>острое заболевание</v>
      </c>
      <c r="E477" s="11">
        <v>45035</v>
      </c>
      <c r="F477" s="58"/>
    </row>
    <row r="478" spans="1:6">
      <c r="A478" s="7">
        <v>69</v>
      </c>
      <c r="B478" s="10" t="str">
        <f>VLOOKUP(A478,vaccines!A:B,2)</f>
        <v>Klesh_E_Vac_0_25</v>
      </c>
      <c r="C478" s="7">
        <v>6</v>
      </c>
      <c r="D478" s="8" t="str">
        <f>VLOOKUP(C478,contraindications_list!A:B,2)</f>
        <v>обострение хронического заболевания</v>
      </c>
      <c r="E478" s="11">
        <v>45035</v>
      </c>
      <c r="F478" s="58"/>
    </row>
    <row r="479" spans="1:6">
      <c r="A479" s="7">
        <v>69</v>
      </c>
      <c r="B479" s="10" t="str">
        <f>VLOOKUP(A479,vaccines!A:B,2)</f>
        <v>Klesh_E_Vac_0_25</v>
      </c>
      <c r="C479" s="7">
        <v>1</v>
      </c>
      <c r="D479" s="8" t="str">
        <f>VLOOKUP(C479,contraindications_list!A:B,2)</f>
        <v>гиперчувствительность к компонентам</v>
      </c>
      <c r="E479" s="11">
        <v>45035</v>
      </c>
      <c r="F479" s="58"/>
    </row>
    <row r="480" spans="1:6">
      <c r="A480" s="7">
        <v>69</v>
      </c>
      <c r="B480" s="10" t="str">
        <f>VLOOKUP(A480,vaccines!A:B,2)</f>
        <v>Klesh_E_Vac_0_25</v>
      </c>
      <c r="C480" s="7">
        <v>15</v>
      </c>
      <c r="D480" s="8" t="str">
        <f>VLOOKUP(C480,contraindications_list!A:B,2)</f>
        <v>сильная общая реакция на предыдущее введение вакцины</v>
      </c>
      <c r="E480" s="11">
        <v>45035</v>
      </c>
      <c r="F480" s="58"/>
    </row>
    <row r="481" spans="1:6">
      <c r="A481" s="7">
        <v>69</v>
      </c>
      <c r="B481" s="10" t="str">
        <f>VLOOKUP(A481,vaccines!A:B,2)</f>
        <v>Klesh_E_Vac_0_25</v>
      </c>
      <c r="C481" s="7">
        <v>19</v>
      </c>
      <c r="D481" s="8" t="str">
        <f>VLOOKUP(C481,contraindications_list!A:B,2)</f>
        <v>осложнение на предыдущее введение вакцины</v>
      </c>
      <c r="E481" s="11">
        <v>45035</v>
      </c>
      <c r="F481" s="58"/>
    </row>
    <row r="482" spans="1:6">
      <c r="A482" s="7">
        <v>70</v>
      </c>
      <c r="B482" s="10" t="str">
        <f>VLOOKUP(A482,vaccines!A:B,2)</f>
        <v>EnceVir_0_5</v>
      </c>
      <c r="C482" s="7">
        <v>15</v>
      </c>
      <c r="D482" s="8" t="str">
        <f>VLOOKUP(C482,contraindications_list!A:B,2)</f>
        <v>сильная общая реакция на предыдущее введение вакцины</v>
      </c>
      <c r="E482" s="11">
        <v>45035</v>
      </c>
      <c r="F482" s="58"/>
    </row>
    <row r="483" spans="1:6">
      <c r="A483" s="7">
        <v>70</v>
      </c>
      <c r="B483" s="10" t="str">
        <f>VLOOKUP(A483,vaccines!A:B,2)</f>
        <v>EnceVir_0_5</v>
      </c>
      <c r="C483" s="7">
        <v>19</v>
      </c>
      <c r="D483" s="8" t="str">
        <f>VLOOKUP(C483,contraindications_list!A:B,2)</f>
        <v>осложнение на предыдущее введение вакцины</v>
      </c>
      <c r="E483" s="11">
        <v>45035</v>
      </c>
      <c r="F483" s="58"/>
    </row>
    <row r="484" spans="1:6">
      <c r="A484" s="7">
        <v>70</v>
      </c>
      <c r="B484" s="10" t="str">
        <f>VLOOKUP(A484,vaccines!A:B,2)</f>
        <v>EnceVir_0_5</v>
      </c>
      <c r="C484" s="7">
        <v>5</v>
      </c>
      <c r="D484" s="8" t="str">
        <f>VLOOKUP(C484,contraindications_list!A:B,2)</f>
        <v>острое заболевание</v>
      </c>
      <c r="E484" s="11">
        <v>45035</v>
      </c>
      <c r="F484" s="58"/>
    </row>
    <row r="485" spans="1:6">
      <c r="A485" s="7">
        <v>70</v>
      </c>
      <c r="B485" s="10" t="str">
        <f>VLOOKUP(A485,vaccines!A:B,2)</f>
        <v>EnceVir_0_5</v>
      </c>
      <c r="C485" s="7">
        <v>6</v>
      </c>
      <c r="D485" s="8" t="str">
        <f>VLOOKUP(C485,contraindications_list!A:B,2)</f>
        <v>обострение хронического заболевания</v>
      </c>
      <c r="E485" s="11">
        <v>45035</v>
      </c>
      <c r="F485" s="58"/>
    </row>
    <row r="486" spans="1:6">
      <c r="A486" s="7">
        <v>70</v>
      </c>
      <c r="B486" s="10" t="str">
        <f>VLOOKUP(A486,vaccines!A:B,2)</f>
        <v>EnceVir_0_5</v>
      </c>
      <c r="C486" s="7">
        <v>1</v>
      </c>
      <c r="D486" s="8" t="str">
        <f>VLOOKUP(C486,contraindications_list!A:B,2)</f>
        <v>гиперчувствительность к компонентам</v>
      </c>
      <c r="E486" s="11">
        <v>45035</v>
      </c>
      <c r="F486" s="58"/>
    </row>
    <row r="487" spans="1:6">
      <c r="A487" s="7">
        <v>71</v>
      </c>
      <c r="B487" s="10" t="str">
        <f>VLOOKUP(A487,vaccines!A:B,2)</f>
        <v>EnceVir_Neo_kids</v>
      </c>
      <c r="C487" s="7">
        <v>15</v>
      </c>
      <c r="D487" s="8" t="str">
        <f>VLOOKUP(C487,contraindications_list!A:B,2)</f>
        <v>сильная общая реакция на предыдущее введение вакцины</v>
      </c>
      <c r="E487" s="11">
        <v>45035</v>
      </c>
      <c r="F487" s="58"/>
    </row>
    <row r="488" spans="1:6">
      <c r="A488" s="7">
        <v>71</v>
      </c>
      <c r="B488" s="10" t="str">
        <f>VLOOKUP(A488,vaccines!A:B,2)</f>
        <v>EnceVir_Neo_kids</v>
      </c>
      <c r="C488" s="7">
        <v>19</v>
      </c>
      <c r="D488" s="8" t="str">
        <f>VLOOKUP(C488,contraindications_list!A:B,2)</f>
        <v>осложнение на предыдущее введение вакцины</v>
      </c>
      <c r="E488" s="11">
        <v>45035</v>
      </c>
      <c r="F488" s="58"/>
    </row>
    <row r="489" spans="1:6">
      <c r="A489" s="7">
        <v>71</v>
      </c>
      <c r="B489" s="10" t="str">
        <f>VLOOKUP(A489,vaccines!A:B,2)</f>
        <v>EnceVir_Neo_kids</v>
      </c>
      <c r="C489" s="7">
        <v>5</v>
      </c>
      <c r="D489" s="8" t="str">
        <f>VLOOKUP(C489,contraindications_list!A:B,2)</f>
        <v>острое заболевание</v>
      </c>
      <c r="E489" s="11">
        <v>45035</v>
      </c>
      <c r="F489" s="58"/>
    </row>
    <row r="490" spans="1:6">
      <c r="A490" s="7">
        <v>71</v>
      </c>
      <c r="B490" s="10" t="str">
        <f>VLOOKUP(A490,vaccines!A:B,2)</f>
        <v>EnceVir_Neo_kids</v>
      </c>
      <c r="C490" s="7">
        <v>6</v>
      </c>
      <c r="D490" s="8" t="str">
        <f>VLOOKUP(C490,contraindications_list!A:B,2)</f>
        <v>обострение хронического заболевания</v>
      </c>
      <c r="E490" s="11">
        <v>45035</v>
      </c>
      <c r="F490" s="58"/>
    </row>
    <row r="491" spans="1:6">
      <c r="A491" s="7">
        <v>71</v>
      </c>
      <c r="B491" s="10" t="str">
        <f>VLOOKUP(A491,vaccines!A:B,2)</f>
        <v>EnceVir_Neo_kids</v>
      </c>
      <c r="C491" s="7">
        <v>1</v>
      </c>
      <c r="D491" s="8" t="str">
        <f>VLOOKUP(C491,contraindications_list!A:B,2)</f>
        <v>гиперчувствительность к компонентам</v>
      </c>
      <c r="E491" s="11">
        <v>45035</v>
      </c>
      <c r="F491" s="58"/>
    </row>
    <row r="492" spans="1:6">
      <c r="A492" s="7">
        <v>72</v>
      </c>
      <c r="B492" s="10" t="str">
        <f>VLOOKUP(A492,vaccines!A:B,2)</f>
        <v>TBE_Chumakov_lyo</v>
      </c>
      <c r="C492" s="7">
        <v>5</v>
      </c>
      <c r="D492" s="8" t="str">
        <f>VLOOKUP(C492,contraindications_list!A:B,2)</f>
        <v>острое заболевание</v>
      </c>
      <c r="E492" s="11">
        <v>45035</v>
      </c>
      <c r="F492" s="58"/>
    </row>
    <row r="493" spans="1:6">
      <c r="A493" s="7">
        <v>72</v>
      </c>
      <c r="B493" s="10" t="str">
        <f>VLOOKUP(A493,vaccines!A:B,2)</f>
        <v>TBE_Chumakov_lyo</v>
      </c>
      <c r="C493" s="7">
        <v>1</v>
      </c>
      <c r="D493" s="8" t="str">
        <f>VLOOKUP(C493,contraindications_list!A:B,2)</f>
        <v>гиперчувствительность к компонентам</v>
      </c>
      <c r="E493" s="11">
        <v>45035</v>
      </c>
      <c r="F493" s="58"/>
    </row>
    <row r="494" spans="1:6">
      <c r="A494" s="7">
        <v>72</v>
      </c>
      <c r="B494" s="10" t="str">
        <f>VLOOKUP(A494,vaccines!A:B,2)</f>
        <v>TBE_Chumakov_lyo</v>
      </c>
      <c r="C494" s="7">
        <v>15</v>
      </c>
      <c r="D494" s="8" t="str">
        <f>VLOOKUP(C494,contraindications_list!A:B,2)</f>
        <v>сильная общая реакция на предыдущее введение вакцины</v>
      </c>
      <c r="E494" s="11">
        <v>45035</v>
      </c>
      <c r="F494" s="58"/>
    </row>
    <row r="495" spans="1:6">
      <c r="A495" s="7">
        <v>72</v>
      </c>
      <c r="B495" s="10" t="str">
        <f>VLOOKUP(A495,vaccines!A:B,2)</f>
        <v>TBE_Chumakov_lyo</v>
      </c>
      <c r="C495" s="7">
        <v>19</v>
      </c>
      <c r="D495" s="8" t="str">
        <f>VLOOKUP(C495,contraindications_list!A:B,2)</f>
        <v>осложнение на предыдущее введение вакцины</v>
      </c>
      <c r="E495" s="11">
        <v>45035</v>
      </c>
      <c r="F495" s="58"/>
    </row>
    <row r="496" spans="1:6">
      <c r="A496" s="7">
        <v>73</v>
      </c>
      <c r="B496" s="10" t="str">
        <f>VLOOKUP(A496,vaccines!A:B,2)</f>
        <v>Varilrix</v>
      </c>
      <c r="C496" s="7">
        <v>1</v>
      </c>
      <c r="D496" s="8" t="str">
        <f>VLOOKUP(C496,contraindications_list!A:B,2)</f>
        <v>гиперчувствительность к компонентам</v>
      </c>
      <c r="E496" s="11">
        <v>45082</v>
      </c>
      <c r="F496" s="58"/>
    </row>
    <row r="497" spans="1:6">
      <c r="A497" s="7">
        <v>73</v>
      </c>
      <c r="B497" s="10" t="str">
        <f>VLOOKUP(A497,vaccines!A:B,2)</f>
        <v>Varilrix</v>
      </c>
      <c r="C497" s="7">
        <v>25</v>
      </c>
      <c r="D497" s="8" t="str">
        <f>VLOOKUP(C497,contraindications_list!A:B,2)</f>
        <v>аллергия на аминогликозиды</v>
      </c>
      <c r="E497" s="11">
        <v>45082</v>
      </c>
      <c r="F497" s="58"/>
    </row>
    <row r="498" spans="1:6">
      <c r="A498" s="7">
        <v>73</v>
      </c>
      <c r="B498" s="10" t="str">
        <f>VLOOKUP(A498,vaccines!A:B,2)</f>
        <v>Varilrix</v>
      </c>
      <c r="C498" s="7">
        <v>7</v>
      </c>
      <c r="D498" s="8" t="str">
        <f>VLOOKUP(C498,contraindications_list!A:B,2)</f>
        <v>иммунодефицит</v>
      </c>
      <c r="E498" s="11">
        <v>45082</v>
      </c>
      <c r="F498" s="58"/>
    </row>
    <row r="499" spans="1:6">
      <c r="A499" s="7">
        <v>73</v>
      </c>
      <c r="B499" s="10" t="str">
        <f>VLOOKUP(A499,vaccines!A:B,2)</f>
        <v>Varilrix</v>
      </c>
      <c r="C499" s="7">
        <v>5</v>
      </c>
      <c r="D499" s="8" t="str">
        <f>VLOOKUP(C499,contraindications_list!A:B,2)</f>
        <v>острое заболевание</v>
      </c>
      <c r="E499" s="11">
        <v>45082</v>
      </c>
      <c r="F499" s="58"/>
    </row>
    <row r="500" spans="1:6">
      <c r="A500" s="7">
        <v>73</v>
      </c>
      <c r="B500" s="10" t="str">
        <f>VLOOKUP(A500,vaccines!A:B,2)</f>
        <v>Varilrix</v>
      </c>
      <c r="C500" s="7">
        <v>6</v>
      </c>
      <c r="D500" s="8" t="str">
        <f>VLOOKUP(C500,contraindications_list!A:B,2)</f>
        <v>обострение хронического заболевания</v>
      </c>
      <c r="E500" s="11">
        <v>45082</v>
      </c>
      <c r="F500" s="58"/>
    </row>
    <row r="501" spans="1:6">
      <c r="A501" s="7">
        <v>73</v>
      </c>
      <c r="B501" s="10" t="str">
        <f>VLOOKUP(A501,vaccines!A:B,2)</f>
        <v>Varilrix</v>
      </c>
      <c r="C501" s="7">
        <v>22</v>
      </c>
      <c r="D501" s="8" t="str">
        <f>VLOOKUP(C501,contraindications_list!A:B,2)</f>
        <v>беременность</v>
      </c>
      <c r="E501" s="11">
        <v>45082</v>
      </c>
      <c r="F501" s="58"/>
    </row>
    <row r="502" spans="1:6">
      <c r="A502" s="7">
        <v>73</v>
      </c>
      <c r="B502" s="10" t="str">
        <f>VLOOKUP(A502,vaccines!A:B,2)</f>
        <v>Varilrix</v>
      </c>
      <c r="C502" s="7">
        <v>23</v>
      </c>
      <c r="D502" s="8" t="str">
        <f>VLOOKUP(C502,contraindications_list!A:B,2)</f>
        <v>грудное вскармливание</v>
      </c>
      <c r="E502" s="11">
        <v>45082</v>
      </c>
      <c r="F502" s="58"/>
    </row>
    <row r="503" spans="1:6">
      <c r="A503" s="7">
        <v>74</v>
      </c>
      <c r="B503" s="10" t="str">
        <f>VLOOKUP(A503,vaccines!A:B,2)</f>
        <v>YF_Chumakov_lyo</v>
      </c>
      <c r="C503" s="7">
        <v>1</v>
      </c>
      <c r="D503" s="8" t="str">
        <f>VLOOKUP(C503,contraindications_list!A:B,2)</f>
        <v>гиперчувствительность к компонентам</v>
      </c>
      <c r="E503" s="11">
        <v>45035</v>
      </c>
      <c r="F503" s="58"/>
    </row>
    <row r="504" spans="1:6">
      <c r="A504" s="7">
        <v>74</v>
      </c>
      <c r="B504" s="10" t="str">
        <f>VLOOKUP(A504,vaccines!A:B,2)</f>
        <v>YF_Chumakov_lyo</v>
      </c>
      <c r="C504" s="7">
        <v>24</v>
      </c>
      <c r="D504" s="8" t="str">
        <f>VLOOKUP(C504,contraindications_list!A:B,2)</f>
        <v>аллергия на куриный белок</v>
      </c>
      <c r="E504" s="11">
        <v>45035</v>
      </c>
      <c r="F504" s="58"/>
    </row>
    <row r="505" spans="1:6">
      <c r="A505" s="7">
        <v>74</v>
      </c>
      <c r="B505" s="10" t="str">
        <f>VLOOKUP(A505,vaccines!A:B,2)</f>
        <v>YF_Chumakov_lyo</v>
      </c>
      <c r="C505" s="7">
        <v>15</v>
      </c>
      <c r="D505" s="8" t="str">
        <f>VLOOKUP(C505,contraindications_list!A:B,2)</f>
        <v>сильная общая реакция на предыдущее введение вакцины</v>
      </c>
      <c r="E505" s="11">
        <v>45035</v>
      </c>
      <c r="F505" s="58"/>
    </row>
    <row r="506" spans="1:6">
      <c r="A506" s="7">
        <v>74</v>
      </c>
      <c r="B506" s="10" t="str">
        <f>VLOOKUP(A506,vaccines!A:B,2)</f>
        <v>YF_Chumakov_lyo</v>
      </c>
      <c r="C506" s="7">
        <v>5</v>
      </c>
      <c r="D506" s="8" t="str">
        <f>VLOOKUP(C506,contraindications_list!A:B,2)</f>
        <v>острое заболевание</v>
      </c>
      <c r="E506" s="11">
        <v>45035</v>
      </c>
      <c r="F506" s="58"/>
    </row>
    <row r="507" spans="1:6">
      <c r="A507" s="7">
        <v>74</v>
      </c>
      <c r="B507" s="10" t="str">
        <f>VLOOKUP(A507,vaccines!A:B,2)</f>
        <v>YF_Chumakov_lyo</v>
      </c>
      <c r="C507" s="7">
        <v>6</v>
      </c>
      <c r="D507" s="8" t="str">
        <f>VLOOKUP(C507,contraindications_list!A:B,2)</f>
        <v>обострение хронического заболевания</v>
      </c>
      <c r="E507" s="11">
        <v>45035</v>
      </c>
      <c r="F507" s="58"/>
    </row>
    <row r="508" spans="1:6">
      <c r="A508" s="7">
        <v>74</v>
      </c>
      <c r="B508" s="10" t="str">
        <f>VLOOKUP(A508,vaccines!A:B,2)</f>
        <v>YF_Chumakov_lyo</v>
      </c>
      <c r="C508" s="7">
        <v>54</v>
      </c>
      <c r="D508" s="8" t="str">
        <f>VLOOKUP(C508,contraindications_list!A:B,2)</f>
        <v>заболевание вилочковой железы</v>
      </c>
      <c r="E508" s="11">
        <v>45035</v>
      </c>
      <c r="F508" s="58"/>
    </row>
    <row r="509" spans="1:6">
      <c r="A509" s="7">
        <v>74</v>
      </c>
      <c r="B509" s="10" t="str">
        <f>VLOOKUP(A509,vaccines!A:B,2)</f>
        <v>YF_Chumakov_lyo</v>
      </c>
      <c r="C509" s="7">
        <v>55</v>
      </c>
      <c r="D509" s="8" t="str">
        <f>VLOOKUP(C509,contraindications_list!A:B,2)</f>
        <v>удаленный тимус</v>
      </c>
      <c r="E509" s="11">
        <v>45035</v>
      </c>
      <c r="F509" s="58"/>
    </row>
    <row r="510" spans="1:6">
      <c r="A510" s="7">
        <v>74</v>
      </c>
      <c r="B510" s="10" t="str">
        <f>VLOOKUP(A510,vaccines!A:B,2)</f>
        <v>YF_Chumakov_lyo</v>
      </c>
      <c r="C510" s="7">
        <v>7</v>
      </c>
      <c r="D510" s="8" t="str">
        <f>VLOOKUP(C510,contraindications_list!A:B,2)</f>
        <v>иммунодефицит</v>
      </c>
      <c r="E510" s="11">
        <v>45035</v>
      </c>
      <c r="F510" s="58"/>
    </row>
    <row r="511" spans="1:6">
      <c r="A511" s="7">
        <v>74</v>
      </c>
      <c r="B511" s="10" t="str">
        <f>VLOOKUP(A511,vaccines!A:B,2)</f>
        <v>YF_Chumakov_lyo</v>
      </c>
      <c r="C511" s="7">
        <v>45</v>
      </c>
      <c r="D511" s="8" t="str">
        <f>VLOOKUP(C511,contraindications_list!A:B,2)</f>
        <v>непереносимость фруктозы</v>
      </c>
      <c r="E511" s="11">
        <v>45035</v>
      </c>
      <c r="F511" s="58"/>
    </row>
    <row r="512" spans="1:6">
      <c r="A512" s="7">
        <v>74</v>
      </c>
      <c r="B512" s="10" t="str">
        <f>VLOOKUP(A512,vaccines!A:B,2)</f>
        <v>YF_Chumakov_lyo</v>
      </c>
      <c r="C512" s="7">
        <v>22</v>
      </c>
      <c r="D512" s="8" t="str">
        <f>VLOOKUP(C512,contraindications_list!A:B,2)</f>
        <v>беременность</v>
      </c>
      <c r="E512" s="11">
        <v>45035</v>
      </c>
      <c r="F512" s="58"/>
    </row>
    <row r="513" spans="1:6">
      <c r="A513" s="7">
        <v>74</v>
      </c>
      <c r="B513" s="10" t="str">
        <f>VLOOKUP(A513,vaccines!A:B,2)</f>
        <v>YF_Chumakov_lyo</v>
      </c>
      <c r="C513" s="7">
        <v>23</v>
      </c>
      <c r="D513" s="8" t="str">
        <f>VLOOKUP(C513,contraindications_list!A:B,2)</f>
        <v>грудное вскармливание</v>
      </c>
      <c r="E513" s="11">
        <v>45035</v>
      </c>
      <c r="F513" s="58"/>
    </row>
    <row r="514" spans="1:6">
      <c r="A514" s="7">
        <v>75</v>
      </c>
      <c r="B514" s="10" t="str">
        <f>VLOOKUP(A514,vaccines!A:B,2)</f>
        <v>tularemia_Microgen</v>
      </c>
      <c r="C514" s="7">
        <v>56</v>
      </c>
      <c r="D514" s="8" t="str">
        <f>VLOOKUP(C514,contraindications_list!A:B,2)</f>
        <v>туляремия</v>
      </c>
      <c r="E514" s="11">
        <v>45035</v>
      </c>
      <c r="F514" s="58"/>
    </row>
    <row r="515" spans="1:6">
      <c r="A515" s="7">
        <v>75</v>
      </c>
      <c r="B515" s="10" t="str">
        <f>VLOOKUP(A515,vaccines!A:B,2)</f>
        <v>tularemia_Microgen</v>
      </c>
      <c r="C515" s="7">
        <v>5</v>
      </c>
      <c r="D515" s="8" t="str">
        <f>VLOOKUP(C515,contraindications_list!A:B,2)</f>
        <v>острое заболевание</v>
      </c>
      <c r="E515" s="11">
        <v>45035</v>
      </c>
      <c r="F515" s="58"/>
    </row>
    <row r="516" spans="1:6">
      <c r="A516" s="7">
        <v>75</v>
      </c>
      <c r="B516" s="10" t="str">
        <f>VLOOKUP(A516,vaccines!A:B,2)</f>
        <v>tularemia_Microgen</v>
      </c>
      <c r="C516" s="7">
        <v>6</v>
      </c>
      <c r="D516" s="8" t="str">
        <f>VLOOKUP(C516,contraindications_list!A:B,2)</f>
        <v>обострение хронического заболевания</v>
      </c>
      <c r="E516" s="11">
        <v>45035</v>
      </c>
      <c r="F516" s="58"/>
    </row>
    <row r="517" spans="1:6">
      <c r="A517" s="7">
        <v>75</v>
      </c>
      <c r="B517" s="10" t="str">
        <f>VLOOKUP(A517,vaccines!A:B,2)</f>
        <v>tularemia_Microgen</v>
      </c>
      <c r="C517" s="7">
        <v>7</v>
      </c>
      <c r="D517" s="8" t="str">
        <f>VLOOKUP(C517,contraindications_list!A:B,2)</f>
        <v>иммунодефицит</v>
      </c>
      <c r="E517" s="11">
        <v>45035</v>
      </c>
      <c r="F517" s="58"/>
    </row>
    <row r="518" spans="1:6">
      <c r="A518" s="7">
        <v>75</v>
      </c>
      <c r="B518" s="10" t="str">
        <f>VLOOKUP(A518,vaccines!A:B,2)</f>
        <v>tularemia_Microgen</v>
      </c>
      <c r="C518" s="7">
        <v>39</v>
      </c>
      <c r="D518" s="8" t="str">
        <f>VLOOKUP(C518,contraindications_list!A:B,2)</f>
        <v>системное заболевание соединительной ткани</v>
      </c>
      <c r="E518" s="11">
        <v>45035</v>
      </c>
      <c r="F518" s="58"/>
    </row>
    <row r="519" spans="1:6">
      <c r="A519" s="7">
        <v>75</v>
      </c>
      <c r="B519" s="10" t="str">
        <f>VLOOKUP(A519,vaccines!A:B,2)</f>
        <v>tularemia_Microgen</v>
      </c>
      <c r="C519" s="7">
        <v>8</v>
      </c>
      <c r="D519" s="8" t="str">
        <f>VLOOKUP(C519,contraindications_list!A:B,2)</f>
        <v>злокачественное новообразование</v>
      </c>
      <c r="E519" s="11">
        <v>45035</v>
      </c>
      <c r="F519" s="58"/>
    </row>
    <row r="520" spans="1:6">
      <c r="A520" s="7">
        <v>75</v>
      </c>
      <c r="B520" s="10" t="str">
        <f>VLOOKUP(A520,vaccines!A:B,2)</f>
        <v>tularemia_Microgen</v>
      </c>
      <c r="C520" s="7">
        <v>57</v>
      </c>
      <c r="D520" s="8" t="str">
        <f>VLOOKUP(C520,contraindications_list!A:B,2)</f>
        <v>распространенное рецидивирующее заболевание кожи</v>
      </c>
      <c r="E520" s="11">
        <v>45035</v>
      </c>
      <c r="F520" s="58"/>
    </row>
    <row r="521" spans="1:6">
      <c r="A521" s="7">
        <v>75</v>
      </c>
      <c r="B521" s="10" t="str">
        <f>VLOOKUP(A521,vaccines!A:B,2)</f>
        <v>tularemia_Microgen</v>
      </c>
      <c r="C521" s="7">
        <v>49</v>
      </c>
      <c r="D521" s="8" t="str">
        <f>VLOOKUP(C521,contraindications_list!A:B,2)</f>
        <v>бронхиальная астма</v>
      </c>
      <c r="E521" s="11">
        <v>45035</v>
      </c>
      <c r="F521" s="58"/>
    </row>
    <row r="522" spans="1:6">
      <c r="A522" s="7">
        <v>75</v>
      </c>
      <c r="B522" s="10" t="str">
        <f>VLOOKUP(A522,vaccines!A:B,2)</f>
        <v>tularemia_Microgen</v>
      </c>
      <c r="C522" s="7">
        <v>21</v>
      </c>
      <c r="D522" s="8" t="str">
        <f>VLOOKUP(C522,contraindications_list!A:B,2)</f>
        <v>тяжелые аллергические реакции</v>
      </c>
      <c r="E522" s="11">
        <v>45035</v>
      </c>
      <c r="F522" s="58"/>
    </row>
    <row r="523" spans="1:6">
      <c r="A523" s="7">
        <v>75</v>
      </c>
      <c r="B523" s="10" t="str">
        <f>VLOOKUP(A523,vaccines!A:B,2)</f>
        <v>tularemia_Microgen</v>
      </c>
      <c r="C523" s="7">
        <v>22</v>
      </c>
      <c r="D523" s="8" t="str">
        <f>VLOOKUP(C523,contraindications_list!A:B,2)</f>
        <v>беременность</v>
      </c>
      <c r="E523" s="11">
        <v>45035</v>
      </c>
      <c r="F523" s="58"/>
    </row>
    <row r="524" spans="1:6">
      <c r="A524" s="7">
        <v>75</v>
      </c>
      <c r="B524" s="10" t="str">
        <f>VLOOKUP(A524,vaccines!A:B,2)</f>
        <v>tularemia_Microgen</v>
      </c>
      <c r="C524" s="7">
        <v>23</v>
      </c>
      <c r="D524" s="8" t="str">
        <f>VLOOKUP(C524,contraindications_list!A:B,2)</f>
        <v>грудное вскармливание</v>
      </c>
      <c r="E524" s="11">
        <v>45035</v>
      </c>
      <c r="F524" s="58"/>
    </row>
    <row r="525" spans="1:6">
      <c r="A525" s="7">
        <v>75</v>
      </c>
      <c r="B525" s="10" t="str">
        <f>VLOOKUP(A525,vaccines!A:B,2)</f>
        <v>tularemia_Microgen</v>
      </c>
      <c r="C525" s="7">
        <v>15</v>
      </c>
      <c r="D525" s="8" t="str">
        <f>VLOOKUP(C525,contraindications_list!A:B,2)</f>
        <v>сильная общая реакция на предыдущее введение вакцины</v>
      </c>
      <c r="E525" s="11">
        <v>45035</v>
      </c>
      <c r="F525" s="58"/>
    </row>
    <row r="526" spans="1:6">
      <c r="A526" s="7">
        <v>75</v>
      </c>
      <c r="B526" s="10" t="str">
        <f>VLOOKUP(A526,vaccines!A:B,2)</f>
        <v>tularemia_Microgen</v>
      </c>
      <c r="C526" s="7">
        <v>19</v>
      </c>
      <c r="D526" s="8" t="str">
        <f>VLOOKUP(C526,contraindications_list!A:B,2)</f>
        <v>осложнение на предыдущее введение вакцины</v>
      </c>
      <c r="E526" s="11">
        <v>45035</v>
      </c>
      <c r="F526" s="58"/>
    </row>
    <row r="527" spans="1:6">
      <c r="A527" s="7">
        <v>75</v>
      </c>
      <c r="B527" s="10" t="str">
        <f>VLOOKUP(A527,vaccines!A:B,2)</f>
        <v>tularemia_Microgen</v>
      </c>
      <c r="C527" s="54">
        <v>74</v>
      </c>
      <c r="D527" s="8" t="str">
        <f>VLOOKUP(C527,contraindications_list!A:B,2)</f>
        <v>злокачественное заболевание крови</v>
      </c>
      <c r="E527" s="12">
        <v>45133</v>
      </c>
      <c r="F527" s="58"/>
    </row>
    <row r="528" spans="1:6">
      <c r="A528" s="7">
        <v>75</v>
      </c>
      <c r="B528" s="10" t="str">
        <f>VLOOKUP(A528,vaccines!A:B,2)</f>
        <v>tularemia_Microgen</v>
      </c>
      <c r="C528" s="54">
        <v>1</v>
      </c>
      <c r="D528" s="8" t="str">
        <f>VLOOKUP(C528,contraindications_list!A:B,2)</f>
        <v>гиперчувствительность к компонентам</v>
      </c>
      <c r="E528" s="12">
        <v>45589</v>
      </c>
      <c r="F528" s="58"/>
    </row>
    <row r="529" spans="1:6">
      <c r="A529" s="7">
        <v>76</v>
      </c>
      <c r="B529" s="10" t="str">
        <f>VLOOKUP(A529,vaccines!A:B,2)</f>
        <v>plague_molecular_lyo_RPN</v>
      </c>
      <c r="C529" s="7">
        <v>1</v>
      </c>
      <c r="D529" s="8" t="str">
        <f>VLOOKUP(C529,contraindications_list!A:B,2)</f>
        <v>гиперчувствительность к компонентам</v>
      </c>
      <c r="E529" s="11">
        <v>45035</v>
      </c>
      <c r="F529" s="58"/>
    </row>
    <row r="530" spans="1:6">
      <c r="A530" s="7">
        <v>76</v>
      </c>
      <c r="B530" s="10" t="str">
        <f>VLOOKUP(A530,vaccines!A:B,2)</f>
        <v>plague_molecular_lyo_RPN</v>
      </c>
      <c r="C530" s="7">
        <v>5</v>
      </c>
      <c r="D530" s="8" t="str">
        <f>VLOOKUP(C530,contraindications_list!A:B,2)</f>
        <v>острое заболевание</v>
      </c>
      <c r="E530" s="11">
        <v>45035</v>
      </c>
      <c r="F530" s="58"/>
    </row>
    <row r="531" spans="1:6">
      <c r="A531" s="7">
        <v>76</v>
      </c>
      <c r="B531" s="10" t="str">
        <f>VLOOKUP(A531,vaccines!A:B,2)</f>
        <v>plague_molecular_lyo_RPN</v>
      </c>
      <c r="C531" s="7">
        <v>6</v>
      </c>
      <c r="D531" s="8" t="str">
        <f>VLOOKUP(C531,contraindications_list!A:B,2)</f>
        <v>обострение хронического заболевания</v>
      </c>
      <c r="E531" s="11">
        <v>45035</v>
      </c>
      <c r="F531" s="58"/>
    </row>
    <row r="532" spans="1:6">
      <c r="A532" s="7">
        <v>76</v>
      </c>
      <c r="B532" s="10" t="str">
        <f>VLOOKUP(A532,vaccines!A:B,2)</f>
        <v>plague_molecular_lyo_RPN</v>
      </c>
      <c r="C532" s="7">
        <v>7</v>
      </c>
      <c r="D532" s="8" t="str">
        <f>VLOOKUP(C532,contraindications_list!A:B,2)</f>
        <v>иммунодефицит</v>
      </c>
      <c r="E532" s="11">
        <v>45035</v>
      </c>
      <c r="F532" s="58"/>
    </row>
    <row r="533" spans="1:6">
      <c r="A533" s="7">
        <v>76</v>
      </c>
      <c r="B533" s="10" t="str">
        <f>VLOOKUP(A533,vaccines!A:B,2)</f>
        <v>plague_molecular_lyo_RPN</v>
      </c>
      <c r="C533" s="7">
        <v>49</v>
      </c>
      <c r="D533" s="8" t="str">
        <f>VLOOKUP(C533,contraindications_list!A:B,2)</f>
        <v>бронхиальная астма</v>
      </c>
      <c r="E533" s="11">
        <v>45035</v>
      </c>
      <c r="F533" s="58"/>
    </row>
    <row r="534" spans="1:6">
      <c r="A534" s="7">
        <v>76</v>
      </c>
      <c r="B534" s="10" t="str">
        <f>VLOOKUP(A534,vaccines!A:B,2)</f>
        <v>plague_molecular_lyo_RPN</v>
      </c>
      <c r="C534" s="7">
        <v>58</v>
      </c>
      <c r="D534" s="8" t="str">
        <f>VLOOKUP(C534,contraindications_list!A:B,2)</f>
        <v>аллергия</v>
      </c>
      <c r="E534" s="11">
        <v>45035</v>
      </c>
      <c r="F534" s="58"/>
    </row>
    <row r="535" spans="1:6">
      <c r="A535" s="7">
        <v>76</v>
      </c>
      <c r="B535" s="10" t="str">
        <f>VLOOKUP(A535,vaccines!A:B,2)</f>
        <v>plague_molecular_lyo_RPN</v>
      </c>
      <c r="C535" s="7">
        <v>39</v>
      </c>
      <c r="D535" s="8" t="str">
        <f>VLOOKUP(C535,contraindications_list!A:B,2)</f>
        <v>системное заболевание соединительной ткани</v>
      </c>
      <c r="E535" s="11">
        <v>45035</v>
      </c>
      <c r="F535" s="58"/>
    </row>
    <row r="536" spans="1:6">
      <c r="A536" s="7">
        <v>76</v>
      </c>
      <c r="B536" s="10" t="str">
        <f>VLOOKUP(A536,vaccines!A:B,2)</f>
        <v>plague_molecular_lyo_RPN</v>
      </c>
      <c r="C536" s="7">
        <v>8</v>
      </c>
      <c r="D536" s="8" t="str">
        <f>VLOOKUP(C536,contraindications_list!A:B,2)</f>
        <v>злокачественное новообразование</v>
      </c>
      <c r="E536" s="11">
        <v>45035</v>
      </c>
      <c r="F536" s="58"/>
    </row>
    <row r="537" spans="1:6">
      <c r="A537" s="7">
        <v>76</v>
      </c>
      <c r="B537" s="10" t="str">
        <f>VLOOKUP(A537,vaccines!A:B,2)</f>
        <v>plague_molecular_lyo_RPN</v>
      </c>
      <c r="C537" s="7">
        <v>38</v>
      </c>
      <c r="D537" s="8" t="str">
        <f>VLOOKUP(C537,contraindications_list!A:B,2)</f>
        <v>хроническое заболевание эндокринной системы</v>
      </c>
      <c r="E537" s="11">
        <v>45035</v>
      </c>
      <c r="F537" s="58"/>
    </row>
    <row r="538" spans="1:6">
      <c r="A538" s="7">
        <v>76</v>
      </c>
      <c r="B538" s="10" t="str">
        <f>VLOOKUP(A538,vaccines!A:B,2)</f>
        <v>plague_molecular_lyo_RPN</v>
      </c>
      <c r="C538" s="54">
        <v>74</v>
      </c>
      <c r="D538" s="8" t="str">
        <f>VLOOKUP(C538,contraindications_list!A:B,2)</f>
        <v>злокачественное заболевание крови</v>
      </c>
      <c r="E538" s="12">
        <v>45133</v>
      </c>
      <c r="F538" s="58"/>
    </row>
    <row r="539" spans="1:6">
      <c r="A539" s="7">
        <v>77</v>
      </c>
      <c r="B539" s="10" t="str">
        <f>VLOOKUP(A539,vaccines!A:B,2)</f>
        <v>plague_live_lyo_48_NII_Minoborony</v>
      </c>
      <c r="C539" s="7">
        <v>5</v>
      </c>
      <c r="D539" s="8" t="str">
        <f>VLOOKUP(C539,contraindications_list!A:B,2)</f>
        <v>острое заболевание</v>
      </c>
      <c r="E539" s="11">
        <v>45035</v>
      </c>
      <c r="F539" s="58"/>
    </row>
    <row r="540" spans="1:6">
      <c r="A540" s="7">
        <v>77</v>
      </c>
      <c r="B540" s="10" t="str">
        <f>VLOOKUP(A540,vaccines!A:B,2)</f>
        <v>plague_live_lyo_48_NII_Minoborony</v>
      </c>
      <c r="C540" s="7">
        <v>6</v>
      </c>
      <c r="D540" s="8" t="str">
        <f>VLOOKUP(C540,contraindications_list!A:B,2)</f>
        <v>обострение хронического заболевания</v>
      </c>
      <c r="E540" s="11">
        <v>45035</v>
      </c>
      <c r="F540" s="58"/>
    </row>
    <row r="541" spans="1:6">
      <c r="A541" s="7">
        <v>77</v>
      </c>
      <c r="B541" s="10" t="str">
        <f>VLOOKUP(A541,vaccines!A:B,2)</f>
        <v>plague_live_lyo_48_NII_Minoborony</v>
      </c>
      <c r="C541" s="7">
        <v>7</v>
      </c>
      <c r="D541" s="8" t="str">
        <f>VLOOKUP(C541,contraindications_list!A:B,2)</f>
        <v>иммунодефицит</v>
      </c>
      <c r="E541" s="11">
        <v>45035</v>
      </c>
      <c r="F541" s="58"/>
    </row>
    <row r="542" spans="1:6">
      <c r="A542" s="7">
        <v>77</v>
      </c>
      <c r="B542" s="10" t="str">
        <f>VLOOKUP(A542,vaccines!A:B,2)</f>
        <v>plague_live_lyo_48_NII_Minoborony</v>
      </c>
      <c r="C542" s="7">
        <v>39</v>
      </c>
      <c r="D542" s="8" t="str">
        <f>VLOOKUP(C542,contraindications_list!A:B,2)</f>
        <v>системное заболевание соединительной ткани</v>
      </c>
      <c r="E542" s="11">
        <v>45035</v>
      </c>
      <c r="F542" s="58"/>
    </row>
    <row r="543" spans="1:6">
      <c r="A543" s="7">
        <v>77</v>
      </c>
      <c r="B543" s="10" t="str">
        <f>VLOOKUP(A543,vaccines!A:B,2)</f>
        <v>plague_live_lyo_48_NII_Minoborony</v>
      </c>
      <c r="C543" s="7">
        <v>8</v>
      </c>
      <c r="D543" s="8" t="str">
        <f>VLOOKUP(C543,contraindications_list!A:B,2)</f>
        <v>злокачественное новообразование</v>
      </c>
      <c r="E543" s="11">
        <v>45035</v>
      </c>
      <c r="F543" s="58"/>
    </row>
    <row r="544" spans="1:6">
      <c r="A544" s="7">
        <v>77</v>
      </c>
      <c r="B544" s="10" t="str">
        <f>VLOOKUP(A544,vaccines!A:B,2)</f>
        <v>plague_live_lyo_48_NII_Minoborony</v>
      </c>
      <c r="C544" s="7">
        <v>57</v>
      </c>
      <c r="D544" s="8" t="str">
        <f>VLOOKUP(C544,contraindications_list!A:B,2)</f>
        <v>распространенное рецидивирующее заболевание кожи</v>
      </c>
      <c r="E544" s="11">
        <v>45035</v>
      </c>
      <c r="F544" s="58"/>
    </row>
    <row r="545" spans="1:6">
      <c r="A545" s="7">
        <v>77</v>
      </c>
      <c r="B545" s="10" t="str">
        <f>VLOOKUP(A545,vaccines!A:B,2)</f>
        <v>plague_live_lyo_48_NII_Minoborony</v>
      </c>
      <c r="C545" s="7">
        <v>59</v>
      </c>
      <c r="D545" s="8" t="str">
        <f>VLOOKUP(C545,contraindications_list!A:B,2)</f>
        <v>хроническое заболевание органов дыхания</v>
      </c>
      <c r="E545" s="11">
        <v>45035</v>
      </c>
      <c r="F545" s="58"/>
    </row>
    <row r="546" spans="1:6">
      <c r="A546" s="7">
        <v>77</v>
      </c>
      <c r="B546" s="10" t="str">
        <f>VLOOKUP(A546,vaccines!A:B,2)</f>
        <v>plague_live_lyo_48_NII_Minoborony</v>
      </c>
      <c r="C546" s="7">
        <v>49</v>
      </c>
      <c r="D546" s="8" t="str">
        <f>VLOOKUP(C546,contraindications_list!A:B,2)</f>
        <v>бронхиальная астма</v>
      </c>
      <c r="E546" s="11">
        <v>45035</v>
      </c>
      <c r="F546" s="58"/>
    </row>
    <row r="547" spans="1:6">
      <c r="A547" s="7">
        <v>77</v>
      </c>
      <c r="B547" s="10" t="str">
        <f>VLOOKUP(A547,vaccines!A:B,2)</f>
        <v>plague_live_lyo_48_NII_Minoborony</v>
      </c>
      <c r="C547" s="7">
        <v>21</v>
      </c>
      <c r="D547" s="8" t="str">
        <f>VLOOKUP(C547,contraindications_list!A:B,2)</f>
        <v>тяжелые аллергические реакции</v>
      </c>
      <c r="E547" s="11">
        <v>45035</v>
      </c>
      <c r="F547" s="58"/>
    </row>
    <row r="548" spans="1:6">
      <c r="A548" s="7">
        <v>77</v>
      </c>
      <c r="B548" s="10" t="str">
        <f>VLOOKUP(A548,vaccines!A:B,2)</f>
        <v>plague_live_lyo_48_NII_Minoborony</v>
      </c>
      <c r="C548" s="7">
        <v>22</v>
      </c>
      <c r="D548" s="8" t="str">
        <f>VLOOKUP(C548,contraindications_list!A:B,2)</f>
        <v>беременность</v>
      </c>
      <c r="E548" s="11">
        <v>45035</v>
      </c>
      <c r="F548" s="58"/>
    </row>
    <row r="549" spans="1:6">
      <c r="A549" s="7">
        <v>77</v>
      </c>
      <c r="B549" s="10" t="str">
        <f>VLOOKUP(A549,vaccines!A:B,2)</f>
        <v>plague_live_lyo_48_NII_Minoborony</v>
      </c>
      <c r="C549" s="7">
        <v>23</v>
      </c>
      <c r="D549" s="8" t="str">
        <f>VLOOKUP(C549,contraindications_list!A:B,2)</f>
        <v>грудное вскармливание</v>
      </c>
      <c r="E549" s="11">
        <v>45035</v>
      </c>
      <c r="F549" s="58"/>
    </row>
    <row r="550" spans="1:6">
      <c r="A550" s="7">
        <v>77</v>
      </c>
      <c r="B550" s="10" t="str">
        <f>VLOOKUP(A550,vaccines!A:B,2)</f>
        <v>plague_live_lyo_48_NII_Minoborony</v>
      </c>
      <c r="C550" s="54">
        <v>74</v>
      </c>
      <c r="D550" s="8" t="str">
        <f>VLOOKUP(C550,contraindications_list!A:B,2)</f>
        <v>злокачественное заболевание крови</v>
      </c>
      <c r="E550" s="12">
        <v>45133</v>
      </c>
      <c r="F550" s="58"/>
    </row>
    <row r="551" spans="1:6">
      <c r="A551" s="7">
        <v>78</v>
      </c>
      <c r="B551" s="10" t="str">
        <f>VLOOKUP(A551,vaccines!A:B,2)</f>
        <v>plague_live_tablets_48_NII_Minoborony</v>
      </c>
      <c r="C551" s="7">
        <v>5</v>
      </c>
      <c r="D551" s="8" t="str">
        <f>VLOOKUP(C551,contraindications_list!A:B,2)</f>
        <v>острое заболевание</v>
      </c>
      <c r="E551" s="11">
        <v>45035</v>
      </c>
      <c r="F551" s="58"/>
    </row>
    <row r="552" spans="1:6">
      <c r="A552" s="7">
        <v>78</v>
      </c>
      <c r="B552" s="10" t="str">
        <f>VLOOKUP(A552,vaccines!A:B,2)</f>
        <v>plague_live_tablets_48_NII_Minoborony</v>
      </c>
      <c r="C552" s="7">
        <v>6</v>
      </c>
      <c r="D552" s="8" t="str">
        <f>VLOOKUP(C552,contraindications_list!A:B,2)</f>
        <v>обострение хронического заболевания</v>
      </c>
      <c r="E552" s="11">
        <v>45035</v>
      </c>
      <c r="F552" s="58"/>
    </row>
    <row r="553" spans="1:6">
      <c r="A553" s="7">
        <v>78</v>
      </c>
      <c r="B553" s="10" t="str">
        <f>VLOOKUP(A553,vaccines!A:B,2)</f>
        <v>plague_live_tablets_48_NII_Minoborony</v>
      </c>
      <c r="C553" s="7">
        <v>7</v>
      </c>
      <c r="D553" s="8" t="str">
        <f>VLOOKUP(C553,contraindications_list!A:B,2)</f>
        <v>иммунодефицит</v>
      </c>
      <c r="E553" s="11">
        <v>45035</v>
      </c>
      <c r="F553" s="58"/>
    </row>
    <row r="554" spans="1:6">
      <c r="A554" s="7">
        <v>78</v>
      </c>
      <c r="B554" s="10" t="str">
        <f>VLOOKUP(A554,vaccines!A:B,2)</f>
        <v>plague_live_tablets_48_NII_Minoborony</v>
      </c>
      <c r="C554" s="7">
        <v>39</v>
      </c>
      <c r="D554" s="8" t="str">
        <f>VLOOKUP(C554,contraindications_list!A:B,2)</f>
        <v>системное заболевание соединительной ткани</v>
      </c>
      <c r="E554" s="11">
        <v>45035</v>
      </c>
      <c r="F554" s="58"/>
    </row>
    <row r="555" spans="1:6">
      <c r="A555" s="7">
        <v>78</v>
      </c>
      <c r="B555" s="10" t="str">
        <f>VLOOKUP(A555,vaccines!A:B,2)</f>
        <v>plague_live_tablets_48_NII_Minoborony</v>
      </c>
      <c r="C555" s="7">
        <v>8</v>
      </c>
      <c r="D555" s="8" t="str">
        <f>VLOOKUP(C555,contraindications_list!A:B,2)</f>
        <v>злокачественное новообразование</v>
      </c>
      <c r="E555" s="11">
        <v>45035</v>
      </c>
      <c r="F555" s="58"/>
    </row>
    <row r="556" spans="1:6">
      <c r="A556" s="7">
        <v>78</v>
      </c>
      <c r="B556" s="10" t="str">
        <f>VLOOKUP(A556,vaccines!A:B,2)</f>
        <v>plague_live_tablets_48_NII_Minoborony</v>
      </c>
      <c r="C556" s="7">
        <v>38</v>
      </c>
      <c r="D556" s="8" t="str">
        <f>VLOOKUP(C556,contraindications_list!A:B,2)</f>
        <v>хроническое заболевание эндокринной системы</v>
      </c>
      <c r="E556" s="11">
        <v>45035</v>
      </c>
      <c r="F556" s="58"/>
    </row>
    <row r="557" spans="1:6">
      <c r="A557" s="7">
        <v>78</v>
      </c>
      <c r="B557" s="10" t="str">
        <f>VLOOKUP(A557,vaccines!A:B,2)</f>
        <v>plague_live_tablets_48_NII_Minoborony</v>
      </c>
      <c r="C557" s="7">
        <v>49</v>
      </c>
      <c r="D557" s="8" t="str">
        <f>VLOOKUP(C557,contraindications_list!A:B,2)</f>
        <v>бронхиальная астма</v>
      </c>
      <c r="E557" s="11">
        <v>45035</v>
      </c>
      <c r="F557" s="58"/>
    </row>
    <row r="558" spans="1:6">
      <c r="A558" s="7">
        <v>78</v>
      </c>
      <c r="B558" s="10" t="str">
        <f>VLOOKUP(A558,vaccines!A:B,2)</f>
        <v>plague_live_tablets_48_NII_Minoborony</v>
      </c>
      <c r="C558" s="7">
        <v>21</v>
      </c>
      <c r="D558" s="8" t="str">
        <f>VLOOKUP(C558,contraindications_list!A:B,2)</f>
        <v>тяжелые аллергические реакции</v>
      </c>
      <c r="E558" s="11">
        <v>45035</v>
      </c>
      <c r="F558" s="58"/>
    </row>
    <row r="559" spans="1:6">
      <c r="A559" s="7">
        <v>78</v>
      </c>
      <c r="B559" s="10" t="str">
        <f>VLOOKUP(A559,vaccines!A:B,2)</f>
        <v>plague_live_tablets_48_NII_Minoborony</v>
      </c>
      <c r="C559" s="7">
        <v>22</v>
      </c>
      <c r="D559" s="8" t="str">
        <f>VLOOKUP(C559,contraindications_list!A:B,2)</f>
        <v>беременность</v>
      </c>
      <c r="E559" s="11">
        <v>45035</v>
      </c>
      <c r="F559" s="58"/>
    </row>
    <row r="560" spans="1:6">
      <c r="A560" s="7">
        <v>78</v>
      </c>
      <c r="B560" s="10" t="str">
        <f>VLOOKUP(A560,vaccines!A:B,2)</f>
        <v>plague_live_tablets_48_NII_Minoborony</v>
      </c>
      <c r="C560" s="7">
        <v>23</v>
      </c>
      <c r="D560" s="8" t="str">
        <f>VLOOKUP(C560,contraindications_list!A:B,2)</f>
        <v>грудное вскармливание</v>
      </c>
      <c r="E560" s="11">
        <v>45035</v>
      </c>
      <c r="F560" s="58"/>
    </row>
    <row r="561" spans="1:6">
      <c r="A561" s="7">
        <v>78</v>
      </c>
      <c r="B561" s="10" t="str">
        <f>VLOOKUP(A561,vaccines!A:B,2)</f>
        <v>plague_live_tablets_48_NII_Minoborony</v>
      </c>
      <c r="C561" s="54">
        <v>74</v>
      </c>
      <c r="D561" s="8" t="str">
        <f>VLOOKUP(C561,contraindications_list!A:B,2)</f>
        <v>злокачественное заболевание крови</v>
      </c>
      <c r="E561" s="12">
        <v>45133</v>
      </c>
      <c r="F561" s="58"/>
    </row>
    <row r="562" spans="1:6">
      <c r="A562" s="7">
        <v>79</v>
      </c>
      <c r="B562" s="10" t="str">
        <f>VLOOKUP(A562,vaccines!A:B,2)</f>
        <v>plague_live_lyo_RPN</v>
      </c>
      <c r="C562" s="7">
        <v>5</v>
      </c>
      <c r="D562" s="8" t="str">
        <f>VLOOKUP(C562,contraindications_list!A:B,2)</f>
        <v>острое заболевание</v>
      </c>
      <c r="E562" s="11">
        <v>45035</v>
      </c>
      <c r="F562" s="58"/>
    </row>
    <row r="563" spans="1:6">
      <c r="A563" s="7">
        <v>79</v>
      </c>
      <c r="B563" s="10" t="str">
        <f>VLOOKUP(A563,vaccines!A:B,2)</f>
        <v>plague_live_lyo_RPN</v>
      </c>
      <c r="C563" s="7">
        <v>6</v>
      </c>
      <c r="D563" s="8" t="str">
        <f>VLOOKUP(C563,contraindications_list!A:B,2)</f>
        <v>обострение хронического заболевания</v>
      </c>
      <c r="E563" s="11">
        <v>45035</v>
      </c>
      <c r="F563" s="58"/>
    </row>
    <row r="564" spans="1:6">
      <c r="A564" s="7">
        <v>79</v>
      </c>
      <c r="B564" s="10" t="str">
        <f>VLOOKUP(A564,vaccines!A:B,2)</f>
        <v>plague_live_lyo_RPN</v>
      </c>
      <c r="C564" s="7">
        <v>7</v>
      </c>
      <c r="D564" s="8" t="str">
        <f>VLOOKUP(C564,contraindications_list!A:B,2)</f>
        <v>иммунодефицит</v>
      </c>
      <c r="E564" s="11">
        <v>45035</v>
      </c>
      <c r="F564" s="58"/>
    </row>
    <row r="565" spans="1:6">
      <c r="A565" s="7">
        <v>79</v>
      </c>
      <c r="B565" s="10" t="str">
        <f>VLOOKUP(A565,vaccines!A:B,2)</f>
        <v>plague_live_lyo_RPN</v>
      </c>
      <c r="C565" s="7">
        <v>39</v>
      </c>
      <c r="D565" s="8" t="str">
        <f>VLOOKUP(C565,contraindications_list!A:B,2)</f>
        <v>системное заболевание соединительной ткани</v>
      </c>
      <c r="E565" s="11">
        <v>45035</v>
      </c>
      <c r="F565" s="58"/>
    </row>
    <row r="566" spans="1:6">
      <c r="A566" s="7">
        <v>79</v>
      </c>
      <c r="B566" s="10" t="str">
        <f>VLOOKUP(A566,vaccines!A:B,2)</f>
        <v>plague_live_lyo_RPN</v>
      </c>
      <c r="C566" s="7">
        <v>8</v>
      </c>
      <c r="D566" s="8" t="str">
        <f>VLOOKUP(C566,contraindications_list!A:B,2)</f>
        <v>злокачественное новообразование</v>
      </c>
      <c r="E566" s="11">
        <v>45035</v>
      </c>
      <c r="F566" s="58"/>
    </row>
    <row r="567" spans="1:6">
      <c r="A567" s="7">
        <v>79</v>
      </c>
      <c r="B567" s="10" t="str">
        <f>VLOOKUP(A567,vaccines!A:B,2)</f>
        <v>plague_live_lyo_RPN</v>
      </c>
      <c r="C567" s="7">
        <v>57</v>
      </c>
      <c r="D567" s="8" t="str">
        <f>VLOOKUP(C567,contraindications_list!A:B,2)</f>
        <v>распространенное рецидивирующее заболевание кожи</v>
      </c>
      <c r="E567" s="11">
        <v>45035</v>
      </c>
      <c r="F567" s="58"/>
    </row>
    <row r="568" spans="1:6">
      <c r="A568" s="7">
        <v>79</v>
      </c>
      <c r="B568" s="10" t="str">
        <f>VLOOKUP(A568,vaccines!A:B,2)</f>
        <v>plague_live_lyo_RPN</v>
      </c>
      <c r="C568" s="7">
        <v>59</v>
      </c>
      <c r="D568" s="8" t="str">
        <f>VLOOKUP(C568,contraindications_list!A:B,2)</f>
        <v>хроническое заболевание органов дыхания</v>
      </c>
      <c r="E568" s="11">
        <v>45035</v>
      </c>
      <c r="F568" s="58"/>
    </row>
    <row r="569" spans="1:6">
      <c r="A569" s="7">
        <v>79</v>
      </c>
      <c r="B569" s="10" t="str">
        <f>VLOOKUP(A569,vaccines!A:B,2)</f>
        <v>plague_live_lyo_RPN</v>
      </c>
      <c r="C569" s="7">
        <v>49</v>
      </c>
      <c r="D569" s="8" t="str">
        <f>VLOOKUP(C569,contraindications_list!A:B,2)</f>
        <v>бронхиальная астма</v>
      </c>
      <c r="E569" s="11">
        <v>45035</v>
      </c>
      <c r="F569" s="58"/>
    </row>
    <row r="570" spans="1:6">
      <c r="A570" s="7">
        <v>79</v>
      </c>
      <c r="B570" s="10" t="str">
        <f>VLOOKUP(A570,vaccines!A:B,2)</f>
        <v>plague_live_lyo_RPN</v>
      </c>
      <c r="C570" s="7">
        <v>21</v>
      </c>
      <c r="D570" s="8" t="str">
        <f>VLOOKUP(C570,contraindications_list!A:B,2)</f>
        <v>тяжелые аллергические реакции</v>
      </c>
      <c r="E570" s="11">
        <v>45035</v>
      </c>
      <c r="F570" s="58"/>
    </row>
    <row r="571" spans="1:6">
      <c r="A571" s="7">
        <v>79</v>
      </c>
      <c r="B571" s="10" t="str">
        <f>VLOOKUP(A571,vaccines!A:B,2)</f>
        <v>plague_live_lyo_RPN</v>
      </c>
      <c r="C571" s="7">
        <v>22</v>
      </c>
      <c r="D571" s="8" t="str">
        <f>VLOOKUP(C571,contraindications_list!A:B,2)</f>
        <v>беременность</v>
      </c>
      <c r="E571" s="11">
        <v>45035</v>
      </c>
      <c r="F571" s="58"/>
    </row>
    <row r="572" spans="1:6">
      <c r="A572" s="7">
        <v>79</v>
      </c>
      <c r="B572" s="10" t="str">
        <f>VLOOKUP(A572,vaccines!A:B,2)</f>
        <v>plague_live_lyo_RPN</v>
      </c>
      <c r="C572" s="7">
        <v>23</v>
      </c>
      <c r="D572" s="8" t="str">
        <f>VLOOKUP(C572,contraindications_list!A:B,2)</f>
        <v>грудное вскармливание</v>
      </c>
      <c r="E572" s="11">
        <v>45035</v>
      </c>
      <c r="F572" s="58"/>
    </row>
    <row r="573" spans="1:6">
      <c r="A573" s="7">
        <v>79</v>
      </c>
      <c r="B573" s="10" t="str">
        <f>VLOOKUP(A573,vaccines!A:B,2)</f>
        <v>plague_live_lyo_RPN</v>
      </c>
      <c r="C573" s="54">
        <v>74</v>
      </c>
      <c r="D573" s="8" t="str">
        <f>VLOOKUP(C573,contraindications_list!A:B,2)</f>
        <v>злокачественное заболевание крови</v>
      </c>
      <c r="E573" s="12">
        <v>45133</v>
      </c>
      <c r="F573" s="58"/>
    </row>
    <row r="574" spans="1:6">
      <c r="A574" s="7">
        <v>80</v>
      </c>
      <c r="B574" s="10" t="str">
        <f>VLOOKUP(A574,vaccines!A:B,2)</f>
        <v>brucellosis_therapeutic_48_NII_Minoborony</v>
      </c>
      <c r="C574" s="7">
        <v>35</v>
      </c>
      <c r="D574" s="8" t="str">
        <f>VLOOKUP(C574,contraindications_list!A:B,2)</f>
        <v>сердечно-сосудистая недостаточность</v>
      </c>
      <c r="E574" s="11">
        <v>45035</v>
      </c>
      <c r="F574" s="58"/>
    </row>
    <row r="575" spans="1:6">
      <c r="A575" s="7">
        <v>80</v>
      </c>
      <c r="B575" s="10" t="str">
        <f>VLOOKUP(A575,vaccines!A:B,2)</f>
        <v>brucellosis_therapeutic_48_NII_Minoborony</v>
      </c>
      <c r="C575" s="7">
        <v>60</v>
      </c>
      <c r="D575" s="8" t="str">
        <f>VLOOKUP(C575,contraindications_list!A:B,2)</f>
        <v>геморрагический диатез</v>
      </c>
      <c r="E575" s="11">
        <v>45035</v>
      </c>
      <c r="F575" s="58"/>
    </row>
    <row r="576" spans="1:6">
      <c r="A576" s="7">
        <v>80</v>
      </c>
      <c r="B576" s="10" t="str">
        <f>VLOOKUP(A576,vaccines!A:B,2)</f>
        <v>brucellosis_therapeutic_48_NII_Minoborony</v>
      </c>
      <c r="C576" s="7">
        <v>53</v>
      </c>
      <c r="D576" s="8" t="str">
        <f>VLOOKUP(C576,contraindications_list!A:B,2)</f>
        <v>неврологическое заболевание</v>
      </c>
      <c r="E576" s="11">
        <v>45035</v>
      </c>
      <c r="F576" s="58"/>
    </row>
    <row r="577" spans="1:6">
      <c r="A577" s="7">
        <v>80</v>
      </c>
      <c r="B577" s="10" t="str">
        <f>VLOOKUP(A577,vaccines!A:B,2)</f>
        <v>brucellosis_therapeutic_48_NII_Minoborony</v>
      </c>
      <c r="C577" s="7">
        <v>36</v>
      </c>
      <c r="D577" s="8" t="str">
        <f>VLOOKUP(C577,contraindications_list!A:B,2)</f>
        <v>хроническое заболевание почек</v>
      </c>
      <c r="E577" s="11">
        <v>45035</v>
      </c>
      <c r="F577" s="58"/>
    </row>
    <row r="578" spans="1:6">
      <c r="A578" s="7">
        <v>80</v>
      </c>
      <c r="B578" s="10" t="str">
        <f>VLOOKUP(A578,vaccines!A:B,2)</f>
        <v>brucellosis_therapeutic_48_NII_Minoborony</v>
      </c>
      <c r="C578" s="7">
        <v>37</v>
      </c>
      <c r="D578" s="8" t="str">
        <f>VLOOKUP(C578,contraindications_list!A:B,2)</f>
        <v>хроническое заболевание печени</v>
      </c>
      <c r="E578" s="11">
        <v>45035</v>
      </c>
      <c r="F578" s="58"/>
    </row>
    <row r="579" spans="1:6">
      <c r="A579" s="7">
        <v>80</v>
      </c>
      <c r="B579" s="10" t="str">
        <f>VLOOKUP(A579,vaccines!A:B,2)</f>
        <v>brucellosis_therapeutic_48_NII_Minoborony</v>
      </c>
      <c r="C579" s="7">
        <v>18</v>
      </c>
      <c r="D579" s="8" t="str">
        <f>VLOOKUP(C579,contraindications_list!A:B,2)</f>
        <v>туберкулез</v>
      </c>
      <c r="E579" s="11">
        <v>45035</v>
      </c>
      <c r="F579" s="58"/>
    </row>
    <row r="580" spans="1:6">
      <c r="A580" s="7">
        <v>80</v>
      </c>
      <c r="B580" s="10" t="str">
        <f>VLOOKUP(A580,vaccines!A:B,2)</f>
        <v>brucellosis_therapeutic_48_NII_Minoborony</v>
      </c>
      <c r="C580" s="7">
        <v>22</v>
      </c>
      <c r="D580" s="8" t="str">
        <f>VLOOKUP(C580,contraindications_list!A:B,2)</f>
        <v>беременность</v>
      </c>
      <c r="E580" s="11">
        <v>45035</v>
      </c>
      <c r="F580" s="58"/>
    </row>
    <row r="581" spans="1:6">
      <c r="A581" s="7">
        <v>81</v>
      </c>
      <c r="B581" s="10" t="str">
        <f>VLOOKUP(A581,vaccines!A:B,2)</f>
        <v>brucellosis_prophylactic_Microgen</v>
      </c>
      <c r="C581" s="7">
        <v>61</v>
      </c>
      <c r="D581" s="8" t="str">
        <f>VLOOKUP(C581,contraindications_list!A:B,2)</f>
        <v>бруцеллез</v>
      </c>
      <c r="E581" s="11">
        <v>45035</v>
      </c>
      <c r="F581" s="58"/>
    </row>
    <row r="582" spans="1:6">
      <c r="A582" s="7">
        <v>81</v>
      </c>
      <c r="B582" s="10" t="str">
        <f>VLOOKUP(A582,vaccines!A:B,2)</f>
        <v>brucellosis_prophylactic_Microgen</v>
      </c>
      <c r="C582" s="7">
        <v>5</v>
      </c>
      <c r="D582" s="8" t="str">
        <f>VLOOKUP(C582,contraindications_list!A:B,2)</f>
        <v>острое заболевание</v>
      </c>
      <c r="E582" s="11">
        <v>45035</v>
      </c>
      <c r="F582" s="58"/>
    </row>
    <row r="583" spans="1:6">
      <c r="A583" s="7">
        <v>81</v>
      </c>
      <c r="B583" s="10" t="str">
        <f>VLOOKUP(A583,vaccines!A:B,2)</f>
        <v>brucellosis_prophylactic_Microgen</v>
      </c>
      <c r="C583" s="7">
        <v>6</v>
      </c>
      <c r="D583" s="8" t="str">
        <f>VLOOKUP(C583,contraindications_list!A:B,2)</f>
        <v>обострение хронического заболевания</v>
      </c>
      <c r="E583" s="11">
        <v>45035</v>
      </c>
      <c r="F583" s="58"/>
    </row>
    <row r="584" spans="1:6">
      <c r="A584" s="7">
        <v>81</v>
      </c>
      <c r="B584" s="10" t="str">
        <f>VLOOKUP(A584,vaccines!A:B,2)</f>
        <v>brucellosis_prophylactic_Microgen</v>
      </c>
      <c r="C584" s="7">
        <v>7</v>
      </c>
      <c r="D584" s="8" t="str">
        <f>VLOOKUP(C584,contraindications_list!A:B,2)</f>
        <v>иммунодефицит</v>
      </c>
      <c r="E584" s="11">
        <v>45035</v>
      </c>
      <c r="F584" s="58"/>
    </row>
    <row r="585" spans="1:6">
      <c r="A585" s="7">
        <v>81</v>
      </c>
      <c r="B585" s="10" t="str">
        <f>VLOOKUP(A585,vaccines!A:B,2)</f>
        <v>brucellosis_prophylactic_Microgen</v>
      </c>
      <c r="C585" s="7">
        <v>39</v>
      </c>
      <c r="D585" s="8" t="str">
        <f>VLOOKUP(C585,contraindications_list!A:B,2)</f>
        <v>системное заболевание соединительной ткани</v>
      </c>
      <c r="E585" s="11">
        <v>45035</v>
      </c>
      <c r="F585" s="58"/>
    </row>
    <row r="586" spans="1:6">
      <c r="A586" s="7">
        <v>81</v>
      </c>
      <c r="B586" s="10" t="str">
        <f>VLOOKUP(A586,vaccines!A:B,2)</f>
        <v>brucellosis_prophylactic_Microgen</v>
      </c>
      <c r="C586" s="7">
        <v>8</v>
      </c>
      <c r="D586" s="8" t="str">
        <f>VLOOKUP(C586,contraindications_list!A:B,2)</f>
        <v>злокачественное новообразование</v>
      </c>
      <c r="E586" s="11">
        <v>45035</v>
      </c>
      <c r="F586" s="58"/>
    </row>
    <row r="587" spans="1:6">
      <c r="A587" s="7">
        <v>81</v>
      </c>
      <c r="B587" s="10" t="str">
        <f>VLOOKUP(A587,vaccines!A:B,2)</f>
        <v>brucellosis_prophylactic_Microgen</v>
      </c>
      <c r="C587" s="7">
        <v>57</v>
      </c>
      <c r="D587" s="8" t="str">
        <f>VLOOKUP(C587,contraindications_list!A:B,2)</f>
        <v>распространенное рецидивирующее заболевание кожи</v>
      </c>
      <c r="E587" s="11">
        <v>45035</v>
      </c>
      <c r="F587" s="58"/>
    </row>
    <row r="588" spans="1:6">
      <c r="A588" s="7">
        <v>81</v>
      </c>
      <c r="B588" s="10" t="str">
        <f>VLOOKUP(A588,vaccines!A:B,2)</f>
        <v>brucellosis_prophylactic_Microgen</v>
      </c>
      <c r="C588" s="7">
        <v>49</v>
      </c>
      <c r="D588" s="8" t="str">
        <f>VLOOKUP(C588,contraindications_list!A:B,2)</f>
        <v>бронхиальная астма</v>
      </c>
      <c r="E588" s="11">
        <v>45035</v>
      </c>
      <c r="F588" s="58"/>
    </row>
    <row r="589" spans="1:6">
      <c r="A589" s="7">
        <v>81</v>
      </c>
      <c r="B589" s="10" t="str">
        <f>VLOOKUP(A589,vaccines!A:B,2)</f>
        <v>brucellosis_prophylactic_Microgen</v>
      </c>
      <c r="C589" s="7">
        <v>21</v>
      </c>
      <c r="D589" s="8" t="str">
        <f>VLOOKUP(C589,contraindications_list!A:B,2)</f>
        <v>тяжелые аллергические реакции</v>
      </c>
      <c r="E589" s="11">
        <v>45035</v>
      </c>
      <c r="F589" s="58"/>
    </row>
    <row r="590" spans="1:6">
      <c r="A590" s="7">
        <v>81</v>
      </c>
      <c r="B590" s="10" t="str">
        <f>VLOOKUP(A590,vaccines!A:B,2)</f>
        <v>brucellosis_prophylactic_Microgen</v>
      </c>
      <c r="C590" s="7">
        <v>22</v>
      </c>
      <c r="D590" s="8" t="str">
        <f>VLOOKUP(C590,contraindications_list!A:B,2)</f>
        <v>беременность</v>
      </c>
      <c r="E590" s="11">
        <v>45035</v>
      </c>
      <c r="F590" s="58"/>
    </row>
    <row r="591" spans="1:6">
      <c r="A591" s="7">
        <v>81</v>
      </c>
      <c r="B591" s="10" t="str">
        <f>VLOOKUP(A591,vaccines!A:B,2)</f>
        <v>brucellosis_prophylactic_Microgen</v>
      </c>
      <c r="C591" s="7">
        <v>23</v>
      </c>
      <c r="D591" s="8" t="str">
        <f>VLOOKUP(C591,contraindications_list!A:B,2)</f>
        <v>грудное вскармливание</v>
      </c>
      <c r="E591" s="11">
        <v>45035</v>
      </c>
      <c r="F591" s="58"/>
    </row>
    <row r="592" spans="1:6">
      <c r="A592" s="7">
        <v>81</v>
      </c>
      <c r="B592" s="10" t="str">
        <f>VLOOKUP(A592,vaccines!A:B,2)</f>
        <v>brucellosis_prophylactic_Microgen</v>
      </c>
      <c r="C592" s="54">
        <v>74</v>
      </c>
      <c r="D592" s="8" t="str">
        <f>VLOOKUP(C592,contraindications_list!A:B,2)</f>
        <v>злокачественное заболевание крови</v>
      </c>
      <c r="E592" s="12">
        <v>45133</v>
      </c>
      <c r="F592" s="58"/>
    </row>
    <row r="593" spans="1:6">
      <c r="A593" s="7">
        <v>81</v>
      </c>
      <c r="B593" s="10" t="str">
        <f>VLOOKUP(A593,vaccines!A:B,2)</f>
        <v>brucellosis_prophylactic_Microgen</v>
      </c>
      <c r="C593" s="54">
        <v>1</v>
      </c>
      <c r="D593" s="8" t="str">
        <f>VLOOKUP(C593,contraindications_list!A:B,2)</f>
        <v>гиперчувствительность к компонентам</v>
      </c>
      <c r="E593" s="12">
        <v>45798</v>
      </c>
      <c r="F593" s="58"/>
    </row>
    <row r="594" spans="1:6">
      <c r="A594" s="7">
        <v>82</v>
      </c>
      <c r="B594" s="10" t="str">
        <f>VLOOKUP(A594,vaccines!A:B,2)</f>
        <v>anthrax_live_48_NII_Minoborony</v>
      </c>
      <c r="C594" s="7">
        <v>1</v>
      </c>
      <c r="D594" s="8" t="str">
        <f>VLOOKUP(C594,contraindications_list!A:B,2)</f>
        <v>гиперчувствительность к компонентам</v>
      </c>
      <c r="E594" s="11">
        <v>45036</v>
      </c>
      <c r="F594" s="58"/>
    </row>
    <row r="595" spans="1:6">
      <c r="A595" s="7">
        <v>82</v>
      </c>
      <c r="B595" s="10" t="str">
        <f>VLOOKUP(A595,vaccines!A:B,2)</f>
        <v>anthrax_live_48_NII_Minoborony</v>
      </c>
      <c r="C595" s="7">
        <v>15</v>
      </c>
      <c r="D595" s="8" t="str">
        <f>VLOOKUP(C595,contraindications_list!A:B,2)</f>
        <v>сильная общая реакция на предыдущее введение вакцины</v>
      </c>
      <c r="E595" s="11">
        <v>45036</v>
      </c>
      <c r="F595" s="58"/>
    </row>
    <row r="596" spans="1:6">
      <c r="A596" s="7">
        <v>82</v>
      </c>
      <c r="B596" s="10" t="str">
        <f>VLOOKUP(A596,vaccines!A:B,2)</f>
        <v>anthrax_live_48_NII_Minoborony</v>
      </c>
      <c r="C596" s="7">
        <v>19</v>
      </c>
      <c r="D596" s="8" t="str">
        <f>VLOOKUP(C596,contraindications_list!A:B,2)</f>
        <v>осложнение на предыдущее введение вакцины</v>
      </c>
      <c r="E596" s="11">
        <v>45036</v>
      </c>
      <c r="F596" s="58"/>
    </row>
    <row r="597" spans="1:6">
      <c r="A597" s="7">
        <v>82</v>
      </c>
      <c r="B597" s="10" t="str">
        <f>VLOOKUP(A597,vaccines!A:B,2)</f>
        <v>anthrax_live_48_NII_Minoborony</v>
      </c>
      <c r="C597" s="7">
        <v>5</v>
      </c>
      <c r="D597" s="8" t="str">
        <f>VLOOKUP(C597,contraindications_list!A:B,2)</f>
        <v>острое заболевание</v>
      </c>
      <c r="E597" s="11">
        <v>45036</v>
      </c>
      <c r="F597" s="58"/>
    </row>
    <row r="598" spans="1:6">
      <c r="A598" s="7">
        <v>82</v>
      </c>
      <c r="B598" s="10" t="str">
        <f>VLOOKUP(A598,vaccines!A:B,2)</f>
        <v>anthrax_live_48_NII_Minoborony</v>
      </c>
      <c r="C598" s="7">
        <v>6</v>
      </c>
      <c r="D598" s="8" t="str">
        <f>VLOOKUP(C598,contraindications_list!A:B,2)</f>
        <v>обострение хронического заболевания</v>
      </c>
      <c r="E598" s="11">
        <v>45036</v>
      </c>
      <c r="F598" s="58"/>
    </row>
    <row r="599" spans="1:6">
      <c r="A599" s="7">
        <v>82</v>
      </c>
      <c r="B599" s="10" t="str">
        <f>VLOOKUP(A599,vaccines!A:B,2)</f>
        <v>anthrax_live_48_NII_Minoborony</v>
      </c>
      <c r="C599" s="7">
        <v>7</v>
      </c>
      <c r="D599" s="8" t="str">
        <f>VLOOKUP(C599,contraindications_list!A:B,2)</f>
        <v>иммунодефицит</v>
      </c>
      <c r="E599" s="11">
        <v>45036</v>
      </c>
      <c r="F599" s="58"/>
    </row>
    <row r="600" spans="1:6">
      <c r="A600" s="7">
        <v>82</v>
      </c>
      <c r="B600" s="10" t="str">
        <f>VLOOKUP(A600,vaccines!A:B,2)</f>
        <v>anthrax_live_48_NII_Minoborony</v>
      </c>
      <c r="C600" s="7">
        <v>8</v>
      </c>
      <c r="D600" s="8" t="str">
        <f>VLOOKUP(C600,contraindications_list!A:B,2)</f>
        <v>злокачественное новообразование</v>
      </c>
      <c r="E600" s="11">
        <v>45036</v>
      </c>
      <c r="F600" s="58"/>
    </row>
    <row r="601" spans="1:6">
      <c r="A601" s="7">
        <v>82</v>
      </c>
      <c r="B601" s="10" t="str">
        <f>VLOOKUP(A601,vaccines!A:B,2)</f>
        <v>anthrax_live_48_NII_Minoborony</v>
      </c>
      <c r="C601" s="7">
        <v>39</v>
      </c>
      <c r="D601" s="8" t="str">
        <f>VLOOKUP(C601,contraindications_list!A:B,2)</f>
        <v>системное заболевание соединительной ткани</v>
      </c>
      <c r="E601" s="11">
        <v>45036</v>
      </c>
      <c r="F601" s="58"/>
    </row>
    <row r="602" spans="1:6">
      <c r="A602" s="7">
        <v>82</v>
      </c>
      <c r="B602" s="10" t="str">
        <f>VLOOKUP(A602,vaccines!A:B,2)</f>
        <v>anthrax_live_48_NII_Minoborony</v>
      </c>
      <c r="C602" s="7">
        <v>57</v>
      </c>
      <c r="D602" s="8" t="str">
        <f>VLOOKUP(C602,contraindications_list!A:B,2)</f>
        <v>распространенное рецидивирующее заболевание кожи</v>
      </c>
      <c r="E602" s="11">
        <v>45036</v>
      </c>
      <c r="F602" s="58"/>
    </row>
    <row r="603" spans="1:6">
      <c r="A603" s="7">
        <v>82</v>
      </c>
      <c r="B603" s="10" t="str">
        <f>VLOOKUP(A603,vaccines!A:B,2)</f>
        <v>anthrax_live_48_NII_Minoborony</v>
      </c>
      <c r="C603" s="7">
        <v>38</v>
      </c>
      <c r="D603" s="8" t="str">
        <f>VLOOKUP(C603,contraindications_list!A:B,2)</f>
        <v>хроническое заболевание эндокринной системы</v>
      </c>
      <c r="E603" s="11">
        <v>45036</v>
      </c>
      <c r="F603" s="58"/>
    </row>
    <row r="604" spans="1:6">
      <c r="A604" s="7">
        <v>82</v>
      </c>
      <c r="B604" s="10" t="str">
        <f>VLOOKUP(A604,vaccines!A:B,2)</f>
        <v>anthrax_live_48_NII_Minoborony</v>
      </c>
      <c r="C604" s="7">
        <v>22</v>
      </c>
      <c r="D604" s="8" t="str">
        <f>VLOOKUP(C604,contraindications_list!A:B,2)</f>
        <v>беременность</v>
      </c>
      <c r="E604" s="11">
        <v>45036</v>
      </c>
      <c r="F604" s="58"/>
    </row>
    <row r="605" spans="1:6">
      <c r="A605" s="7">
        <v>82</v>
      </c>
      <c r="B605" s="10" t="str">
        <f>VLOOKUP(A605,vaccines!A:B,2)</f>
        <v>anthrax_live_48_NII_Minoborony</v>
      </c>
      <c r="C605" s="7">
        <v>23</v>
      </c>
      <c r="D605" s="8" t="str">
        <f>VLOOKUP(C605,contraindications_list!A:B,2)</f>
        <v>грудное вскармливание</v>
      </c>
      <c r="E605" s="11">
        <v>45036</v>
      </c>
      <c r="F605" s="58"/>
    </row>
    <row r="606" spans="1:6">
      <c r="A606" s="7">
        <v>82</v>
      </c>
      <c r="B606" s="10" t="str">
        <f>VLOOKUP(A606,vaccines!A:B,2)</f>
        <v>anthrax_live_48_NII_Minoborony</v>
      </c>
      <c r="C606" s="54">
        <v>74</v>
      </c>
      <c r="D606" s="8" t="str">
        <f>VLOOKUP(C606,contraindications_list!A:B,2)</f>
        <v>злокачественное заболевание крови</v>
      </c>
      <c r="E606" s="12">
        <v>45133</v>
      </c>
      <c r="F606" s="58"/>
    </row>
    <row r="607" spans="1:6">
      <c r="A607" s="7">
        <v>83</v>
      </c>
      <c r="B607" s="10" t="str">
        <f>VLOOKUP(A607,vaccines!A:B,2)</f>
        <v>anthrax_combined_48_NII_Minoborony</v>
      </c>
      <c r="C607" s="7">
        <v>5</v>
      </c>
      <c r="D607" s="8" t="str">
        <f>VLOOKUP(C607,contraindications_list!A:B,2)</f>
        <v>острое заболевание</v>
      </c>
      <c r="E607" s="11">
        <v>45036</v>
      </c>
      <c r="F607" s="58"/>
    </row>
    <row r="608" spans="1:6">
      <c r="A608" s="7">
        <v>83</v>
      </c>
      <c r="B608" s="10" t="str">
        <f>VLOOKUP(A608,vaccines!A:B,2)</f>
        <v>anthrax_combined_48_NII_Minoborony</v>
      </c>
      <c r="C608" s="7">
        <v>6</v>
      </c>
      <c r="D608" s="8" t="str">
        <f>VLOOKUP(C608,contraindications_list!A:B,2)</f>
        <v>обострение хронического заболевания</v>
      </c>
      <c r="E608" s="11">
        <v>45036</v>
      </c>
      <c r="F608" s="58"/>
    </row>
    <row r="609" spans="1:6">
      <c r="A609" s="7">
        <v>83</v>
      </c>
      <c r="B609" s="10" t="str">
        <f>VLOOKUP(A609,vaccines!A:B,2)</f>
        <v>anthrax_combined_48_NII_Minoborony</v>
      </c>
      <c r="C609" s="7">
        <v>7</v>
      </c>
      <c r="D609" s="8" t="str">
        <f>VLOOKUP(C609,contraindications_list!A:B,2)</f>
        <v>иммунодефицит</v>
      </c>
      <c r="E609" s="11">
        <v>45036</v>
      </c>
      <c r="F609" s="58"/>
    </row>
    <row r="610" spans="1:6">
      <c r="A610" s="7">
        <v>83</v>
      </c>
      <c r="B610" s="10" t="str">
        <f>VLOOKUP(A610,vaccines!A:B,2)</f>
        <v>anthrax_combined_48_NII_Minoborony</v>
      </c>
      <c r="C610" s="7">
        <v>8</v>
      </c>
      <c r="D610" s="8" t="str">
        <f>VLOOKUP(C610,contraindications_list!A:B,2)</f>
        <v>злокачественное новообразование</v>
      </c>
      <c r="E610" s="11">
        <v>45036</v>
      </c>
      <c r="F610" s="58"/>
    </row>
    <row r="611" spans="1:6">
      <c r="A611" s="7">
        <v>83</v>
      </c>
      <c r="B611" s="10" t="str">
        <f>VLOOKUP(A611,vaccines!A:B,2)</f>
        <v>anthrax_combined_48_NII_Minoborony</v>
      </c>
      <c r="C611" s="7">
        <v>39</v>
      </c>
      <c r="D611" s="8" t="str">
        <f>VLOOKUP(C611,contraindications_list!A:B,2)</f>
        <v>системное заболевание соединительной ткани</v>
      </c>
      <c r="E611" s="11">
        <v>45036</v>
      </c>
      <c r="F611" s="58"/>
    </row>
    <row r="612" spans="1:6">
      <c r="A612" s="7">
        <v>83</v>
      </c>
      <c r="B612" s="10" t="str">
        <f>VLOOKUP(A612,vaccines!A:B,2)</f>
        <v>anthrax_combined_48_NII_Minoborony</v>
      </c>
      <c r="C612" s="7">
        <v>57</v>
      </c>
      <c r="D612" s="8" t="str">
        <f>VLOOKUP(C612,contraindications_list!A:B,2)</f>
        <v>распространенное рецидивирующее заболевание кожи</v>
      </c>
      <c r="E612" s="11">
        <v>45036</v>
      </c>
      <c r="F612" s="58"/>
    </row>
    <row r="613" spans="1:6">
      <c r="A613" s="7">
        <v>83</v>
      </c>
      <c r="B613" s="10" t="str">
        <f>VLOOKUP(A613,vaccines!A:B,2)</f>
        <v>anthrax_combined_48_NII_Minoborony</v>
      </c>
      <c r="C613" s="7">
        <v>38</v>
      </c>
      <c r="D613" s="8" t="str">
        <f>VLOOKUP(C613,contraindications_list!A:B,2)</f>
        <v>хроническое заболевание эндокринной системы</v>
      </c>
      <c r="E613" s="11">
        <v>45036</v>
      </c>
      <c r="F613" s="58"/>
    </row>
    <row r="614" spans="1:6">
      <c r="A614" s="7">
        <v>83</v>
      </c>
      <c r="B614" s="10" t="str">
        <f>VLOOKUP(A614,vaccines!A:B,2)</f>
        <v>anthrax_combined_48_NII_Minoborony</v>
      </c>
      <c r="C614" s="7">
        <v>22</v>
      </c>
      <c r="D614" s="8" t="str">
        <f>VLOOKUP(C614,contraindications_list!A:B,2)</f>
        <v>беременность</v>
      </c>
      <c r="E614" s="11">
        <v>45036</v>
      </c>
      <c r="F614" s="58"/>
    </row>
    <row r="615" spans="1:6">
      <c r="A615" s="7">
        <v>83</v>
      </c>
      <c r="B615" s="10" t="str">
        <f>VLOOKUP(A615,vaccines!A:B,2)</f>
        <v>anthrax_combined_48_NII_Minoborony</v>
      </c>
      <c r="C615" s="7">
        <v>23</v>
      </c>
      <c r="D615" s="8" t="str">
        <f>VLOOKUP(C615,contraindications_list!A:B,2)</f>
        <v>грудное вскармливание</v>
      </c>
      <c r="E615" s="11">
        <v>45036</v>
      </c>
      <c r="F615" s="58"/>
    </row>
    <row r="616" spans="1:6">
      <c r="A616" s="7">
        <v>83</v>
      </c>
      <c r="B616" s="10" t="str">
        <f>VLOOKUP(A616,vaccines!A:B,2)</f>
        <v>anthrax_combined_48_NII_Minoborony</v>
      </c>
      <c r="C616" s="54">
        <v>74</v>
      </c>
      <c r="D616" s="8" t="str">
        <f>VLOOKUP(C616,contraindications_list!A:B,2)</f>
        <v>злокачественное заболевание крови</v>
      </c>
      <c r="E616" s="12">
        <v>45133</v>
      </c>
      <c r="F616" s="58"/>
    </row>
    <row r="617" spans="1:6">
      <c r="A617" s="7">
        <v>84</v>
      </c>
      <c r="B617" s="10" t="str">
        <f>VLOOKUP(A617,vaccines!A:B,2)</f>
        <v>Rabipur</v>
      </c>
      <c r="C617" s="7">
        <v>5</v>
      </c>
      <c r="D617" s="8" t="str">
        <f>VLOOKUP(C617,contraindications_list!A:B,2)</f>
        <v>острое заболевание</v>
      </c>
      <c r="E617" s="11">
        <v>45036</v>
      </c>
      <c r="F617" s="58"/>
    </row>
    <row r="618" spans="1:6">
      <c r="A618" s="7">
        <v>84</v>
      </c>
      <c r="B618" s="10" t="str">
        <f>VLOOKUP(A618,vaccines!A:B,2)</f>
        <v>Rabipur</v>
      </c>
      <c r="C618" s="7">
        <v>6</v>
      </c>
      <c r="D618" s="8" t="str">
        <f>VLOOKUP(C618,contraindications_list!A:B,2)</f>
        <v>обострение хронического заболевания</v>
      </c>
      <c r="E618" s="11">
        <v>45036</v>
      </c>
      <c r="F618" s="58"/>
    </row>
    <row r="619" spans="1:6">
      <c r="A619" s="7">
        <v>84</v>
      </c>
      <c r="B619" s="10" t="str">
        <f>VLOOKUP(A619,vaccines!A:B,2)</f>
        <v>Rabipur</v>
      </c>
      <c r="C619" s="7">
        <v>40</v>
      </c>
      <c r="D619" s="8" t="str">
        <f>VLOOKUP(C619,contraindications_list!A:B,2)</f>
        <v>гиперчувствительность к антибиотикам</v>
      </c>
      <c r="E619" s="11">
        <v>45036</v>
      </c>
      <c r="F619" s="58"/>
    </row>
    <row r="620" spans="1:6">
      <c r="A620" s="7">
        <v>84</v>
      </c>
      <c r="B620" s="10" t="str">
        <f>VLOOKUP(A620,vaccines!A:B,2)</f>
        <v>Rabipur</v>
      </c>
      <c r="C620" s="7">
        <v>1</v>
      </c>
      <c r="D620" s="8" t="str">
        <f>VLOOKUP(C620,contraindications_list!A:B,2)</f>
        <v>гиперчувствительность к компонентам</v>
      </c>
      <c r="E620" s="11">
        <v>45036</v>
      </c>
      <c r="F620" s="58"/>
    </row>
    <row r="621" spans="1:6">
      <c r="A621" s="7">
        <v>84</v>
      </c>
      <c r="B621" s="10" t="str">
        <f>VLOOKUP(A621,vaccines!A:B,2)</f>
        <v>Rabipur</v>
      </c>
      <c r="C621" s="7">
        <v>19</v>
      </c>
      <c r="D621" s="8" t="str">
        <f>VLOOKUP(C621,contraindications_list!A:B,2)</f>
        <v>осложнение на предыдущее введение вакцины</v>
      </c>
      <c r="E621" s="11">
        <v>45036</v>
      </c>
      <c r="F621" s="58"/>
    </row>
    <row r="622" spans="1:6">
      <c r="A622" s="7">
        <v>84</v>
      </c>
      <c r="B622" s="10" t="str">
        <f>VLOOKUP(A622,vaccines!A:B,2)</f>
        <v>Rabipur</v>
      </c>
      <c r="C622" s="7">
        <v>22</v>
      </c>
      <c r="D622" s="8" t="str">
        <f>VLOOKUP(C622,contraindications_list!A:B,2)</f>
        <v>беременность</v>
      </c>
      <c r="E622" s="11">
        <v>45036</v>
      </c>
      <c r="F622" s="58"/>
    </row>
    <row r="623" spans="1:6">
      <c r="A623" s="7">
        <v>85</v>
      </c>
      <c r="B623" s="10" t="str">
        <f>VLOOKUP(A623,vaccines!A:B,2)</f>
        <v>leptospirosis_Rostov_NII</v>
      </c>
      <c r="C623" s="7">
        <v>5</v>
      </c>
      <c r="D623" s="8" t="str">
        <f>VLOOKUP(C623,contraindications_list!A:B,2)</f>
        <v>острое заболевание</v>
      </c>
      <c r="E623" s="11">
        <v>45036</v>
      </c>
      <c r="F623" s="58"/>
    </row>
    <row r="624" spans="1:6">
      <c r="A624" s="7">
        <v>85</v>
      </c>
      <c r="B624" s="10" t="str">
        <f>VLOOKUP(A624,vaccines!A:B,2)</f>
        <v>leptospirosis_Rostov_NII</v>
      </c>
      <c r="C624" s="7">
        <v>6</v>
      </c>
      <c r="D624" s="8" t="str">
        <f>VLOOKUP(C624,contraindications_list!A:B,2)</f>
        <v>обострение хронического заболевания</v>
      </c>
      <c r="E624" s="11">
        <v>45036</v>
      </c>
      <c r="F624" s="58"/>
    </row>
    <row r="625" spans="1:6">
      <c r="A625" s="7">
        <v>85</v>
      </c>
      <c r="B625" s="10" t="str">
        <f>VLOOKUP(A625,vaccines!A:B,2)</f>
        <v>leptospirosis_Rostov_NII</v>
      </c>
      <c r="C625" s="7">
        <v>15</v>
      </c>
      <c r="D625" s="8" t="str">
        <f>VLOOKUP(C625,contraindications_list!A:B,2)</f>
        <v>сильная общая реакция на предыдущее введение вакцины</v>
      </c>
      <c r="E625" s="11">
        <v>45036</v>
      </c>
      <c r="F625" s="58"/>
    </row>
    <row r="626" spans="1:6">
      <c r="A626" s="7">
        <v>85</v>
      </c>
      <c r="B626" s="10" t="str">
        <f>VLOOKUP(A626,vaccines!A:B,2)</f>
        <v>leptospirosis_Rostov_NII</v>
      </c>
      <c r="C626" s="7">
        <v>49</v>
      </c>
      <c r="D626" s="8" t="str">
        <f>VLOOKUP(C626,contraindications_list!A:B,2)</f>
        <v>бронхиальная астма</v>
      </c>
      <c r="E626" s="11">
        <v>45036</v>
      </c>
      <c r="F626" s="58"/>
    </row>
    <row r="627" spans="1:6">
      <c r="A627" s="7">
        <v>85</v>
      </c>
      <c r="B627" s="10" t="str">
        <f>VLOOKUP(A627,vaccines!A:B,2)</f>
        <v>leptospirosis_Rostov_NII</v>
      </c>
      <c r="C627" s="7">
        <v>21</v>
      </c>
      <c r="D627" s="8" t="str">
        <f>VLOOKUP(C627,contraindications_list!A:B,2)</f>
        <v>тяжелые аллергические реакции</v>
      </c>
      <c r="E627" s="11">
        <v>45036</v>
      </c>
      <c r="F627" s="58"/>
    </row>
    <row r="628" spans="1:6">
      <c r="A628" s="7">
        <v>85</v>
      </c>
      <c r="B628" s="10" t="str">
        <f>VLOOKUP(A628,vaccines!A:B,2)</f>
        <v>leptospirosis_Rostov_NII</v>
      </c>
      <c r="C628" s="7">
        <v>38</v>
      </c>
      <c r="D628" s="8" t="str">
        <f>VLOOKUP(C628,contraindications_list!A:B,2)</f>
        <v>хроническое заболевание эндокринной системы</v>
      </c>
      <c r="E628" s="11">
        <v>45036</v>
      </c>
      <c r="F628" s="58"/>
    </row>
    <row r="629" spans="1:6">
      <c r="A629" s="7">
        <v>85</v>
      </c>
      <c r="B629" s="10" t="str">
        <f>VLOOKUP(A629,vaccines!A:B,2)</f>
        <v>leptospirosis_Rostov_NII</v>
      </c>
      <c r="C629" s="7">
        <v>8</v>
      </c>
      <c r="D629" s="8" t="str">
        <f>VLOOKUP(C629,contraindications_list!A:B,2)</f>
        <v>злокачественное новообразование</v>
      </c>
      <c r="E629" s="11">
        <v>45036</v>
      </c>
      <c r="F629" s="58"/>
    </row>
    <row r="630" spans="1:6">
      <c r="A630" s="7">
        <v>85</v>
      </c>
      <c r="B630" s="10" t="str">
        <f>VLOOKUP(A630,vaccines!A:B,2)</f>
        <v>leptospirosis_Rostov_NII</v>
      </c>
      <c r="C630" s="7">
        <v>13</v>
      </c>
      <c r="D630" s="8" t="str">
        <f>VLOOKUP(C630,contraindications_list!A:B,2)</f>
        <v>прогрессирующее неврологическое заболевание</v>
      </c>
      <c r="E630" s="11">
        <v>45036</v>
      </c>
      <c r="F630" s="58"/>
    </row>
    <row r="631" spans="1:6">
      <c r="A631" s="7">
        <v>85</v>
      </c>
      <c r="B631" s="10" t="str">
        <f>VLOOKUP(A631,vaccines!A:B,2)</f>
        <v>leptospirosis_Rostov_NII</v>
      </c>
      <c r="C631" s="7">
        <v>51</v>
      </c>
      <c r="D631" s="8" t="str">
        <f>VLOOKUP(C631,contraindications_list!A:B,2)</f>
        <v>эпилепсия</v>
      </c>
      <c r="E631" s="11">
        <v>45036</v>
      </c>
      <c r="F631" s="58"/>
    </row>
    <row r="632" spans="1:6">
      <c r="A632" s="7">
        <v>85</v>
      </c>
      <c r="B632" s="10" t="str">
        <f>VLOOKUP(A632,vaccines!A:B,2)</f>
        <v>leptospirosis_Rostov_NII</v>
      </c>
      <c r="C632" s="7">
        <v>22</v>
      </c>
      <c r="D632" s="8" t="str">
        <f>VLOOKUP(C632,contraindications_list!A:B,2)</f>
        <v>беременность</v>
      </c>
      <c r="E632" s="11">
        <v>45036</v>
      </c>
      <c r="F632" s="58"/>
    </row>
    <row r="633" spans="1:6">
      <c r="A633" s="7">
        <v>85</v>
      </c>
      <c r="B633" s="10" t="str">
        <f>VLOOKUP(A633,vaccines!A:B,2)</f>
        <v>leptospirosis_Rostov_NII</v>
      </c>
      <c r="C633" s="7">
        <v>23</v>
      </c>
      <c r="D633" s="8" t="str">
        <f>VLOOKUP(C633,contraindications_list!A:B,2)</f>
        <v>грудное вскармливание</v>
      </c>
      <c r="E633" s="11">
        <v>45036</v>
      </c>
      <c r="F633" s="58"/>
    </row>
    <row r="634" spans="1:6">
      <c r="A634" s="7">
        <v>85</v>
      </c>
      <c r="B634" s="10" t="str">
        <f>VLOOKUP(A634,vaccines!A:B,2)</f>
        <v>leptospirosis_Rostov_NII</v>
      </c>
      <c r="C634" s="54">
        <v>74</v>
      </c>
      <c r="D634" s="8" t="str">
        <f>VLOOKUP(C634,contraindications_list!A:B,2)</f>
        <v>злокачественное заболевание крови</v>
      </c>
      <c r="E634" s="12">
        <v>45133</v>
      </c>
      <c r="F634" s="58"/>
    </row>
    <row r="635" spans="1:6">
      <c r="A635" s="7">
        <v>86</v>
      </c>
      <c r="B635" s="10" t="str">
        <f>VLOOKUP(A635,vaccines!A:B,2)</f>
        <v>Q_fever_M_44_Microgen</v>
      </c>
      <c r="C635" s="7">
        <v>62</v>
      </c>
      <c r="D635" s="8" t="str">
        <f>VLOOKUP(C635,contraindications_list!A:B,2)</f>
        <v>коксиеллез</v>
      </c>
      <c r="E635" s="11">
        <v>45036</v>
      </c>
      <c r="F635" s="58"/>
    </row>
    <row r="636" spans="1:6">
      <c r="A636" s="7">
        <v>86</v>
      </c>
      <c r="B636" s="10" t="str">
        <f>VLOOKUP(A636,vaccines!A:B,2)</f>
        <v>Q_fever_M_44_Microgen</v>
      </c>
      <c r="C636" s="7">
        <v>5</v>
      </c>
      <c r="D636" s="8" t="str">
        <f>VLOOKUP(C636,contraindications_list!A:B,2)</f>
        <v>острое заболевание</v>
      </c>
      <c r="E636" s="11">
        <v>45036</v>
      </c>
      <c r="F636" s="58"/>
    </row>
    <row r="637" spans="1:6">
      <c r="A637" s="7">
        <v>86</v>
      </c>
      <c r="B637" s="10" t="str">
        <f>VLOOKUP(A637,vaccines!A:B,2)</f>
        <v>Q_fever_M_44_Microgen</v>
      </c>
      <c r="C637" s="7">
        <v>6</v>
      </c>
      <c r="D637" s="8" t="str">
        <f>VLOOKUP(C637,contraindications_list!A:B,2)</f>
        <v>обострение хронического заболевания</v>
      </c>
      <c r="E637" s="11">
        <v>45036</v>
      </c>
      <c r="F637" s="58"/>
    </row>
    <row r="638" spans="1:6">
      <c r="A638" s="7">
        <v>86</v>
      </c>
      <c r="B638" s="10" t="str">
        <f>VLOOKUP(A638,vaccines!A:B,2)</f>
        <v>Q_fever_M_44_Microgen</v>
      </c>
      <c r="C638" s="7">
        <v>15</v>
      </c>
      <c r="D638" s="8" t="str">
        <f>VLOOKUP(C638,contraindications_list!A:B,2)</f>
        <v>сильная общая реакция на предыдущее введение вакцины</v>
      </c>
      <c r="E638" s="11">
        <v>45036</v>
      </c>
      <c r="F638" s="58"/>
    </row>
    <row r="639" spans="1:6">
      <c r="A639" s="7">
        <v>86</v>
      </c>
      <c r="B639" s="10" t="str">
        <f>VLOOKUP(A639,vaccines!A:B,2)</f>
        <v>Q_fever_M_44_Microgen</v>
      </c>
      <c r="C639" s="7">
        <v>19</v>
      </c>
      <c r="D639" s="8" t="str">
        <f>VLOOKUP(C639,contraindications_list!A:B,2)</f>
        <v>осложнение на предыдущее введение вакцины</v>
      </c>
      <c r="E639" s="11">
        <v>45036</v>
      </c>
      <c r="F639" s="58"/>
    </row>
    <row r="640" spans="1:6">
      <c r="A640" s="7">
        <v>86</v>
      </c>
      <c r="B640" s="10" t="str">
        <f>VLOOKUP(A640,vaccines!A:B,2)</f>
        <v>Q_fever_M_44_Microgen</v>
      </c>
      <c r="C640" s="7">
        <v>58</v>
      </c>
      <c r="D640" s="8" t="str">
        <f>VLOOKUP(C640,contraindications_list!A:B,2)</f>
        <v>аллергия</v>
      </c>
      <c r="E640" s="11">
        <v>45036</v>
      </c>
      <c r="F640" s="58"/>
    </row>
    <row r="641" spans="1:6">
      <c r="A641" s="7">
        <v>86</v>
      </c>
      <c r="B641" s="10" t="str">
        <f>VLOOKUP(A641,vaccines!A:B,2)</f>
        <v>Q_fever_M_44_Microgen</v>
      </c>
      <c r="C641" s="7">
        <v>49</v>
      </c>
      <c r="D641" s="8" t="str">
        <f>VLOOKUP(C641,contraindications_list!A:B,2)</f>
        <v>бронхиальная астма</v>
      </c>
      <c r="E641" s="11">
        <v>45036</v>
      </c>
      <c r="F641" s="58"/>
    </row>
    <row r="642" spans="1:6">
      <c r="A642" s="7">
        <v>86</v>
      </c>
      <c r="B642" s="10" t="str">
        <f>VLOOKUP(A642,vaccines!A:B,2)</f>
        <v>Q_fever_M_44_Microgen</v>
      </c>
      <c r="C642" s="7">
        <v>24</v>
      </c>
      <c r="D642" s="8" t="str">
        <f>VLOOKUP(C642,contraindications_list!A:B,2)</f>
        <v>аллергия на куриный белок</v>
      </c>
      <c r="E642" s="11">
        <v>45036</v>
      </c>
      <c r="F642" s="58"/>
    </row>
    <row r="643" spans="1:6">
      <c r="A643" s="7">
        <v>86</v>
      </c>
      <c r="B643" s="10" t="str">
        <f>VLOOKUP(A643,vaccines!A:B,2)</f>
        <v>Q_fever_M_44_Microgen</v>
      </c>
      <c r="C643" s="7">
        <v>63</v>
      </c>
      <c r="D643" s="8" t="str">
        <f>VLOOKUP(C643,contraindications_list!A:B,2)</f>
        <v>аллергия на молочный белок</v>
      </c>
      <c r="E643" s="11">
        <v>45036</v>
      </c>
      <c r="F643" s="58"/>
    </row>
    <row r="644" spans="1:6">
      <c r="A644" s="7">
        <v>86</v>
      </c>
      <c r="B644" s="10" t="str">
        <f>VLOOKUP(A644,vaccines!A:B,2)</f>
        <v>Q_fever_M_44_Microgen</v>
      </c>
      <c r="C644" s="7">
        <v>39</v>
      </c>
      <c r="D644" s="8" t="str">
        <f>VLOOKUP(C644,contraindications_list!A:B,2)</f>
        <v>системное заболевание соединительной ткани</v>
      </c>
      <c r="E644" s="11">
        <v>45036</v>
      </c>
      <c r="F644" s="58"/>
    </row>
    <row r="645" spans="1:6">
      <c r="A645" s="7">
        <v>86</v>
      </c>
      <c r="B645" s="10" t="str">
        <f>VLOOKUP(A645,vaccines!A:B,2)</f>
        <v>Q_fever_M_44_Microgen</v>
      </c>
      <c r="C645" s="7">
        <v>59</v>
      </c>
      <c r="D645" s="8" t="str">
        <f>VLOOKUP(C645,contraindications_list!A:B,2)</f>
        <v>хроническое заболевание органов дыхания</v>
      </c>
      <c r="E645" s="11">
        <v>45036</v>
      </c>
      <c r="F645" s="58"/>
    </row>
    <row r="646" spans="1:6">
      <c r="A646" s="7">
        <v>86</v>
      </c>
      <c r="B646" s="10" t="str">
        <f>VLOOKUP(A646,vaccines!A:B,2)</f>
        <v>Q_fever_M_44_Microgen</v>
      </c>
      <c r="C646" s="7">
        <v>7</v>
      </c>
      <c r="D646" s="8" t="str">
        <f>VLOOKUP(C646,contraindications_list!A:B,2)</f>
        <v>иммунодефицит</v>
      </c>
      <c r="E646" s="11">
        <v>45036</v>
      </c>
      <c r="F646" s="58"/>
    </row>
    <row r="647" spans="1:6">
      <c r="A647" s="7">
        <v>86</v>
      </c>
      <c r="B647" s="10" t="str">
        <f>VLOOKUP(A647,vaccines!A:B,2)</f>
        <v>Q_fever_M_44_Microgen</v>
      </c>
      <c r="C647" s="7">
        <v>22</v>
      </c>
      <c r="D647" s="8" t="str">
        <f>VLOOKUP(C647,contraindications_list!A:B,2)</f>
        <v>беременность</v>
      </c>
      <c r="E647" s="11">
        <v>45036</v>
      </c>
      <c r="F647" s="58"/>
    </row>
    <row r="648" spans="1:6">
      <c r="A648" s="7">
        <v>86</v>
      </c>
      <c r="B648" s="10" t="str">
        <f>VLOOKUP(A648,vaccines!A:B,2)</f>
        <v>Q_fever_M_44_Microgen</v>
      </c>
      <c r="C648" s="7">
        <v>23</v>
      </c>
      <c r="D648" s="8" t="str">
        <f>VLOOKUP(C648,contraindications_list!A:B,2)</f>
        <v>грудное вскармливание</v>
      </c>
      <c r="E648" s="11">
        <v>45036</v>
      </c>
      <c r="F648" s="58"/>
    </row>
    <row r="649" spans="1:6">
      <c r="A649" s="7">
        <v>86</v>
      </c>
      <c r="B649" s="10" t="str">
        <f>VLOOKUP(A649,vaccines!A:B,2)</f>
        <v>Q_fever_M_44_Microgen</v>
      </c>
      <c r="C649" s="7">
        <v>8</v>
      </c>
      <c r="D649" s="8" t="str">
        <f>VLOOKUP(C649,contraindications_list!A:B,2)</f>
        <v>злокачественное новообразование</v>
      </c>
      <c r="E649" s="11">
        <v>45036</v>
      </c>
      <c r="F649" s="58"/>
    </row>
    <row r="650" spans="1:6">
      <c r="A650" s="7">
        <v>86</v>
      </c>
      <c r="B650" s="10" t="str">
        <f>VLOOKUP(A650,vaccines!A:B,2)</f>
        <v>Q_fever_M_44_Microgen</v>
      </c>
      <c r="C650" s="54">
        <v>74</v>
      </c>
      <c r="D650" s="8" t="str">
        <f>VLOOKUP(C650,contraindications_list!A:B,2)</f>
        <v>злокачественное заболевание крови</v>
      </c>
      <c r="E650" s="12">
        <v>45133</v>
      </c>
      <c r="F650" s="58"/>
    </row>
    <row r="651" spans="1:6">
      <c r="A651" s="7">
        <v>86</v>
      </c>
      <c r="B651" s="10" t="str">
        <f>VLOOKUP(A651,vaccines!A:B,2)</f>
        <v>Q_fever_M_44_Microgen</v>
      </c>
      <c r="C651" s="7">
        <v>1</v>
      </c>
      <c r="D651" s="8" t="str">
        <f>VLOOKUP(C651,contraindications_list!A:B,2)</f>
        <v>гиперчувствительность к компонентам</v>
      </c>
      <c r="E651" s="11">
        <v>45036</v>
      </c>
      <c r="F651" s="58"/>
    </row>
    <row r="652" spans="1:6">
      <c r="A652" s="7">
        <v>87</v>
      </c>
      <c r="B652" s="10" t="str">
        <f>VLOOKUP(A652,vaccines!A:B,2)</f>
        <v>cholera_NII_Microb</v>
      </c>
      <c r="C652" s="7">
        <v>5</v>
      </c>
      <c r="D652" s="8" t="str">
        <f>VLOOKUP(C652,contraindications_list!A:B,2)</f>
        <v>острое заболевание</v>
      </c>
      <c r="E652" s="11">
        <v>45036</v>
      </c>
      <c r="F652" s="58"/>
    </row>
    <row r="653" spans="1:6">
      <c r="A653" s="7">
        <v>87</v>
      </c>
      <c r="B653" s="10" t="str">
        <f>VLOOKUP(A653,vaccines!A:B,2)</f>
        <v>cholera_NII_Microb</v>
      </c>
      <c r="C653" s="7">
        <v>6</v>
      </c>
      <c r="D653" s="8" t="str">
        <f>VLOOKUP(C653,contraindications_list!A:B,2)</f>
        <v>обострение хронического заболевания</v>
      </c>
      <c r="E653" s="11">
        <v>45036</v>
      </c>
      <c r="F653" s="58"/>
    </row>
    <row r="654" spans="1:6">
      <c r="A654" s="7">
        <v>87</v>
      </c>
      <c r="B654" s="10" t="str">
        <f>VLOOKUP(A654,vaccines!A:B,2)</f>
        <v>cholera_NII_Microb</v>
      </c>
      <c r="C654" s="7">
        <v>8</v>
      </c>
      <c r="D654" s="8" t="str">
        <f>VLOOKUP(C654,contraindications_list!A:B,2)</f>
        <v>злокачественное новообразование</v>
      </c>
      <c r="E654" s="11">
        <v>45036</v>
      </c>
      <c r="F654" s="58"/>
    </row>
    <row r="655" spans="1:6">
      <c r="A655" s="7">
        <v>87</v>
      </c>
      <c r="B655" s="10" t="str">
        <f>VLOOKUP(A655,vaccines!A:B,2)</f>
        <v>cholera_NII_Microb</v>
      </c>
      <c r="C655" s="54">
        <v>74</v>
      </c>
      <c r="D655" s="8" t="str">
        <f>VLOOKUP(C655,contraindications_list!A:B,2)</f>
        <v>злокачественное заболевание крови</v>
      </c>
      <c r="E655" s="12">
        <v>45133</v>
      </c>
      <c r="F655" s="58"/>
    </row>
    <row r="656" spans="1:6">
      <c r="A656" s="7">
        <v>87</v>
      </c>
      <c r="B656" s="10" t="str">
        <f>VLOOKUP(A656,vaccines!A:B,2)</f>
        <v>cholera_NII_Microb</v>
      </c>
      <c r="C656" s="7">
        <v>7</v>
      </c>
      <c r="D656" s="8" t="str">
        <f>VLOOKUP(C656,contraindications_list!A:B,2)</f>
        <v>иммунодефицит</v>
      </c>
      <c r="E656" s="11">
        <v>45036</v>
      </c>
      <c r="F656" s="58"/>
    </row>
    <row r="657" spans="1:6">
      <c r="A657" s="7">
        <v>88</v>
      </c>
      <c r="B657" s="10" t="str">
        <f>VLOOKUP(A657,vaccines!A:B,2)</f>
        <v>Vianvac</v>
      </c>
      <c r="C657" s="7">
        <v>5</v>
      </c>
      <c r="D657" s="8" t="str">
        <f>VLOOKUP(C657,contraindications_list!A:B,2)</f>
        <v>острое заболевание</v>
      </c>
      <c r="E657" s="11">
        <v>45036</v>
      </c>
      <c r="F657" s="58"/>
    </row>
    <row r="658" spans="1:6">
      <c r="A658" s="7">
        <v>88</v>
      </c>
      <c r="B658" s="10" t="str">
        <f>VLOOKUP(A658,vaccines!A:B,2)</f>
        <v>Vianvac</v>
      </c>
      <c r="C658" s="54">
        <v>1</v>
      </c>
      <c r="D658" s="8" t="str">
        <f>VLOOKUP(C658,contraindications_list!A:B,2)</f>
        <v>гиперчувствительность к компонентам</v>
      </c>
      <c r="E658" s="11">
        <v>45036</v>
      </c>
      <c r="F658" s="57">
        <v>46130</v>
      </c>
    </row>
    <row r="659" spans="1:6">
      <c r="A659" s="7">
        <v>88</v>
      </c>
      <c r="B659" s="10" t="str">
        <f>VLOOKUP(A659,vaccines!A:B,2)</f>
        <v>Vianvac</v>
      </c>
      <c r="C659" s="7">
        <v>15</v>
      </c>
      <c r="D659" s="8" t="str">
        <f>VLOOKUP(C659,contraindications_list!A:B,2)</f>
        <v>сильная общая реакция на предыдущее введение вакцины</v>
      </c>
      <c r="E659" s="11">
        <v>45036</v>
      </c>
      <c r="F659" s="58"/>
    </row>
    <row r="660" spans="1:6">
      <c r="A660" s="7">
        <v>88</v>
      </c>
      <c r="B660" s="10" t="str">
        <f>VLOOKUP(A660,vaccines!A:B,2)</f>
        <v>Vianvac</v>
      </c>
      <c r="C660" s="7">
        <v>22</v>
      </c>
      <c r="D660" s="8" t="str">
        <f>VLOOKUP(C660,contraindications_list!A:B,2)</f>
        <v>беременность</v>
      </c>
      <c r="E660" s="11">
        <v>45036</v>
      </c>
      <c r="F660" s="58"/>
    </row>
    <row r="661" spans="1:6">
      <c r="A661" s="7">
        <v>89</v>
      </c>
      <c r="B661" s="10" t="str">
        <f>VLOOKUP(A661,vaccines!A:B,2)</f>
        <v>Typhivac</v>
      </c>
      <c r="C661" s="7">
        <v>5</v>
      </c>
      <c r="D661" s="8" t="str">
        <f>VLOOKUP(C661,contraindications_list!A:B,2)</f>
        <v>острое заболевание</v>
      </c>
      <c r="E661" s="11">
        <v>45082</v>
      </c>
      <c r="F661" s="58"/>
    </row>
    <row r="662" spans="1:6">
      <c r="A662" s="7">
        <v>89</v>
      </c>
      <c r="B662" s="10" t="str">
        <f>VLOOKUP(A662,vaccines!A:B,2)</f>
        <v>Typhivac</v>
      </c>
      <c r="C662" s="7">
        <v>6</v>
      </c>
      <c r="D662" s="8" t="str">
        <f>VLOOKUP(C662,contraindications_list!A:B,2)</f>
        <v>обострение хронического заболевания</v>
      </c>
      <c r="E662" s="11">
        <v>45082</v>
      </c>
      <c r="F662" s="58"/>
    </row>
    <row r="663" spans="1:6">
      <c r="A663" s="7">
        <v>89</v>
      </c>
      <c r="B663" s="10" t="str">
        <f>VLOOKUP(A663,vaccines!A:B,2)</f>
        <v>Typhivac</v>
      </c>
      <c r="C663" s="7">
        <v>37</v>
      </c>
      <c r="D663" s="8" t="str">
        <f>VLOOKUP(C663,contraindications_list!A:B,2)</f>
        <v>хроническое заболевание печени</v>
      </c>
      <c r="E663" s="11">
        <v>45082</v>
      </c>
      <c r="F663" s="58"/>
    </row>
    <row r="664" spans="1:6">
      <c r="A664" s="7">
        <v>89</v>
      </c>
      <c r="B664" s="10" t="str">
        <f>VLOOKUP(A664,vaccines!A:B,2)</f>
        <v>Typhivac</v>
      </c>
      <c r="C664" s="7">
        <v>66</v>
      </c>
      <c r="D664" s="8" t="str">
        <f>VLOOKUP(C664,contraindications_list!A:B,2)</f>
        <v>хроническое заболевание желчных путей</v>
      </c>
      <c r="E664" s="11">
        <v>45082</v>
      </c>
      <c r="F664" s="58"/>
    </row>
    <row r="665" spans="1:6">
      <c r="A665" s="7">
        <v>89</v>
      </c>
      <c r="B665" s="10" t="str">
        <f>VLOOKUP(A665,vaccines!A:B,2)</f>
        <v>Typhivac</v>
      </c>
      <c r="C665" s="7">
        <v>36</v>
      </c>
      <c r="D665" s="8" t="str">
        <f>VLOOKUP(C665,contraindications_list!A:B,2)</f>
        <v>хроническое заболевание почек</v>
      </c>
      <c r="E665" s="11">
        <v>45082</v>
      </c>
      <c r="F665" s="58"/>
    </row>
    <row r="666" spans="1:6">
      <c r="A666" s="7">
        <v>89</v>
      </c>
      <c r="B666" s="10" t="str">
        <f>VLOOKUP(A666,vaccines!A:B,2)</f>
        <v>Typhivac</v>
      </c>
      <c r="C666" s="7">
        <v>38</v>
      </c>
      <c r="D666" s="8" t="str">
        <f>VLOOKUP(C666,contraindications_list!A:B,2)</f>
        <v>хроническое заболевание эндокринной системы</v>
      </c>
      <c r="E666" s="11">
        <v>45082</v>
      </c>
      <c r="F666" s="58"/>
    </row>
    <row r="667" spans="1:6">
      <c r="A667" s="7">
        <v>89</v>
      </c>
      <c r="B667" s="10" t="str">
        <f>VLOOKUP(A667,vaccines!A:B,2)</f>
        <v>Typhivac</v>
      </c>
      <c r="C667" s="7">
        <v>67</v>
      </c>
      <c r="D667" s="8" t="str">
        <f>VLOOKUP(C667,contraindications_list!A:B,2)</f>
        <v>хроническое заболевание сердца</v>
      </c>
      <c r="E667" s="11">
        <v>45082</v>
      </c>
      <c r="F667" s="58"/>
    </row>
    <row r="668" spans="1:6">
      <c r="A668" s="7">
        <v>89</v>
      </c>
      <c r="B668" s="10" t="str">
        <f>VLOOKUP(A668,vaccines!A:B,2)</f>
        <v>Typhivac</v>
      </c>
      <c r="C668" s="7">
        <v>49</v>
      </c>
      <c r="D668" s="8" t="str">
        <f>VLOOKUP(C668,contraindications_list!A:B,2)</f>
        <v>бронхиальная астма</v>
      </c>
      <c r="E668" s="11">
        <v>45082</v>
      </c>
      <c r="F668" s="58"/>
    </row>
    <row r="669" spans="1:6">
      <c r="A669" s="7">
        <v>89</v>
      </c>
      <c r="B669" s="10" t="str">
        <f>VLOOKUP(A669,vaccines!A:B,2)</f>
        <v>Typhivac</v>
      </c>
      <c r="C669" s="7">
        <v>21</v>
      </c>
      <c r="D669" s="8" t="str">
        <f>VLOOKUP(C669,contraindications_list!A:B,2)</f>
        <v>тяжелые аллергические реакции</v>
      </c>
      <c r="E669" s="11">
        <v>45082</v>
      </c>
      <c r="F669" s="58"/>
    </row>
    <row r="670" spans="1:6">
      <c r="A670" s="7">
        <v>89</v>
      </c>
      <c r="B670" s="10" t="str">
        <f>VLOOKUP(A670,vaccines!A:B,2)</f>
        <v>Typhivac</v>
      </c>
      <c r="C670" s="7">
        <v>39</v>
      </c>
      <c r="D670" s="8" t="str">
        <f>VLOOKUP(C670,contraindications_list!A:B,2)</f>
        <v>системное заболевание соединительной ткани</v>
      </c>
      <c r="E670" s="11">
        <v>45082</v>
      </c>
      <c r="F670" s="58"/>
    </row>
    <row r="671" spans="1:6">
      <c r="A671" s="7">
        <v>89</v>
      </c>
      <c r="B671" s="10" t="str">
        <f>VLOOKUP(A671,vaccines!A:B,2)</f>
        <v>Typhivac</v>
      </c>
      <c r="C671" s="7">
        <v>53</v>
      </c>
      <c r="D671" s="8" t="str">
        <f>VLOOKUP(C671,contraindications_list!A:B,2)</f>
        <v>неврологическое заболевание</v>
      </c>
      <c r="E671" s="11">
        <v>45082</v>
      </c>
      <c r="F671" s="58"/>
    </row>
    <row r="672" spans="1:6">
      <c r="A672" s="7">
        <v>89</v>
      </c>
      <c r="B672" s="10" t="str">
        <f>VLOOKUP(A672,vaccines!A:B,2)</f>
        <v>Typhivac</v>
      </c>
      <c r="C672" s="7">
        <v>14</v>
      </c>
      <c r="D672" s="8" t="str">
        <f>VLOOKUP(C672,contraindications_list!A:B,2)</f>
        <v>афебрильные судороги</v>
      </c>
      <c r="E672" s="11">
        <v>45082</v>
      </c>
      <c r="F672" s="58"/>
    </row>
    <row r="673" spans="1:6">
      <c r="A673" s="7">
        <v>89</v>
      </c>
      <c r="B673" s="10" t="str">
        <f>VLOOKUP(A673,vaccines!A:B,2)</f>
        <v>Typhivac</v>
      </c>
      <c r="C673" s="7">
        <v>52</v>
      </c>
      <c r="D673" s="8" t="str">
        <f>VLOOKUP(C673,contraindications_list!A:B,2)</f>
        <v>болезни крови</v>
      </c>
      <c r="E673" s="11">
        <v>45082</v>
      </c>
      <c r="F673" s="58"/>
    </row>
    <row r="674" spans="1:6">
      <c r="A674" s="7">
        <v>89</v>
      </c>
      <c r="B674" s="10" t="str">
        <f>VLOOKUP(A674,vaccines!A:B,2)</f>
        <v>Typhivac</v>
      </c>
      <c r="C674" s="7">
        <v>8</v>
      </c>
      <c r="D674" s="8" t="str">
        <f>VLOOKUP(C674,contraindications_list!A:B,2)</f>
        <v>злокачественное новообразование</v>
      </c>
      <c r="E674" s="11">
        <v>45082</v>
      </c>
      <c r="F674" s="58"/>
    </row>
    <row r="675" spans="1:6">
      <c r="A675" s="7">
        <v>89</v>
      </c>
      <c r="B675" s="10" t="str">
        <f>VLOOKUP(A675,vaccines!A:B,2)</f>
        <v>Typhivac</v>
      </c>
      <c r="C675" s="54">
        <v>74</v>
      </c>
      <c r="D675" s="8" t="str">
        <f>VLOOKUP(C675,contraindications_list!A:B,2)</f>
        <v>злокачественное заболевание крови</v>
      </c>
      <c r="E675" s="12">
        <v>45133</v>
      </c>
      <c r="F675" s="58"/>
    </row>
    <row r="676" spans="1:6">
      <c r="A676" s="7">
        <v>89</v>
      </c>
      <c r="B676" s="10" t="str">
        <f>VLOOKUP(A676,vaccines!A:B,2)</f>
        <v>Typhivac</v>
      </c>
      <c r="C676" s="7">
        <v>22</v>
      </c>
      <c r="D676" s="8" t="str">
        <f>VLOOKUP(C676,contraindications_list!A:B,2)</f>
        <v>беременность</v>
      </c>
      <c r="E676" s="11">
        <v>45082</v>
      </c>
      <c r="F676" s="58"/>
    </row>
    <row r="677" spans="1:6">
      <c r="A677" s="7">
        <v>90</v>
      </c>
      <c r="B677" s="10" t="str">
        <f>VLOOKUP(A677,vaccines!A:B,2)</f>
        <v>Shigellvac</v>
      </c>
      <c r="C677" s="7">
        <v>15</v>
      </c>
      <c r="D677" s="8" t="str">
        <f>VLOOKUP(C677,contraindications_list!A:B,2)</f>
        <v>сильная общая реакция на предыдущее введение вакцины</v>
      </c>
      <c r="E677" s="11">
        <v>45036</v>
      </c>
      <c r="F677" s="58"/>
    </row>
    <row r="678" spans="1:6">
      <c r="A678" s="7">
        <v>90</v>
      </c>
      <c r="B678" s="10" t="str">
        <f>VLOOKUP(A678,vaccines!A:B,2)</f>
        <v>Shigellvac</v>
      </c>
      <c r="C678" s="7">
        <v>19</v>
      </c>
      <c r="D678" s="8" t="str">
        <f>VLOOKUP(C678,contraindications_list!A:B,2)</f>
        <v>осложнение на предыдущее введение вакцины</v>
      </c>
      <c r="E678" s="11">
        <v>45036</v>
      </c>
      <c r="F678" s="58"/>
    </row>
    <row r="679" spans="1:6">
      <c r="A679" s="7">
        <v>90</v>
      </c>
      <c r="B679" s="10" t="str">
        <f>VLOOKUP(A679,vaccines!A:B,2)</f>
        <v>Shigellvac</v>
      </c>
      <c r="C679" s="7">
        <v>22</v>
      </c>
      <c r="D679" s="8" t="str">
        <f>VLOOKUP(C679,contraindications_list!A:B,2)</f>
        <v>беременность</v>
      </c>
      <c r="E679" s="11">
        <v>45036</v>
      </c>
      <c r="F679" s="58"/>
    </row>
    <row r="680" spans="1:6">
      <c r="A680" s="7">
        <v>90</v>
      </c>
      <c r="B680" s="10" t="str">
        <f>VLOOKUP(A680,vaccines!A:B,2)</f>
        <v>Shigellvac</v>
      </c>
      <c r="C680" s="7">
        <v>23</v>
      </c>
      <c r="D680" s="8" t="str">
        <f>VLOOKUP(C680,contraindications_list!A:B,2)</f>
        <v>грудное вскармливание</v>
      </c>
      <c r="E680" s="11">
        <v>45036</v>
      </c>
      <c r="F680" s="58"/>
    </row>
    <row r="681" spans="1:6">
      <c r="A681" s="7">
        <v>90</v>
      </c>
      <c r="B681" s="10" t="str">
        <f>VLOOKUP(A681,vaccines!A:B,2)</f>
        <v>Shigellvac</v>
      </c>
      <c r="C681" s="7">
        <v>5</v>
      </c>
      <c r="D681" s="8" t="str">
        <f>VLOOKUP(C681,contraindications_list!A:B,2)</f>
        <v>острое заболевание</v>
      </c>
      <c r="E681" s="11">
        <v>45036</v>
      </c>
      <c r="F681" s="58"/>
    </row>
    <row r="682" spans="1:6">
      <c r="A682" s="7">
        <v>90</v>
      </c>
      <c r="B682" s="10" t="str">
        <f>VLOOKUP(A682,vaccines!A:B,2)</f>
        <v>Shigellvac</v>
      </c>
      <c r="C682" s="7">
        <v>6</v>
      </c>
      <c r="D682" s="8" t="str">
        <f>VLOOKUP(C682,contraindications_list!A:B,2)</f>
        <v>обострение хронического заболевания</v>
      </c>
      <c r="E682" s="11">
        <v>45036</v>
      </c>
      <c r="F682" s="58"/>
    </row>
    <row r="683" spans="1:6">
      <c r="A683" s="7">
        <v>91</v>
      </c>
      <c r="B683" s="10" t="str">
        <f>VLOOKUP(A683,vaccines!A:B,2)</f>
        <v>CoviVac</v>
      </c>
      <c r="C683" s="7">
        <v>15</v>
      </c>
      <c r="D683" s="8" t="str">
        <f>VLOOKUP(C683,contraindications_list!A:B,2)</f>
        <v>сильная общая реакция на предыдущее введение вакцины</v>
      </c>
      <c r="E683" s="11">
        <v>45036</v>
      </c>
      <c r="F683" s="58"/>
    </row>
    <row r="684" spans="1:6">
      <c r="A684" s="7">
        <v>91</v>
      </c>
      <c r="B684" s="10" t="str">
        <f>VLOOKUP(A684,vaccines!A:B,2)</f>
        <v>CoviVac</v>
      </c>
      <c r="C684" s="7">
        <v>19</v>
      </c>
      <c r="D684" s="8" t="str">
        <f>VLOOKUP(C684,contraindications_list!A:B,2)</f>
        <v>осложнение на предыдущее введение вакцины</v>
      </c>
      <c r="E684" s="11">
        <v>45036</v>
      </c>
      <c r="F684" s="58"/>
    </row>
    <row r="685" spans="1:6">
      <c r="A685" s="7">
        <v>91</v>
      </c>
      <c r="B685" s="10" t="str">
        <f>VLOOKUP(A685,vaccines!A:B,2)</f>
        <v>CoviVac</v>
      </c>
      <c r="C685" s="7">
        <v>21</v>
      </c>
      <c r="D685" s="8" t="str">
        <f>VLOOKUP(C685,contraindications_list!A:B,2)</f>
        <v>тяжелые аллергические реакции</v>
      </c>
      <c r="E685" s="11">
        <v>45036</v>
      </c>
      <c r="F685" s="58"/>
    </row>
    <row r="686" spans="1:6">
      <c r="A686" s="7">
        <v>91</v>
      </c>
      <c r="B686" s="10" t="str">
        <f>VLOOKUP(A686,vaccines!A:B,2)</f>
        <v>CoviVac</v>
      </c>
      <c r="C686" s="7">
        <v>1</v>
      </c>
      <c r="D686" s="8" t="str">
        <f>VLOOKUP(C686,contraindications_list!A:B,2)</f>
        <v>гиперчувствительность к компонентам</v>
      </c>
      <c r="E686" s="11">
        <v>45036</v>
      </c>
      <c r="F686" s="58"/>
    </row>
    <row r="687" spans="1:6">
      <c r="A687" s="7">
        <v>91</v>
      </c>
      <c r="B687" s="10" t="str">
        <f>VLOOKUP(A687,vaccines!A:B,2)</f>
        <v>CoviVac</v>
      </c>
      <c r="C687" s="7">
        <v>22</v>
      </c>
      <c r="D687" s="8" t="str">
        <f>VLOOKUP(C687,contraindications_list!A:B,2)</f>
        <v>беременность</v>
      </c>
      <c r="E687" s="11">
        <v>45036</v>
      </c>
      <c r="F687" s="58"/>
    </row>
    <row r="688" spans="1:6">
      <c r="A688" s="7">
        <v>91</v>
      </c>
      <c r="B688" s="10" t="str">
        <f>VLOOKUP(A688,vaccines!A:B,2)</f>
        <v>CoviVac</v>
      </c>
      <c r="C688" s="7">
        <v>23</v>
      </c>
      <c r="D688" s="8" t="str">
        <f>VLOOKUP(C688,contraindications_list!A:B,2)</f>
        <v>грудное вскармливание</v>
      </c>
      <c r="E688" s="11">
        <v>45036</v>
      </c>
      <c r="F688" s="58"/>
    </row>
    <row r="689" spans="1:6">
      <c r="A689" s="7">
        <v>91</v>
      </c>
      <c r="B689" s="10" t="str">
        <f>VLOOKUP(A689,vaccines!A:B,2)</f>
        <v>CoviVac</v>
      </c>
      <c r="C689" s="7">
        <v>5</v>
      </c>
      <c r="D689" s="8" t="str">
        <f>VLOOKUP(C689,contraindications_list!A:B,2)</f>
        <v>острое заболевание</v>
      </c>
      <c r="E689" s="11">
        <v>45036</v>
      </c>
      <c r="F689" s="58"/>
    </row>
    <row r="690" spans="1:6">
      <c r="A690" s="7">
        <v>91</v>
      </c>
      <c r="B690" s="10" t="str">
        <f>VLOOKUP(A690,vaccines!A:B,2)</f>
        <v>CoviVac</v>
      </c>
      <c r="C690" s="7">
        <v>6</v>
      </c>
      <c r="D690" s="8" t="str">
        <f>VLOOKUP(C690,contraindications_list!A:B,2)</f>
        <v>обострение хронического заболевания</v>
      </c>
      <c r="E690" s="11">
        <v>45036</v>
      </c>
      <c r="F690" s="58"/>
    </row>
    <row r="691" spans="1:6">
      <c r="A691" s="7">
        <v>92</v>
      </c>
      <c r="B691" s="10" t="str">
        <f>VLOOKUP(A691,vaccines!A:B,2)</f>
        <v>Sputnik_light</v>
      </c>
      <c r="C691" s="7">
        <v>1</v>
      </c>
      <c r="D691" s="8" t="str">
        <f>VLOOKUP(C691,contraindications_list!A:B,2)</f>
        <v>гиперчувствительность к компонентам</v>
      </c>
      <c r="E691" s="11">
        <v>45082</v>
      </c>
      <c r="F691" s="58"/>
    </row>
    <row r="692" spans="1:6">
      <c r="A692" s="7">
        <v>92</v>
      </c>
      <c r="B692" s="10" t="str">
        <f>VLOOKUP(A692,vaccines!A:B,2)</f>
        <v>Sputnik_light</v>
      </c>
      <c r="C692" s="7">
        <v>5</v>
      </c>
      <c r="D692" s="8" t="str">
        <f>VLOOKUP(C692,contraindications_list!A:B,2)</f>
        <v>острое заболевание</v>
      </c>
      <c r="E692" s="11">
        <v>45082</v>
      </c>
      <c r="F692" s="58"/>
    </row>
    <row r="693" spans="1:6">
      <c r="A693" s="7">
        <v>92</v>
      </c>
      <c r="B693" s="10" t="str">
        <f>VLOOKUP(A693,vaccines!A:B,2)</f>
        <v>Sputnik_light</v>
      </c>
      <c r="C693" s="7">
        <v>6</v>
      </c>
      <c r="D693" s="8" t="str">
        <f>VLOOKUP(C693,contraindications_list!A:B,2)</f>
        <v>обострение хронического заболевания</v>
      </c>
      <c r="E693" s="11">
        <v>45082</v>
      </c>
      <c r="F693" s="58"/>
    </row>
    <row r="694" spans="1:6">
      <c r="A694" s="7">
        <v>92</v>
      </c>
      <c r="B694" s="10" t="str">
        <f>VLOOKUP(A694,vaccines!A:B,2)</f>
        <v>Sputnik_light</v>
      </c>
      <c r="C694" s="54">
        <v>19</v>
      </c>
      <c r="D694" s="8" t="str">
        <f>VLOOKUP(C694,contraindications_list!A:B,2)</f>
        <v>осложнение на предыдущее введение вакцины</v>
      </c>
      <c r="E694" s="12">
        <v>45830</v>
      </c>
      <c r="F694" s="58"/>
    </row>
    <row r="695" spans="1:6">
      <c r="A695" s="7">
        <v>93</v>
      </c>
      <c r="B695" s="10" t="str">
        <f>VLOOKUP(A695,vaccines!A:B,2)</f>
        <v>Sputnik_M</v>
      </c>
      <c r="C695" s="7">
        <v>1</v>
      </c>
      <c r="D695" s="8" t="str">
        <f>VLOOKUP(C695,contraindications_list!A:B,2)</f>
        <v>гиперчувствительность к компонентам</v>
      </c>
      <c r="E695" s="11">
        <v>45036</v>
      </c>
      <c r="F695" s="58"/>
    </row>
    <row r="696" spans="1:6">
      <c r="A696" s="7">
        <v>93</v>
      </c>
      <c r="B696" s="10" t="str">
        <f>VLOOKUP(A696,vaccines!A:B,2)</f>
        <v>Sputnik_M</v>
      </c>
      <c r="C696" s="7">
        <v>21</v>
      </c>
      <c r="D696" s="8" t="str">
        <f>VLOOKUP(C696,contraindications_list!A:B,2)</f>
        <v>тяжелые аллергические реакции</v>
      </c>
      <c r="E696" s="11">
        <v>45036</v>
      </c>
      <c r="F696" s="58"/>
    </row>
    <row r="697" spans="1:6">
      <c r="A697" s="7">
        <v>93</v>
      </c>
      <c r="B697" s="10" t="str">
        <f>VLOOKUP(A697,vaccines!A:B,2)</f>
        <v>Sputnik_M</v>
      </c>
      <c r="C697" s="7">
        <v>5</v>
      </c>
      <c r="D697" s="8" t="str">
        <f>VLOOKUP(C697,contraindications_list!A:B,2)</f>
        <v>острое заболевание</v>
      </c>
      <c r="E697" s="11">
        <v>45036</v>
      </c>
      <c r="F697" s="58"/>
    </row>
    <row r="698" spans="1:6">
      <c r="A698" s="7">
        <v>93</v>
      </c>
      <c r="B698" s="10" t="str">
        <f>VLOOKUP(A698,vaccines!A:B,2)</f>
        <v>Sputnik_M</v>
      </c>
      <c r="C698" s="7">
        <v>6</v>
      </c>
      <c r="D698" s="8" t="str">
        <f>VLOOKUP(C698,contraindications_list!A:B,2)</f>
        <v>обострение хронического заболевания</v>
      </c>
      <c r="E698" s="11">
        <v>45036</v>
      </c>
      <c r="F698" s="58"/>
    </row>
    <row r="699" spans="1:6">
      <c r="A699" s="7">
        <v>93</v>
      </c>
      <c r="B699" s="10" t="str">
        <f>VLOOKUP(A699,vaccines!A:B,2)</f>
        <v>Sputnik_M</v>
      </c>
      <c r="C699" s="7">
        <v>19</v>
      </c>
      <c r="D699" s="8" t="str">
        <f>VLOOKUP(C699,contraindications_list!A:B,2)</f>
        <v>осложнение на предыдущее введение вакцины</v>
      </c>
      <c r="E699" s="11">
        <v>45036</v>
      </c>
      <c r="F699" s="58"/>
    </row>
    <row r="700" spans="1:6">
      <c r="A700" s="7">
        <v>94</v>
      </c>
      <c r="B700" s="10" t="str">
        <f>VLOOKUP(A700,vaccines!A:B,2)</f>
        <v>Convacel</v>
      </c>
      <c r="C700" s="7">
        <v>1</v>
      </c>
      <c r="D700" s="8" t="str">
        <f>VLOOKUP(C700,contraindications_list!A:B,2)</f>
        <v>гиперчувствительность к компонентам</v>
      </c>
      <c r="E700" s="11">
        <v>45036</v>
      </c>
      <c r="F700" s="58"/>
    </row>
    <row r="701" spans="1:6">
      <c r="A701" s="7">
        <v>94</v>
      </c>
      <c r="B701" s="10" t="str">
        <f>VLOOKUP(A701,vaccines!A:B,2)</f>
        <v>Convacel</v>
      </c>
      <c r="C701" s="54">
        <v>15</v>
      </c>
      <c r="D701" s="8" t="str">
        <f>VLOOKUP(C701,contraindications_list!A:B,2)</f>
        <v>сильная общая реакция на предыдущее введение вакцины</v>
      </c>
      <c r="E701" s="11">
        <v>45036</v>
      </c>
      <c r="F701" s="57">
        <v>46053</v>
      </c>
    </row>
    <row r="702" spans="1:6">
      <c r="A702" s="7">
        <v>94</v>
      </c>
      <c r="B702" s="10" t="str">
        <f>VLOOKUP(A702,vaccines!A:B,2)</f>
        <v>Convacel</v>
      </c>
      <c r="C702" s="7">
        <v>19</v>
      </c>
      <c r="D702" s="8" t="str">
        <f>VLOOKUP(C702,contraindications_list!A:B,2)</f>
        <v>осложнение на предыдущее введение вакцины</v>
      </c>
      <c r="E702" s="11">
        <v>45036</v>
      </c>
      <c r="F702" s="58"/>
    </row>
    <row r="703" spans="1:6">
      <c r="A703" s="7">
        <v>94</v>
      </c>
      <c r="B703" s="10" t="str">
        <f>VLOOKUP(A703,vaccines!A:B,2)</f>
        <v>Convacel</v>
      </c>
      <c r="C703" s="7">
        <v>5</v>
      </c>
      <c r="D703" s="8" t="str">
        <f>VLOOKUP(C703,contraindications_list!A:B,2)</f>
        <v>острое заболевание</v>
      </c>
      <c r="E703" s="11">
        <v>45036</v>
      </c>
      <c r="F703" s="58"/>
    </row>
    <row r="704" spans="1:6">
      <c r="A704" s="7">
        <v>94</v>
      </c>
      <c r="B704" s="10" t="str">
        <f>VLOOKUP(A704,vaccines!A:B,2)</f>
        <v>Convacel</v>
      </c>
      <c r="C704" s="7">
        <v>22</v>
      </c>
      <c r="D704" s="8" t="str">
        <f>VLOOKUP(C704,contraindications_list!A:B,2)</f>
        <v>беременность</v>
      </c>
      <c r="E704" s="11">
        <v>45036</v>
      </c>
      <c r="F704" s="58"/>
    </row>
    <row r="705" spans="1:6">
      <c r="A705" s="7">
        <v>94</v>
      </c>
      <c r="B705" s="10" t="str">
        <f>VLOOKUP(A705,vaccines!A:B,2)</f>
        <v>Convacel</v>
      </c>
      <c r="C705" s="7">
        <v>23</v>
      </c>
      <c r="D705" s="8" t="str">
        <f>VLOOKUP(C705,contraindications_list!A:B,2)</f>
        <v>грудное вскармливание</v>
      </c>
      <c r="E705" s="11">
        <v>45036</v>
      </c>
      <c r="F705" s="58"/>
    </row>
    <row r="706" spans="1:6">
      <c r="A706" s="7">
        <v>95</v>
      </c>
      <c r="B706" s="10" t="str">
        <f>VLOOKUP(A706,vaccines!A:B,2)</f>
        <v>Aurora</v>
      </c>
      <c r="C706" s="7">
        <v>1</v>
      </c>
      <c r="D706" s="8" t="str">
        <f>VLOOKUP(C706,contraindications_list!A:B,2)</f>
        <v>гиперчувствительность к компонентам</v>
      </c>
      <c r="E706" s="11">
        <v>45036</v>
      </c>
      <c r="F706" s="58"/>
    </row>
    <row r="707" spans="1:6">
      <c r="A707" s="7">
        <v>95</v>
      </c>
      <c r="B707" s="10" t="str">
        <f>VLOOKUP(A707,vaccines!A:B,2)</f>
        <v>Aurora</v>
      </c>
      <c r="C707" s="7">
        <v>21</v>
      </c>
      <c r="D707" s="8" t="str">
        <f>VLOOKUP(C707,contraindications_list!A:B,2)</f>
        <v>тяжелые аллергические реакции</v>
      </c>
      <c r="E707" s="11">
        <v>45036</v>
      </c>
      <c r="F707" s="58"/>
    </row>
    <row r="708" spans="1:6">
      <c r="A708" s="7">
        <v>95</v>
      </c>
      <c r="B708" s="10" t="str">
        <f>VLOOKUP(A708,vaccines!A:B,2)</f>
        <v>Aurora</v>
      </c>
      <c r="C708" s="7">
        <v>15</v>
      </c>
      <c r="D708" s="8" t="str">
        <f>VLOOKUP(C708,contraindications_list!A:B,2)</f>
        <v>сильная общая реакция на предыдущее введение вакцины</v>
      </c>
      <c r="E708" s="11">
        <v>45036</v>
      </c>
      <c r="F708" s="58"/>
    </row>
    <row r="709" spans="1:6">
      <c r="A709" s="7">
        <v>95</v>
      </c>
      <c r="B709" s="10" t="str">
        <f>VLOOKUP(A709,vaccines!A:B,2)</f>
        <v>Aurora</v>
      </c>
      <c r="C709" s="7">
        <v>19</v>
      </c>
      <c r="D709" s="8" t="str">
        <f>VLOOKUP(C709,contraindications_list!A:B,2)</f>
        <v>осложнение на предыдущее введение вакцины</v>
      </c>
      <c r="E709" s="11">
        <v>45036</v>
      </c>
      <c r="F709" s="58"/>
    </row>
    <row r="710" spans="1:6">
      <c r="A710" s="7">
        <v>95</v>
      </c>
      <c r="B710" s="10" t="str">
        <f>VLOOKUP(A710,vaccines!A:B,2)</f>
        <v>Aurora</v>
      </c>
      <c r="C710" s="7">
        <v>5</v>
      </c>
      <c r="D710" s="8" t="str">
        <f>VLOOKUP(C710,contraindications_list!A:B,2)</f>
        <v>острое заболевание</v>
      </c>
      <c r="E710" s="11">
        <v>45036</v>
      </c>
      <c r="F710" s="58"/>
    </row>
    <row r="711" spans="1:6">
      <c r="A711" s="7">
        <v>95</v>
      </c>
      <c r="B711" s="10" t="str">
        <f>VLOOKUP(A711,vaccines!A:B,2)</f>
        <v>Aurora</v>
      </c>
      <c r="C711" s="7">
        <v>6</v>
      </c>
      <c r="D711" s="8" t="str">
        <f>VLOOKUP(C711,contraindications_list!A:B,2)</f>
        <v>обострение хронического заболевания</v>
      </c>
      <c r="E711" s="11">
        <v>45036</v>
      </c>
      <c r="F711" s="58"/>
    </row>
    <row r="712" spans="1:6">
      <c r="A712" s="7">
        <v>95</v>
      </c>
      <c r="B712" s="10" t="str">
        <f>VLOOKUP(A712,vaccines!A:B,2)</f>
        <v>Aurora</v>
      </c>
      <c r="C712" s="7">
        <v>7</v>
      </c>
      <c r="D712" s="8" t="str">
        <f>VLOOKUP(C712,contraindications_list!A:B,2)</f>
        <v>иммунодефицит</v>
      </c>
      <c r="E712" s="11">
        <v>45036</v>
      </c>
      <c r="F712" s="58"/>
    </row>
    <row r="713" spans="1:6">
      <c r="A713" s="7">
        <v>95</v>
      </c>
      <c r="B713" s="10" t="str">
        <f>VLOOKUP(A713,vaccines!A:B,2)</f>
        <v>Aurora</v>
      </c>
      <c r="C713" s="7">
        <v>8</v>
      </c>
      <c r="D713" s="8" t="str">
        <f>VLOOKUP(C713,contraindications_list!A:B,2)</f>
        <v>злокачественное новообразование</v>
      </c>
      <c r="E713" s="11">
        <v>45036</v>
      </c>
      <c r="F713" s="58"/>
    </row>
    <row r="714" spans="1:6">
      <c r="A714" s="7">
        <v>95</v>
      </c>
      <c r="B714" s="10" t="str">
        <f>VLOOKUP(A714,vaccines!A:B,2)</f>
        <v>Aurora</v>
      </c>
      <c r="C714" s="54">
        <v>74</v>
      </c>
      <c r="D714" s="8" t="str">
        <f>VLOOKUP(C714,contraindications_list!A:B,2)</f>
        <v>злокачественное заболевание крови</v>
      </c>
      <c r="E714" s="12">
        <v>45133</v>
      </c>
      <c r="F714" s="58"/>
    </row>
    <row r="715" spans="1:6">
      <c r="A715" s="7">
        <v>95</v>
      </c>
      <c r="B715" s="10" t="str">
        <f>VLOOKUP(A715,vaccines!A:B,2)</f>
        <v>Aurora</v>
      </c>
      <c r="C715" s="7">
        <v>22</v>
      </c>
      <c r="D715" s="8" t="str">
        <f>VLOOKUP(C715,contraindications_list!A:B,2)</f>
        <v>беременность</v>
      </c>
      <c r="E715" s="11">
        <v>45036</v>
      </c>
      <c r="F715" s="58"/>
    </row>
    <row r="716" spans="1:6">
      <c r="A716" s="7">
        <v>95</v>
      </c>
      <c r="B716" s="10" t="str">
        <f>VLOOKUP(A716,vaccines!A:B,2)</f>
        <v>Aurora</v>
      </c>
      <c r="C716" s="7">
        <v>23</v>
      </c>
      <c r="D716" s="8" t="str">
        <f>VLOOKUP(C716,contraindications_list!A:B,2)</f>
        <v>грудное вскармливание</v>
      </c>
      <c r="E716" s="11">
        <v>45036</v>
      </c>
      <c r="F716" s="58"/>
    </row>
    <row r="717" spans="1:6">
      <c r="A717" s="7">
        <v>96</v>
      </c>
      <c r="B717" s="10" t="str">
        <f>VLOOKUP(A717,vaccines!A:B,2)</f>
        <v>Rota_V_Aid</v>
      </c>
      <c r="C717" s="7">
        <v>1</v>
      </c>
      <c r="D717" s="8" t="str">
        <f>VLOOKUP(C717,contraindications_list!A:B,2)</f>
        <v>гиперчувствительность к компонентам</v>
      </c>
      <c r="E717" s="11">
        <v>45036</v>
      </c>
      <c r="F717" s="58"/>
    </row>
    <row r="718" spans="1:6">
      <c r="A718" s="7">
        <v>96</v>
      </c>
      <c r="B718" s="10" t="str">
        <f>VLOOKUP(A718,vaccines!A:B,2)</f>
        <v>Rota_V_Aid</v>
      </c>
      <c r="C718" s="7">
        <v>42</v>
      </c>
      <c r="D718" s="8" t="str">
        <f>VLOOKUP(C718,contraindications_list!A:B,2)</f>
        <v>порок развития желудочно-кишечного тракта</v>
      </c>
      <c r="E718" s="11">
        <v>45036</v>
      </c>
      <c r="F718" s="58"/>
    </row>
    <row r="719" spans="1:6">
      <c r="A719" s="7">
        <v>96</v>
      </c>
      <c r="B719" s="10" t="str">
        <f>VLOOKUP(A719,vaccines!A:B,2)</f>
        <v>Rota_V_Aid</v>
      </c>
      <c r="C719" s="7">
        <v>7</v>
      </c>
      <c r="D719" s="8" t="str">
        <f>VLOOKUP(C719,contraindications_list!A:B,2)</f>
        <v>иммунодефицит</v>
      </c>
      <c r="E719" s="11">
        <v>45036</v>
      </c>
      <c r="F719" s="58"/>
    </row>
    <row r="720" spans="1:6">
      <c r="A720" s="7">
        <v>96</v>
      </c>
      <c r="B720" s="10" t="str">
        <f>VLOOKUP(A720,vaccines!A:B,2)</f>
        <v>Rota_V_Aid</v>
      </c>
      <c r="C720" s="7">
        <v>41</v>
      </c>
      <c r="D720" s="8" t="str">
        <f>VLOOKUP(C720,contraindications_list!A:B,2)</f>
        <v>инвагинация кишечника</v>
      </c>
      <c r="E720" s="11">
        <v>45036</v>
      </c>
      <c r="F720" s="58"/>
    </row>
    <row r="721" spans="1:6">
      <c r="A721" s="7">
        <v>96</v>
      </c>
      <c r="B721" s="10" t="str">
        <f>VLOOKUP(A721,vaccines!A:B,2)</f>
        <v>Rota_V_Aid</v>
      </c>
      <c r="C721" s="7">
        <v>46</v>
      </c>
      <c r="D721" s="8" t="str">
        <f>VLOOKUP(C721,contraindications_list!A:B,2)</f>
        <v>нарушение всасывания глюкозо-галактозного комплекса</v>
      </c>
      <c r="E721" s="11">
        <v>45036</v>
      </c>
      <c r="F721" s="58"/>
    </row>
    <row r="722" spans="1:6">
      <c r="A722" s="7">
        <v>96</v>
      </c>
      <c r="B722" s="10" t="str">
        <f>VLOOKUP(A722,vaccines!A:B,2)</f>
        <v>Rota_V_Aid</v>
      </c>
      <c r="C722" s="7">
        <v>47</v>
      </c>
      <c r="D722" s="8" t="str">
        <f>VLOOKUP(C722,contraindications_list!A:B,2)</f>
        <v>недостаточность сахаразы</v>
      </c>
      <c r="E722" s="11">
        <v>45036</v>
      </c>
      <c r="F722" s="58"/>
    </row>
    <row r="723" spans="1:6">
      <c r="A723" s="7">
        <v>96</v>
      </c>
      <c r="B723" s="10" t="str">
        <f>VLOOKUP(A723,vaccines!A:B,2)</f>
        <v>Rota_V_Aid</v>
      </c>
      <c r="C723" s="7">
        <v>5</v>
      </c>
      <c r="D723" s="8" t="str">
        <f>VLOOKUP(C723,contraindications_list!A:B,2)</f>
        <v>острое заболевание</v>
      </c>
      <c r="E723" s="11">
        <v>45036</v>
      </c>
      <c r="F723" s="58"/>
    </row>
    <row r="724" spans="1:6">
      <c r="A724" s="7">
        <v>96</v>
      </c>
      <c r="B724" s="10" t="str">
        <f>VLOOKUP(A724,vaccines!A:B,2)</f>
        <v>Rota_V_Aid</v>
      </c>
      <c r="C724" s="7">
        <v>6</v>
      </c>
      <c r="D724" s="8" t="str">
        <f>VLOOKUP(C724,contraindications_list!A:B,2)</f>
        <v>обострение хронического заболевания</v>
      </c>
      <c r="E724" s="11">
        <v>45036</v>
      </c>
      <c r="F724" s="58"/>
    </row>
    <row r="725" spans="1:6">
      <c r="A725" s="7">
        <v>96</v>
      </c>
      <c r="B725" s="10" t="str">
        <f>VLOOKUP(A725,vaccines!A:B,2)</f>
        <v>Rota_V_Aid</v>
      </c>
      <c r="C725" s="7">
        <v>43</v>
      </c>
      <c r="D725" s="8" t="str">
        <f>VLOOKUP(C725,contraindications_list!A:B,2)</f>
        <v>диарея</v>
      </c>
      <c r="E725" s="11">
        <v>45036</v>
      </c>
      <c r="F725" s="58"/>
    </row>
    <row r="726" spans="1:6">
      <c r="A726" s="7">
        <v>97</v>
      </c>
      <c r="B726" s="10" t="str">
        <f>VLOOKUP(A726,vaccines!A:B,2)</f>
        <v>Hib_Rostov</v>
      </c>
      <c r="C726" s="7">
        <v>1</v>
      </c>
      <c r="D726" s="8" t="str">
        <f>VLOOKUP(C726,contraindications_list!A:B,2)</f>
        <v>гиперчувствительность к компонентам</v>
      </c>
      <c r="E726" s="11">
        <v>45036</v>
      </c>
      <c r="F726" s="58"/>
    </row>
    <row r="727" spans="1:6">
      <c r="A727" s="7">
        <v>97</v>
      </c>
      <c r="B727" s="10" t="str">
        <f>VLOOKUP(A727,vaccines!A:B,2)</f>
        <v>Hib_Rostov</v>
      </c>
      <c r="C727" s="7">
        <v>19</v>
      </c>
      <c r="D727" s="8" t="str">
        <f>VLOOKUP(C727,contraindications_list!A:B,2)</f>
        <v>осложнение на предыдущее введение вакцины</v>
      </c>
      <c r="E727" s="11">
        <v>45036</v>
      </c>
      <c r="F727" s="58"/>
    </row>
    <row r="728" spans="1:6">
      <c r="A728" s="7">
        <v>97</v>
      </c>
      <c r="B728" s="10" t="str">
        <f>VLOOKUP(A728,vaccines!A:B,2)</f>
        <v>Hib_Rostov</v>
      </c>
      <c r="C728" s="7">
        <v>15</v>
      </c>
      <c r="D728" s="8" t="str">
        <f>VLOOKUP(C728,contraindications_list!A:B,2)</f>
        <v>сильная общая реакция на предыдущее введение вакцины</v>
      </c>
      <c r="E728" s="11">
        <v>45036</v>
      </c>
      <c r="F728" s="58"/>
    </row>
    <row r="729" spans="1:6">
      <c r="A729" s="7">
        <v>97</v>
      </c>
      <c r="B729" s="10" t="str">
        <f>VLOOKUP(A729,vaccines!A:B,2)</f>
        <v>Hib_Rostov</v>
      </c>
      <c r="C729" s="7">
        <v>5</v>
      </c>
      <c r="D729" s="8" t="str">
        <f>VLOOKUP(C729,contraindications_list!A:B,2)</f>
        <v>острое заболевание</v>
      </c>
      <c r="E729" s="11">
        <v>45036</v>
      </c>
      <c r="F729" s="58"/>
    </row>
    <row r="730" spans="1:6">
      <c r="A730" s="7">
        <v>97</v>
      </c>
      <c r="B730" s="10" t="str">
        <f>VLOOKUP(A730,vaccines!A:B,2)</f>
        <v>Hib_Rostov</v>
      </c>
      <c r="C730" s="7">
        <v>6</v>
      </c>
      <c r="D730" s="8" t="str">
        <f>VLOOKUP(C730,contraindications_list!A:B,2)</f>
        <v>обострение хронического заболевания</v>
      </c>
      <c r="E730" s="11">
        <v>45036</v>
      </c>
      <c r="F730" s="58"/>
    </row>
    <row r="731" spans="1:6">
      <c r="A731" s="7">
        <v>98</v>
      </c>
      <c r="B731" s="10" t="str">
        <f>VLOOKUP(A731,vaccines!A:B,2)</f>
        <v>HepB_Combiotech_1_0</v>
      </c>
      <c r="C731" s="7">
        <v>1</v>
      </c>
      <c r="D731" s="8" t="str">
        <f>VLOOKUP(C731,contraindications_list!A:B,2)</f>
        <v>гиперчувствительность к компонентам</v>
      </c>
      <c r="E731" s="11">
        <v>44916</v>
      </c>
      <c r="F731" s="58"/>
    </row>
    <row r="732" spans="1:6">
      <c r="A732" s="7">
        <v>98</v>
      </c>
      <c r="B732" s="10" t="str">
        <f>VLOOKUP(A732,vaccines!A:B,2)</f>
        <v>HepB_Combiotech_1_0</v>
      </c>
      <c r="C732" s="7">
        <v>16</v>
      </c>
      <c r="D732" s="8" t="str">
        <f>VLOOKUP(C732,contraindications_list!A:B,2)</f>
        <v>аллергия на дрожжи</v>
      </c>
      <c r="E732" s="11">
        <v>44916</v>
      </c>
      <c r="F732" s="58"/>
    </row>
    <row r="733" spans="1:6">
      <c r="A733" s="7">
        <v>98</v>
      </c>
      <c r="B733" s="10" t="str">
        <f>VLOOKUP(A733,vaccines!A:B,2)</f>
        <v>HepB_Combiotech_1_0</v>
      </c>
      <c r="C733" s="7">
        <v>15</v>
      </c>
      <c r="D733" s="8" t="str">
        <f>VLOOKUP(C733,contraindications_list!A:B,2)</f>
        <v>сильная общая реакция на предыдущее введение вакцины</v>
      </c>
      <c r="E733" s="11">
        <v>44916</v>
      </c>
      <c r="F733" s="58"/>
    </row>
    <row r="734" spans="1:6">
      <c r="A734" s="7">
        <v>98</v>
      </c>
      <c r="B734" s="10" t="str">
        <f>VLOOKUP(A734,vaccines!A:B,2)</f>
        <v>HepB_Combiotech_1_0</v>
      </c>
      <c r="C734" s="7">
        <v>19</v>
      </c>
      <c r="D734" s="8" t="str">
        <f>VLOOKUP(C734,contraindications_list!A:B,2)</f>
        <v>осложнение на предыдущее введение вакцины</v>
      </c>
      <c r="E734" s="11">
        <v>44916</v>
      </c>
      <c r="F734" s="58"/>
    </row>
    <row r="735" spans="1:6">
      <c r="A735" s="7">
        <v>98</v>
      </c>
      <c r="B735" s="10" t="str">
        <f>VLOOKUP(A735,vaccines!A:B,2)</f>
        <v>HepB_Combiotech_1_0</v>
      </c>
      <c r="C735" s="7">
        <v>5</v>
      </c>
      <c r="D735" s="8" t="str">
        <f>VLOOKUP(C735,contraindications_list!A:B,2)</f>
        <v>острое заболевание</v>
      </c>
      <c r="E735" s="11">
        <v>44916</v>
      </c>
      <c r="F735" s="58"/>
    </row>
    <row r="736" spans="1:6">
      <c r="A736" s="7">
        <v>98</v>
      </c>
      <c r="B736" s="10" t="str">
        <f>VLOOKUP(A736,vaccines!A:B,2)</f>
        <v>HepB_Combiotech_1_0</v>
      </c>
      <c r="C736" s="7">
        <v>6</v>
      </c>
      <c r="D736" s="8" t="str">
        <f>VLOOKUP(C736,contraindications_list!A:B,2)</f>
        <v>обострение хронического заболевания</v>
      </c>
      <c r="E736" s="11">
        <v>44916</v>
      </c>
      <c r="F736" s="58"/>
    </row>
    <row r="737" spans="1:6">
      <c r="A737" s="7">
        <v>99</v>
      </c>
      <c r="B737" s="10" t="str">
        <f>VLOOKUP(A737,vaccines!A:B,2)</f>
        <v>Regevac_1_0</v>
      </c>
      <c r="C737" s="7">
        <v>1</v>
      </c>
      <c r="D737" s="8" t="str">
        <f>VLOOKUP(C737,contraindications_list!A:B,2)</f>
        <v>гиперчувствительность к компонентам</v>
      </c>
      <c r="E737" s="11">
        <v>44916</v>
      </c>
      <c r="F737" s="58"/>
    </row>
    <row r="738" spans="1:6">
      <c r="A738" s="7">
        <v>99</v>
      </c>
      <c r="B738" s="10" t="str">
        <f>VLOOKUP(A738,vaccines!A:B,2)</f>
        <v>Regevac_1_0</v>
      </c>
      <c r="C738" s="7">
        <v>16</v>
      </c>
      <c r="D738" s="8" t="str">
        <f>VLOOKUP(C738,contraindications_list!A:B,2)</f>
        <v>аллергия на дрожжи</v>
      </c>
      <c r="E738" s="11">
        <v>44916</v>
      </c>
      <c r="F738" s="58"/>
    </row>
    <row r="739" spans="1:6">
      <c r="A739" s="7">
        <v>99</v>
      </c>
      <c r="B739" s="10" t="str">
        <f>VLOOKUP(A739,vaccines!A:B,2)</f>
        <v>Regevac_1_0</v>
      </c>
      <c r="C739" s="7">
        <v>15</v>
      </c>
      <c r="D739" s="8" t="str">
        <f>VLOOKUP(C739,contraindications_list!A:B,2)</f>
        <v>сильная общая реакция на предыдущее введение вакцины</v>
      </c>
      <c r="E739" s="11">
        <v>44916</v>
      </c>
      <c r="F739" s="58"/>
    </row>
    <row r="740" spans="1:6">
      <c r="A740" s="7">
        <v>99</v>
      </c>
      <c r="B740" s="10" t="str">
        <f>VLOOKUP(A740,vaccines!A:B,2)</f>
        <v>Regevac_1_0</v>
      </c>
      <c r="C740" s="7">
        <v>19</v>
      </c>
      <c r="D740" s="8" t="str">
        <f>VLOOKUP(C740,contraindications_list!A:B,2)</f>
        <v>осложнение на предыдущее введение вакцины</v>
      </c>
      <c r="E740" s="11">
        <v>44916</v>
      </c>
      <c r="F740" s="58"/>
    </row>
    <row r="741" spans="1:6">
      <c r="A741" s="7">
        <v>99</v>
      </c>
      <c r="B741" s="10" t="str">
        <f>VLOOKUP(A741,vaccines!A:B,2)</f>
        <v>Regevac_1_0</v>
      </c>
      <c r="C741" s="7">
        <v>5</v>
      </c>
      <c r="D741" s="8" t="str">
        <f>VLOOKUP(C741,contraindications_list!A:B,2)</f>
        <v>острое заболевание</v>
      </c>
      <c r="E741" s="11">
        <v>44916</v>
      </c>
      <c r="F741" s="58"/>
    </row>
    <row r="742" spans="1:6">
      <c r="A742" s="7">
        <v>99</v>
      </c>
      <c r="B742" s="10" t="str">
        <f>VLOOKUP(A742,vaccines!A:B,2)</f>
        <v>Regevac_1_0</v>
      </c>
      <c r="C742" s="7">
        <v>6</v>
      </c>
      <c r="D742" s="8" t="str">
        <f>VLOOKUP(C742,contraindications_list!A:B,2)</f>
        <v>обострение хронического заболевания</v>
      </c>
      <c r="E742" s="11">
        <v>44916</v>
      </c>
      <c r="F742" s="58"/>
    </row>
    <row r="743" spans="1:6">
      <c r="A743" s="7">
        <v>100</v>
      </c>
      <c r="B743" s="10" t="str">
        <f>VLOOKUP(A743,vaccines!A:B,2)</f>
        <v>Priorix_Tetra</v>
      </c>
      <c r="C743" s="7">
        <v>25</v>
      </c>
      <c r="D743" s="8" t="str">
        <f>VLOOKUP(C743,contraindications_list!A:B,2)</f>
        <v>аллергия на аминогликозиды</v>
      </c>
      <c r="E743" s="11">
        <v>45082</v>
      </c>
      <c r="F743" s="58"/>
    </row>
    <row r="744" spans="1:6">
      <c r="A744" s="7">
        <v>100</v>
      </c>
      <c r="B744" s="10" t="str">
        <f>VLOOKUP(A744,vaccines!A:B,2)</f>
        <v>Priorix_Tetra</v>
      </c>
      <c r="C744" s="7">
        <v>1</v>
      </c>
      <c r="D744" s="8" t="str">
        <f>VLOOKUP(C744,contraindications_list!A:B,2)</f>
        <v>гиперчувствительность к компонентам</v>
      </c>
      <c r="E744" s="11">
        <v>45082</v>
      </c>
      <c r="F744" s="58"/>
    </row>
    <row r="745" spans="1:6">
      <c r="A745" s="7">
        <v>100</v>
      </c>
      <c r="B745" s="10" t="str">
        <f>VLOOKUP(A745,vaccines!A:B,2)</f>
        <v>Priorix_Tetra</v>
      </c>
      <c r="C745" s="7">
        <v>15</v>
      </c>
      <c r="D745" s="8" t="str">
        <f>VLOOKUP(C745,contraindications_list!A:B,2)</f>
        <v>сильная общая реакция на предыдущее введение вакцины</v>
      </c>
      <c r="E745" s="11">
        <v>45082</v>
      </c>
      <c r="F745" s="58"/>
    </row>
    <row r="746" spans="1:6">
      <c r="A746" s="7">
        <v>100</v>
      </c>
      <c r="B746" s="10" t="str">
        <f>VLOOKUP(A746,vaccines!A:B,2)</f>
        <v>Priorix_Tetra</v>
      </c>
      <c r="C746" s="7">
        <v>19</v>
      </c>
      <c r="D746" s="8" t="str">
        <f>VLOOKUP(C746,contraindications_list!A:B,2)</f>
        <v>осложнение на предыдущее введение вакцины</v>
      </c>
      <c r="E746" s="11">
        <v>45082</v>
      </c>
      <c r="F746" s="58"/>
    </row>
    <row r="747" spans="1:6">
      <c r="A747" s="7">
        <v>100</v>
      </c>
      <c r="B747" s="10" t="str">
        <f>VLOOKUP(A747,vaccines!A:B,2)</f>
        <v>Priorix_Tetra</v>
      </c>
      <c r="C747" s="7">
        <v>7</v>
      </c>
      <c r="D747" s="8" t="str">
        <f>VLOOKUP(C747,contraindications_list!A:B,2)</f>
        <v>иммунодефицит</v>
      </c>
      <c r="E747" s="11">
        <v>45082</v>
      </c>
      <c r="F747" s="58"/>
    </row>
    <row r="748" spans="1:6">
      <c r="A748" s="7">
        <v>100</v>
      </c>
      <c r="B748" s="10" t="str">
        <f>VLOOKUP(A748,vaccines!A:B,2)</f>
        <v>Priorix_Tetra</v>
      </c>
      <c r="C748" s="7">
        <v>5</v>
      </c>
      <c r="D748" s="8" t="str">
        <f>VLOOKUP(C748,contraindications_list!A:B,2)</f>
        <v>острое заболевание</v>
      </c>
      <c r="E748" s="11">
        <v>45082</v>
      </c>
      <c r="F748" s="58"/>
    </row>
    <row r="749" spans="1:6">
      <c r="A749" s="7">
        <v>100</v>
      </c>
      <c r="B749" s="10" t="str">
        <f>VLOOKUP(A749,vaccines!A:B,2)</f>
        <v>Priorix_Tetra</v>
      </c>
      <c r="C749" s="7">
        <v>6</v>
      </c>
      <c r="D749" s="8" t="str">
        <f>VLOOKUP(C749,contraindications_list!A:B,2)</f>
        <v>обострение хронического заболевания</v>
      </c>
      <c r="E749" s="11">
        <v>45082</v>
      </c>
      <c r="F749" s="58"/>
    </row>
    <row r="750" spans="1:6">
      <c r="A750" s="7">
        <v>100</v>
      </c>
      <c r="B750" s="10" t="str">
        <f>VLOOKUP(A750,vaccines!A:B,2)</f>
        <v>Priorix_Tetra</v>
      </c>
      <c r="C750" s="7">
        <v>22</v>
      </c>
      <c r="D750" s="8" t="str">
        <f>VLOOKUP(C750,contraindications_list!A:B,2)</f>
        <v>беременность</v>
      </c>
      <c r="E750" s="11">
        <v>45082</v>
      </c>
      <c r="F750" s="58"/>
    </row>
    <row r="751" spans="1:6">
      <c r="A751" s="7">
        <v>101</v>
      </c>
      <c r="B751" s="10" t="str">
        <f>VLOOKUP(A751,vaccines!A:B,2)</f>
        <v>Menveo</v>
      </c>
      <c r="C751" s="7">
        <v>1</v>
      </c>
      <c r="D751" s="8" t="str">
        <f>VLOOKUP(C751,contraindications_list!A:B,2)</f>
        <v>гиперчувствительность к компонентам</v>
      </c>
      <c r="E751" s="11">
        <v>45082</v>
      </c>
      <c r="F751" s="58"/>
    </row>
    <row r="752" spans="1:6">
      <c r="A752" s="7">
        <v>101</v>
      </c>
      <c r="B752" s="10" t="str">
        <f>VLOOKUP(A752,vaccines!A:B,2)</f>
        <v>Menveo</v>
      </c>
      <c r="C752" s="7">
        <v>32</v>
      </c>
      <c r="D752" s="8" t="str">
        <f>VLOOKUP(C752,contraindications_list!A:B,2)</f>
        <v>повышенная чувствительность к дифтерийному анатоксину</v>
      </c>
      <c r="E752" s="11">
        <v>45082</v>
      </c>
      <c r="F752" s="58"/>
    </row>
    <row r="753" spans="1:6">
      <c r="A753" s="7">
        <v>101</v>
      </c>
      <c r="B753" s="10" t="str">
        <f>VLOOKUP(A753,vaccines!A:B,2)</f>
        <v>Menveo</v>
      </c>
      <c r="C753" s="7">
        <v>5</v>
      </c>
      <c r="D753" s="8" t="str">
        <f>VLOOKUP(C753,contraindications_list!A:B,2)</f>
        <v>острое заболевание</v>
      </c>
      <c r="E753" s="11">
        <v>45082</v>
      </c>
      <c r="F753" s="58"/>
    </row>
    <row r="754" spans="1:6">
      <c r="A754" s="7">
        <v>101</v>
      </c>
      <c r="B754" s="10" t="str">
        <f>VLOOKUP(A754,vaccines!A:B,2)</f>
        <v>Menveo</v>
      </c>
      <c r="C754" s="7">
        <v>6</v>
      </c>
      <c r="D754" s="8" t="str">
        <f>VLOOKUP(C754,contraindications_list!A:B,2)</f>
        <v>обострение хронического заболевания</v>
      </c>
      <c r="E754" s="11">
        <v>45082</v>
      </c>
      <c r="F754" s="58"/>
    </row>
    <row r="755" spans="1:6">
      <c r="A755" s="7">
        <v>102</v>
      </c>
      <c r="B755" s="10" t="str">
        <f>VLOOKUP(A755,vaccines!A:B,2)</f>
        <v>Sputnik_intranasal</v>
      </c>
      <c r="C755" s="7">
        <v>1</v>
      </c>
      <c r="D755" s="8" t="str">
        <f>VLOOKUP(C755,contraindications_list!A:B,2)</f>
        <v>гиперчувствительность к компонентам</v>
      </c>
      <c r="E755" s="11">
        <v>45036</v>
      </c>
      <c r="F755" s="58"/>
    </row>
    <row r="756" spans="1:6">
      <c r="A756" s="7">
        <v>102</v>
      </c>
      <c r="B756" s="10" t="str">
        <f>VLOOKUP(A756,vaccines!A:B,2)</f>
        <v>Sputnik_intranasal</v>
      </c>
      <c r="C756" s="7">
        <v>21</v>
      </c>
      <c r="D756" s="8" t="str">
        <f>VLOOKUP(C756,contraindications_list!A:B,2)</f>
        <v>тяжелые аллергические реакции</v>
      </c>
      <c r="E756" s="11">
        <v>45036</v>
      </c>
      <c r="F756" s="58"/>
    </row>
    <row r="757" spans="1:6">
      <c r="A757" s="7">
        <v>102</v>
      </c>
      <c r="B757" s="10" t="str">
        <f>VLOOKUP(A757,vaccines!A:B,2)</f>
        <v>Sputnik_intranasal</v>
      </c>
      <c r="C757" s="7">
        <v>5</v>
      </c>
      <c r="D757" s="8" t="str">
        <f>VLOOKUP(C757,contraindications_list!A:B,2)</f>
        <v>острое заболевание</v>
      </c>
      <c r="E757" s="11">
        <v>45036</v>
      </c>
      <c r="F757" s="58"/>
    </row>
    <row r="758" spans="1:6">
      <c r="A758" s="7">
        <v>102</v>
      </c>
      <c r="B758" s="10" t="str">
        <f>VLOOKUP(A758,vaccines!A:B,2)</f>
        <v>Sputnik_intranasal</v>
      </c>
      <c r="C758" s="7">
        <v>6</v>
      </c>
      <c r="D758" s="8" t="str">
        <f>VLOOKUP(C758,contraindications_list!A:B,2)</f>
        <v>обострение хронического заболевания</v>
      </c>
      <c r="E758" s="11">
        <v>45036</v>
      </c>
      <c r="F758" s="58"/>
    </row>
    <row r="759" spans="1:6">
      <c r="A759" s="7">
        <v>102</v>
      </c>
      <c r="B759" s="10" t="str">
        <f>VLOOKUP(A759,vaccines!A:B,2)</f>
        <v>Sputnik_intranasal</v>
      </c>
      <c r="C759" s="7">
        <v>19</v>
      </c>
      <c r="D759" s="8" t="str">
        <f>VLOOKUP(C759,contraindications_list!A:B,2)</f>
        <v>осложнение на предыдущее введение вакцины</v>
      </c>
      <c r="E759" s="11">
        <v>45036</v>
      </c>
      <c r="F759" s="58"/>
    </row>
    <row r="760" spans="1:6">
      <c r="A760" s="7">
        <v>103</v>
      </c>
      <c r="B760" s="10" t="str">
        <f>VLOOKUP(A760,vaccines!A:B,2)</f>
        <v>Grippol_plus_0_25</v>
      </c>
      <c r="C760" s="7">
        <v>24</v>
      </c>
      <c r="D760" s="8" t="str">
        <f>VLOOKUP(C760,contraindications_list!A:B,2)</f>
        <v>аллергия на куриный белок</v>
      </c>
      <c r="E760" s="11">
        <v>45036</v>
      </c>
      <c r="F760" s="58"/>
    </row>
    <row r="761" spans="1:6">
      <c r="A761" s="7">
        <v>103</v>
      </c>
      <c r="B761" s="10" t="str">
        <f>VLOOKUP(A761,vaccines!A:B,2)</f>
        <v>Grippol_plus_0_25</v>
      </c>
      <c r="C761" s="7">
        <v>1</v>
      </c>
      <c r="D761" s="8" t="str">
        <f>VLOOKUP(C761,contraindications_list!A:B,2)</f>
        <v>гиперчувствительность к компонентам</v>
      </c>
      <c r="E761" s="11">
        <v>45036</v>
      </c>
      <c r="F761" s="58"/>
    </row>
    <row r="762" spans="1:6">
      <c r="A762" s="7">
        <v>103</v>
      </c>
      <c r="B762" s="10" t="str">
        <f>VLOOKUP(A762,vaccines!A:B,2)</f>
        <v>Grippol_plus_0_25</v>
      </c>
      <c r="C762" s="7">
        <v>19</v>
      </c>
      <c r="D762" s="8" t="str">
        <f>VLOOKUP(C762,contraindications_list!A:B,2)</f>
        <v>осложнение на предыдущее введение вакцины</v>
      </c>
      <c r="E762" s="11">
        <v>45036</v>
      </c>
      <c r="F762" s="58"/>
    </row>
    <row r="763" spans="1:6">
      <c r="A763" s="7">
        <v>103</v>
      </c>
      <c r="B763" s="10" t="str">
        <f>VLOOKUP(A763,vaccines!A:B,2)</f>
        <v>Grippol_plus_0_25</v>
      </c>
      <c r="C763" s="7">
        <v>15</v>
      </c>
      <c r="D763" s="8" t="str">
        <f>VLOOKUP(C763,contraindications_list!A:B,2)</f>
        <v>сильная общая реакция на предыдущее введение вакцины</v>
      </c>
      <c r="E763" s="11">
        <v>45036</v>
      </c>
      <c r="F763" s="58"/>
    </row>
    <row r="764" spans="1:6">
      <c r="A764" s="7">
        <v>103</v>
      </c>
      <c r="B764" s="10" t="str">
        <f>VLOOKUP(A764,vaccines!A:B,2)</f>
        <v>Grippol_plus_0_25</v>
      </c>
      <c r="C764" s="7">
        <v>5</v>
      </c>
      <c r="D764" s="8" t="str">
        <f>VLOOKUP(C764,contraindications_list!A:B,2)</f>
        <v>острое заболевание</v>
      </c>
      <c r="E764" s="11">
        <v>45036</v>
      </c>
      <c r="F764" s="58"/>
    </row>
    <row r="765" spans="1:6">
      <c r="A765" s="7">
        <v>103</v>
      </c>
      <c r="B765" s="10" t="str">
        <f>VLOOKUP(A765,vaccines!A:B,2)</f>
        <v>Grippol_plus_0_25</v>
      </c>
      <c r="C765" s="7">
        <v>6</v>
      </c>
      <c r="D765" s="8" t="str">
        <f>VLOOKUP(C765,contraindications_list!A:B,2)</f>
        <v>обострение хронического заболевания</v>
      </c>
      <c r="E765" s="11">
        <v>45036</v>
      </c>
      <c r="F765" s="58"/>
    </row>
    <row r="766" spans="1:6">
      <c r="A766" s="7">
        <v>104</v>
      </c>
      <c r="B766" s="10" t="str">
        <f>VLOOKUP(A766,vaccines!A:B,2)</f>
        <v>Flu_M_Tetra</v>
      </c>
      <c r="C766" s="7">
        <v>24</v>
      </c>
      <c r="D766" s="8" t="str">
        <f>VLOOKUP(C766,contraindications_list!A:B,2)</f>
        <v>аллергия на куриный белок</v>
      </c>
      <c r="E766" s="11">
        <v>45036</v>
      </c>
      <c r="F766" s="58"/>
    </row>
    <row r="767" spans="1:6">
      <c r="A767" s="7">
        <v>104</v>
      </c>
      <c r="B767" s="10" t="str">
        <f>VLOOKUP(A767,vaccines!A:B,2)</f>
        <v>Flu_M_Tetra</v>
      </c>
      <c r="C767" s="7">
        <v>1</v>
      </c>
      <c r="D767" s="8" t="str">
        <f>VLOOKUP(C767,contraindications_list!A:B,2)</f>
        <v>гиперчувствительность к компонентам</v>
      </c>
      <c r="E767" s="11">
        <v>45036</v>
      </c>
      <c r="F767" s="58"/>
    </row>
    <row r="768" spans="1:6">
      <c r="A768" s="7">
        <v>104</v>
      </c>
      <c r="B768" s="10" t="str">
        <f>VLOOKUP(A768,vaccines!A:B,2)</f>
        <v>Flu_M_Tetra</v>
      </c>
      <c r="C768" s="7">
        <v>19</v>
      </c>
      <c r="D768" s="8" t="str">
        <f>VLOOKUP(C768,contraindications_list!A:B,2)</f>
        <v>осложнение на предыдущее введение вакцины</v>
      </c>
      <c r="E768" s="11">
        <v>45036</v>
      </c>
      <c r="F768" s="58"/>
    </row>
    <row r="769" spans="1:6">
      <c r="A769" s="7">
        <v>104</v>
      </c>
      <c r="B769" s="10" t="str">
        <f>VLOOKUP(A769,vaccines!A:B,2)</f>
        <v>Flu_M_Tetra</v>
      </c>
      <c r="C769" s="7">
        <v>15</v>
      </c>
      <c r="D769" s="8" t="str">
        <f>VLOOKUP(C769,contraindications_list!A:B,2)</f>
        <v>сильная общая реакция на предыдущее введение вакцины</v>
      </c>
      <c r="E769" s="11">
        <v>45036</v>
      </c>
      <c r="F769" s="58"/>
    </row>
    <row r="770" spans="1:6">
      <c r="A770" s="7">
        <v>104</v>
      </c>
      <c r="B770" s="10" t="str">
        <f>VLOOKUP(A770,vaccines!A:B,2)</f>
        <v>Flu_M_Tetra</v>
      </c>
      <c r="C770" s="7">
        <v>5</v>
      </c>
      <c r="D770" s="8" t="str">
        <f>VLOOKUP(C770,contraindications_list!A:B,2)</f>
        <v>острое заболевание</v>
      </c>
      <c r="E770" s="11">
        <v>45036</v>
      </c>
      <c r="F770" s="58"/>
    </row>
    <row r="771" spans="1:6">
      <c r="A771" s="7">
        <v>104</v>
      </c>
      <c r="B771" s="10" t="str">
        <f>VLOOKUP(A771,vaccines!A:B,2)</f>
        <v>Flu_M_Tetra</v>
      </c>
      <c r="C771" s="7">
        <v>6</v>
      </c>
      <c r="D771" s="8" t="str">
        <f>VLOOKUP(C771,contraindications_list!A:B,2)</f>
        <v>обострение хронического заболевания</v>
      </c>
      <c r="E771" s="11">
        <v>45036</v>
      </c>
      <c r="F771" s="58"/>
    </row>
    <row r="772" spans="1:6">
      <c r="A772" s="7">
        <v>105</v>
      </c>
      <c r="B772" s="10" t="str">
        <f>VLOOKUP(A772,vaccines!A:B,2)</f>
        <v>Vaxigrip_Tetra</v>
      </c>
      <c r="C772" s="7">
        <v>24</v>
      </c>
      <c r="D772" s="8" t="str">
        <f>VLOOKUP(C772,contraindications_list!A:B,2)</f>
        <v>аллергия на куриный белок</v>
      </c>
      <c r="E772" s="11">
        <v>45082</v>
      </c>
      <c r="F772" s="58"/>
    </row>
    <row r="773" spans="1:6">
      <c r="A773" s="7">
        <v>105</v>
      </c>
      <c r="B773" s="10" t="str">
        <f>VLOOKUP(A773,vaccines!A:B,2)</f>
        <v>Vaxigrip_Tetra</v>
      </c>
      <c r="C773" s="54">
        <v>1</v>
      </c>
      <c r="D773" s="8" t="str">
        <f>VLOOKUP(C773,contraindications_list!A:B,2)</f>
        <v>гиперчувствительность к компонентам</v>
      </c>
      <c r="E773" s="12">
        <v>45489</v>
      </c>
      <c r="F773" s="58"/>
    </row>
    <row r="774" spans="1:6">
      <c r="A774" s="7">
        <v>105</v>
      </c>
      <c r="B774" s="10" t="str">
        <f>VLOOKUP(A774,vaccines!A:B,2)</f>
        <v>Vaxigrip_Tetra</v>
      </c>
      <c r="C774" s="7">
        <v>25</v>
      </c>
      <c r="D774" s="8" t="str">
        <f>VLOOKUP(C774,contraindications_list!A:B,2)</f>
        <v>аллергия на аминогликозиды</v>
      </c>
      <c r="E774" s="11">
        <v>45082</v>
      </c>
      <c r="F774" s="58"/>
    </row>
    <row r="775" spans="1:6">
      <c r="A775" s="7">
        <v>105</v>
      </c>
      <c r="B775" s="10" t="str">
        <f>VLOOKUP(A775,vaccines!A:B,2)</f>
        <v>Vaxigrip_Tetra</v>
      </c>
      <c r="C775" s="7">
        <v>69</v>
      </c>
      <c r="D775" s="8" t="str">
        <f>VLOOKUP(C775,contraindications_list!A:B,2)</f>
        <v>аллергия на формальдегид</v>
      </c>
      <c r="E775" s="11">
        <v>45083</v>
      </c>
      <c r="F775" s="58"/>
    </row>
    <row r="776" spans="1:6">
      <c r="A776" s="7">
        <v>105</v>
      </c>
      <c r="B776" s="10" t="str">
        <f>VLOOKUP(A776,vaccines!A:B,2)</f>
        <v>Vaxigrip_Tetra</v>
      </c>
      <c r="C776" s="7">
        <v>19</v>
      </c>
      <c r="D776" s="8" t="str">
        <f>VLOOKUP(C776,contraindications_list!A:B,2)</f>
        <v>осложнение на предыдущее введение вакцины</v>
      </c>
      <c r="E776" s="11">
        <v>45082</v>
      </c>
      <c r="F776" s="58"/>
    </row>
    <row r="777" spans="1:6">
      <c r="A777" s="7">
        <v>105</v>
      </c>
      <c r="B777" s="10" t="str">
        <f>VLOOKUP(A777,vaccines!A:B,2)</f>
        <v>Vaxigrip_Tetra</v>
      </c>
      <c r="C777" s="7">
        <v>5</v>
      </c>
      <c r="D777" s="8" t="str">
        <f>VLOOKUP(C777,contraindications_list!A:B,2)</f>
        <v>острое заболевание</v>
      </c>
      <c r="E777" s="11">
        <v>45082</v>
      </c>
      <c r="F777" s="58"/>
    </row>
    <row r="778" spans="1:6">
      <c r="A778" s="7">
        <v>105</v>
      </c>
      <c r="B778" s="10" t="str">
        <f>VLOOKUP(A778,vaccines!A:B,2)</f>
        <v>Vaxigrip_Tetra</v>
      </c>
      <c r="C778" s="7">
        <v>6</v>
      </c>
      <c r="D778" s="8" t="str">
        <f>VLOOKUP(C778,contraindications_list!A:B,2)</f>
        <v>обострение хронического заболевания</v>
      </c>
      <c r="E778" s="11">
        <v>45082</v>
      </c>
      <c r="F778" s="58"/>
    </row>
    <row r="779" spans="1:6">
      <c r="A779" s="7">
        <v>106</v>
      </c>
      <c r="B779" s="10" t="str">
        <f>VLOOKUP(A779,vaccines!A:B,2)</f>
        <v>Ocavax</v>
      </c>
      <c r="C779" s="7">
        <v>1</v>
      </c>
      <c r="D779" s="8" t="str">
        <f>VLOOKUP(C779,contraindications_list!A:B,2)</f>
        <v>гиперчувствительность к компонентам</v>
      </c>
      <c r="E779" s="11">
        <v>45082</v>
      </c>
      <c r="F779" s="58"/>
    </row>
    <row r="780" spans="1:6">
      <c r="A780" s="7">
        <v>106</v>
      </c>
      <c r="B780" s="10" t="str">
        <f>VLOOKUP(A780,vaccines!A:B,2)</f>
        <v>Ocavax</v>
      </c>
      <c r="C780" s="7">
        <v>15</v>
      </c>
      <c r="D780" s="8" t="str">
        <f>VLOOKUP(C780,contraindications_list!A:B,2)</f>
        <v>сильная общая реакция на предыдущее введение вакцины</v>
      </c>
      <c r="E780" s="11">
        <v>45082</v>
      </c>
      <c r="F780" s="58"/>
    </row>
    <row r="781" spans="1:6">
      <c r="A781" s="7">
        <v>106</v>
      </c>
      <c r="B781" s="10" t="str">
        <f>VLOOKUP(A781,vaccines!A:B,2)</f>
        <v>Ocavax</v>
      </c>
      <c r="C781" s="7">
        <v>19</v>
      </c>
      <c r="D781" s="8" t="str">
        <f>VLOOKUP(C781,contraindications_list!A:B,2)</f>
        <v>осложнение на предыдущее введение вакцины</v>
      </c>
      <c r="E781" s="11">
        <v>45082</v>
      </c>
      <c r="F781" s="58"/>
    </row>
    <row r="782" spans="1:6">
      <c r="A782" s="7">
        <v>106</v>
      </c>
      <c r="B782" s="10" t="str">
        <f>VLOOKUP(A782,vaccines!A:B,2)</f>
        <v>Ocavax</v>
      </c>
      <c r="C782" s="7">
        <v>22</v>
      </c>
      <c r="D782" s="8" t="str">
        <f>VLOOKUP(C782,contraindications_list!A:B,2)</f>
        <v>беременность</v>
      </c>
      <c r="E782" s="11">
        <v>45082</v>
      </c>
      <c r="F782" s="58"/>
    </row>
    <row r="783" spans="1:6">
      <c r="A783" s="7">
        <v>106</v>
      </c>
      <c r="B783" s="10" t="str">
        <f>VLOOKUP(A783,vaccines!A:B,2)</f>
        <v>Ocavax</v>
      </c>
      <c r="C783" s="7">
        <v>7</v>
      </c>
      <c r="D783" s="8" t="str">
        <f>VLOOKUP(C783,contraindications_list!A:B,2)</f>
        <v>иммунодефицит</v>
      </c>
      <c r="E783" s="11">
        <v>45082</v>
      </c>
      <c r="F783" s="58"/>
    </row>
    <row r="784" spans="1:6">
      <c r="A784" s="7">
        <v>106</v>
      </c>
      <c r="B784" s="10" t="str">
        <f>VLOOKUP(A784,vaccines!A:B,2)</f>
        <v>Ocavax</v>
      </c>
      <c r="C784" s="7">
        <v>5</v>
      </c>
      <c r="D784" s="8" t="str">
        <f>VLOOKUP(C784,contraindications_list!A:B,2)</f>
        <v>острое заболевание</v>
      </c>
      <c r="E784" s="11">
        <v>45082</v>
      </c>
      <c r="F784" s="58"/>
    </row>
    <row r="785" spans="1:6">
      <c r="A785" s="7">
        <v>106</v>
      </c>
      <c r="B785" s="10" t="str">
        <f>VLOOKUP(A785,vaccines!A:B,2)</f>
        <v>Ocavax</v>
      </c>
      <c r="C785" s="7">
        <v>6</v>
      </c>
      <c r="D785" s="8" t="str">
        <f>VLOOKUP(C785,contraindications_list!A:B,2)</f>
        <v>обострение хронического заболевания</v>
      </c>
      <c r="E785" s="11">
        <v>45082</v>
      </c>
      <c r="F785" s="58"/>
    </row>
    <row r="786" spans="1:6">
      <c r="A786" s="7">
        <v>106</v>
      </c>
      <c r="B786" s="10" t="str">
        <f>VLOOKUP(A786,vaccines!A:B,2)</f>
        <v>Ocavax</v>
      </c>
      <c r="C786" s="7">
        <v>71</v>
      </c>
      <c r="D786" s="8" t="str">
        <f>VLOOKUP(C786,contraindications_list!A:B,2)</f>
        <v>предоперационный период</v>
      </c>
      <c r="E786" s="11">
        <v>45083</v>
      </c>
      <c r="F786" s="58"/>
    </row>
    <row r="787" spans="1:6">
      <c r="A787" s="7">
        <v>107</v>
      </c>
      <c r="B787" s="10" t="str">
        <f>VLOOKUP(A787,vaccines!A:B,2)</f>
        <v>Pneumo_23</v>
      </c>
      <c r="C787" s="7">
        <v>1</v>
      </c>
      <c r="D787" s="8" t="str">
        <f>VLOOKUP(C787,contraindications_list!A:B,2)</f>
        <v>гиперчувствительность к компонентам</v>
      </c>
      <c r="E787" s="11">
        <v>45082</v>
      </c>
      <c r="F787" s="58"/>
    </row>
    <row r="788" spans="1:6">
      <c r="A788" s="7">
        <v>107</v>
      </c>
      <c r="B788" s="10" t="str">
        <f>VLOOKUP(A788,vaccines!A:B,2)</f>
        <v>Pneumo_23</v>
      </c>
      <c r="C788" s="7">
        <v>5</v>
      </c>
      <c r="D788" s="8" t="str">
        <f>VLOOKUP(C788,contraindications_list!A:B,2)</f>
        <v>острое заболевание</v>
      </c>
      <c r="E788" s="11">
        <v>45082</v>
      </c>
      <c r="F788" s="58"/>
    </row>
    <row r="789" spans="1:6">
      <c r="A789" s="7">
        <v>107</v>
      </c>
      <c r="B789" s="10" t="str">
        <f>VLOOKUP(A789,vaccines!A:B,2)</f>
        <v>Pneumo_23</v>
      </c>
      <c r="C789" s="7">
        <v>6</v>
      </c>
      <c r="D789" s="8" t="str">
        <f>VLOOKUP(C789,contraindications_list!A:B,2)</f>
        <v>обострение хронического заболевания</v>
      </c>
      <c r="E789" s="11">
        <v>45082</v>
      </c>
      <c r="F789" s="58"/>
    </row>
    <row r="790" spans="1:6">
      <c r="A790" s="7">
        <v>108</v>
      </c>
      <c r="B790" s="10" t="str">
        <f>VLOOKUP(A790,vaccines!A:B,2)</f>
        <v>Varivax</v>
      </c>
      <c r="C790" s="7">
        <v>1</v>
      </c>
      <c r="D790" s="8" t="str">
        <f>VLOOKUP(C790,contraindications_list!A:B,2)</f>
        <v>гиперчувствительность к компонентам</v>
      </c>
      <c r="E790" s="11">
        <v>45036</v>
      </c>
      <c r="F790" s="58"/>
    </row>
    <row r="791" spans="1:6">
      <c r="A791" s="7">
        <v>108</v>
      </c>
      <c r="B791" s="10" t="str">
        <f>VLOOKUP(A791,vaccines!A:B,2)</f>
        <v>Varivax</v>
      </c>
      <c r="C791" s="7">
        <v>74</v>
      </c>
      <c r="D791" s="8" t="str">
        <f>VLOOKUP(C791,contraindications_list!A:B,2)</f>
        <v>злокачественное заболевание крови</v>
      </c>
      <c r="E791" s="11">
        <v>45133</v>
      </c>
      <c r="F791" s="58"/>
    </row>
    <row r="792" spans="1:6">
      <c r="A792" s="7">
        <v>108</v>
      </c>
      <c r="B792" s="10" t="str">
        <f>VLOOKUP(A792,vaccines!A:B,2)</f>
        <v>Varivax</v>
      </c>
      <c r="C792" s="7">
        <v>8</v>
      </c>
      <c r="D792" s="8" t="str">
        <f>VLOOKUP(C792,contraindications_list!A:B,2)</f>
        <v>злокачественное новообразование</v>
      </c>
      <c r="E792" s="11">
        <v>45036</v>
      </c>
      <c r="F792" s="58"/>
    </row>
    <row r="793" spans="1:6">
      <c r="A793" s="7">
        <v>108</v>
      </c>
      <c r="B793" s="10" t="str">
        <f>VLOOKUP(A793,vaccines!A:B,2)</f>
        <v>Varivax</v>
      </c>
      <c r="C793" s="7">
        <v>28</v>
      </c>
      <c r="D793" s="8" t="str">
        <f>VLOOKUP(C793,contraindications_list!A:B,2)</f>
        <v>иммуносупрессивная терапия</v>
      </c>
      <c r="E793" s="11">
        <v>45036</v>
      </c>
      <c r="F793" s="58"/>
    </row>
    <row r="794" spans="1:6">
      <c r="A794" s="7">
        <v>108</v>
      </c>
      <c r="B794" s="10" t="str">
        <f>VLOOKUP(A794,vaccines!A:B,2)</f>
        <v>Varivax</v>
      </c>
      <c r="C794" s="7">
        <v>10</v>
      </c>
      <c r="D794" s="8" t="str">
        <f>VLOOKUP(C794,contraindications_list!A:B,2)</f>
        <v>ВИЧ</v>
      </c>
      <c r="E794" s="11">
        <v>45036</v>
      </c>
      <c r="F794" s="58"/>
    </row>
    <row r="795" spans="1:6">
      <c r="A795" s="7">
        <v>108</v>
      </c>
      <c r="B795" s="10" t="str">
        <f>VLOOKUP(A795,vaccines!A:B,2)</f>
        <v>Varivax</v>
      </c>
      <c r="C795" s="7">
        <v>30</v>
      </c>
      <c r="D795" s="8" t="str">
        <f>VLOOKUP(C795,contraindications_list!A:B,2)</f>
        <v>иммунодефицит у родственников</v>
      </c>
      <c r="E795" s="11">
        <v>45036</v>
      </c>
      <c r="F795" s="58"/>
    </row>
    <row r="796" spans="1:6">
      <c r="A796" s="7">
        <v>108</v>
      </c>
      <c r="B796" s="10" t="str">
        <f>VLOOKUP(A796,vaccines!A:B,2)</f>
        <v>Varivax</v>
      </c>
      <c r="C796" s="7">
        <v>18</v>
      </c>
      <c r="D796" s="8" t="str">
        <f>VLOOKUP(C796,contraindications_list!A:B,2)</f>
        <v>туберкулез</v>
      </c>
      <c r="E796" s="11">
        <v>45036</v>
      </c>
      <c r="F796" s="58"/>
    </row>
    <row r="797" spans="1:6">
      <c r="A797" s="7">
        <v>108</v>
      </c>
      <c r="B797" s="10" t="str">
        <f>VLOOKUP(A797,vaccines!A:B,2)</f>
        <v>Varivax</v>
      </c>
      <c r="C797" s="7">
        <v>5</v>
      </c>
      <c r="D797" s="8" t="str">
        <f>VLOOKUP(C797,contraindications_list!A:B,2)</f>
        <v>острое заболевание</v>
      </c>
      <c r="E797" s="11">
        <v>45036</v>
      </c>
      <c r="F797" s="58"/>
    </row>
    <row r="798" spans="1:6">
      <c r="A798" s="7">
        <v>108</v>
      </c>
      <c r="B798" s="10" t="str">
        <f>VLOOKUP(A798,vaccines!A:B,2)</f>
        <v>Varivax</v>
      </c>
      <c r="C798" s="7">
        <v>22</v>
      </c>
      <c r="D798" s="8" t="str">
        <f>VLOOKUP(C798,contraindications_list!A:B,2)</f>
        <v>беременность</v>
      </c>
      <c r="E798" s="11">
        <v>45036</v>
      </c>
      <c r="F798" s="58"/>
    </row>
    <row r="799" spans="1:6">
      <c r="A799" s="7">
        <v>108</v>
      </c>
      <c r="B799" s="10" t="str">
        <f>VLOOKUP(A799,vaccines!A:B,2)</f>
        <v>Varivax</v>
      </c>
      <c r="C799" s="7">
        <v>23</v>
      </c>
      <c r="D799" s="8" t="str">
        <f>VLOOKUP(C799,contraindications_list!A:B,2)</f>
        <v>грудное вскармливание</v>
      </c>
      <c r="E799" s="11">
        <v>45036</v>
      </c>
      <c r="F799" s="58"/>
    </row>
    <row r="800" spans="1:6">
      <c r="A800" s="7">
        <v>108</v>
      </c>
      <c r="B800" s="10" t="str">
        <f>VLOOKUP(A800,vaccines!A:B,2)</f>
        <v>Varivax</v>
      </c>
      <c r="C800" s="7">
        <v>64</v>
      </c>
      <c r="D800" s="8" t="str">
        <f>VLOOKUP(C800,contraindications_list!A:B,2)</f>
        <v>переливание крови или плазмы</v>
      </c>
      <c r="E800" s="11">
        <v>45036</v>
      </c>
      <c r="F800" s="58"/>
    </row>
    <row r="801" spans="1:6">
      <c r="A801" s="7">
        <v>108</v>
      </c>
      <c r="B801" s="10" t="str">
        <f>VLOOKUP(A801,vaccines!A:B,2)</f>
        <v>Varivax</v>
      </c>
      <c r="C801" s="7">
        <v>65</v>
      </c>
      <c r="D801" s="8" t="str">
        <f>VLOOKUP(C801,contraindications_list!A:B,2)</f>
        <v>введение иммуноглобулина</v>
      </c>
      <c r="E801" s="11">
        <v>45036</v>
      </c>
      <c r="F801" s="58"/>
    </row>
    <row r="802" spans="1:6">
      <c r="A802" s="7">
        <v>109</v>
      </c>
      <c r="B802" s="10" t="str">
        <f>VLOOKUP(A802,vaccines!A:B,2)</f>
        <v>Pneumotex</v>
      </c>
      <c r="C802" s="7">
        <v>1</v>
      </c>
      <c r="D802" s="8" t="str">
        <f>VLOOKUP(C802,contraindications_list!A:B,2)</f>
        <v>гиперчувствительность к компонентам</v>
      </c>
      <c r="E802" s="11">
        <v>45063</v>
      </c>
      <c r="F802" s="58"/>
    </row>
    <row r="803" spans="1:6">
      <c r="A803" s="7">
        <v>109</v>
      </c>
      <c r="B803" s="10" t="str">
        <f>VLOOKUP(A803,vaccines!A:B,2)</f>
        <v>Pneumotex</v>
      </c>
      <c r="C803" s="7">
        <v>15</v>
      </c>
      <c r="D803" s="8" t="str">
        <f>VLOOKUP(C803,contraindications_list!A:B,2)</f>
        <v>сильная общая реакция на предыдущее введение вакцины</v>
      </c>
      <c r="E803" s="11">
        <v>45063</v>
      </c>
      <c r="F803" s="58"/>
    </row>
    <row r="804" spans="1:6">
      <c r="A804" s="7">
        <v>109</v>
      </c>
      <c r="B804" s="10" t="str">
        <f>VLOOKUP(A804,vaccines!A:B,2)</f>
        <v>Pneumotex</v>
      </c>
      <c r="C804" s="7">
        <v>19</v>
      </c>
      <c r="D804" s="8" t="str">
        <f>VLOOKUP(C804,contraindications_list!A:B,2)</f>
        <v>осложнение на предыдущее введение вакцины</v>
      </c>
      <c r="E804" s="11">
        <v>45063</v>
      </c>
      <c r="F804" s="58"/>
    </row>
    <row r="805" spans="1:6">
      <c r="A805" s="7">
        <v>109</v>
      </c>
      <c r="B805" s="10" t="str">
        <f>VLOOKUP(A805,vaccines!A:B,2)</f>
        <v>Pneumotex</v>
      </c>
      <c r="C805" s="7">
        <v>5</v>
      </c>
      <c r="D805" s="8" t="str">
        <f>VLOOKUP(C805,contraindications_list!A:B,2)</f>
        <v>острое заболевание</v>
      </c>
      <c r="E805" s="11">
        <v>45063</v>
      </c>
      <c r="F805" s="58"/>
    </row>
    <row r="806" spans="1:6">
      <c r="A806" s="7">
        <v>109</v>
      </c>
      <c r="B806" s="10" t="str">
        <f>VLOOKUP(A806,vaccines!A:B,2)</f>
        <v>Pneumotex</v>
      </c>
      <c r="C806" s="7">
        <v>6</v>
      </c>
      <c r="D806" s="8" t="str">
        <f>VLOOKUP(C806,contraindications_list!A:B,2)</f>
        <v>обострение хронического заболевания</v>
      </c>
      <c r="E806" s="11">
        <v>45063</v>
      </c>
      <c r="F806" s="8"/>
    </row>
    <row r="807" spans="1:6">
      <c r="A807" s="7">
        <v>110</v>
      </c>
      <c r="B807" s="10" t="str">
        <f>VLOOKUP(A807,vaccines!A:B,2)</f>
        <v>Priorix</v>
      </c>
      <c r="C807" s="7">
        <v>1</v>
      </c>
      <c r="D807" s="8" t="str">
        <f>VLOOKUP(C807,contraindications_list!A:B,2)</f>
        <v>гиперчувствительность к компонентам</v>
      </c>
      <c r="E807" s="11">
        <v>45082</v>
      </c>
      <c r="F807" s="58"/>
    </row>
    <row r="808" spans="1:6">
      <c r="A808" s="7">
        <v>110</v>
      </c>
      <c r="B808" s="10" t="str">
        <f>VLOOKUP(A808,vaccines!A:B,2)</f>
        <v>Priorix</v>
      </c>
      <c r="C808" s="7">
        <v>25</v>
      </c>
      <c r="D808" s="8" t="str">
        <f>VLOOKUP(C808,contraindications_list!A:B,2)</f>
        <v>аллергия на аминогликозиды</v>
      </c>
      <c r="E808" s="11">
        <v>45082</v>
      </c>
      <c r="F808" s="58"/>
    </row>
    <row r="809" spans="1:6">
      <c r="A809" s="7">
        <v>110</v>
      </c>
      <c r="B809" s="10" t="str">
        <f>VLOOKUP(A809,vaccines!A:B,2)</f>
        <v>Priorix</v>
      </c>
      <c r="C809" s="7">
        <v>24</v>
      </c>
      <c r="D809" s="8" t="str">
        <f>VLOOKUP(C809,contraindications_list!A:B,2)</f>
        <v>аллергия на куриный белок</v>
      </c>
      <c r="E809" s="11">
        <v>45082</v>
      </c>
      <c r="F809" s="58"/>
    </row>
    <row r="810" spans="1:6">
      <c r="A810" s="7">
        <v>110</v>
      </c>
      <c r="B810" s="10" t="str">
        <f>VLOOKUP(A810,vaccines!A:B,2)</f>
        <v>Priorix</v>
      </c>
      <c r="C810" s="7">
        <v>7</v>
      </c>
      <c r="D810" s="8" t="str">
        <f>VLOOKUP(C810,contraindications_list!A:B,2)</f>
        <v>иммунодефицит</v>
      </c>
      <c r="E810" s="11">
        <v>45082</v>
      </c>
      <c r="F810" s="58"/>
    </row>
    <row r="811" spans="1:6">
      <c r="A811" s="7">
        <v>110</v>
      </c>
      <c r="B811" s="10" t="str">
        <f>VLOOKUP(A811,vaccines!A:B,2)</f>
        <v>Priorix</v>
      </c>
      <c r="C811" s="7">
        <v>22</v>
      </c>
      <c r="D811" s="8" t="str">
        <f>VLOOKUP(C811,contraindications_list!A:B,2)</f>
        <v>беременность</v>
      </c>
      <c r="E811" s="11">
        <v>45082</v>
      </c>
      <c r="F811" s="58"/>
    </row>
    <row r="812" spans="1:6">
      <c r="A812" s="7">
        <v>110</v>
      </c>
      <c r="B812" s="10" t="str">
        <f>VLOOKUP(A812,vaccines!A:B,2)</f>
        <v>Priorix</v>
      </c>
      <c r="C812" s="7">
        <v>5</v>
      </c>
      <c r="D812" s="8" t="str">
        <f>VLOOKUP(C812,contraindications_list!A:B,2)</f>
        <v>острое заболевание</v>
      </c>
      <c r="E812" s="11">
        <v>45082</v>
      </c>
      <c r="F812" s="58"/>
    </row>
    <row r="813" spans="1:6">
      <c r="A813" s="7">
        <v>110</v>
      </c>
      <c r="B813" s="10" t="str">
        <f>VLOOKUP(A813,vaccines!A:B,2)</f>
        <v>Priorix</v>
      </c>
      <c r="C813" s="7">
        <v>6</v>
      </c>
      <c r="D813" s="8" t="str">
        <f>VLOOKUP(C813,contraindications_list!A:B,2)</f>
        <v>обострение хронического заболевания</v>
      </c>
      <c r="E813" s="11">
        <v>45082</v>
      </c>
      <c r="F813" s="58"/>
    </row>
    <row r="814" spans="1:6">
      <c r="A814" s="7">
        <v>111</v>
      </c>
      <c r="B814" s="10" t="str">
        <f>VLOOKUP(A814,vaccines!A:B,2)</f>
        <v>MenQuadfi</v>
      </c>
      <c r="C814" s="7">
        <v>1</v>
      </c>
      <c r="D814" s="8" t="str">
        <f>VLOOKUP(C814,contraindications_list!A:B,2)</f>
        <v>гиперчувствительность к компонентам</v>
      </c>
      <c r="E814" s="11">
        <v>45083</v>
      </c>
      <c r="F814" s="58"/>
    </row>
    <row r="815" spans="1:6">
      <c r="A815" s="7">
        <v>111</v>
      </c>
      <c r="B815" s="10" t="str">
        <f>VLOOKUP(A815,vaccines!A:B,2)</f>
        <v>MenQuadfi</v>
      </c>
      <c r="C815" s="7">
        <v>5</v>
      </c>
      <c r="D815" s="8" t="str">
        <f>VLOOKUP(C815,contraindications_list!A:B,2)</f>
        <v>острое заболевание</v>
      </c>
      <c r="E815" s="11">
        <v>45083</v>
      </c>
      <c r="F815" s="58"/>
    </row>
    <row r="816" spans="1:6">
      <c r="A816" s="7">
        <v>111</v>
      </c>
      <c r="B816" s="10" t="str">
        <f>VLOOKUP(A816,vaccines!A:B,2)</f>
        <v>MenQuadfi</v>
      </c>
      <c r="C816" s="7">
        <v>6</v>
      </c>
      <c r="D816" s="8" t="str">
        <f>VLOOKUP(C816,contraindications_list!A:B,2)</f>
        <v>обострение хронического заболевания</v>
      </c>
      <c r="E816" s="11">
        <v>45083</v>
      </c>
      <c r="F816" s="58"/>
    </row>
    <row r="817" spans="1:6">
      <c r="A817" s="7">
        <v>111</v>
      </c>
      <c r="B817" s="10" t="str">
        <f>VLOOKUP(A817,vaccines!A:B,2)</f>
        <v>MenQuadfi</v>
      </c>
      <c r="C817" s="54">
        <v>15</v>
      </c>
      <c r="D817" s="8" t="str">
        <f>VLOOKUP(C817,contraindications_list!A:B,2)</f>
        <v>сильная общая реакция на предыдущее введение вакцины</v>
      </c>
      <c r="E817" s="12">
        <v>46072</v>
      </c>
      <c r="F817" s="58"/>
    </row>
    <row r="818" spans="1:6">
      <c r="A818" s="7">
        <v>112</v>
      </c>
      <c r="B818" s="10" t="str">
        <f>VLOOKUP(A818,vaccines!A:B,2)</f>
        <v>Bexsero</v>
      </c>
      <c r="C818" s="7">
        <v>1</v>
      </c>
      <c r="D818" s="8" t="str">
        <f>VLOOKUP(C818,contraindications_list!A:B,2)</f>
        <v>гиперчувствительность к компонентам</v>
      </c>
      <c r="E818" s="11">
        <v>45083</v>
      </c>
      <c r="F818" s="58"/>
    </row>
    <row r="819" spans="1:6">
      <c r="A819" s="7">
        <v>112</v>
      </c>
      <c r="B819" s="10" t="str">
        <f>VLOOKUP(A819,vaccines!A:B,2)</f>
        <v>Bexsero</v>
      </c>
      <c r="C819" s="7">
        <v>68</v>
      </c>
      <c r="D819" s="8" t="str">
        <f>VLOOKUP(C819,contraindications_list!A:B,2)</f>
        <v>высокая температура тела</v>
      </c>
      <c r="E819" s="11">
        <v>45083</v>
      </c>
      <c r="F819" s="58"/>
    </row>
    <row r="820" spans="1:6">
      <c r="A820" s="7">
        <v>112</v>
      </c>
      <c r="B820" s="10" t="str">
        <f>VLOOKUP(A820,vaccines!A:B,2)</f>
        <v>Bexsero</v>
      </c>
      <c r="C820" s="54">
        <v>5</v>
      </c>
      <c r="D820" s="8" t="str">
        <f>VLOOKUP(C820,contraindications_list!A:B,2)</f>
        <v>острое заболевание</v>
      </c>
      <c r="E820" s="57">
        <v>45489</v>
      </c>
      <c r="F820" s="58"/>
    </row>
    <row r="821" spans="1:6">
      <c r="A821" s="7">
        <v>112</v>
      </c>
      <c r="B821" s="10" t="str">
        <f>VLOOKUP(A821,vaccines!A:B,2)</f>
        <v>Bexsero</v>
      </c>
      <c r="C821" s="54">
        <v>6</v>
      </c>
      <c r="D821" s="8" t="str">
        <f>VLOOKUP(C821,contraindications_list!A:B,2)</f>
        <v>обострение хронического заболевания</v>
      </c>
      <c r="E821" s="57">
        <v>45489</v>
      </c>
      <c r="F821" s="58"/>
    </row>
    <row r="822" spans="1:6">
      <c r="A822" s="7">
        <v>113</v>
      </c>
      <c r="B822" s="10" t="str">
        <f>VLOOKUP(A822,vaccines!A:B,2)</f>
        <v>Sputnik_D</v>
      </c>
      <c r="C822" s="7">
        <v>1</v>
      </c>
      <c r="D822" s="8" t="str">
        <f>VLOOKUP(C822,contraindications_list!A:B,2)</f>
        <v>гиперчувствительность к компонентам</v>
      </c>
      <c r="E822" s="11">
        <v>45083</v>
      </c>
      <c r="F822" s="58"/>
    </row>
    <row r="823" spans="1:6">
      <c r="A823" s="7">
        <v>113</v>
      </c>
      <c r="B823" s="10" t="str">
        <f>VLOOKUP(A823,vaccines!A:B,2)</f>
        <v>Sputnik_D</v>
      </c>
      <c r="C823" s="7">
        <v>21</v>
      </c>
      <c r="D823" s="8" t="str">
        <f>VLOOKUP(C823,contraindications_list!A:B,2)</f>
        <v>тяжелые аллергические реакции</v>
      </c>
      <c r="E823" s="11">
        <v>45083</v>
      </c>
      <c r="F823" s="58"/>
    </row>
    <row r="824" spans="1:6">
      <c r="A824" s="7">
        <v>113</v>
      </c>
      <c r="B824" s="10" t="str">
        <f>VLOOKUP(A824,vaccines!A:B,2)</f>
        <v>Sputnik_D</v>
      </c>
      <c r="C824" s="7">
        <v>5</v>
      </c>
      <c r="D824" s="8" t="str">
        <f>VLOOKUP(C824,contraindications_list!A:B,2)</f>
        <v>острое заболевание</v>
      </c>
      <c r="E824" s="11">
        <v>45083</v>
      </c>
      <c r="F824" s="58"/>
    </row>
    <row r="825" spans="1:6">
      <c r="A825" s="7">
        <v>113</v>
      </c>
      <c r="B825" s="10" t="str">
        <f>VLOOKUP(A825,vaccines!A:B,2)</f>
        <v>Sputnik_D</v>
      </c>
      <c r="C825" s="7">
        <v>6</v>
      </c>
      <c r="D825" s="8" t="str">
        <f>VLOOKUP(C825,contraindications_list!A:B,2)</f>
        <v>обострение хронического заболевания</v>
      </c>
      <c r="E825" s="11">
        <v>45083</v>
      </c>
      <c r="F825" s="58"/>
    </row>
    <row r="826" spans="1:6">
      <c r="A826" s="7">
        <v>114</v>
      </c>
      <c r="B826" s="10" t="str">
        <f>VLOOKUP(A826,vaccines!A:B,2)</f>
        <v>Encepur_0_25</v>
      </c>
      <c r="C826" s="7">
        <v>5</v>
      </c>
      <c r="D826" s="8" t="str">
        <f>VLOOKUP(C826,contraindications_list!A:B,2)</f>
        <v>острое заболевание</v>
      </c>
      <c r="E826" s="11">
        <v>45083</v>
      </c>
      <c r="F826" s="58"/>
    </row>
    <row r="827" spans="1:6">
      <c r="A827" s="7">
        <v>114</v>
      </c>
      <c r="B827" s="10" t="str">
        <f>VLOOKUP(A827,vaccines!A:B,2)</f>
        <v>Encepur_0_25</v>
      </c>
      <c r="C827" s="7">
        <v>6</v>
      </c>
      <c r="D827" s="8" t="str">
        <f>VLOOKUP(C827,contraindications_list!A:B,2)</f>
        <v>обострение хронического заболевания</v>
      </c>
      <c r="E827" s="11">
        <v>45083</v>
      </c>
      <c r="F827" s="58"/>
    </row>
    <row r="828" spans="1:6">
      <c r="A828" s="7">
        <v>114</v>
      </c>
      <c r="B828" s="10" t="str">
        <f>VLOOKUP(A828,vaccines!A:B,2)</f>
        <v>Encepur_0_25</v>
      </c>
      <c r="C828" s="7">
        <v>1</v>
      </c>
      <c r="D828" s="8" t="str">
        <f>VLOOKUP(C828,contraindications_list!A:B,2)</f>
        <v>гиперчувствительность к компонентам</v>
      </c>
      <c r="E828" s="11">
        <v>45083</v>
      </c>
      <c r="F828" s="58"/>
    </row>
    <row r="829" spans="1:6">
      <c r="A829" s="7">
        <v>114</v>
      </c>
      <c r="B829" s="10" t="str">
        <f>VLOOKUP(A829,vaccines!A:B,2)</f>
        <v>Encepur_0_25</v>
      </c>
      <c r="C829" s="7">
        <v>25</v>
      </c>
      <c r="D829" s="8" t="str">
        <f>VLOOKUP(C829,contraindications_list!A:B,2)</f>
        <v>аллергия на аминогликозиды</v>
      </c>
      <c r="E829" s="11">
        <v>45083</v>
      </c>
      <c r="F829" s="58"/>
    </row>
    <row r="830" spans="1:6">
      <c r="A830" s="7">
        <v>114</v>
      </c>
      <c r="B830" s="10" t="str">
        <f>VLOOKUP(A830,vaccines!A:B,2)</f>
        <v>Encepur_0_25</v>
      </c>
      <c r="C830" s="7">
        <v>69</v>
      </c>
      <c r="D830" s="8" t="str">
        <f>VLOOKUP(C830,contraindications_list!A:B,2)</f>
        <v>аллергия на формальдегид</v>
      </c>
      <c r="E830" s="11">
        <v>45083</v>
      </c>
      <c r="F830" s="58"/>
    </row>
    <row r="831" spans="1:6">
      <c r="A831" s="7">
        <v>114</v>
      </c>
      <c r="B831" s="10" t="str">
        <f>VLOOKUP(A831,vaccines!A:B,2)</f>
        <v>Encepur_0_25</v>
      </c>
      <c r="C831" s="7">
        <v>15</v>
      </c>
      <c r="D831" s="8" t="str">
        <f>VLOOKUP(C831,contraindications_list!A:B,2)</f>
        <v>сильная общая реакция на предыдущее введение вакцины</v>
      </c>
      <c r="E831" s="11">
        <v>45083</v>
      </c>
      <c r="F831" s="58"/>
    </row>
    <row r="832" spans="1:6">
      <c r="A832" s="7">
        <v>115</v>
      </c>
      <c r="B832" s="10" t="str">
        <f>VLOOKUP(A832,vaccines!A:B,2)</f>
        <v>Encepur_0_5</v>
      </c>
      <c r="C832" s="7">
        <v>5</v>
      </c>
      <c r="D832" s="8" t="str">
        <f>VLOOKUP(C832,contraindications_list!A:B,2)</f>
        <v>острое заболевание</v>
      </c>
      <c r="E832" s="11">
        <v>45083</v>
      </c>
      <c r="F832" s="58"/>
    </row>
    <row r="833" spans="1:6">
      <c r="A833" s="7">
        <v>115</v>
      </c>
      <c r="B833" s="10" t="str">
        <f>VLOOKUP(A833,vaccines!A:B,2)</f>
        <v>Encepur_0_5</v>
      </c>
      <c r="C833" s="7">
        <v>6</v>
      </c>
      <c r="D833" s="8" t="str">
        <f>VLOOKUP(C833,contraindications_list!A:B,2)</f>
        <v>обострение хронического заболевания</v>
      </c>
      <c r="E833" s="11">
        <v>45083</v>
      </c>
      <c r="F833" s="58"/>
    </row>
    <row r="834" spans="1:6">
      <c r="A834" s="7">
        <v>115</v>
      </c>
      <c r="B834" s="10" t="str">
        <f>VLOOKUP(A834,vaccines!A:B,2)</f>
        <v>Encepur_0_5</v>
      </c>
      <c r="C834" s="7">
        <v>1</v>
      </c>
      <c r="D834" s="8" t="str">
        <f>VLOOKUP(C834,contraindications_list!A:B,2)</f>
        <v>гиперчувствительность к компонентам</v>
      </c>
      <c r="E834" s="11">
        <v>45083</v>
      </c>
      <c r="F834" s="58"/>
    </row>
    <row r="835" spans="1:6">
      <c r="A835" s="7">
        <v>115</v>
      </c>
      <c r="B835" s="10" t="str">
        <f>VLOOKUP(A835,vaccines!A:B,2)</f>
        <v>Encepur_0_5</v>
      </c>
      <c r="C835" s="7">
        <v>25</v>
      </c>
      <c r="D835" s="8" t="str">
        <f>VLOOKUP(C835,contraindications_list!A:B,2)</f>
        <v>аллергия на аминогликозиды</v>
      </c>
      <c r="E835" s="11">
        <v>45083</v>
      </c>
      <c r="F835" s="58"/>
    </row>
    <row r="836" spans="1:6">
      <c r="A836" s="7">
        <v>115</v>
      </c>
      <c r="B836" s="10" t="str">
        <f>VLOOKUP(A836,vaccines!A:B,2)</f>
        <v>Encepur_0_5</v>
      </c>
      <c r="C836" s="7">
        <v>69</v>
      </c>
      <c r="D836" s="8" t="str">
        <f>VLOOKUP(C836,contraindications_list!A:B,2)</f>
        <v>аллергия на формальдегид</v>
      </c>
      <c r="E836" s="11">
        <v>45083</v>
      </c>
      <c r="F836" s="58"/>
    </row>
    <row r="837" spans="1:6">
      <c r="A837" s="7">
        <v>115</v>
      </c>
      <c r="B837" s="10" t="str">
        <f>VLOOKUP(A837,vaccines!A:B,2)</f>
        <v>Encepur_0_5</v>
      </c>
      <c r="C837" s="7">
        <v>15</v>
      </c>
      <c r="D837" s="8" t="str">
        <f>VLOOKUP(C837,contraindications_list!A:B,2)</f>
        <v>сильная общая реакция на предыдущее введение вакцины</v>
      </c>
      <c r="E837" s="11">
        <v>45083</v>
      </c>
      <c r="F837" s="58"/>
    </row>
    <row r="838" spans="1:6">
      <c r="A838" s="7">
        <v>116</v>
      </c>
      <c r="B838" s="10" t="str">
        <f>VLOOKUP(A838,vaccines!A:B,2)</f>
        <v>Poliovaccine</v>
      </c>
      <c r="C838" s="7">
        <v>15</v>
      </c>
      <c r="D838" s="8" t="str">
        <f>VLOOKUP(C838,contraindications_list!A:B,2)</f>
        <v>сильная общая реакция на предыдущее введение вакцины</v>
      </c>
      <c r="E838" s="11">
        <v>45083</v>
      </c>
      <c r="F838" s="58"/>
    </row>
    <row r="839" spans="1:6">
      <c r="A839" s="7">
        <v>116</v>
      </c>
      <c r="B839" s="10" t="str">
        <f>VLOOKUP(A839,vaccines!A:B,2)</f>
        <v>Poliovaccine</v>
      </c>
      <c r="C839" s="7">
        <v>19</v>
      </c>
      <c r="D839" s="8" t="str">
        <f>VLOOKUP(C839,contraindications_list!A:B,2)</f>
        <v>осложнение на предыдущее введение вакцины</v>
      </c>
      <c r="E839" s="11">
        <v>45083</v>
      </c>
      <c r="F839" s="58"/>
    </row>
    <row r="840" spans="1:6">
      <c r="A840" s="7">
        <v>116</v>
      </c>
      <c r="B840" s="10" t="str">
        <f>VLOOKUP(A840,vaccines!A:B,2)</f>
        <v>Poliovaccine</v>
      </c>
      <c r="C840" s="7">
        <v>1</v>
      </c>
      <c r="D840" s="8" t="str">
        <f>VLOOKUP(C840,contraindications_list!A:B,2)</f>
        <v>гиперчувствительность к компонентам</v>
      </c>
      <c r="E840" s="11">
        <v>45083</v>
      </c>
      <c r="F840" s="58"/>
    </row>
    <row r="841" spans="1:6">
      <c r="A841" s="7">
        <v>116</v>
      </c>
      <c r="B841" s="10" t="str">
        <f>VLOOKUP(A841,vaccines!A:B,2)</f>
        <v>Poliovaccine</v>
      </c>
      <c r="C841" s="7">
        <v>5</v>
      </c>
      <c r="D841" s="8" t="str">
        <f>VLOOKUP(C841,contraindications_list!A:B,2)</f>
        <v>острое заболевание</v>
      </c>
      <c r="E841" s="11">
        <v>45083</v>
      </c>
      <c r="F841" s="58"/>
    </row>
    <row r="842" spans="1:6">
      <c r="A842" s="7">
        <v>116</v>
      </c>
      <c r="B842" s="10" t="str">
        <f>VLOOKUP(A842,vaccines!A:B,2)</f>
        <v>Poliovaccine</v>
      </c>
      <c r="C842" s="7">
        <v>6</v>
      </c>
      <c r="D842" s="8" t="str">
        <f>VLOOKUP(C842,contraindications_list!A:B,2)</f>
        <v>обострение хронического заболевания</v>
      </c>
      <c r="E842" s="11">
        <v>45083</v>
      </c>
      <c r="F842" s="58"/>
    </row>
    <row r="843" spans="1:6">
      <c r="A843" s="7">
        <v>116</v>
      </c>
      <c r="B843" s="10" t="str">
        <f>VLOOKUP(A843,vaccines!A:B,2)</f>
        <v>Poliovaccine</v>
      </c>
      <c r="C843" s="7">
        <v>70</v>
      </c>
      <c r="D843" s="8" t="str">
        <f>VLOOKUP(C843,contraindications_list!A:B,2)</f>
        <v>гипотрофия III степени</v>
      </c>
      <c r="E843" s="11">
        <v>45083</v>
      </c>
      <c r="F843" s="58"/>
    </row>
    <row r="844" spans="1:6">
      <c r="A844" s="7">
        <v>116</v>
      </c>
      <c r="B844" s="10" t="str">
        <f>VLOOKUP(A844,vaccines!A:B,2)</f>
        <v>Poliovaccine</v>
      </c>
      <c r="C844" s="7">
        <v>71</v>
      </c>
      <c r="D844" s="8" t="str">
        <f>VLOOKUP(C844,contraindications_list!A:B,2)</f>
        <v>предоперационный период</v>
      </c>
      <c r="E844" s="11">
        <v>45083</v>
      </c>
      <c r="F844" s="58"/>
    </row>
    <row r="845" spans="1:6">
      <c r="A845" s="7">
        <v>117</v>
      </c>
      <c r="B845" s="10" t="str">
        <f>VLOOKUP(A845,vaccines!A:B,2)</f>
        <v>Act_Hib</v>
      </c>
      <c r="C845" s="7">
        <v>1</v>
      </c>
      <c r="D845" s="8" t="str">
        <f>VLOOKUP(C845,contraindications_list!A:B,2)</f>
        <v>гиперчувствительность к компонентам</v>
      </c>
      <c r="E845" s="11">
        <v>45084</v>
      </c>
      <c r="F845" s="58"/>
    </row>
    <row r="846" spans="1:6">
      <c r="A846" s="7">
        <v>117</v>
      </c>
      <c r="B846" s="10" t="str">
        <f>VLOOKUP(A846,vaccines!A:B,2)</f>
        <v>Act_Hib</v>
      </c>
      <c r="C846" s="7">
        <v>72</v>
      </c>
      <c r="D846" s="8" t="str">
        <f>VLOOKUP(C846,contraindications_list!A:B,2)</f>
        <v>повышенная чувствительность к столбнячному анатоксину</v>
      </c>
      <c r="E846" s="11">
        <v>45084</v>
      </c>
      <c r="F846" s="58"/>
    </row>
    <row r="847" spans="1:6">
      <c r="A847" s="7">
        <v>117</v>
      </c>
      <c r="B847" s="10" t="str">
        <f>VLOOKUP(A847,vaccines!A:B,2)</f>
        <v>Act_Hib</v>
      </c>
      <c r="C847" s="7">
        <v>69</v>
      </c>
      <c r="D847" s="8" t="str">
        <f>VLOOKUP(C847,contraindications_list!A:B,2)</f>
        <v>аллергия на формальдегид</v>
      </c>
      <c r="E847" s="11">
        <v>45084</v>
      </c>
      <c r="F847" s="58"/>
    </row>
    <row r="848" spans="1:6">
      <c r="A848" s="7">
        <v>117</v>
      </c>
      <c r="B848" s="10" t="str">
        <f>VLOOKUP(A848,vaccines!A:B,2)</f>
        <v>Act_Hib</v>
      </c>
      <c r="C848" s="7">
        <v>5</v>
      </c>
      <c r="D848" s="8" t="str">
        <f>VLOOKUP(C848,contraindications_list!A:B,2)</f>
        <v>острое заболевание</v>
      </c>
      <c r="E848" s="11">
        <v>45084</v>
      </c>
      <c r="F848" s="58"/>
    </row>
    <row r="849" spans="1:6">
      <c r="A849" s="7">
        <v>117</v>
      </c>
      <c r="B849" s="10" t="str">
        <f>VLOOKUP(A849,vaccines!A:B,2)</f>
        <v>Act_Hib</v>
      </c>
      <c r="C849" s="7">
        <v>6</v>
      </c>
      <c r="D849" s="8" t="str">
        <f>VLOOKUP(C849,contraindications_list!A:B,2)</f>
        <v>обострение хронического заболевания</v>
      </c>
      <c r="E849" s="11">
        <v>45084</v>
      </c>
      <c r="F849" s="58"/>
    </row>
    <row r="850" spans="1:6">
      <c r="A850" s="7">
        <v>118</v>
      </c>
      <c r="B850" s="10" t="str">
        <f>VLOOKUP(A850,vaccines!A:B,2)</f>
        <v>Hiberix</v>
      </c>
      <c r="C850" s="7">
        <v>1</v>
      </c>
      <c r="D850" s="8" t="str">
        <f>VLOOKUP(C850,contraindications_list!A:B,2)</f>
        <v>гиперчувствительность к компонентам</v>
      </c>
      <c r="E850" s="11">
        <v>45085</v>
      </c>
      <c r="F850" s="58"/>
    </row>
    <row r="851" spans="1:6">
      <c r="A851" s="7">
        <v>118</v>
      </c>
      <c r="B851" s="10" t="str">
        <f>VLOOKUP(A851,vaccines!A:B,2)</f>
        <v>Hiberix</v>
      </c>
      <c r="C851" s="7">
        <v>5</v>
      </c>
      <c r="D851" s="8" t="str">
        <f>VLOOKUP(C851,contraindications_list!A:B,2)</f>
        <v>острое заболевание</v>
      </c>
      <c r="E851" s="11">
        <v>45085</v>
      </c>
      <c r="F851" s="58"/>
    </row>
    <row r="852" spans="1:6">
      <c r="A852" s="7">
        <v>118</v>
      </c>
      <c r="B852" s="10" t="str">
        <f>VLOOKUP(A852,vaccines!A:B,2)</f>
        <v>Hiberix</v>
      </c>
      <c r="C852" s="7">
        <v>6</v>
      </c>
      <c r="D852" s="8" t="str">
        <f>VLOOKUP(C852,contraindications_list!A:B,2)</f>
        <v>обострение хронического заболевания</v>
      </c>
      <c r="E852" s="11">
        <v>45085</v>
      </c>
      <c r="F852" s="58"/>
    </row>
    <row r="853" spans="1:6">
      <c r="A853" s="7">
        <v>119</v>
      </c>
      <c r="B853" s="10" t="str">
        <f>VLOOKUP(A853,vaccines!A:B,2)</f>
        <v>FSME_Immun_Junior</v>
      </c>
      <c r="C853" s="7">
        <v>1</v>
      </c>
      <c r="D853" s="8" t="str">
        <f>VLOOKUP(C853,contraindications_list!A:B,2)</f>
        <v>гиперчувствительность к компонентам</v>
      </c>
      <c r="E853" s="11">
        <v>45085</v>
      </c>
      <c r="F853" s="58"/>
    </row>
    <row r="854" spans="1:6">
      <c r="A854" s="7">
        <v>119</v>
      </c>
      <c r="B854" s="10" t="str">
        <f>VLOOKUP(A854,vaccines!A:B,2)</f>
        <v>FSME_Immun_Junior</v>
      </c>
      <c r="C854" s="7">
        <v>25</v>
      </c>
      <c r="D854" s="8" t="str">
        <f>VLOOKUP(C854,contraindications_list!A:B,2)</f>
        <v>аллергия на аминогликозиды</v>
      </c>
      <c r="E854" s="11">
        <v>45085</v>
      </c>
      <c r="F854" s="58"/>
    </row>
    <row r="855" spans="1:6">
      <c r="A855" s="7">
        <v>119</v>
      </c>
      <c r="B855" s="10" t="str">
        <f>VLOOKUP(A855,vaccines!A:B,2)</f>
        <v>FSME_Immun_Junior</v>
      </c>
      <c r="C855" s="7">
        <v>69</v>
      </c>
      <c r="D855" s="8" t="str">
        <f>VLOOKUP(C855,contraindications_list!A:B,2)</f>
        <v>аллергия на формальдегид</v>
      </c>
      <c r="E855" s="11">
        <v>45085</v>
      </c>
      <c r="F855" s="58"/>
    </row>
    <row r="856" spans="1:6">
      <c r="A856" s="7">
        <v>119</v>
      </c>
      <c r="B856" s="10" t="str">
        <f>VLOOKUP(A856,vaccines!A:B,2)</f>
        <v>FSME_Immun_Junior</v>
      </c>
      <c r="C856" s="7">
        <v>24</v>
      </c>
      <c r="D856" s="8" t="str">
        <f>VLOOKUP(C856,contraindications_list!A:B,2)</f>
        <v>аллергия на куриный белок</v>
      </c>
      <c r="E856" s="11">
        <v>45085</v>
      </c>
      <c r="F856" s="58"/>
    </row>
    <row r="857" spans="1:6">
      <c r="A857" s="7">
        <v>119</v>
      </c>
      <c r="B857" s="10" t="str">
        <f>VLOOKUP(A857,vaccines!A:B,2)</f>
        <v>FSME_Immun_Junior</v>
      </c>
      <c r="C857" s="7">
        <v>5</v>
      </c>
      <c r="D857" s="8" t="str">
        <f>VLOOKUP(C857,contraindications_list!A:B,2)</f>
        <v>острое заболевание</v>
      </c>
      <c r="E857" s="11">
        <v>45085</v>
      </c>
      <c r="F857" s="58"/>
    </row>
    <row r="858" spans="1:6">
      <c r="A858" s="7">
        <v>119</v>
      </c>
      <c r="B858" s="10" t="str">
        <f>VLOOKUP(A858,vaccines!A:B,2)</f>
        <v>FSME_Immun_Junior</v>
      </c>
      <c r="C858" s="7">
        <v>6</v>
      </c>
      <c r="D858" s="8" t="str">
        <f>VLOOKUP(C858,contraindications_list!A:B,2)</f>
        <v>обострение хронического заболевания</v>
      </c>
      <c r="E858" s="11">
        <v>45085</v>
      </c>
      <c r="F858" s="58"/>
    </row>
    <row r="859" spans="1:6">
      <c r="A859" s="7">
        <v>120</v>
      </c>
      <c r="B859" s="10" t="str">
        <f>VLOOKUP(A859,vaccines!A:B,2)</f>
        <v>FSME_Immun</v>
      </c>
      <c r="C859" s="7">
        <v>1</v>
      </c>
      <c r="D859" s="8" t="str">
        <f>VLOOKUP(C859,contraindications_list!A:B,2)</f>
        <v>гиперчувствительность к компонентам</v>
      </c>
      <c r="E859" s="11">
        <v>45085</v>
      </c>
      <c r="F859" s="58"/>
    </row>
    <row r="860" spans="1:6">
      <c r="A860" s="7">
        <v>120</v>
      </c>
      <c r="B860" s="10" t="str">
        <f>VLOOKUP(A860,vaccines!A:B,2)</f>
        <v>FSME_Immun</v>
      </c>
      <c r="C860" s="7">
        <v>25</v>
      </c>
      <c r="D860" s="8" t="str">
        <f>VLOOKUP(C860,contraindications_list!A:B,2)</f>
        <v>аллергия на аминогликозиды</v>
      </c>
      <c r="E860" s="11">
        <v>45085</v>
      </c>
      <c r="F860" s="58"/>
    </row>
    <row r="861" spans="1:6">
      <c r="A861" s="7">
        <v>120</v>
      </c>
      <c r="B861" s="10" t="str">
        <f>VLOOKUP(A861,vaccines!A:B,2)</f>
        <v>FSME_Immun</v>
      </c>
      <c r="C861" s="7">
        <v>69</v>
      </c>
      <c r="D861" s="8" t="str">
        <f>VLOOKUP(C861,contraindications_list!A:B,2)</f>
        <v>аллергия на формальдегид</v>
      </c>
      <c r="E861" s="11">
        <v>45085</v>
      </c>
      <c r="F861" s="58"/>
    </row>
    <row r="862" spans="1:6">
      <c r="A862" s="7">
        <v>120</v>
      </c>
      <c r="B862" s="10" t="str">
        <f>VLOOKUP(A862,vaccines!A:B,2)</f>
        <v>FSME_Immun</v>
      </c>
      <c r="C862" s="7">
        <v>24</v>
      </c>
      <c r="D862" s="8" t="str">
        <f>VLOOKUP(C862,contraindications_list!A:B,2)</f>
        <v>аллергия на куриный белок</v>
      </c>
      <c r="E862" s="11">
        <v>45085</v>
      </c>
      <c r="F862" s="58"/>
    </row>
    <row r="863" spans="1:6">
      <c r="A863" s="7">
        <v>120</v>
      </c>
      <c r="B863" s="10" t="str">
        <f>VLOOKUP(A863,vaccines!A:B,2)</f>
        <v>FSME_Immun</v>
      </c>
      <c r="C863" s="7">
        <v>5</v>
      </c>
      <c r="D863" s="8" t="str">
        <f>VLOOKUP(C863,contraindications_list!A:B,2)</f>
        <v>острое заболевание</v>
      </c>
      <c r="E863" s="11">
        <v>45085</v>
      </c>
      <c r="F863" s="58"/>
    </row>
    <row r="864" spans="1:6">
      <c r="A864" s="7">
        <v>120</v>
      </c>
      <c r="B864" s="10" t="str">
        <f>VLOOKUP(A864,vaccines!A:B,2)</f>
        <v>FSME_Immun</v>
      </c>
      <c r="C864" s="7">
        <v>6</v>
      </c>
      <c r="D864" s="8" t="str">
        <f>VLOOKUP(C864,contraindications_list!A:B,2)</f>
        <v>обострение хронического заболевания</v>
      </c>
      <c r="E864" s="11">
        <v>45085</v>
      </c>
      <c r="F864" s="58"/>
    </row>
    <row r="865" spans="1:6">
      <c r="A865" s="7">
        <v>121</v>
      </c>
      <c r="B865" s="10" t="str">
        <f>VLOOKUP(A865,vaccines!A:B,2)</f>
        <v>SciBiVac</v>
      </c>
      <c r="C865" s="7">
        <v>1</v>
      </c>
      <c r="D865" s="8" t="str">
        <f>VLOOKUP(C865,contraindications_list!A:B,2)</f>
        <v>гиперчувствительность к компонентам</v>
      </c>
      <c r="E865" s="11">
        <v>45085</v>
      </c>
      <c r="F865" s="58"/>
    </row>
    <row r="866" spans="1:6">
      <c r="A866" s="7">
        <v>121</v>
      </c>
      <c r="B866" s="10" t="str">
        <f>VLOOKUP(A866,vaccines!A:B,2)</f>
        <v>SciBiVac</v>
      </c>
      <c r="C866" s="7">
        <v>5</v>
      </c>
      <c r="D866" s="8" t="str">
        <f>VLOOKUP(C866,contraindications_list!A:B,2)</f>
        <v>острое заболевание</v>
      </c>
      <c r="E866" s="11">
        <v>45085</v>
      </c>
      <c r="F866" s="58"/>
    </row>
    <row r="867" spans="1:6">
      <c r="A867" s="7">
        <v>121</v>
      </c>
      <c r="B867" s="10" t="str">
        <f>VLOOKUP(A867,vaccines!A:B,2)</f>
        <v>SciBiVac</v>
      </c>
      <c r="C867" s="7">
        <v>6</v>
      </c>
      <c r="D867" s="8" t="str">
        <f>VLOOKUP(C867,contraindications_list!A:B,2)</f>
        <v>обострение хронического заболевания</v>
      </c>
      <c r="E867" s="11">
        <v>45085</v>
      </c>
      <c r="F867" s="58"/>
    </row>
    <row r="868" spans="1:6">
      <c r="A868" s="7">
        <v>122</v>
      </c>
      <c r="B868" s="10" t="str">
        <f>VLOOKUP(A868,vaccines!A:B,2)</f>
        <v>Pentavaccina</v>
      </c>
      <c r="C868" s="7">
        <v>1</v>
      </c>
      <c r="D868" s="8" t="str">
        <f>VLOOKUP(C868,contraindications_list!A:B,2)</f>
        <v>гиперчувствительность к компонентам</v>
      </c>
      <c r="E868" s="11">
        <v>45105</v>
      </c>
      <c r="F868" s="58"/>
    </row>
    <row r="869" spans="1:6">
      <c r="A869" s="7">
        <v>122</v>
      </c>
      <c r="B869" s="10" t="str">
        <f>VLOOKUP(A869,vaccines!A:B,2)</f>
        <v>Pentavaccina</v>
      </c>
      <c r="C869" s="7">
        <v>16</v>
      </c>
      <c r="D869" s="8" t="str">
        <f>VLOOKUP(C869,contraindications_list!A:B,2)</f>
        <v>аллергия на дрожжи</v>
      </c>
      <c r="E869" s="11">
        <v>45105</v>
      </c>
      <c r="F869" s="58"/>
    </row>
    <row r="870" spans="1:6">
      <c r="A870" s="7">
        <v>122</v>
      </c>
      <c r="B870" s="10" t="str">
        <f>VLOOKUP(A870,vaccines!A:B,2)</f>
        <v>Pentavaccina</v>
      </c>
      <c r="C870" s="7">
        <v>13</v>
      </c>
      <c r="D870" s="8" t="str">
        <f>VLOOKUP(C870,contraindications_list!A:B,2)</f>
        <v>прогрессирующее неврологическое заболевание</v>
      </c>
      <c r="E870" s="11">
        <v>45105</v>
      </c>
      <c r="F870" s="58"/>
    </row>
    <row r="871" spans="1:6">
      <c r="A871" s="7">
        <v>122</v>
      </c>
      <c r="B871" s="10" t="str">
        <f>VLOOKUP(A871,vaccines!A:B,2)</f>
        <v>Pentavaccina</v>
      </c>
      <c r="C871" s="7">
        <v>12</v>
      </c>
      <c r="D871" s="8" t="str">
        <f>VLOOKUP(C871,contraindications_list!A:B,2)</f>
        <v>энцефалопатия после вакцинации</v>
      </c>
      <c r="E871" s="11">
        <v>45105</v>
      </c>
      <c r="F871" s="58"/>
    </row>
    <row r="872" spans="1:6">
      <c r="A872" s="7">
        <v>122</v>
      </c>
      <c r="B872" s="10" t="str">
        <f>VLOOKUP(A872,vaccines!A:B,2)</f>
        <v>Pentavaccina</v>
      </c>
      <c r="C872" s="7">
        <v>15</v>
      </c>
      <c r="D872" s="8" t="str">
        <f>VLOOKUP(C872,contraindications_list!A:B,2)</f>
        <v>сильная общая реакция на предыдущее введение вакцины</v>
      </c>
      <c r="E872" s="11">
        <v>45105</v>
      </c>
      <c r="F872" s="58"/>
    </row>
    <row r="873" spans="1:6">
      <c r="A873" s="7">
        <v>122</v>
      </c>
      <c r="B873" s="10" t="str">
        <f>VLOOKUP(A873,vaccines!A:B,2)</f>
        <v>Pentavaccina</v>
      </c>
      <c r="C873" s="7">
        <v>19</v>
      </c>
      <c r="D873" s="8" t="str">
        <f>VLOOKUP(C873,contraindications_list!A:B,2)</f>
        <v>осложнение на предыдущее введение вакцины</v>
      </c>
      <c r="E873" s="11">
        <v>45105</v>
      </c>
      <c r="F873" s="58"/>
    </row>
    <row r="874" spans="1:6">
      <c r="A874" s="7">
        <v>122</v>
      </c>
      <c r="B874" s="10" t="str">
        <f>VLOOKUP(A874,vaccines!A:B,2)</f>
        <v>Pentavaccina</v>
      </c>
      <c r="C874" s="7">
        <v>5</v>
      </c>
      <c r="D874" s="8" t="str">
        <f>VLOOKUP(C874,contraindications_list!A:B,2)</f>
        <v>острое заболевание</v>
      </c>
      <c r="E874" s="11">
        <v>45105</v>
      </c>
      <c r="F874" s="58"/>
    </row>
    <row r="875" spans="1:6">
      <c r="A875" s="7">
        <v>122</v>
      </c>
      <c r="B875" s="10" t="str">
        <f>VLOOKUP(A875,vaccines!A:B,2)</f>
        <v>Pentavaccina</v>
      </c>
      <c r="C875" s="7">
        <v>6</v>
      </c>
      <c r="D875" s="8" t="str">
        <f>VLOOKUP(C875,contraindications_list!A:B,2)</f>
        <v>обострение хронического заболевания</v>
      </c>
      <c r="E875" s="11">
        <v>45105</v>
      </c>
      <c r="F875" s="58"/>
    </row>
    <row r="876" spans="1:6">
      <c r="A876" s="29">
        <v>123</v>
      </c>
      <c r="B876" s="10" t="str">
        <f>VLOOKUP(A876,vaccines!A:B,2)</f>
        <v>Vitagerpavac</v>
      </c>
      <c r="C876" s="29">
        <v>5</v>
      </c>
      <c r="D876" s="8" t="str">
        <f>VLOOKUP(C876,contraindications_list!A:B,2)</f>
        <v>острое заболевание</v>
      </c>
      <c r="E876" s="40">
        <v>45169</v>
      </c>
    </row>
    <row r="877" spans="1:6">
      <c r="A877" s="29">
        <v>123</v>
      </c>
      <c r="B877" s="10" t="str">
        <f>VLOOKUP(A877,vaccines!A:B,2)</f>
        <v>Vitagerpavac</v>
      </c>
      <c r="C877" s="29">
        <v>6</v>
      </c>
      <c r="D877" s="8" t="str">
        <f>VLOOKUP(C877,contraindications_list!A:B,2)</f>
        <v>обострение хронического заболевания</v>
      </c>
      <c r="E877" s="40">
        <v>45169</v>
      </c>
    </row>
    <row r="878" spans="1:6">
      <c r="A878" s="29">
        <v>123</v>
      </c>
      <c r="B878" s="10" t="str">
        <f>VLOOKUP(A878,vaccines!A:B,2)</f>
        <v>Vitagerpavac</v>
      </c>
      <c r="C878" s="29">
        <v>8</v>
      </c>
      <c r="D878" s="8" t="str">
        <f>VLOOKUP(C878,contraindications_list!A:B,2)</f>
        <v>злокачественное новообразование</v>
      </c>
      <c r="E878" s="40">
        <v>45169</v>
      </c>
    </row>
    <row r="879" spans="1:6">
      <c r="A879" s="29">
        <v>123</v>
      </c>
      <c r="B879" s="10" t="str">
        <f>VLOOKUP(A879,vaccines!A:B,2)</f>
        <v>Vitagerpavac</v>
      </c>
      <c r="C879" s="29">
        <v>22</v>
      </c>
      <c r="D879" s="8" t="str">
        <f>VLOOKUP(C879,contraindications_list!A:B,2)</f>
        <v>беременность</v>
      </c>
      <c r="E879" s="40">
        <v>45169</v>
      </c>
    </row>
    <row r="880" spans="1:6">
      <c r="A880" s="29">
        <v>123</v>
      </c>
      <c r="B880" s="10" t="str">
        <f>VLOOKUP(A880,vaccines!A:B,2)</f>
        <v>Vitagerpavac</v>
      </c>
      <c r="C880" s="29">
        <v>25</v>
      </c>
      <c r="D880" s="8" t="str">
        <f>VLOOKUP(C880,contraindications_list!A:B,2)</f>
        <v>аллергия на аминогликозиды</v>
      </c>
      <c r="E880" s="40">
        <v>45169</v>
      </c>
    </row>
    <row r="881" spans="1:6">
      <c r="A881" s="29">
        <v>124</v>
      </c>
      <c r="B881" s="10" t="str">
        <f>VLOOKUP(A881,vaccines!A:B,2)</f>
        <v>Shingrix</v>
      </c>
      <c r="C881" s="29">
        <v>1</v>
      </c>
      <c r="D881" s="8" t="str">
        <f>VLOOKUP(C881,contraindications_list!A:B,2)</f>
        <v>гиперчувствительность к компонентам</v>
      </c>
      <c r="E881" s="40">
        <v>45377</v>
      </c>
    </row>
    <row r="882" spans="1:6">
      <c r="A882" s="29">
        <v>125</v>
      </c>
      <c r="B882" s="10" t="str">
        <f>VLOOKUP(A882,vaccines!A:B,2)</f>
        <v>Trivaid</v>
      </c>
      <c r="C882" s="29">
        <v>1</v>
      </c>
      <c r="D882" s="8" t="str">
        <f>VLOOKUP(C882,contraindications_list!A:B,2)</f>
        <v>гиперчувствительность к компонентам</v>
      </c>
      <c r="E882" s="40">
        <v>45436</v>
      </c>
    </row>
    <row r="883" spans="1:6">
      <c r="A883" s="29">
        <v>125</v>
      </c>
      <c r="B883" s="10" t="str">
        <f>VLOOKUP(A883,vaccines!A:B,2)</f>
        <v>Trivaid</v>
      </c>
      <c r="C883" s="29">
        <v>22</v>
      </c>
      <c r="D883" s="8" t="str">
        <f>VLOOKUP(C883,contraindications_list!A:B,2)</f>
        <v>беременность</v>
      </c>
      <c r="E883" s="40">
        <v>45436</v>
      </c>
    </row>
    <row r="884" spans="1:6">
      <c r="A884" s="29">
        <v>125</v>
      </c>
      <c r="B884" s="10" t="str">
        <f>VLOOKUP(A884,vaccines!A:B,2)</f>
        <v>Trivaid</v>
      </c>
      <c r="C884" s="29">
        <v>5</v>
      </c>
      <c r="D884" s="8" t="str">
        <f>VLOOKUP(C884,contraindications_list!A:B,2)</f>
        <v>острое заболевание</v>
      </c>
      <c r="E884" s="40">
        <v>45436</v>
      </c>
    </row>
    <row r="885" spans="1:6">
      <c r="A885" s="29">
        <v>125</v>
      </c>
      <c r="B885" s="10" t="str">
        <f>VLOOKUP(A885,vaccines!A:B,2)</f>
        <v>Trivaid</v>
      </c>
      <c r="C885" s="29">
        <v>19</v>
      </c>
      <c r="D885" s="8" t="str">
        <f>VLOOKUP(C885,contraindications_list!A:B,2)</f>
        <v>осложнение на предыдущее введение вакцины</v>
      </c>
      <c r="E885" s="40">
        <v>45436</v>
      </c>
    </row>
    <row r="886" spans="1:6">
      <c r="A886" s="29">
        <v>125</v>
      </c>
      <c r="B886" s="10" t="str">
        <f>VLOOKUP(A886,vaccines!A:B,2)</f>
        <v>Trivaid</v>
      </c>
      <c r="C886" s="29">
        <v>15</v>
      </c>
      <c r="D886" s="8" t="str">
        <f>VLOOKUP(C886,contraindications_list!A:B,2)</f>
        <v>сильная общая реакция на предыдущее введение вакцины</v>
      </c>
      <c r="E886" s="40">
        <v>45436</v>
      </c>
    </row>
    <row r="887" spans="1:6">
      <c r="A887" s="29">
        <v>125</v>
      </c>
      <c r="B887" s="10" t="str">
        <f>VLOOKUP(A887,vaccines!A:B,2)</f>
        <v>Trivaid</v>
      </c>
      <c r="C887" s="29">
        <v>74</v>
      </c>
      <c r="D887" s="8" t="str">
        <f>VLOOKUP(C887,contraindications_list!A:B,2)</f>
        <v>злокачественное заболевание крови</v>
      </c>
      <c r="E887" s="40">
        <v>46053</v>
      </c>
    </row>
    <row r="888" spans="1:6">
      <c r="A888" s="29">
        <v>125</v>
      </c>
      <c r="B888" s="10" t="str">
        <f>VLOOKUP(A888,vaccines!A:B,2)</f>
        <v>Trivaid</v>
      </c>
      <c r="C888" s="29">
        <v>29</v>
      </c>
      <c r="D888" s="8" t="str">
        <f>VLOOKUP(C888,contraindications_list!A:B,2)</f>
        <v>лучевая терапия</v>
      </c>
      <c r="E888" s="40">
        <v>45436</v>
      </c>
      <c r="F888" s="40">
        <v>46053</v>
      </c>
    </row>
    <row r="889" spans="1:6">
      <c r="A889" s="29">
        <v>125</v>
      </c>
      <c r="B889" s="10" t="str">
        <f>VLOOKUP(A889,vaccines!A:B,2)</f>
        <v>Trivaid</v>
      </c>
      <c r="C889" s="29">
        <v>27</v>
      </c>
      <c r="D889" s="8" t="str">
        <f>VLOOKUP(C889,contraindications_list!A:B,2)</f>
        <v>тяжелое заболевание сердца</v>
      </c>
      <c r="E889" s="40">
        <v>45436</v>
      </c>
    </row>
    <row r="890" spans="1:6">
      <c r="A890" s="29">
        <v>125</v>
      </c>
      <c r="B890" s="10" t="str">
        <f>VLOOKUP(A890,vaccines!A:B,2)</f>
        <v>Trivaid</v>
      </c>
      <c r="C890" s="29">
        <v>26</v>
      </c>
      <c r="D890" s="8" t="str">
        <f>VLOOKUP(C890,contraindications_list!A:B,2)</f>
        <v>тяжелое нарушение функции почек</v>
      </c>
      <c r="E890" s="40">
        <v>45436</v>
      </c>
    </row>
    <row r="891" spans="1:6">
      <c r="A891" s="29">
        <v>125</v>
      </c>
      <c r="B891" s="10" t="str">
        <f>VLOOKUP(A891,vaccines!A:B,2)</f>
        <v>Trivaid</v>
      </c>
      <c r="C891" s="29">
        <v>65</v>
      </c>
      <c r="D891" s="8" t="str">
        <f>VLOOKUP(C891,contraindications_list!A:B,2)</f>
        <v>введение иммуноглобулина</v>
      </c>
      <c r="E891" s="40">
        <v>45436</v>
      </c>
    </row>
    <row r="892" spans="1:6">
      <c r="A892" s="29">
        <v>125</v>
      </c>
      <c r="B892" s="10" t="str">
        <f>VLOOKUP(A892,vaccines!A:B,2)</f>
        <v>Trivaid</v>
      </c>
      <c r="C892" s="29">
        <v>64</v>
      </c>
      <c r="D892" s="8" t="str">
        <f>VLOOKUP(C892,contraindications_list!A:B,2)</f>
        <v>переливание крови или плазмы</v>
      </c>
      <c r="E892" s="40">
        <v>45436</v>
      </c>
    </row>
    <row r="893" spans="1:6">
      <c r="A893" s="29">
        <v>125</v>
      </c>
      <c r="B893" s="10" t="str">
        <f>VLOOKUP(A893,vaccines!A:B,2)</f>
        <v>Trivaid</v>
      </c>
      <c r="C893" s="29">
        <v>7</v>
      </c>
      <c r="D893" s="8" t="str">
        <f>VLOOKUP(C893,contraindications_list!A:B,2)</f>
        <v>иммунодефицит</v>
      </c>
      <c r="E893" s="40">
        <v>45436</v>
      </c>
    </row>
    <row r="894" spans="1:6">
      <c r="A894" s="29">
        <v>125</v>
      </c>
      <c r="B894" s="10" t="str">
        <f>VLOOKUP(A894,vaccines!A:B,2)</f>
        <v>Trivaid</v>
      </c>
      <c r="C894" s="29">
        <v>28</v>
      </c>
      <c r="D894" s="8" t="str">
        <f>VLOOKUP(C894,contraindications_list!A:B,2)</f>
        <v>иммуносупрессивная терапия</v>
      </c>
      <c r="E894" s="40">
        <v>45437</v>
      </c>
      <c r="F894" s="40">
        <v>46053</v>
      </c>
    </row>
    <row r="895" spans="1:6">
      <c r="A895" s="29">
        <v>125</v>
      </c>
      <c r="B895" s="10" t="str">
        <f>VLOOKUP(A895,vaccines!A:B,2)</f>
        <v>Trivaid</v>
      </c>
      <c r="C895" s="29">
        <v>25</v>
      </c>
      <c r="D895" s="8" t="str">
        <f>VLOOKUP(C895,contraindications_list!A:B,2)</f>
        <v>аллергия на аминогликозиды</v>
      </c>
      <c r="E895" s="40">
        <v>45438</v>
      </c>
      <c r="F895" s="40">
        <v>45716</v>
      </c>
    </row>
    <row r="896" spans="1:6">
      <c r="A896" s="29">
        <v>125</v>
      </c>
      <c r="B896" s="10" t="str">
        <f>VLOOKUP(A896,vaccines!A:B,2)</f>
        <v>Trivaid</v>
      </c>
      <c r="C896" s="29">
        <v>24</v>
      </c>
      <c r="D896" s="8" t="str">
        <f>VLOOKUP(C896,contraindications_list!A:B,2)</f>
        <v>аллергия на куриный белок</v>
      </c>
      <c r="E896" s="40">
        <v>45436</v>
      </c>
      <c r="F896" s="40">
        <v>45716</v>
      </c>
    </row>
    <row r="897" spans="1:6">
      <c r="A897" s="29">
        <v>126</v>
      </c>
      <c r="B897" s="10" t="str">
        <f>VLOOKUP(A897,vaccines!A:B,2)</f>
        <v>BabyHib</v>
      </c>
      <c r="C897" s="29">
        <v>1</v>
      </c>
      <c r="D897" s="8" t="str">
        <f>VLOOKUP(C897,contraindications_list!A:B,2)</f>
        <v>гиперчувствительность к компонентам</v>
      </c>
      <c r="E897" s="40">
        <v>45436</v>
      </c>
    </row>
    <row r="898" spans="1:6">
      <c r="A898" s="29">
        <v>126</v>
      </c>
      <c r="B898" s="10" t="str">
        <f>VLOOKUP(A898,vaccines!A:B,2)</f>
        <v>BabyHib</v>
      </c>
      <c r="C898" s="29">
        <v>5</v>
      </c>
      <c r="D898" s="8" t="str">
        <f>VLOOKUP(C898,contraindications_list!A:B,2)</f>
        <v>острое заболевание</v>
      </c>
      <c r="E898" s="40">
        <v>45436</v>
      </c>
    </row>
    <row r="899" spans="1:6">
      <c r="A899" s="29">
        <v>126</v>
      </c>
      <c r="B899" s="10" t="str">
        <f>VLOOKUP(A899,vaccines!A:B,2)</f>
        <v>BabyHib</v>
      </c>
      <c r="C899" s="29">
        <v>15</v>
      </c>
      <c r="D899" s="8" t="str">
        <f>VLOOKUP(C899,contraindications_list!A:B,2)</f>
        <v>сильная общая реакция на предыдущее введение вакцины</v>
      </c>
      <c r="E899" s="40">
        <v>45436</v>
      </c>
      <c r="F899" s="76">
        <v>45988</v>
      </c>
    </row>
    <row r="900" spans="1:6">
      <c r="A900" s="29">
        <v>126</v>
      </c>
      <c r="B900" s="10" t="str">
        <f>VLOOKUP(A900,vaccines!A:B,2)</f>
        <v>BabyHib</v>
      </c>
      <c r="C900" s="29">
        <v>72</v>
      </c>
      <c r="D900" s="8" t="str">
        <f>VLOOKUP(C900,contraindications_list!A:B,2)</f>
        <v>повышенная чувствительность к столбнячному анатоксину</v>
      </c>
      <c r="E900" s="76">
        <v>45988</v>
      </c>
    </row>
    <row r="901" spans="1:6">
      <c r="A901" s="29">
        <v>126</v>
      </c>
      <c r="B901" s="10" t="str">
        <f>VLOOKUP(A901,vaccines!A:B,2)</f>
        <v>BabyHib</v>
      </c>
      <c r="C901" s="29">
        <v>21</v>
      </c>
      <c r="D901" s="8" t="str">
        <f>VLOOKUP(C901,contraindications_list!A:B,2)</f>
        <v>тяжелые аллергические реакции</v>
      </c>
      <c r="E901" s="76">
        <v>45988</v>
      </c>
    </row>
    <row r="902" spans="1:6">
      <c r="A902" s="29">
        <v>127</v>
      </c>
      <c r="B902" s="10" t="str">
        <f>VLOOKUP(A902,vaccines!A:B,2)</f>
        <v>AD_M_Biomed</v>
      </c>
      <c r="C902" s="29">
        <v>15</v>
      </c>
      <c r="D902" s="8" t="str">
        <f>VLOOKUP(C902,contraindications_list!A:B,2)</f>
        <v>сильная общая реакция на предыдущее введение вакцины</v>
      </c>
      <c r="E902" s="12">
        <v>45461</v>
      </c>
    </row>
    <row r="903" spans="1:6">
      <c r="A903" s="29">
        <v>127</v>
      </c>
      <c r="B903" s="10" t="str">
        <f>VLOOKUP(A903,vaccines!A:B,2)</f>
        <v>AD_M_Biomed</v>
      </c>
      <c r="C903" s="29">
        <v>19</v>
      </c>
      <c r="D903" s="8" t="str">
        <f>VLOOKUP(C903,contraindications_list!A:B,2)</f>
        <v>осложнение на предыдущее введение вакцины</v>
      </c>
      <c r="E903" s="12">
        <v>45461</v>
      </c>
    </row>
    <row r="904" spans="1:6">
      <c r="A904" s="29">
        <v>127</v>
      </c>
      <c r="B904" s="10" t="str">
        <f>VLOOKUP(A904,vaccines!A:B,2)</f>
        <v>AD_M_Biomed</v>
      </c>
      <c r="C904" s="29">
        <v>22</v>
      </c>
      <c r="D904" s="8" t="str">
        <f>VLOOKUP(C904,contraindications_list!A:B,2)</f>
        <v>беременность</v>
      </c>
      <c r="E904" s="12">
        <v>45461</v>
      </c>
    </row>
    <row r="905" spans="1:6">
      <c r="A905" s="29">
        <v>127</v>
      </c>
      <c r="B905" s="10" t="str">
        <f>VLOOKUP(A905,vaccines!A:B,2)</f>
        <v>AD_M_Biomed</v>
      </c>
      <c r="C905" s="29">
        <v>23</v>
      </c>
      <c r="D905" s="8" t="str">
        <f>VLOOKUP(C905,contraindications_list!A:B,2)</f>
        <v>грудное вскармливание</v>
      </c>
      <c r="E905" s="12">
        <v>45461</v>
      </c>
    </row>
    <row r="906" spans="1:6">
      <c r="A906" s="29">
        <v>127</v>
      </c>
      <c r="B906" s="10" t="str">
        <f>VLOOKUP(A906,vaccines!A:B,2)</f>
        <v>AD_M_Biomed</v>
      </c>
      <c r="C906" s="29">
        <v>5</v>
      </c>
      <c r="D906" s="8" t="str">
        <f>VLOOKUP(C906,contraindications_list!A:B,2)</f>
        <v>острое заболевание</v>
      </c>
      <c r="E906" s="12">
        <v>45461</v>
      </c>
    </row>
    <row r="907" spans="1:6">
      <c r="A907" s="29">
        <v>127</v>
      </c>
      <c r="B907" s="10" t="str">
        <f>VLOOKUP(A907,vaccines!A:B,2)</f>
        <v>AD_M_Biomed</v>
      </c>
      <c r="C907" s="29">
        <v>6</v>
      </c>
      <c r="D907" s="8" t="str">
        <f>VLOOKUP(C907,contraindications_list!A:B,2)</f>
        <v>обострение хронического заболевания</v>
      </c>
      <c r="E907" s="12">
        <v>45461</v>
      </c>
    </row>
    <row r="908" spans="1:6">
      <c r="A908" s="29">
        <v>127</v>
      </c>
      <c r="B908" s="10" t="str">
        <f>VLOOKUP(A908,vaccines!A:B,2)</f>
        <v>AD_M_Biomed</v>
      </c>
      <c r="C908" s="29">
        <v>13</v>
      </c>
      <c r="D908" s="8" t="str">
        <f>VLOOKUP(C908,contraindications_list!A:B,2)</f>
        <v>прогрессирующее неврологическое заболевание</v>
      </c>
      <c r="E908" s="12">
        <v>45461</v>
      </c>
    </row>
    <row r="909" spans="1:6">
      <c r="A909" s="29">
        <v>128</v>
      </c>
      <c r="B909" s="10" t="str">
        <f>VLOOKUP(A909,vaccines!A:B,2)</f>
        <v>AS_D_Microgen</v>
      </c>
      <c r="C909" s="29">
        <v>1</v>
      </c>
      <c r="D909" s="8" t="str">
        <f>VLOOKUP(C909,contraindications_list!A:B,2)</f>
        <v>гиперчувствительность к компонентам</v>
      </c>
      <c r="E909" s="12">
        <v>45461</v>
      </c>
    </row>
    <row r="910" spans="1:6">
      <c r="A910" s="29">
        <v>128</v>
      </c>
      <c r="B910" s="10" t="str">
        <f>VLOOKUP(A910,vaccines!A:B,2)</f>
        <v>AS_D_Microgen</v>
      </c>
      <c r="C910" s="29">
        <v>15</v>
      </c>
      <c r="D910" s="8" t="str">
        <f>VLOOKUP(C910,contraindications_list!A:B,2)</f>
        <v>сильная общая реакция на предыдущее введение вакцины</v>
      </c>
      <c r="E910" s="12">
        <v>45461</v>
      </c>
    </row>
    <row r="911" spans="1:6">
      <c r="A911" s="29">
        <v>128</v>
      </c>
      <c r="B911" s="10" t="str">
        <f>VLOOKUP(A911,vaccines!A:B,2)</f>
        <v>AS_D_Microgen</v>
      </c>
      <c r="C911" s="29">
        <v>19</v>
      </c>
      <c r="D911" s="8" t="str">
        <f>VLOOKUP(C911,contraindications_list!A:B,2)</f>
        <v>осложнение на предыдущее введение вакцины</v>
      </c>
      <c r="E911" s="12">
        <v>45461</v>
      </c>
    </row>
    <row r="912" spans="1:6">
      <c r="A912" s="29">
        <v>128</v>
      </c>
      <c r="B912" s="10" t="str">
        <f>VLOOKUP(A912,vaccines!A:B,2)</f>
        <v>AS_D_Microgen</v>
      </c>
      <c r="C912" s="29">
        <v>22</v>
      </c>
      <c r="D912" s="8" t="str">
        <f>VLOOKUP(C912,contraindications_list!A:B,2)</f>
        <v>беременность</v>
      </c>
      <c r="E912" s="12">
        <v>45461</v>
      </c>
    </row>
    <row r="913" spans="1:5">
      <c r="A913" s="29">
        <v>128</v>
      </c>
      <c r="B913" s="10" t="str">
        <f>VLOOKUP(A913,vaccines!A:B,2)</f>
        <v>AS_D_Microgen</v>
      </c>
      <c r="C913" s="29">
        <v>23</v>
      </c>
      <c r="D913" s="8" t="str">
        <f>VLOOKUP(C913,contraindications_list!A:B,2)</f>
        <v>грудное вскармливание</v>
      </c>
      <c r="E913" s="12">
        <v>45461</v>
      </c>
    </row>
    <row r="914" spans="1:5">
      <c r="A914" s="29">
        <v>128</v>
      </c>
      <c r="B914" s="10" t="str">
        <f>VLOOKUP(A914,vaccines!A:B,2)</f>
        <v>AS_D_Microgen</v>
      </c>
      <c r="C914" s="29">
        <v>5</v>
      </c>
      <c r="D914" s="8" t="str">
        <f>VLOOKUP(C914,contraindications_list!A:B,2)</f>
        <v>острое заболевание</v>
      </c>
      <c r="E914" s="12">
        <v>45461</v>
      </c>
    </row>
    <row r="915" spans="1:5">
      <c r="A915" s="29">
        <v>129</v>
      </c>
      <c r="B915" s="10" t="str">
        <f>VLOOKUP(A915,vaccines!A:B,2)</f>
        <v>Variola</v>
      </c>
      <c r="C915" s="29">
        <v>1</v>
      </c>
      <c r="D915" s="8" t="str">
        <f>VLOOKUP(C915,contraindications_list!A:B,2)</f>
        <v>гиперчувствительность к компонентам</v>
      </c>
      <c r="E915" s="12">
        <v>45461</v>
      </c>
    </row>
    <row r="916" spans="1:5">
      <c r="A916" s="29">
        <v>129</v>
      </c>
      <c r="B916" s="10" t="str">
        <f>VLOOKUP(A916,vaccines!A:B,2)</f>
        <v>Variola</v>
      </c>
      <c r="C916" s="29">
        <v>5</v>
      </c>
      <c r="D916" s="8" t="str">
        <f>VLOOKUP(C916,contraindications_list!A:B,2)</f>
        <v>острое заболевание</v>
      </c>
      <c r="E916" s="12">
        <v>45461</v>
      </c>
    </row>
    <row r="917" spans="1:5">
      <c r="A917" s="29">
        <v>129</v>
      </c>
      <c r="B917" s="10" t="str">
        <f>VLOOKUP(A917,vaccines!A:B,2)</f>
        <v>Variola</v>
      </c>
      <c r="C917" s="29">
        <v>6</v>
      </c>
      <c r="D917" s="8" t="str">
        <f>VLOOKUP(C917,contraindications_list!A:B,2)</f>
        <v>обострение хронического заболевания</v>
      </c>
      <c r="E917" s="12">
        <v>45461</v>
      </c>
    </row>
    <row r="918" spans="1:5">
      <c r="A918" s="29">
        <v>129</v>
      </c>
      <c r="B918" s="10" t="str">
        <f>VLOOKUP(A918,vaccines!A:B,2)</f>
        <v>Variola</v>
      </c>
      <c r="C918" s="29">
        <v>7</v>
      </c>
      <c r="D918" s="8" t="str">
        <f>VLOOKUP(C918,contraindications_list!A:B,2)</f>
        <v>иммунодефицит</v>
      </c>
      <c r="E918" s="12">
        <v>45461</v>
      </c>
    </row>
    <row r="919" spans="1:5">
      <c r="A919" s="29">
        <v>129</v>
      </c>
      <c r="B919" s="10" t="str">
        <f>VLOOKUP(A919,vaccines!A:B,2)</f>
        <v>Variola</v>
      </c>
      <c r="C919" s="29">
        <v>8</v>
      </c>
      <c r="D919" s="8" t="str">
        <f>VLOOKUP(C919,contraindications_list!A:B,2)</f>
        <v>злокачественное новообразование</v>
      </c>
      <c r="E919" s="12">
        <v>45461</v>
      </c>
    </row>
    <row r="920" spans="1:5">
      <c r="A920" s="29">
        <v>129</v>
      </c>
      <c r="B920" s="10" t="str">
        <f>VLOOKUP(A920,vaccines!A:B,2)</f>
        <v>Variola</v>
      </c>
      <c r="C920" s="29">
        <v>10</v>
      </c>
      <c r="D920" s="8" t="str">
        <f>VLOOKUP(C920,contraindications_list!A:B,2)</f>
        <v>ВИЧ</v>
      </c>
      <c r="E920" s="12">
        <v>45461</v>
      </c>
    </row>
    <row r="921" spans="1:5">
      <c r="A921" s="29">
        <v>129</v>
      </c>
      <c r="B921" s="10" t="str">
        <f>VLOOKUP(A921,vaccines!A:B,2)</f>
        <v>Variola</v>
      </c>
      <c r="C921" s="29">
        <v>12</v>
      </c>
      <c r="D921" s="8" t="str">
        <f>VLOOKUP(C921,contraindications_list!A:B,2)</f>
        <v>энцефалопатия после вакцинации</v>
      </c>
      <c r="E921" s="12">
        <v>45461</v>
      </c>
    </row>
    <row r="922" spans="1:5">
      <c r="A922" s="29">
        <v>129</v>
      </c>
      <c r="B922" s="10" t="str">
        <f>VLOOKUP(A922,vaccines!A:B,2)</f>
        <v>Variola</v>
      </c>
      <c r="C922" s="29">
        <v>13</v>
      </c>
      <c r="D922" s="8" t="str">
        <f>VLOOKUP(C922,contraindications_list!A:B,2)</f>
        <v>прогрессирующее неврологическое заболевание</v>
      </c>
      <c r="E922" s="12">
        <v>45461</v>
      </c>
    </row>
    <row r="923" spans="1:5">
      <c r="A923" s="29">
        <v>129</v>
      </c>
      <c r="B923" s="10" t="str">
        <f>VLOOKUP(A923,vaccines!A:B,2)</f>
        <v>Variola</v>
      </c>
      <c r="C923" s="29">
        <v>17</v>
      </c>
      <c r="D923" s="8" t="str">
        <f>VLOOKUP(C923,contraindications_list!A:B,2)</f>
        <v>нарушение свертываемости крови</v>
      </c>
      <c r="E923" s="12">
        <v>45461</v>
      </c>
    </row>
    <row r="924" spans="1:5">
      <c r="A924" s="29">
        <v>129</v>
      </c>
      <c r="B924" s="10" t="str">
        <f>VLOOKUP(A924,vaccines!A:B,2)</f>
        <v>Variola</v>
      </c>
      <c r="C924" s="29">
        <v>18</v>
      </c>
      <c r="D924" s="8" t="str">
        <f>VLOOKUP(C924,contraindications_list!A:B,2)</f>
        <v>туберкулез</v>
      </c>
      <c r="E924" s="12">
        <v>45461</v>
      </c>
    </row>
    <row r="925" spans="1:5">
      <c r="A925" s="29">
        <v>129</v>
      </c>
      <c r="B925" s="10" t="str">
        <f>VLOOKUP(A925,vaccines!A:B,2)</f>
        <v>Variola</v>
      </c>
      <c r="C925" s="29">
        <v>21</v>
      </c>
      <c r="D925" s="8" t="str">
        <f>VLOOKUP(C925,contraindications_list!A:B,2)</f>
        <v>тяжелые аллергические реакции</v>
      </c>
      <c r="E925" s="12">
        <v>45461</v>
      </c>
    </row>
    <row r="926" spans="1:5">
      <c r="A926" s="29">
        <v>129</v>
      </c>
      <c r="B926" s="10" t="str">
        <f>VLOOKUP(A926,vaccines!A:B,2)</f>
        <v>Variola</v>
      </c>
      <c r="C926" s="29">
        <v>22</v>
      </c>
      <c r="D926" s="8" t="str">
        <f>VLOOKUP(C926,contraindications_list!A:B,2)</f>
        <v>беременность</v>
      </c>
      <c r="E926" s="12">
        <v>45461</v>
      </c>
    </row>
    <row r="927" spans="1:5">
      <c r="A927" s="29">
        <v>129</v>
      </c>
      <c r="B927" s="10" t="str">
        <f>VLOOKUP(A927,vaccines!A:B,2)</f>
        <v>Variola</v>
      </c>
      <c r="C927" s="29">
        <v>23</v>
      </c>
      <c r="D927" s="8" t="str">
        <f>VLOOKUP(C927,contraindications_list!A:B,2)</f>
        <v>грудное вскармливание</v>
      </c>
      <c r="E927" s="12">
        <v>45461</v>
      </c>
    </row>
    <row r="928" spans="1:5">
      <c r="A928" s="29">
        <v>129</v>
      </c>
      <c r="B928" s="10" t="str">
        <f>VLOOKUP(A928,vaccines!A:B,2)</f>
        <v>Variola</v>
      </c>
      <c r="C928" s="29">
        <v>26</v>
      </c>
      <c r="D928" s="8" t="str">
        <f>VLOOKUP(C928,contraindications_list!A:B,2)</f>
        <v>тяжелое нарушение функции почек</v>
      </c>
      <c r="E928" s="12">
        <v>45461</v>
      </c>
    </row>
    <row r="929" spans="1:5">
      <c r="A929" s="29">
        <v>129</v>
      </c>
      <c r="B929" s="10" t="str">
        <f>VLOOKUP(A929,vaccines!A:B,2)</f>
        <v>Variola</v>
      </c>
      <c r="C929" s="29">
        <v>27</v>
      </c>
      <c r="D929" s="8" t="str">
        <f>VLOOKUP(C929,contraindications_list!A:B,2)</f>
        <v>тяжелое заболевание сердца</v>
      </c>
      <c r="E929" s="12">
        <v>45461</v>
      </c>
    </row>
    <row r="930" spans="1:5">
      <c r="A930" s="29">
        <v>129</v>
      </c>
      <c r="B930" s="10" t="str">
        <f>VLOOKUP(A930,vaccines!A:B,2)</f>
        <v>Variola</v>
      </c>
      <c r="C930" s="29">
        <v>28</v>
      </c>
      <c r="D930" s="8" t="str">
        <f>VLOOKUP(C930,contraindications_list!A:B,2)</f>
        <v>иммуносупрессивная терапия</v>
      </c>
      <c r="E930" s="12">
        <v>45461</v>
      </c>
    </row>
    <row r="931" spans="1:5">
      <c r="A931" s="29">
        <v>129</v>
      </c>
      <c r="B931" s="10" t="str">
        <f>VLOOKUP(A931,vaccines!A:B,2)</f>
        <v>Variola</v>
      </c>
      <c r="C931" s="29">
        <v>29</v>
      </c>
      <c r="D931" s="8" t="str">
        <f>VLOOKUP(C931,contraindications_list!A:B,2)</f>
        <v>лучевая терапия</v>
      </c>
      <c r="E931" s="12">
        <v>45461</v>
      </c>
    </row>
    <row r="932" spans="1:5">
      <c r="A932" s="29">
        <v>129</v>
      </c>
      <c r="B932" s="10" t="str">
        <f>VLOOKUP(A932,vaccines!A:B,2)</f>
        <v>Variola</v>
      </c>
      <c r="C932" s="29">
        <v>35</v>
      </c>
      <c r="D932" s="8" t="str">
        <f>VLOOKUP(C932,contraindications_list!A:B,2)</f>
        <v>сердечно-сосудистая недостаточность</v>
      </c>
      <c r="E932" s="12">
        <v>45461</v>
      </c>
    </row>
    <row r="933" spans="1:5">
      <c r="A933" s="29">
        <v>129</v>
      </c>
      <c r="B933" s="10" t="str">
        <f>VLOOKUP(A933,vaccines!A:B,2)</f>
        <v>Variola</v>
      </c>
      <c r="C933" s="29">
        <v>36</v>
      </c>
      <c r="D933" s="8" t="str">
        <f>VLOOKUP(C933,contraindications_list!A:B,2)</f>
        <v>хроническое заболевание почек</v>
      </c>
      <c r="E933" s="12">
        <v>45461</v>
      </c>
    </row>
    <row r="934" spans="1:5">
      <c r="A934" s="29">
        <v>129</v>
      </c>
      <c r="B934" s="10" t="str">
        <f>VLOOKUP(A934,vaccines!A:B,2)</f>
        <v>Variola</v>
      </c>
      <c r="C934" s="29">
        <v>37</v>
      </c>
      <c r="D934" s="8" t="str">
        <f>VLOOKUP(C934,contraindications_list!A:B,2)</f>
        <v>хроническое заболевание печени</v>
      </c>
      <c r="E934" s="12">
        <v>45461</v>
      </c>
    </row>
    <row r="935" spans="1:5">
      <c r="A935" s="29">
        <v>129</v>
      </c>
      <c r="B935" s="10" t="str">
        <f>VLOOKUP(A935,vaccines!A:B,2)</f>
        <v>Variola</v>
      </c>
      <c r="C935" s="29">
        <v>38</v>
      </c>
      <c r="D935" s="8" t="str">
        <f>VLOOKUP(C935,contraindications_list!A:B,2)</f>
        <v>хроническое заболевание эндокринной системы</v>
      </c>
      <c r="E935" s="12">
        <v>45461</v>
      </c>
    </row>
    <row r="936" spans="1:5">
      <c r="A936" s="29">
        <v>129</v>
      </c>
      <c r="B936" s="10" t="str">
        <f>VLOOKUP(A936,vaccines!A:B,2)</f>
        <v>Variola</v>
      </c>
      <c r="C936" s="29">
        <v>39</v>
      </c>
      <c r="D936" s="8" t="str">
        <f>VLOOKUP(C936,contraindications_list!A:B,2)</f>
        <v>системное заболевание соединительной ткани</v>
      </c>
      <c r="E936" s="12">
        <v>45461</v>
      </c>
    </row>
    <row r="937" spans="1:5">
      <c r="A937" s="29">
        <v>129</v>
      </c>
      <c r="B937" s="10" t="str">
        <f>VLOOKUP(A937,vaccines!A:B,2)</f>
        <v>Variola</v>
      </c>
      <c r="C937" s="29">
        <v>49</v>
      </c>
      <c r="D937" s="8" t="str">
        <f>VLOOKUP(C937,contraindications_list!A:B,2)</f>
        <v>бронхиальная астма</v>
      </c>
      <c r="E937" s="12">
        <v>45461</v>
      </c>
    </row>
    <row r="938" spans="1:5">
      <c r="A938" s="29">
        <v>129</v>
      </c>
      <c r="B938" s="10" t="str">
        <f>VLOOKUP(A938,vaccines!A:B,2)</f>
        <v>Variola</v>
      </c>
      <c r="C938" s="29">
        <v>50</v>
      </c>
      <c r="D938" s="8" t="str">
        <f>VLOOKUP(C938,contraindications_list!A:B,2)</f>
        <v>аутоиммунное заболевание</v>
      </c>
      <c r="E938" s="12">
        <v>45461</v>
      </c>
    </row>
    <row r="939" spans="1:5">
      <c r="A939" s="29">
        <v>129</v>
      </c>
      <c r="B939" s="10" t="str">
        <f>VLOOKUP(A939,vaccines!A:B,2)</f>
        <v>Variola</v>
      </c>
      <c r="C939" s="29">
        <v>51</v>
      </c>
      <c r="D939" s="8" t="str">
        <f>VLOOKUP(C939,contraindications_list!A:B,2)</f>
        <v>эпилепсия</v>
      </c>
      <c r="E939" s="12">
        <v>45461</v>
      </c>
    </row>
    <row r="940" spans="1:5">
      <c r="A940" s="29">
        <v>129</v>
      </c>
      <c r="B940" s="10" t="str">
        <f>VLOOKUP(A940,vaccines!A:B,2)</f>
        <v>Variola</v>
      </c>
      <c r="C940" s="29">
        <v>52</v>
      </c>
      <c r="D940" s="8" t="str">
        <f>VLOOKUP(C940,contraindications_list!A:B,2)</f>
        <v>болезни крови</v>
      </c>
      <c r="E940" s="12">
        <v>45461</v>
      </c>
    </row>
    <row r="941" spans="1:5">
      <c r="A941" s="29">
        <v>129</v>
      </c>
      <c r="B941" s="10" t="str">
        <f>VLOOKUP(A941,vaccines!A:B,2)</f>
        <v>Variola</v>
      </c>
      <c r="C941" s="29">
        <v>53</v>
      </c>
      <c r="D941" s="8" t="str">
        <f>VLOOKUP(C941,contraindications_list!A:B,2)</f>
        <v>неврологическое заболевание</v>
      </c>
      <c r="E941" s="12">
        <v>45461</v>
      </c>
    </row>
    <row r="942" spans="1:5">
      <c r="A942" s="29">
        <v>129</v>
      </c>
      <c r="B942" s="10" t="str">
        <f>VLOOKUP(A942,vaccines!A:B,2)</f>
        <v>Variola</v>
      </c>
      <c r="C942" s="29">
        <v>54</v>
      </c>
      <c r="D942" s="8" t="str">
        <f>VLOOKUP(C942,contraindications_list!A:B,2)</f>
        <v>заболевание вилочковой железы</v>
      </c>
      <c r="E942" s="12">
        <v>45461</v>
      </c>
    </row>
    <row r="943" spans="1:5">
      <c r="A943" s="29">
        <v>129</v>
      </c>
      <c r="B943" s="10" t="str">
        <f>VLOOKUP(A943,vaccines!A:B,2)</f>
        <v>Variola</v>
      </c>
      <c r="C943" s="29">
        <v>57</v>
      </c>
      <c r="D943" s="8" t="str">
        <f>VLOOKUP(C943,contraindications_list!A:B,2)</f>
        <v>распространенное рецидивирующее заболевание кожи</v>
      </c>
      <c r="E943" s="12">
        <v>45461</v>
      </c>
    </row>
    <row r="944" spans="1:5">
      <c r="A944" s="29">
        <v>129</v>
      </c>
      <c r="B944" s="10" t="str">
        <f>VLOOKUP(A944,vaccines!A:B,2)</f>
        <v>Variola</v>
      </c>
      <c r="C944" s="29">
        <v>58</v>
      </c>
      <c r="D944" s="8" t="str">
        <f>VLOOKUP(C944,contraindications_list!A:B,2)</f>
        <v>аллергия</v>
      </c>
      <c r="E944" s="12">
        <v>45461</v>
      </c>
    </row>
    <row r="945" spans="1:5">
      <c r="A945" s="29">
        <v>129</v>
      </c>
      <c r="B945" s="10" t="str">
        <f>VLOOKUP(A945,vaccines!A:B,2)</f>
        <v>Variola</v>
      </c>
      <c r="C945" s="29">
        <v>59</v>
      </c>
      <c r="D945" s="8" t="str">
        <f>VLOOKUP(C945,contraindications_list!A:B,2)</f>
        <v>хроническое заболевание органов дыхания</v>
      </c>
      <c r="E945" s="12">
        <v>45461</v>
      </c>
    </row>
    <row r="946" spans="1:5">
      <c r="A946" s="29">
        <v>129</v>
      </c>
      <c r="B946" s="10" t="str">
        <f>VLOOKUP(A946,vaccines!A:B,2)</f>
        <v>Variola</v>
      </c>
      <c r="C946" s="29">
        <v>66</v>
      </c>
      <c r="D946" s="8" t="str">
        <f>VLOOKUP(C946,contraindications_list!A:B,2)</f>
        <v>хроническое заболевание желчных путей</v>
      </c>
      <c r="E946" s="12">
        <v>45461</v>
      </c>
    </row>
    <row r="947" spans="1:5">
      <c r="A947" s="29">
        <v>129</v>
      </c>
      <c r="B947" s="10" t="str">
        <f>VLOOKUP(A947,vaccines!A:B,2)</f>
        <v>Variola</v>
      </c>
      <c r="C947" s="29">
        <v>67</v>
      </c>
      <c r="D947" s="8" t="str">
        <f>VLOOKUP(C947,contraindications_list!A:B,2)</f>
        <v>хроническое заболевание сердца</v>
      </c>
      <c r="E947" s="12">
        <v>45461</v>
      </c>
    </row>
    <row r="948" spans="1:5">
      <c r="A948" s="29">
        <v>129</v>
      </c>
      <c r="B948" s="10" t="str">
        <f>VLOOKUP(A948,vaccines!A:B,2)</f>
        <v>Variola</v>
      </c>
      <c r="C948" s="29">
        <v>71</v>
      </c>
      <c r="D948" s="8" t="str">
        <f>VLOOKUP(C948,contraindications_list!A:B,2)</f>
        <v>предоперационный период</v>
      </c>
      <c r="E948" s="12">
        <v>45461</v>
      </c>
    </row>
    <row r="949" spans="1:5">
      <c r="A949" s="29">
        <v>129</v>
      </c>
      <c r="B949" s="10" t="str">
        <f>VLOOKUP(A949,vaccines!A:B,2)</f>
        <v>Variola</v>
      </c>
      <c r="C949" s="29">
        <v>74</v>
      </c>
      <c r="D949" s="8" t="str">
        <f>VLOOKUP(C949,contraindications_list!A:B,2)</f>
        <v>злокачественное заболевание крови</v>
      </c>
      <c r="E949" s="12">
        <v>45461</v>
      </c>
    </row>
    <row r="950" spans="1:5">
      <c r="A950" s="29">
        <v>129</v>
      </c>
      <c r="B950" s="10" t="str">
        <f>VLOOKUP(A950,vaccines!A:B,2)</f>
        <v>Variola</v>
      </c>
      <c r="C950" s="29">
        <v>81</v>
      </c>
      <c r="D950" s="8" t="str">
        <f>VLOOKUP(C950,contraindications_list!A:B,2)</f>
        <v>заболевания надпочечников</v>
      </c>
      <c r="E950" s="12">
        <v>45494</v>
      </c>
    </row>
    <row r="951" spans="1:5">
      <c r="A951" s="29">
        <v>129</v>
      </c>
      <c r="B951" s="10" t="str">
        <f>VLOOKUP(A951,vaccines!A:B,2)</f>
        <v>Variola</v>
      </c>
      <c r="C951" s="29">
        <v>83</v>
      </c>
      <c r="D951" s="8" t="str">
        <f>VLOOKUP(C951,contraindications_list!A:B,2)</f>
        <v>тимомегалия</v>
      </c>
      <c r="E951" s="12">
        <v>45497</v>
      </c>
    </row>
    <row r="952" spans="1:5">
      <c r="A952" s="29">
        <v>130</v>
      </c>
      <c r="B952" s="10" t="str">
        <f>VLOOKUP(A952,vaccines!A:B,2)</f>
        <v>AKDS_HepB_Microgen</v>
      </c>
      <c r="C952" s="29">
        <v>1</v>
      </c>
      <c r="D952" s="8" t="str">
        <f>VLOOKUP(C952,contraindications_list!A:B,2)</f>
        <v>гиперчувствительность к компонентам</v>
      </c>
      <c r="E952" s="11">
        <v>45464</v>
      </c>
    </row>
    <row r="953" spans="1:5">
      <c r="A953" s="29">
        <v>130</v>
      </c>
      <c r="B953" s="10" t="str">
        <f>VLOOKUP(A953,vaccines!A:B,2)</f>
        <v>AKDS_HepB_Microgen</v>
      </c>
      <c r="C953" s="29">
        <v>69</v>
      </c>
      <c r="D953" s="8" t="str">
        <f>VLOOKUP(C953,contraindications_list!A:B,2)</f>
        <v>аллергия на формальдегид</v>
      </c>
      <c r="E953" s="11">
        <v>45464</v>
      </c>
    </row>
    <row r="954" spans="1:5">
      <c r="A954" s="29">
        <v>130</v>
      </c>
      <c r="B954" s="10" t="str">
        <f>VLOOKUP(A954,vaccines!A:B,2)</f>
        <v>AKDS_HepB_Microgen</v>
      </c>
      <c r="C954" s="29">
        <v>13</v>
      </c>
      <c r="D954" s="8" t="str">
        <f>VLOOKUP(C954,contraindications_list!A:B,2)</f>
        <v>прогрессирующее неврологическое заболевание</v>
      </c>
      <c r="E954" s="11">
        <v>45464</v>
      </c>
    </row>
    <row r="955" spans="1:5">
      <c r="A955" s="29">
        <v>130</v>
      </c>
      <c r="B955" s="10" t="str">
        <f>VLOOKUP(A955,vaccines!A:B,2)</f>
        <v>AKDS_HepB_Microgen</v>
      </c>
      <c r="C955" s="29">
        <v>14</v>
      </c>
      <c r="D955" s="8" t="str">
        <f>VLOOKUP(C955,contraindications_list!A:B,2)</f>
        <v>афебрильные судороги</v>
      </c>
      <c r="E955" s="11">
        <v>45464</v>
      </c>
    </row>
    <row r="956" spans="1:5">
      <c r="A956" s="29">
        <v>130</v>
      </c>
      <c r="B956" s="10" t="str">
        <f>VLOOKUP(A956,vaccines!A:B,2)</f>
        <v>AKDS_HepB_Microgen</v>
      </c>
      <c r="C956" s="29">
        <v>16</v>
      </c>
      <c r="D956" s="8" t="str">
        <f>VLOOKUP(C956,contraindications_list!A:B,2)</f>
        <v>аллергия на дрожжи</v>
      </c>
      <c r="E956" s="11">
        <v>45464</v>
      </c>
    </row>
    <row r="957" spans="1:5">
      <c r="A957" s="29">
        <v>130</v>
      </c>
      <c r="B957" s="10" t="str">
        <f>VLOOKUP(A957,vaccines!A:B,2)</f>
        <v>AKDS_HepB_Microgen</v>
      </c>
      <c r="C957" s="29">
        <v>15</v>
      </c>
      <c r="D957" s="8" t="str">
        <f>VLOOKUP(C957,contraindications_list!A:B,2)</f>
        <v>сильная общая реакция на предыдущее введение вакцины</v>
      </c>
      <c r="E957" s="11">
        <v>45464</v>
      </c>
    </row>
    <row r="958" spans="1:5">
      <c r="A958" s="29">
        <v>130</v>
      </c>
      <c r="B958" s="10" t="str">
        <f>VLOOKUP(A958,vaccines!A:B,2)</f>
        <v>AKDS_HepB_Microgen</v>
      </c>
      <c r="C958" s="29">
        <v>19</v>
      </c>
      <c r="D958" s="8" t="str">
        <f>VLOOKUP(C958,contraindications_list!A:B,2)</f>
        <v>осложнение на предыдущее введение вакцины</v>
      </c>
      <c r="E958" s="11">
        <v>45464</v>
      </c>
    </row>
    <row r="959" spans="1:5">
      <c r="A959" s="29">
        <v>130</v>
      </c>
      <c r="B959" s="10" t="str">
        <f>VLOOKUP(A959,vaccines!A:B,2)</f>
        <v>AKDS_HepB_Microgen</v>
      </c>
      <c r="C959" s="29">
        <v>6</v>
      </c>
      <c r="D959" s="8" t="str">
        <f>VLOOKUP(C959,contraindications_list!A:B,2)</f>
        <v>обострение хронического заболевания</v>
      </c>
      <c r="E959" s="11">
        <v>45464</v>
      </c>
    </row>
    <row r="960" spans="1:5">
      <c r="A960" s="29">
        <v>130</v>
      </c>
      <c r="B960" s="10" t="str">
        <f>VLOOKUP(A960,vaccines!A:B,2)</f>
        <v>AKDS_HepB_Microgen</v>
      </c>
      <c r="C960" s="29">
        <v>5</v>
      </c>
      <c r="D960" s="8" t="str">
        <f>VLOOKUP(C960,contraindications_list!A:B,2)</f>
        <v>острое заболевание</v>
      </c>
      <c r="E960" s="11">
        <v>45464</v>
      </c>
    </row>
    <row r="961" spans="1:5">
      <c r="A961" s="29">
        <v>131</v>
      </c>
      <c r="B961" s="10" t="str">
        <f>VLOOKUP(A961,vaccines!A:B,2)</f>
        <v>Rickettsia</v>
      </c>
      <c r="C961" s="29">
        <v>1</v>
      </c>
      <c r="D961" s="8" t="str">
        <f>VLOOKUP(C961,contraindications_list!A:B,2)</f>
        <v>гиперчувствительность к компонентам</v>
      </c>
      <c r="E961" s="11">
        <v>45464</v>
      </c>
    </row>
    <row r="962" spans="1:5">
      <c r="A962" s="29">
        <v>131</v>
      </c>
      <c r="B962" s="10" t="str">
        <f>VLOOKUP(A962,vaccines!A:B,2)</f>
        <v>Rickettsia</v>
      </c>
      <c r="C962" s="29">
        <v>15</v>
      </c>
      <c r="D962" s="8" t="str">
        <f>VLOOKUP(C962,contraindications_list!A:B,2)</f>
        <v>сильная общая реакция на предыдущее введение вакцины</v>
      </c>
      <c r="E962" s="11">
        <v>45464</v>
      </c>
    </row>
    <row r="963" spans="1:5">
      <c r="A963" s="29">
        <v>131</v>
      </c>
      <c r="B963" s="10" t="str">
        <f>VLOOKUP(A963,vaccines!A:B,2)</f>
        <v>Rickettsia</v>
      </c>
      <c r="C963" s="29">
        <v>19</v>
      </c>
      <c r="D963" s="8" t="str">
        <f>VLOOKUP(C963,contraindications_list!A:B,2)</f>
        <v>осложнение на предыдущее введение вакцины</v>
      </c>
      <c r="E963" s="11">
        <v>45464</v>
      </c>
    </row>
    <row r="964" spans="1:5">
      <c r="A964" s="29">
        <v>131</v>
      </c>
      <c r="B964" s="10" t="str">
        <f>VLOOKUP(A964,vaccines!A:B,2)</f>
        <v>Rickettsia</v>
      </c>
      <c r="C964" s="29">
        <v>5</v>
      </c>
      <c r="D964" s="8" t="str">
        <f>VLOOKUP(C964,contraindications_list!A:B,2)</f>
        <v>острое заболевание</v>
      </c>
      <c r="E964" s="11">
        <v>45464</v>
      </c>
    </row>
    <row r="965" spans="1:5">
      <c r="A965" s="29">
        <v>131</v>
      </c>
      <c r="B965" s="10" t="str">
        <f>VLOOKUP(A965,vaccines!A:B,2)</f>
        <v>Rickettsia</v>
      </c>
      <c r="C965" s="29">
        <v>6</v>
      </c>
      <c r="D965" s="8" t="str">
        <f>VLOOKUP(C965,contraindications_list!A:B,2)</f>
        <v>обострение хронического заболевания</v>
      </c>
      <c r="E965" s="11">
        <v>45464</v>
      </c>
    </row>
    <row r="966" spans="1:5">
      <c r="A966" s="29">
        <v>131</v>
      </c>
      <c r="B966" s="10" t="str">
        <f>VLOOKUP(A966,vaccines!A:B,2)</f>
        <v>Rickettsia</v>
      </c>
      <c r="C966" s="29">
        <v>58</v>
      </c>
      <c r="D966" s="8" t="str">
        <f>VLOOKUP(C966,contraindications_list!A:B,2)</f>
        <v>аллергия</v>
      </c>
      <c r="E966" s="11">
        <v>45464</v>
      </c>
    </row>
    <row r="967" spans="1:5">
      <c r="A967" s="29">
        <v>131</v>
      </c>
      <c r="B967" s="10" t="str">
        <f>VLOOKUP(A967,vaccines!A:B,2)</f>
        <v>Rickettsia</v>
      </c>
      <c r="C967" s="29">
        <v>24</v>
      </c>
      <c r="D967" s="8" t="str">
        <f>VLOOKUP(C967,contraindications_list!A:B,2)</f>
        <v>аллергия на куриный белок</v>
      </c>
      <c r="E967" s="11">
        <v>45464</v>
      </c>
    </row>
    <row r="968" spans="1:5">
      <c r="A968" s="29">
        <v>131</v>
      </c>
      <c r="B968" s="10" t="str">
        <f>VLOOKUP(A968,vaccines!A:B,2)</f>
        <v>Rickettsia</v>
      </c>
      <c r="C968" s="29">
        <v>63</v>
      </c>
      <c r="D968" s="8" t="str">
        <f>VLOOKUP(C968,contraindications_list!A:B,2)</f>
        <v>аллергия на молочный белок</v>
      </c>
      <c r="E968" s="11">
        <v>45464</v>
      </c>
    </row>
    <row r="969" spans="1:5">
      <c r="A969" s="29">
        <v>131</v>
      </c>
      <c r="B969" s="10" t="str">
        <f>VLOOKUP(A969,vaccines!A:B,2)</f>
        <v>Rickettsia</v>
      </c>
      <c r="C969" s="29">
        <v>49</v>
      </c>
      <c r="D969" s="8" t="str">
        <f>VLOOKUP(C969,contraindications_list!A:B,2)</f>
        <v>бронхиальная астма</v>
      </c>
      <c r="E969" s="11">
        <v>45464</v>
      </c>
    </row>
    <row r="970" spans="1:5">
      <c r="A970" s="29">
        <v>131</v>
      </c>
      <c r="B970" s="10" t="str">
        <f>VLOOKUP(A970,vaccines!A:B,2)</f>
        <v>Rickettsia</v>
      </c>
      <c r="C970" s="29">
        <v>13</v>
      </c>
      <c r="D970" s="8" t="str">
        <f>VLOOKUP(C970,contraindications_list!A:B,2)</f>
        <v>прогрессирующее неврологическое заболевание</v>
      </c>
      <c r="E970" s="11">
        <v>45464</v>
      </c>
    </row>
    <row r="971" spans="1:5">
      <c r="A971" s="29">
        <v>131</v>
      </c>
      <c r="B971" s="10" t="str">
        <f>VLOOKUP(A971,vaccines!A:B,2)</f>
        <v>Rickettsia</v>
      </c>
      <c r="C971" s="29">
        <v>53</v>
      </c>
      <c r="D971" s="8" t="str">
        <f>VLOOKUP(C971,contraindications_list!A:B,2)</f>
        <v>неврологическое заболевание</v>
      </c>
      <c r="E971" s="11">
        <v>45464</v>
      </c>
    </row>
    <row r="972" spans="1:5">
      <c r="A972" s="29">
        <v>131</v>
      </c>
      <c r="B972" s="10" t="str">
        <f>VLOOKUP(A972,vaccines!A:B,2)</f>
        <v>Rickettsia</v>
      </c>
      <c r="C972" s="29">
        <v>36</v>
      </c>
      <c r="D972" s="8" t="str">
        <f>VLOOKUP(C972,contraindications_list!A:B,2)</f>
        <v>хроническое заболевание почек</v>
      </c>
      <c r="E972" s="11">
        <v>45464</v>
      </c>
    </row>
    <row r="973" spans="1:5">
      <c r="A973" s="29">
        <v>131</v>
      </c>
      <c r="B973" s="10" t="str">
        <f>VLOOKUP(A973,vaccines!A:B,2)</f>
        <v>Rickettsia</v>
      </c>
      <c r="C973" s="29">
        <v>39</v>
      </c>
      <c r="D973" s="8" t="str">
        <f>VLOOKUP(C973,contraindications_list!A:B,2)</f>
        <v>системное заболевание соединительной ткани</v>
      </c>
      <c r="E973" s="11">
        <v>45464</v>
      </c>
    </row>
    <row r="974" spans="1:5">
      <c r="A974" s="29">
        <v>131</v>
      </c>
      <c r="B974" s="10" t="str">
        <f>VLOOKUP(A974,vaccines!A:B,2)</f>
        <v>Rickettsia</v>
      </c>
      <c r="C974" s="29">
        <v>7</v>
      </c>
      <c r="D974" s="8" t="str">
        <f>VLOOKUP(C974,contraindications_list!A:B,2)</f>
        <v>иммунодефицит</v>
      </c>
      <c r="E974" s="11">
        <v>45464</v>
      </c>
    </row>
    <row r="975" spans="1:5">
      <c r="A975" s="29">
        <v>131</v>
      </c>
      <c r="B975" s="10" t="str">
        <f>VLOOKUP(A975,vaccines!A:B,2)</f>
        <v>Rickettsia</v>
      </c>
      <c r="C975" s="29">
        <v>22</v>
      </c>
      <c r="D975" s="8" t="str">
        <f>VLOOKUP(C975,contraindications_list!A:B,2)</f>
        <v>беременность</v>
      </c>
      <c r="E975" s="11">
        <v>45464</v>
      </c>
    </row>
    <row r="976" spans="1:5">
      <c r="A976" s="29">
        <v>131</v>
      </c>
      <c r="B976" s="10" t="str">
        <f>VLOOKUP(A976,vaccines!A:B,2)</f>
        <v>Rickettsia</v>
      </c>
      <c r="C976" s="29">
        <v>23</v>
      </c>
      <c r="D976" s="8" t="str">
        <f>VLOOKUP(C976,contraindications_list!A:B,2)</f>
        <v>грудное вскармливание</v>
      </c>
      <c r="E976" s="11">
        <v>45464</v>
      </c>
    </row>
    <row r="977" spans="1:5">
      <c r="A977" s="29">
        <v>131</v>
      </c>
      <c r="B977" s="10" t="str">
        <f>VLOOKUP(A977,vaccines!A:B,2)</f>
        <v>Rickettsia</v>
      </c>
      <c r="C977" s="29">
        <v>68</v>
      </c>
      <c r="D977" s="8" t="str">
        <f>VLOOKUP(C977,contraindications_list!A:B,2)</f>
        <v>высокая температура тела</v>
      </c>
      <c r="E977" s="11">
        <v>45464</v>
      </c>
    </row>
    <row r="978" spans="1:5">
      <c r="A978" s="29">
        <v>131</v>
      </c>
      <c r="B978" s="10" t="str">
        <f>VLOOKUP(A978,vaccines!A:B,2)</f>
        <v>Rickettsia</v>
      </c>
      <c r="C978" s="29">
        <v>81</v>
      </c>
      <c r="D978" s="8" t="str">
        <f>VLOOKUP(C978,contraindications_list!A:B,2)</f>
        <v>заболевания надпочечников</v>
      </c>
      <c r="E978" s="12">
        <v>45494</v>
      </c>
    </row>
    <row r="979" spans="1:5">
      <c r="A979" s="29">
        <v>132</v>
      </c>
      <c r="B979" s="10" t="str">
        <f>VLOOKUP(A979,vaccines!A:B,2)</f>
        <v>OspaVir</v>
      </c>
      <c r="C979" s="29">
        <v>1</v>
      </c>
      <c r="D979" s="8" t="str">
        <f>VLOOKUP(C979,contraindications_list!A:B,2)</f>
        <v>гиперчувствительность к компонентам</v>
      </c>
      <c r="E979" s="11">
        <v>45464</v>
      </c>
    </row>
    <row r="980" spans="1:5">
      <c r="A980" s="29">
        <v>132</v>
      </c>
      <c r="B980" s="10" t="str">
        <f>VLOOKUP(A980,vaccines!A:B,2)</f>
        <v>OspaVir</v>
      </c>
      <c r="C980" s="29">
        <v>22</v>
      </c>
      <c r="D980" s="8" t="str">
        <f>VLOOKUP(C980,contraindications_list!A:B,2)</f>
        <v>беременность</v>
      </c>
      <c r="E980" s="11">
        <v>45464</v>
      </c>
    </row>
    <row r="981" spans="1:5">
      <c r="A981" s="29">
        <v>132</v>
      </c>
      <c r="B981" s="10" t="str">
        <f>VLOOKUP(A981,vaccines!A:B,2)</f>
        <v>OspaVir</v>
      </c>
      <c r="C981" s="29">
        <v>23</v>
      </c>
      <c r="D981" s="8" t="str">
        <f>VLOOKUP(C981,contraindications_list!A:B,2)</f>
        <v>грудное вскармливание</v>
      </c>
      <c r="E981" s="11">
        <v>45464</v>
      </c>
    </row>
    <row r="982" spans="1:5">
      <c r="A982" s="29">
        <v>132</v>
      </c>
      <c r="B982" s="10" t="str">
        <f>VLOOKUP(A982,vaccines!A:B,2)</f>
        <v>OspaVir</v>
      </c>
      <c r="C982" s="29">
        <v>5</v>
      </c>
      <c r="D982" s="8" t="str">
        <f>VLOOKUP(C982,contraindications_list!A:B,2)</f>
        <v>острое заболевание</v>
      </c>
      <c r="E982" s="11">
        <v>45464</v>
      </c>
    </row>
    <row r="983" spans="1:5">
      <c r="A983" s="29">
        <v>132</v>
      </c>
      <c r="B983" s="10" t="str">
        <f>VLOOKUP(A983,vaccines!A:B,2)</f>
        <v>OspaVir</v>
      </c>
      <c r="C983" s="29">
        <v>6</v>
      </c>
      <c r="D983" s="8" t="str">
        <f>VLOOKUP(C983,contraindications_list!A:B,2)</f>
        <v>обострение хронического заболевания</v>
      </c>
      <c r="E983" s="11">
        <v>45464</v>
      </c>
    </row>
    <row r="984" spans="1:5">
      <c r="A984" s="29">
        <v>132</v>
      </c>
      <c r="B984" s="10" t="str">
        <f>VLOOKUP(A984,vaccines!A:B,2)</f>
        <v>OspaVir</v>
      </c>
      <c r="C984" s="29">
        <v>68</v>
      </c>
      <c r="D984" s="8" t="str">
        <f>VLOOKUP(C984,contraindications_list!A:B,2)</f>
        <v>высокая температура тела</v>
      </c>
      <c r="E984" s="11">
        <v>45464</v>
      </c>
    </row>
    <row r="985" spans="1:5">
      <c r="A985" s="29">
        <v>133</v>
      </c>
      <c r="B985" s="10" t="str">
        <f>VLOOKUP(A985,vaccines!A:B,2)</f>
        <v>Gonovaccina_therapeutic</v>
      </c>
      <c r="C985" s="29">
        <v>5</v>
      </c>
      <c r="D985" s="8" t="str">
        <f>VLOOKUP(C985,contraindications_list!A:B,2)</f>
        <v>острое заболевание</v>
      </c>
      <c r="E985" s="11">
        <v>45464</v>
      </c>
    </row>
    <row r="986" spans="1:5">
      <c r="A986" s="29">
        <v>133</v>
      </c>
      <c r="B986" s="10" t="str">
        <f>VLOOKUP(A986,vaccines!A:B,2)</f>
        <v>Gonovaccina_therapeutic</v>
      </c>
      <c r="C986" s="29">
        <v>6</v>
      </c>
      <c r="D986" s="8" t="str">
        <f>VLOOKUP(C986,contraindications_list!A:B,2)</f>
        <v>обострение хронического заболевания</v>
      </c>
      <c r="E986" s="11">
        <v>45464</v>
      </c>
    </row>
    <row r="987" spans="1:5">
      <c r="A987" s="29">
        <v>133</v>
      </c>
      <c r="B987" s="10" t="str">
        <f>VLOOKUP(A987,vaccines!A:B,2)</f>
        <v>Gonovaccina_therapeutic</v>
      </c>
      <c r="C987" s="29">
        <v>1</v>
      </c>
      <c r="D987" s="8" t="str">
        <f>VLOOKUP(C987,contraindications_list!A:B,2)</f>
        <v>гиперчувствительность к компонентам</v>
      </c>
      <c r="E987" s="11">
        <v>45464</v>
      </c>
    </row>
    <row r="988" spans="1:5">
      <c r="A988" s="29">
        <v>133</v>
      </c>
      <c r="B988" s="10" t="str">
        <f>VLOOKUP(A988,vaccines!A:B,2)</f>
        <v>Gonovaccina_therapeutic</v>
      </c>
      <c r="C988" s="29">
        <v>7</v>
      </c>
      <c r="D988" s="8" t="str">
        <f>VLOOKUP(C988,contraindications_list!A:B,2)</f>
        <v>иммунодефицит</v>
      </c>
      <c r="E988" s="11">
        <v>45464</v>
      </c>
    </row>
    <row r="989" spans="1:5">
      <c r="A989" s="29">
        <v>133</v>
      </c>
      <c r="B989" s="10" t="str">
        <f>VLOOKUP(A989,vaccines!A:B,2)</f>
        <v>Gonovaccina_therapeutic</v>
      </c>
      <c r="C989" s="29">
        <v>10</v>
      </c>
      <c r="D989" s="8" t="str">
        <f>VLOOKUP(C989,contraindications_list!A:B,2)</f>
        <v>ВИЧ</v>
      </c>
      <c r="E989" s="11">
        <v>45464</v>
      </c>
    </row>
    <row r="990" spans="1:5">
      <c r="A990" s="29">
        <v>133</v>
      </c>
      <c r="B990" s="10" t="str">
        <f>VLOOKUP(A990,vaccines!A:B,2)</f>
        <v>Gonovaccina_therapeutic</v>
      </c>
      <c r="C990" s="29">
        <v>52</v>
      </c>
      <c r="D990" s="8" t="str">
        <f>VLOOKUP(C990,contraindications_list!A:B,2)</f>
        <v>болезни крови</v>
      </c>
      <c r="E990" s="11">
        <v>45464</v>
      </c>
    </row>
    <row r="991" spans="1:5">
      <c r="A991" s="29">
        <v>133</v>
      </c>
      <c r="B991" s="10" t="str">
        <f>VLOOKUP(A991,vaccines!A:B,2)</f>
        <v>Gonovaccina_therapeutic</v>
      </c>
      <c r="C991" s="29">
        <v>37</v>
      </c>
      <c r="D991" s="8" t="str">
        <f>VLOOKUP(C991,contraindications_list!A:B,2)</f>
        <v>хроническое заболевание печени</v>
      </c>
      <c r="E991" s="11">
        <v>45464</v>
      </c>
    </row>
    <row r="992" spans="1:5">
      <c r="A992" s="29">
        <v>133</v>
      </c>
      <c r="B992" s="10" t="str">
        <f>VLOOKUP(A992,vaccines!A:B,2)</f>
        <v>Gonovaccina_therapeutic</v>
      </c>
      <c r="C992" s="29">
        <v>36</v>
      </c>
      <c r="D992" s="8" t="str">
        <f>VLOOKUP(C992,contraindications_list!A:B,2)</f>
        <v>хроническое заболевание почек</v>
      </c>
      <c r="E992" s="11">
        <v>45464</v>
      </c>
    </row>
    <row r="993" spans="1:5">
      <c r="A993" s="29">
        <v>133</v>
      </c>
      <c r="B993" s="10" t="str">
        <f>VLOOKUP(A993,vaccines!A:B,2)</f>
        <v>Gonovaccina_therapeutic</v>
      </c>
      <c r="C993" s="29">
        <v>67</v>
      </c>
      <c r="D993" s="8" t="str">
        <f>VLOOKUP(C993,contraindications_list!A:B,2)</f>
        <v>хроническое заболевание сердца</v>
      </c>
      <c r="E993" s="11">
        <v>45464</v>
      </c>
    </row>
    <row r="994" spans="1:5">
      <c r="A994" s="29">
        <v>133</v>
      </c>
      <c r="B994" s="10" t="str">
        <f>VLOOKUP(A994,vaccines!A:B,2)</f>
        <v>Gonovaccina_therapeutic</v>
      </c>
      <c r="C994" s="29">
        <v>75</v>
      </c>
      <c r="D994" s="8" t="str">
        <f>VLOOKUP(C994,contraindications_list!A:B,2)</f>
        <v>болезни системы кровообращения</v>
      </c>
      <c r="E994" s="11">
        <v>45464</v>
      </c>
    </row>
    <row r="995" spans="1:5">
      <c r="A995" s="29">
        <v>133</v>
      </c>
      <c r="B995" s="10" t="str">
        <f>VLOOKUP(A995,vaccines!A:B,2)</f>
        <v>Gonovaccina_therapeutic</v>
      </c>
      <c r="C995" s="29">
        <v>68</v>
      </c>
      <c r="D995" s="8" t="str">
        <f>VLOOKUP(C995,contraindications_list!A:B,2)</f>
        <v>высокая температура тела</v>
      </c>
      <c r="E995" s="11">
        <v>45464</v>
      </c>
    </row>
    <row r="996" spans="1:5">
      <c r="A996" s="29">
        <v>134</v>
      </c>
      <c r="B996" s="10" t="str">
        <f>VLOOKUP(A996,vaccines!A:B,2)</f>
        <v>OrtopoxVac</v>
      </c>
      <c r="C996" s="29">
        <v>1</v>
      </c>
      <c r="D996" s="8" t="str">
        <f>VLOOKUP(C996,contraindications_list!A:B,2)</f>
        <v>гиперчувствительность к компонентам</v>
      </c>
      <c r="E996" s="40">
        <v>45465</v>
      </c>
    </row>
    <row r="997" spans="1:5">
      <c r="A997" s="29">
        <v>134</v>
      </c>
      <c r="B997" s="10" t="str">
        <f>VLOOKUP(A997,vaccines!A:B,2)</f>
        <v>OrtopoxVac</v>
      </c>
      <c r="C997" s="29">
        <v>6</v>
      </c>
      <c r="D997" s="8" t="str">
        <f>VLOOKUP(C997,contraindications_list!A:B,2)</f>
        <v>обострение хронического заболевания</v>
      </c>
      <c r="E997" s="40">
        <v>45465</v>
      </c>
    </row>
    <row r="998" spans="1:5">
      <c r="A998" s="29">
        <v>134</v>
      </c>
      <c r="B998" s="10" t="str">
        <f>VLOOKUP(A998,vaccines!A:B,2)</f>
        <v>OrtopoxVac</v>
      </c>
      <c r="C998" s="29">
        <v>5</v>
      </c>
      <c r="D998" s="8" t="str">
        <f>VLOOKUP(C998,contraindications_list!A:B,2)</f>
        <v>острое заболевание</v>
      </c>
      <c r="E998" s="40">
        <v>45465</v>
      </c>
    </row>
    <row r="999" spans="1:5">
      <c r="A999" s="29">
        <v>134</v>
      </c>
      <c r="B999" s="10" t="str">
        <f>VLOOKUP(A999,vaccines!A:B,2)</f>
        <v>OrtopoxVac</v>
      </c>
      <c r="C999" s="29">
        <v>21</v>
      </c>
      <c r="D999" s="8" t="str">
        <f>VLOOKUP(C999,contraindications_list!A:B,2)</f>
        <v>тяжелые аллергические реакции</v>
      </c>
      <c r="E999" s="40">
        <v>45465</v>
      </c>
    </row>
    <row r="1000" spans="1:5">
      <c r="A1000" s="29">
        <v>134</v>
      </c>
      <c r="B1000" s="10" t="str">
        <f>VLOOKUP(A1000,vaccines!A:B,2)</f>
        <v>OrtopoxVac</v>
      </c>
      <c r="C1000" s="29">
        <v>19</v>
      </c>
      <c r="D1000" s="8" t="str">
        <f>VLOOKUP(C1000,contraindications_list!A:B,2)</f>
        <v>осложнение на предыдущее введение вакцины</v>
      </c>
      <c r="E1000" s="40">
        <v>45465</v>
      </c>
    </row>
    <row r="1001" spans="1:5">
      <c r="A1001" s="29">
        <v>134</v>
      </c>
      <c r="B1001" s="10" t="str">
        <f>VLOOKUP(A1001,vaccines!A:B,2)</f>
        <v>OrtopoxVac</v>
      </c>
      <c r="C1001" s="29">
        <v>15</v>
      </c>
      <c r="D1001" s="8" t="str">
        <f>VLOOKUP(C1001,contraindications_list!A:B,2)</f>
        <v>сильная общая реакция на предыдущее введение вакцины</v>
      </c>
      <c r="E1001" s="40">
        <v>45465</v>
      </c>
    </row>
    <row r="1002" spans="1:5">
      <c r="A1002" s="29">
        <v>134</v>
      </c>
      <c r="B1002" s="10" t="str">
        <f>VLOOKUP(A1002,vaccines!A:B,2)</f>
        <v>OrtopoxVac</v>
      </c>
      <c r="C1002" s="29">
        <v>57</v>
      </c>
      <c r="D1002" s="8" t="str">
        <f>VLOOKUP(C1002,contraindications_list!A:B,2)</f>
        <v>распространенное рецидивирующее заболевание кожи</v>
      </c>
      <c r="E1002" s="40">
        <v>45465</v>
      </c>
    </row>
    <row r="1003" spans="1:5">
      <c r="A1003" s="29">
        <v>134</v>
      </c>
      <c r="B1003" s="10" t="str">
        <f>VLOOKUP(A1003,vaccines!A:B,2)</f>
        <v>OrtopoxVac</v>
      </c>
      <c r="C1003" s="29">
        <v>59</v>
      </c>
      <c r="D1003" s="8" t="str">
        <f>VLOOKUP(C1003,contraindications_list!A:B,2)</f>
        <v>хроническое заболевание органов дыхания</v>
      </c>
      <c r="E1003" s="40">
        <v>45465</v>
      </c>
    </row>
    <row r="1004" spans="1:5">
      <c r="A1004" s="29">
        <v>134</v>
      </c>
      <c r="B1004" s="10" t="str">
        <f>VLOOKUP(A1004,vaccines!A:B,2)</f>
        <v>OrtopoxVac</v>
      </c>
      <c r="C1004" s="29">
        <v>27</v>
      </c>
      <c r="D1004" s="8" t="str">
        <f>VLOOKUP(C1004,contraindications_list!A:B,2)</f>
        <v>тяжелое заболевание сердца</v>
      </c>
      <c r="E1004" s="40">
        <v>45465</v>
      </c>
    </row>
    <row r="1005" spans="1:5">
      <c r="A1005" s="29">
        <v>134</v>
      </c>
      <c r="B1005" s="10" t="str">
        <f>VLOOKUP(A1005,vaccines!A:B,2)</f>
        <v>OrtopoxVac</v>
      </c>
      <c r="C1005" s="29">
        <v>67</v>
      </c>
      <c r="D1005" s="8" t="str">
        <f>VLOOKUP(C1005,contraindications_list!A:B,2)</f>
        <v>хроническое заболевание сердца</v>
      </c>
      <c r="E1005" s="40">
        <v>45465</v>
      </c>
    </row>
    <row r="1006" spans="1:5">
      <c r="A1006" s="29">
        <v>134</v>
      </c>
      <c r="B1006" s="10" t="str">
        <f>VLOOKUP(A1006,vaccines!A:B,2)</f>
        <v>OrtopoxVac</v>
      </c>
      <c r="C1006" s="29">
        <v>75</v>
      </c>
      <c r="D1006" s="8" t="str">
        <f>VLOOKUP(C1006,contraindications_list!A:B,2)</f>
        <v>болезни системы кровообращения</v>
      </c>
      <c r="E1006" s="40">
        <v>45465</v>
      </c>
    </row>
    <row r="1007" spans="1:5">
      <c r="A1007" s="29">
        <v>134</v>
      </c>
      <c r="B1007" s="10" t="str">
        <f>VLOOKUP(A1007,vaccines!A:B,2)</f>
        <v>OrtopoxVac</v>
      </c>
      <c r="C1007" s="29">
        <v>26</v>
      </c>
      <c r="D1007" s="8" t="str">
        <f>VLOOKUP(C1007,contraindications_list!A:B,2)</f>
        <v>тяжелое нарушение функции почек</v>
      </c>
      <c r="E1007" s="40">
        <v>45465</v>
      </c>
    </row>
    <row r="1008" spans="1:5">
      <c r="A1008" s="29">
        <v>134</v>
      </c>
      <c r="B1008" s="10" t="str">
        <f>VLOOKUP(A1008,vaccines!A:B,2)</f>
        <v>OrtopoxVac</v>
      </c>
      <c r="C1008" s="29">
        <v>36</v>
      </c>
      <c r="D1008" s="8" t="str">
        <f>VLOOKUP(C1008,contraindications_list!A:B,2)</f>
        <v>хроническое заболевание почек</v>
      </c>
      <c r="E1008" s="40">
        <v>45465</v>
      </c>
    </row>
    <row r="1009" spans="1:6">
      <c r="A1009" s="29">
        <v>134</v>
      </c>
      <c r="B1009" s="10" t="str">
        <f>VLOOKUP(A1009,vaccines!A:B,2)</f>
        <v>OrtopoxVac</v>
      </c>
      <c r="C1009" s="29">
        <v>37</v>
      </c>
      <c r="D1009" s="8" t="str">
        <f>VLOOKUP(C1009,contraindications_list!A:B,2)</f>
        <v>хроническое заболевание печени</v>
      </c>
      <c r="E1009" s="40">
        <v>45465</v>
      </c>
    </row>
    <row r="1010" spans="1:6">
      <c r="A1010" s="29">
        <v>134</v>
      </c>
      <c r="B1010" s="10" t="str">
        <f>VLOOKUP(A1010,vaccines!A:B,2)</f>
        <v>OrtopoxVac</v>
      </c>
      <c r="C1010" s="29">
        <v>38</v>
      </c>
      <c r="D1010" s="8" t="str">
        <f>VLOOKUP(C1010,contraindications_list!A:B,2)</f>
        <v>хроническое заболевание эндокринной системы</v>
      </c>
      <c r="E1010" s="40">
        <v>45465</v>
      </c>
    </row>
    <row r="1011" spans="1:6">
      <c r="A1011" s="29">
        <v>134</v>
      </c>
      <c r="B1011" s="10" t="str">
        <f>VLOOKUP(A1011,vaccines!A:B,2)</f>
        <v>OrtopoxVac</v>
      </c>
      <c r="C1011" s="29">
        <v>66</v>
      </c>
      <c r="D1011" s="8" t="str">
        <f>VLOOKUP(C1011,contraindications_list!A:B,2)</f>
        <v>хроническое заболевание желчных путей</v>
      </c>
      <c r="E1011" s="40">
        <v>45465</v>
      </c>
    </row>
    <row r="1012" spans="1:6">
      <c r="A1012" s="29">
        <v>134</v>
      </c>
      <c r="B1012" s="10" t="str">
        <f>VLOOKUP(A1012,vaccines!A:B,2)</f>
        <v>OrtopoxVac</v>
      </c>
      <c r="C1012" s="29">
        <v>7</v>
      </c>
      <c r="D1012" s="8" t="str">
        <f>VLOOKUP(C1012,contraindications_list!A:B,2)</f>
        <v>иммунодефицит</v>
      </c>
      <c r="E1012" s="40">
        <v>45465</v>
      </c>
    </row>
    <row r="1013" spans="1:6">
      <c r="A1013" s="29">
        <v>134</v>
      </c>
      <c r="B1013" s="10" t="str">
        <f>VLOOKUP(A1013,vaccines!A:B,2)</f>
        <v>OrtopoxVac</v>
      </c>
      <c r="C1013" s="29">
        <v>28</v>
      </c>
      <c r="D1013" s="8" t="str">
        <f>VLOOKUP(C1013,contraindications_list!A:B,2)</f>
        <v>иммуносупрессивная терапия</v>
      </c>
      <c r="E1013" s="40">
        <v>45465</v>
      </c>
    </row>
    <row r="1014" spans="1:6">
      <c r="A1014" s="29">
        <v>134</v>
      </c>
      <c r="B1014" s="10" t="str">
        <f>VLOOKUP(A1014,vaccines!A:B,2)</f>
        <v>OrtopoxVac</v>
      </c>
      <c r="C1014" s="29">
        <v>74</v>
      </c>
      <c r="D1014" s="8" t="str">
        <f>VLOOKUP(C1014,contraindications_list!A:B,2)</f>
        <v>злокачественное заболевание крови</v>
      </c>
      <c r="E1014" s="40">
        <v>45465</v>
      </c>
    </row>
    <row r="1015" spans="1:6">
      <c r="A1015" s="29">
        <v>134</v>
      </c>
      <c r="B1015" s="10" t="str">
        <f>VLOOKUP(A1015,vaccines!A:B,2)</f>
        <v>OrtopoxVac</v>
      </c>
      <c r="C1015" s="29">
        <v>8</v>
      </c>
      <c r="D1015" s="8" t="str">
        <f>VLOOKUP(C1015,contraindications_list!A:B,2)</f>
        <v>злокачественное новообразование</v>
      </c>
      <c r="E1015" s="40">
        <v>45465</v>
      </c>
    </row>
    <row r="1016" spans="1:6">
      <c r="A1016" s="29">
        <v>134</v>
      </c>
      <c r="B1016" s="10" t="str">
        <f>VLOOKUP(A1016,vaccines!A:B,2)</f>
        <v>OrtopoxVac</v>
      </c>
      <c r="C1016" s="29">
        <v>53</v>
      </c>
      <c r="D1016" s="8" t="str">
        <f>VLOOKUP(C1016,contraindications_list!A:B,2)</f>
        <v>неврологическое заболевание</v>
      </c>
      <c r="E1016" s="40">
        <v>45465</v>
      </c>
    </row>
    <row r="1017" spans="1:6">
      <c r="A1017" s="29">
        <v>134</v>
      </c>
      <c r="B1017" s="10" t="str">
        <f>VLOOKUP(A1017,vaccines!A:B,2)</f>
        <v>OrtopoxVac</v>
      </c>
      <c r="C1017" s="29">
        <v>22</v>
      </c>
      <c r="D1017" s="8" t="str">
        <f>VLOOKUP(C1017,contraindications_list!A:B,2)</f>
        <v>беременность</v>
      </c>
      <c r="E1017" s="40">
        <v>45465</v>
      </c>
    </row>
    <row r="1018" spans="1:6">
      <c r="A1018" s="29">
        <v>134</v>
      </c>
      <c r="B1018" s="10" t="str">
        <f>VLOOKUP(A1018,vaccines!A:B,2)</f>
        <v>OrtopoxVac</v>
      </c>
      <c r="C1018" s="29">
        <v>23</v>
      </c>
      <c r="D1018" s="8" t="str">
        <f>VLOOKUP(C1018,contraindications_list!A:B,2)</f>
        <v>грудное вскармливание</v>
      </c>
      <c r="E1018" s="40">
        <v>45465</v>
      </c>
    </row>
    <row r="1019" spans="1:6">
      <c r="A1019" s="29">
        <v>134</v>
      </c>
      <c r="B1019" s="10" t="str">
        <f>VLOOKUP(A1019,vaccines!A:B,2)</f>
        <v>OrtopoxVac</v>
      </c>
      <c r="C1019" s="29">
        <v>68</v>
      </c>
      <c r="D1019" s="8" t="str">
        <f>VLOOKUP(C1019,contraindications_list!A:B,2)</f>
        <v>высокая температура тела</v>
      </c>
      <c r="E1019" s="40">
        <v>45465</v>
      </c>
    </row>
    <row r="1020" spans="1:6">
      <c r="A1020" s="29">
        <v>134</v>
      </c>
      <c r="B1020" s="10" t="str">
        <f>VLOOKUP(A1020,vaccines!A:B,2)</f>
        <v>OrtopoxVac</v>
      </c>
      <c r="C1020" s="29">
        <v>81</v>
      </c>
      <c r="D1020" s="8" t="str">
        <f>VLOOKUP(C1020,contraindications_list!A:B,2)</f>
        <v>заболевания надпочечников</v>
      </c>
      <c r="E1020" s="40">
        <v>45494</v>
      </c>
    </row>
    <row r="1021" spans="1:6">
      <c r="A1021" s="29">
        <v>134</v>
      </c>
      <c r="B1021" s="10" t="str">
        <f>VLOOKUP(A1021,vaccines!A:B,2)</f>
        <v>OrtopoxVac</v>
      </c>
      <c r="C1021" s="29">
        <v>83</v>
      </c>
      <c r="D1021" s="8" t="str">
        <f>VLOOKUP(C1021,contraindications_list!A:B,2)</f>
        <v>тимомегалия</v>
      </c>
      <c r="E1021" s="40">
        <v>45497</v>
      </c>
    </row>
    <row r="1022" spans="1:6">
      <c r="A1022" s="29">
        <v>135</v>
      </c>
      <c r="B1022" s="10" t="str">
        <f>VLOOKUP(A1022,vaccines!A:B,2)</f>
        <v>FlexVac</v>
      </c>
      <c r="C1022" s="29">
        <v>5</v>
      </c>
      <c r="D1022" s="8" t="str">
        <f>VLOOKUP(C1022,contraindications_list!A:B,2)</f>
        <v>острое заболевание</v>
      </c>
      <c r="E1022" s="40">
        <v>45465</v>
      </c>
    </row>
    <row r="1023" spans="1:6">
      <c r="A1023" s="29">
        <v>135</v>
      </c>
      <c r="B1023" s="10" t="str">
        <f>VLOOKUP(A1023,vaccines!A:B,2)</f>
        <v>FlexVac</v>
      </c>
      <c r="C1023" s="29">
        <v>1</v>
      </c>
      <c r="D1023" s="8" t="str">
        <f>VLOOKUP(C1023,contraindications_list!A:B,2)</f>
        <v>гиперчувствительность к компонентам</v>
      </c>
      <c r="E1023" s="40">
        <v>45465</v>
      </c>
      <c r="F1023" s="40">
        <v>46188</v>
      </c>
    </row>
    <row r="1024" spans="1:6">
      <c r="A1024" s="29">
        <v>135</v>
      </c>
      <c r="B1024" s="10" t="str">
        <f>VLOOKUP(A1024,vaccines!A:B,2)</f>
        <v>FlexVac</v>
      </c>
      <c r="C1024" s="29">
        <v>22</v>
      </c>
      <c r="D1024" s="8" t="str">
        <f>VLOOKUP(C1024,contraindications_list!A:B,2)</f>
        <v>беременность</v>
      </c>
      <c r="E1024" s="40">
        <v>45465</v>
      </c>
    </row>
    <row r="1025" spans="1:5">
      <c r="A1025" s="29">
        <v>135</v>
      </c>
      <c r="B1025" s="10" t="str">
        <f>VLOOKUP(A1025,vaccines!A:B,2)</f>
        <v>FlexVac</v>
      </c>
      <c r="C1025" s="29">
        <v>23</v>
      </c>
      <c r="D1025" s="8" t="str">
        <f>VLOOKUP(C1025,contraindications_list!A:B,2)</f>
        <v>грудное вскармливание</v>
      </c>
      <c r="E1025" s="40">
        <v>45465</v>
      </c>
    </row>
    <row r="1026" spans="1:5">
      <c r="A1026" s="29">
        <v>135</v>
      </c>
      <c r="B1026" s="10" t="str">
        <f>VLOOKUP(A1026,vaccines!A:B,2)</f>
        <v>FlexVac</v>
      </c>
      <c r="C1026" s="29">
        <v>15</v>
      </c>
      <c r="D1026" s="8" t="str">
        <f>VLOOKUP(C1026,contraindications_list!A:B,2)</f>
        <v>сильная общая реакция на предыдущее введение вакцины</v>
      </c>
      <c r="E1026" s="40">
        <v>45465</v>
      </c>
    </row>
    <row r="1027" spans="1:5">
      <c r="A1027" s="29">
        <v>136</v>
      </c>
      <c r="B1027" s="10" t="str">
        <f>VLOOKUP(A1027,vaccines!A:B,2)</f>
        <v>SinSaVac</v>
      </c>
      <c r="C1027" s="29">
        <v>1</v>
      </c>
      <c r="D1027" s="8" t="str">
        <f>VLOOKUP(C1027,contraindications_list!A:B,2)</f>
        <v>гиперчувствительность к компонентам</v>
      </c>
      <c r="E1027" s="40">
        <v>45465</v>
      </c>
    </row>
    <row r="1028" spans="1:5">
      <c r="A1028" s="29">
        <v>136</v>
      </c>
      <c r="B1028" s="10" t="str">
        <f>VLOOKUP(A1028,vaccines!A:B,2)</f>
        <v>SinSaVac</v>
      </c>
      <c r="C1028" s="29">
        <v>24</v>
      </c>
      <c r="D1028" s="8" t="str">
        <f>VLOOKUP(C1028,contraindications_list!A:B,2)</f>
        <v>аллергия на куриный белок</v>
      </c>
      <c r="E1028" s="40">
        <v>45465</v>
      </c>
    </row>
    <row r="1029" spans="1:5">
      <c r="A1029" s="29">
        <v>136</v>
      </c>
      <c r="B1029" s="10" t="str">
        <f>VLOOKUP(A1029,vaccines!A:B,2)</f>
        <v>SinSaVac</v>
      </c>
      <c r="C1029" s="29">
        <v>15</v>
      </c>
      <c r="D1029" s="8" t="str">
        <f>VLOOKUP(C1029,contraindications_list!A:B,2)</f>
        <v>сильная общая реакция на предыдущее введение вакцины</v>
      </c>
      <c r="E1029" s="40">
        <v>45465</v>
      </c>
    </row>
    <row r="1030" spans="1:5">
      <c r="A1030" s="29">
        <v>136</v>
      </c>
      <c r="B1030" s="10" t="str">
        <f>VLOOKUP(A1030,vaccines!A:B,2)</f>
        <v>SinSaVac</v>
      </c>
      <c r="C1030" s="29">
        <v>5</v>
      </c>
      <c r="D1030" s="8" t="str">
        <f>VLOOKUP(C1030,contraindications_list!A:B,2)</f>
        <v>острое заболевание</v>
      </c>
      <c r="E1030" s="40">
        <v>45465</v>
      </c>
    </row>
    <row r="1031" spans="1:5">
      <c r="A1031" s="29">
        <v>136</v>
      </c>
      <c r="B1031" s="10" t="str">
        <f>VLOOKUP(A1031,vaccines!A:B,2)</f>
        <v>SinSaVac</v>
      </c>
      <c r="C1031" s="29">
        <v>6</v>
      </c>
      <c r="D1031" s="8" t="str">
        <f>VLOOKUP(C1031,contraindications_list!A:B,2)</f>
        <v>обострение хронического заболевания</v>
      </c>
      <c r="E1031" s="40">
        <v>45465</v>
      </c>
    </row>
    <row r="1032" spans="1:5">
      <c r="A1032" s="29">
        <v>136</v>
      </c>
      <c r="B1032" s="10" t="str">
        <f>VLOOKUP(A1032,vaccines!A:B,2)</f>
        <v>SinSaVac</v>
      </c>
      <c r="C1032" s="29">
        <v>54</v>
      </c>
      <c r="D1032" s="8" t="str">
        <f>VLOOKUP(C1032,contraindications_list!A:B,2)</f>
        <v>заболевание вилочковой железы</v>
      </c>
      <c r="E1032" s="40">
        <v>45465</v>
      </c>
    </row>
    <row r="1033" spans="1:5">
      <c r="A1033" s="29">
        <v>136</v>
      </c>
      <c r="B1033" s="10" t="str">
        <f>VLOOKUP(A1033,vaccines!A:B,2)</f>
        <v>SinSaVac</v>
      </c>
      <c r="C1033" s="29">
        <v>7</v>
      </c>
      <c r="D1033" s="8" t="str">
        <f>VLOOKUP(C1033,contraindications_list!A:B,2)</f>
        <v>иммунодефицит</v>
      </c>
      <c r="E1033" s="40">
        <v>45465</v>
      </c>
    </row>
    <row r="1034" spans="1:5">
      <c r="A1034" s="29">
        <v>136</v>
      </c>
      <c r="B1034" s="10" t="str">
        <f>VLOOKUP(A1034,vaccines!A:B,2)</f>
        <v>SinSaVac</v>
      </c>
      <c r="C1034" s="29">
        <v>28</v>
      </c>
      <c r="D1034" s="8" t="str">
        <f>VLOOKUP(C1034,contraindications_list!A:B,2)</f>
        <v>иммуносупрессивная терапия</v>
      </c>
      <c r="E1034" s="40">
        <v>45465</v>
      </c>
    </row>
    <row r="1035" spans="1:5">
      <c r="A1035" s="29">
        <v>136</v>
      </c>
      <c r="B1035" s="10" t="str">
        <f>VLOOKUP(A1035,vaccines!A:B,2)</f>
        <v>SinSaVac</v>
      </c>
      <c r="C1035" s="29">
        <v>22</v>
      </c>
      <c r="D1035" s="8" t="str">
        <f>VLOOKUP(C1035,contraindications_list!A:B,2)</f>
        <v>беременность</v>
      </c>
      <c r="E1035" s="40">
        <v>45465</v>
      </c>
    </row>
    <row r="1036" spans="1:5">
      <c r="A1036" s="29">
        <v>136</v>
      </c>
      <c r="B1036" s="10" t="str">
        <f>VLOOKUP(A1036,vaccines!A:B,2)</f>
        <v>SinSaVac</v>
      </c>
      <c r="C1036" s="29">
        <v>23</v>
      </c>
      <c r="D1036" s="8" t="str">
        <f>VLOOKUP(C1036,contraindications_list!A:B,2)</f>
        <v>грудное вскармливание</v>
      </c>
      <c r="E1036" s="40">
        <v>45465</v>
      </c>
    </row>
    <row r="1037" spans="1:5">
      <c r="A1037" s="29">
        <v>136</v>
      </c>
      <c r="B1037" s="10" t="str">
        <f>VLOOKUP(A1037,vaccines!A:B,2)</f>
        <v>SinSaVac</v>
      </c>
      <c r="C1037" s="29">
        <v>45</v>
      </c>
      <c r="D1037" s="8" t="str">
        <f>VLOOKUP(C1037,contraindications_list!A:B,2)</f>
        <v>непереносимость фруктозы</v>
      </c>
      <c r="E1037" s="40">
        <v>45465</v>
      </c>
    </row>
    <row r="1038" spans="1:5">
      <c r="A1038" s="29">
        <v>138</v>
      </c>
      <c r="B1038" s="10" t="str">
        <f>VLOOKUP(A1038,vaccines!A:B,2)</f>
        <v>EpiVacEbola</v>
      </c>
      <c r="C1038" s="29">
        <v>1</v>
      </c>
      <c r="D1038" s="8" t="str">
        <f>VLOOKUP(C1038,contraindications_list!A:B,2)</f>
        <v>гиперчувствительность к компонентам</v>
      </c>
      <c r="E1038" s="40">
        <v>45465</v>
      </c>
    </row>
    <row r="1039" spans="1:5">
      <c r="A1039" s="29">
        <v>138</v>
      </c>
      <c r="B1039" s="10" t="str">
        <f>VLOOKUP(A1039,vaccines!A:B,2)</f>
        <v>EpiVacEbola</v>
      </c>
      <c r="C1039" s="29">
        <v>21</v>
      </c>
      <c r="D1039" s="8" t="str">
        <f>VLOOKUP(C1039,contraindications_list!A:B,2)</f>
        <v>тяжелые аллергические реакции</v>
      </c>
      <c r="E1039" s="40">
        <v>45465</v>
      </c>
    </row>
    <row r="1040" spans="1:5">
      <c r="A1040" s="29">
        <v>138</v>
      </c>
      <c r="B1040" s="10" t="str">
        <f>VLOOKUP(A1040,vaccines!A:B,2)</f>
        <v>EpiVacEbola</v>
      </c>
      <c r="C1040" s="29">
        <v>5</v>
      </c>
      <c r="D1040" s="8" t="str">
        <f>VLOOKUP(C1040,contraindications_list!A:B,2)</f>
        <v>острое заболевание</v>
      </c>
      <c r="E1040" s="40">
        <v>45465</v>
      </c>
    </row>
    <row r="1041" spans="1:5">
      <c r="A1041" s="29">
        <v>138</v>
      </c>
      <c r="B1041" s="10" t="str">
        <f>VLOOKUP(A1041,vaccines!A:B,2)</f>
        <v>EpiVacEbola</v>
      </c>
      <c r="C1041" s="29">
        <v>6</v>
      </c>
      <c r="D1041" s="8" t="str">
        <f>VLOOKUP(C1041,contraindications_list!A:B,2)</f>
        <v>обострение хронического заболевания</v>
      </c>
      <c r="E1041" s="40">
        <v>45465</v>
      </c>
    </row>
    <row r="1042" spans="1:5">
      <c r="A1042" s="29">
        <v>138</v>
      </c>
      <c r="B1042" s="10" t="str">
        <f>VLOOKUP(A1042,vaccines!A:B,2)</f>
        <v>EpiVacEbola</v>
      </c>
      <c r="C1042" s="29">
        <v>74</v>
      </c>
      <c r="D1042" s="8" t="str">
        <f>VLOOKUP(C1042,contraindications_list!A:B,2)</f>
        <v>злокачественное заболевание крови</v>
      </c>
      <c r="E1042" s="40">
        <v>45465</v>
      </c>
    </row>
    <row r="1043" spans="1:5">
      <c r="A1043" s="29">
        <v>138</v>
      </c>
      <c r="B1043" s="10" t="str">
        <f>VLOOKUP(A1043,vaccines!A:B,2)</f>
        <v>EpiVacEbola</v>
      </c>
      <c r="C1043" s="29">
        <v>8</v>
      </c>
      <c r="D1043" s="8" t="str">
        <f>VLOOKUP(C1043,contraindications_list!A:B,2)</f>
        <v>злокачественное новообразование</v>
      </c>
      <c r="E1043" s="40">
        <v>45465</v>
      </c>
    </row>
    <row r="1044" spans="1:5">
      <c r="A1044" s="29">
        <v>138</v>
      </c>
      <c r="B1044" s="10" t="str">
        <f>VLOOKUP(A1044,vaccines!A:B,2)</f>
        <v>EpiVacEbola</v>
      </c>
      <c r="C1044" s="29">
        <v>22</v>
      </c>
      <c r="D1044" s="8" t="str">
        <f>VLOOKUP(C1044,contraindications_list!A:B,2)</f>
        <v>беременность</v>
      </c>
      <c r="E1044" s="40">
        <v>45465</v>
      </c>
    </row>
    <row r="1045" spans="1:5">
      <c r="A1045" s="29">
        <v>138</v>
      </c>
      <c r="B1045" s="10" t="str">
        <f>VLOOKUP(A1045,vaccines!A:B,2)</f>
        <v>EpiVacEbola</v>
      </c>
      <c r="C1045" s="29">
        <v>23</v>
      </c>
      <c r="D1045" s="8" t="str">
        <f>VLOOKUP(C1045,contraindications_list!A:B,2)</f>
        <v>грудное вскармливание</v>
      </c>
      <c r="E1045" s="40">
        <v>45465</v>
      </c>
    </row>
    <row r="1046" spans="1:5">
      <c r="A1046" s="29">
        <v>138</v>
      </c>
      <c r="B1046" s="10" t="str">
        <f>VLOOKUP(A1046,vaccines!A:B,2)</f>
        <v>EpiVacEbola</v>
      </c>
      <c r="C1046" s="29">
        <v>68</v>
      </c>
      <c r="D1046" s="8" t="str">
        <f>VLOOKUP(C1046,contraindications_list!A:B,2)</f>
        <v>высокая температура тела</v>
      </c>
      <c r="E1046" s="40">
        <v>45465</v>
      </c>
    </row>
    <row r="1047" spans="1:5">
      <c r="A1047" s="29">
        <v>139</v>
      </c>
      <c r="B1047" s="10" t="str">
        <f>VLOOKUP(A1047,vaccines!A:B,2)</f>
        <v>GamEvac_Combi</v>
      </c>
      <c r="C1047" s="29">
        <v>1</v>
      </c>
      <c r="D1047" s="8" t="str">
        <f>VLOOKUP(C1047,contraindications_list!A:B,2)</f>
        <v>гиперчувствительность к компонентам</v>
      </c>
      <c r="E1047" s="40">
        <v>46131</v>
      </c>
    </row>
    <row r="1048" spans="1:5">
      <c r="A1048" s="29">
        <v>139</v>
      </c>
      <c r="B1048" s="10" t="str">
        <f>VLOOKUP(A1048,vaccines!A:B,2)</f>
        <v>GamEvac_Combi</v>
      </c>
      <c r="C1048" s="29">
        <v>15</v>
      </c>
      <c r="D1048" s="8" t="str">
        <f>VLOOKUP(C1048,contraindications_list!A:B,2)</f>
        <v>сильная общая реакция на предыдущее введение вакцины</v>
      </c>
      <c r="E1048" s="40">
        <v>46131</v>
      </c>
    </row>
    <row r="1049" spans="1:5">
      <c r="A1049" s="29">
        <v>139</v>
      </c>
      <c r="B1049" s="10" t="str">
        <f>VLOOKUP(A1049,vaccines!A:B,2)</f>
        <v>GamEvac_Combi</v>
      </c>
      <c r="C1049" s="29">
        <v>5</v>
      </c>
      <c r="D1049" s="8" t="str">
        <f>VLOOKUP(C1049,contraindications_list!A:B,2)</f>
        <v>острое заболевание</v>
      </c>
      <c r="E1049" s="40">
        <v>46131</v>
      </c>
    </row>
    <row r="1050" spans="1:5">
      <c r="A1050" s="29">
        <v>139</v>
      </c>
      <c r="B1050" s="10" t="str">
        <f>VLOOKUP(A1050,vaccines!A:B,2)</f>
        <v>GamEvac_Combi</v>
      </c>
      <c r="C1050" s="29">
        <v>6</v>
      </c>
      <c r="D1050" s="8" t="str">
        <f>VLOOKUP(C1050,contraindications_list!A:B,2)</f>
        <v>обострение хронического заболевания</v>
      </c>
      <c r="E1050" s="40">
        <v>46131</v>
      </c>
    </row>
    <row r="1051" spans="1:5">
      <c r="A1051" s="29">
        <v>141</v>
      </c>
      <c r="B1051" s="10" t="str">
        <f>VLOOKUP(A1051,vaccines!A:B,2)</f>
        <v>Staphylococcus_therapeutic_Biomed</v>
      </c>
      <c r="C1051" s="29">
        <v>5</v>
      </c>
      <c r="D1051" s="8" t="str">
        <f>VLOOKUP(C1051,contraindications_list!A:B,2)</f>
        <v>острое заболевание</v>
      </c>
      <c r="E1051" s="40">
        <v>45465</v>
      </c>
    </row>
    <row r="1052" spans="1:5">
      <c r="A1052" s="29">
        <v>141</v>
      </c>
      <c r="B1052" s="10" t="str">
        <f>VLOOKUP(A1052,vaccines!A:B,2)</f>
        <v>Staphylococcus_therapeutic_Biomed</v>
      </c>
      <c r="C1052" s="29">
        <v>6</v>
      </c>
      <c r="D1052" s="8" t="str">
        <f>VLOOKUP(C1052,contraindications_list!A:B,2)</f>
        <v>обострение хронического заболевания</v>
      </c>
      <c r="E1052" s="40">
        <v>45465</v>
      </c>
    </row>
    <row r="1053" spans="1:5">
      <c r="A1053" s="29">
        <v>141</v>
      </c>
      <c r="B1053" s="10" t="str">
        <f>VLOOKUP(A1053,vaccines!A:B,2)</f>
        <v>Staphylococcus_therapeutic_Biomed</v>
      </c>
      <c r="C1053" s="29">
        <v>57</v>
      </c>
      <c r="D1053" s="8" t="str">
        <f>VLOOKUP(C1053,contraindications_list!A:B,2)</f>
        <v>распространенное рецидивирующее заболевание кожи</v>
      </c>
      <c r="E1053" s="40">
        <v>45465</v>
      </c>
    </row>
    <row r="1054" spans="1:5">
      <c r="A1054" s="29">
        <v>141</v>
      </c>
      <c r="B1054" s="10" t="str">
        <f>VLOOKUP(A1054,vaccines!A:B,2)</f>
        <v>Staphylococcus_therapeutic_Biomed</v>
      </c>
      <c r="C1054" s="29">
        <v>76</v>
      </c>
      <c r="D1054" s="8" t="str">
        <f>VLOOKUP(C1054,contraindications_list!A:B,2)</f>
        <v>рахит II и III степени</v>
      </c>
      <c r="E1054" s="40">
        <v>45465</v>
      </c>
    </row>
    <row r="1055" spans="1:5">
      <c r="A1055" s="29">
        <v>141</v>
      </c>
      <c r="B1055" s="10" t="str">
        <f>VLOOKUP(A1055,vaccines!A:B,2)</f>
        <v>Staphylococcus_therapeutic_Biomed</v>
      </c>
      <c r="C1055" s="29">
        <v>70</v>
      </c>
      <c r="D1055" s="8" t="str">
        <f>VLOOKUP(C1055,contraindications_list!A:B,2)</f>
        <v>гипотрофия III степени</v>
      </c>
      <c r="E1055" s="40">
        <v>45465</v>
      </c>
    </row>
    <row r="1056" spans="1:5">
      <c r="A1056" s="29">
        <v>141</v>
      </c>
      <c r="B1056" s="10" t="str">
        <f>VLOOKUP(A1056,vaccines!A:B,2)</f>
        <v>Staphylococcus_therapeutic_Biomed</v>
      </c>
      <c r="C1056" s="29">
        <v>37</v>
      </c>
      <c r="D1056" s="8" t="str">
        <f>VLOOKUP(C1056,contraindications_list!A:B,2)</f>
        <v>хроническое заболевание печени</v>
      </c>
      <c r="E1056" s="40">
        <v>45465</v>
      </c>
    </row>
    <row r="1057" spans="1:5">
      <c r="A1057" s="29">
        <v>141</v>
      </c>
      <c r="B1057" s="10" t="str">
        <f>VLOOKUP(A1057,vaccines!A:B,2)</f>
        <v>Staphylococcus_therapeutic_Biomed</v>
      </c>
      <c r="C1057" s="29">
        <v>36</v>
      </c>
      <c r="D1057" s="8" t="str">
        <f>VLOOKUP(C1057,contraindications_list!A:B,2)</f>
        <v>хроническое заболевание почек</v>
      </c>
      <c r="E1057" s="40">
        <v>45465</v>
      </c>
    </row>
    <row r="1058" spans="1:5">
      <c r="A1058" s="29">
        <v>141</v>
      </c>
      <c r="B1058" s="10" t="str">
        <f>VLOOKUP(A1058,vaccines!A:B,2)</f>
        <v>Staphylococcus_therapeutic_Biomed</v>
      </c>
      <c r="C1058" s="29">
        <v>1</v>
      </c>
      <c r="D1058" s="8" t="str">
        <f>VLOOKUP(C1058,contraindications_list!A:B,2)</f>
        <v>гиперчувствительность к компонентам</v>
      </c>
      <c r="E1058" s="40">
        <v>45465</v>
      </c>
    </row>
    <row r="1059" spans="1:5">
      <c r="A1059" s="29">
        <v>141</v>
      </c>
      <c r="B1059" s="10" t="str">
        <f>VLOOKUP(A1059,vaccines!A:B,2)</f>
        <v>Staphylococcus_therapeutic_Biomed</v>
      </c>
      <c r="C1059" s="29">
        <v>49</v>
      </c>
      <c r="D1059" s="8" t="str">
        <f>VLOOKUP(C1059,contraindications_list!A:B,2)</f>
        <v>бронхиальная астма</v>
      </c>
      <c r="E1059" s="40">
        <v>45465</v>
      </c>
    </row>
    <row r="1060" spans="1:5">
      <c r="A1060" s="29">
        <v>141</v>
      </c>
      <c r="B1060" s="10" t="str">
        <f>VLOOKUP(A1060,vaccines!A:B,2)</f>
        <v>Staphylococcus_therapeutic_Biomed</v>
      </c>
      <c r="C1060" s="29">
        <v>59</v>
      </c>
      <c r="D1060" s="8" t="str">
        <f>VLOOKUP(C1060,contraindications_list!A:B,2)</f>
        <v>хроническое заболевание органов дыхания</v>
      </c>
      <c r="E1060" s="40">
        <v>45465</v>
      </c>
    </row>
    <row r="1061" spans="1:5">
      <c r="A1061" s="29">
        <v>141</v>
      </c>
      <c r="B1061" s="10" t="str">
        <f>VLOOKUP(A1061,vaccines!A:B,2)</f>
        <v>Staphylococcus_therapeutic_Biomed</v>
      </c>
      <c r="C1061" s="29">
        <v>21</v>
      </c>
      <c r="D1061" s="8" t="str">
        <f>VLOOKUP(C1061,contraindications_list!A:B,2)</f>
        <v>тяжелые аллергические реакции</v>
      </c>
      <c r="E1061" s="40">
        <v>45465</v>
      </c>
    </row>
    <row r="1062" spans="1:5">
      <c r="A1062" s="29">
        <v>141</v>
      </c>
      <c r="B1062" s="10" t="str">
        <f>VLOOKUP(A1062,vaccines!A:B,2)</f>
        <v>Staphylococcus_therapeutic_Biomed</v>
      </c>
      <c r="C1062" s="29">
        <v>58</v>
      </c>
      <c r="D1062" s="8" t="str">
        <f>VLOOKUP(C1062,contraindications_list!A:B,2)</f>
        <v>аллергия</v>
      </c>
      <c r="E1062" s="40">
        <v>45465</v>
      </c>
    </row>
    <row r="1063" spans="1:5">
      <c r="A1063" s="29">
        <v>141</v>
      </c>
      <c r="B1063" s="10" t="str">
        <f>VLOOKUP(A1063,vaccines!A:B,2)</f>
        <v>Staphylococcus_therapeutic_Biomed</v>
      </c>
      <c r="C1063" s="29">
        <v>38</v>
      </c>
      <c r="D1063" s="8" t="str">
        <f>VLOOKUP(C1063,contraindications_list!A:B,2)</f>
        <v>хроническое заболевание эндокринной системы</v>
      </c>
      <c r="E1063" s="40">
        <v>45465</v>
      </c>
    </row>
    <row r="1064" spans="1:5">
      <c r="A1064" s="29">
        <v>141</v>
      </c>
      <c r="B1064" s="10" t="str">
        <f>VLOOKUP(A1064,vaccines!A:B,2)</f>
        <v>Staphylococcus_therapeutic_Biomed</v>
      </c>
      <c r="C1064" s="29">
        <v>53</v>
      </c>
      <c r="D1064" s="8" t="str">
        <f>VLOOKUP(C1064,contraindications_list!A:B,2)</f>
        <v>неврологическое заболевание</v>
      </c>
      <c r="E1064" s="40">
        <v>45465</v>
      </c>
    </row>
    <row r="1065" spans="1:5">
      <c r="A1065" s="29">
        <v>141</v>
      </c>
      <c r="B1065" s="10" t="str">
        <f>VLOOKUP(A1065,vaccines!A:B,2)</f>
        <v>Staphylococcus_therapeutic_Biomed</v>
      </c>
      <c r="C1065" s="29">
        <v>68</v>
      </c>
      <c r="D1065" s="8" t="str">
        <f>VLOOKUP(C1065,contraindications_list!A:B,2)</f>
        <v>высокая температура тела</v>
      </c>
      <c r="E1065" s="40">
        <v>45465</v>
      </c>
    </row>
    <row r="1066" spans="1:5">
      <c r="A1066" s="29">
        <v>142</v>
      </c>
      <c r="B1066" s="10" t="str">
        <f>VLOOKUP(A1066,vaccines!A:B,2)</f>
        <v>Pseudovac</v>
      </c>
      <c r="C1066" s="29">
        <v>5</v>
      </c>
      <c r="D1066" s="8" t="str">
        <f>VLOOKUP(C1066,contraindications_list!A:B,2)</f>
        <v>острое заболевание</v>
      </c>
      <c r="E1066" s="40">
        <v>45466</v>
      </c>
    </row>
    <row r="1067" spans="1:5">
      <c r="A1067" s="29">
        <v>142</v>
      </c>
      <c r="B1067" s="10" t="str">
        <f>VLOOKUP(A1067,vaccines!A:B,2)</f>
        <v>Pseudovac</v>
      </c>
      <c r="C1067" s="29">
        <v>6</v>
      </c>
      <c r="D1067" s="8" t="str">
        <f>VLOOKUP(C1067,contraindications_list!A:B,2)</f>
        <v>обострение хронического заболевания</v>
      </c>
      <c r="E1067" s="40">
        <v>45466</v>
      </c>
    </row>
    <row r="1068" spans="1:5">
      <c r="A1068" s="29">
        <v>142</v>
      </c>
      <c r="B1068" s="10" t="str">
        <f>VLOOKUP(A1068,vaccines!A:B,2)</f>
        <v>Pseudovac</v>
      </c>
      <c r="C1068" s="29">
        <v>22</v>
      </c>
      <c r="D1068" s="8" t="str">
        <f>VLOOKUP(C1068,contraindications_list!A:B,2)</f>
        <v>беременность</v>
      </c>
      <c r="E1068" s="40">
        <v>45466</v>
      </c>
    </row>
    <row r="1069" spans="1:5">
      <c r="A1069" s="29">
        <v>142</v>
      </c>
      <c r="B1069" s="10" t="str">
        <f>VLOOKUP(A1069,vaccines!A:B,2)</f>
        <v>Pseudovac</v>
      </c>
      <c r="C1069" s="29">
        <v>23</v>
      </c>
      <c r="D1069" s="8" t="str">
        <f>VLOOKUP(C1069,contraindications_list!A:B,2)</f>
        <v>грудное вскармливание</v>
      </c>
      <c r="E1069" s="40">
        <v>45466</v>
      </c>
    </row>
    <row r="1070" spans="1:5">
      <c r="A1070" s="29">
        <v>142</v>
      </c>
      <c r="B1070" s="10" t="str">
        <f>VLOOKUP(A1070,vaccines!A:B,2)</f>
        <v>Pseudovac</v>
      </c>
      <c r="C1070" s="29">
        <v>1</v>
      </c>
      <c r="D1070" s="8" t="str">
        <f>VLOOKUP(C1070,contraindications_list!A:B,2)</f>
        <v>гиперчувствительность к компонентам</v>
      </c>
      <c r="E1070" s="40">
        <v>45466</v>
      </c>
    </row>
    <row r="1071" spans="1:5">
      <c r="A1071" s="29">
        <v>143</v>
      </c>
      <c r="B1071" s="10" t="str">
        <f>VLOOKUP(A1071,vaccines!A:B,2)</f>
        <v>SPSA_therapeutic</v>
      </c>
      <c r="C1071" s="29">
        <v>5</v>
      </c>
      <c r="D1071" s="8" t="str">
        <f>VLOOKUP(C1071,contraindications_list!A:B,2)</f>
        <v>острое заболевание</v>
      </c>
      <c r="E1071" s="40">
        <v>45466</v>
      </c>
    </row>
    <row r="1072" spans="1:5">
      <c r="A1072" s="29">
        <v>143</v>
      </c>
      <c r="B1072" s="10" t="str">
        <f>VLOOKUP(A1072,vaccines!A:B,2)</f>
        <v>SPSA_therapeutic</v>
      </c>
      <c r="C1072" s="29">
        <v>6</v>
      </c>
      <c r="D1072" s="8" t="str">
        <f>VLOOKUP(C1072,contraindications_list!A:B,2)</f>
        <v>обострение хронического заболевания</v>
      </c>
      <c r="E1072" s="40">
        <v>45466</v>
      </c>
    </row>
    <row r="1073" spans="1:5">
      <c r="A1073" s="29">
        <v>143</v>
      </c>
      <c r="B1073" s="10" t="str">
        <f>VLOOKUP(A1073,vaccines!A:B,2)</f>
        <v>SPSA_therapeutic</v>
      </c>
      <c r="C1073" s="29">
        <v>58</v>
      </c>
      <c r="D1073" s="8" t="str">
        <f>VLOOKUP(C1073,contraindications_list!A:B,2)</f>
        <v>аллергия</v>
      </c>
      <c r="E1073" s="40">
        <v>45466</v>
      </c>
    </row>
    <row r="1074" spans="1:5">
      <c r="A1074" s="29">
        <v>143</v>
      </c>
      <c r="B1074" s="10" t="str">
        <f>VLOOKUP(A1074,vaccines!A:B,2)</f>
        <v>SPSA_therapeutic</v>
      </c>
      <c r="C1074" s="29">
        <v>1</v>
      </c>
      <c r="D1074" s="8" t="str">
        <f>VLOOKUP(C1074,contraindications_list!A:B,2)</f>
        <v>гиперчувствительность к компонентам</v>
      </c>
      <c r="E1074" s="40">
        <v>45466</v>
      </c>
    </row>
    <row r="1075" spans="1:5">
      <c r="A1075" s="29">
        <v>144</v>
      </c>
      <c r="B1075" s="10" t="str">
        <f>VLOOKUP(A1075,vaccines!A:B,2)</f>
        <v>HepB_Serum_India_0_5</v>
      </c>
      <c r="C1075" s="29">
        <v>1</v>
      </c>
      <c r="D1075" s="8" t="str">
        <f>VLOOKUP(C1075,contraindications_list!A:B,2)</f>
        <v>гиперчувствительность к компонентам</v>
      </c>
      <c r="E1075" s="40">
        <v>45466</v>
      </c>
    </row>
    <row r="1076" spans="1:5">
      <c r="A1076" s="29">
        <v>144</v>
      </c>
      <c r="B1076" s="10" t="str">
        <f>VLOOKUP(A1076,vaccines!A:B,2)</f>
        <v>HepB_Serum_India_0_5</v>
      </c>
      <c r="C1076" s="29">
        <v>15</v>
      </c>
      <c r="D1076" s="8" t="str">
        <f>VLOOKUP(C1076,contraindications_list!A:B,2)</f>
        <v>сильная общая реакция на предыдущее введение вакцины</v>
      </c>
      <c r="E1076" s="40">
        <v>45466</v>
      </c>
    </row>
    <row r="1077" spans="1:5">
      <c r="A1077" s="29">
        <v>144</v>
      </c>
      <c r="B1077" s="10" t="str">
        <f>VLOOKUP(A1077,vaccines!A:B,2)</f>
        <v>HepB_Serum_India_0_5</v>
      </c>
      <c r="C1077" s="29">
        <v>19</v>
      </c>
      <c r="D1077" s="8" t="str">
        <f>VLOOKUP(C1077,contraindications_list!A:B,2)</f>
        <v>осложнение на предыдущее введение вакцины</v>
      </c>
      <c r="E1077" s="40">
        <v>45466</v>
      </c>
    </row>
    <row r="1078" spans="1:5">
      <c r="A1078" s="29">
        <v>144</v>
      </c>
      <c r="B1078" s="10" t="str">
        <f>VLOOKUP(A1078,vaccines!A:B,2)</f>
        <v>HepB_Serum_India_0_5</v>
      </c>
      <c r="C1078" s="29">
        <v>5</v>
      </c>
      <c r="D1078" s="8" t="str">
        <f>VLOOKUP(C1078,contraindications_list!A:B,2)</f>
        <v>острое заболевание</v>
      </c>
      <c r="E1078" s="40">
        <v>45466</v>
      </c>
    </row>
    <row r="1079" spans="1:5">
      <c r="A1079" s="29">
        <v>145</v>
      </c>
      <c r="B1079" s="10" t="str">
        <f>VLOOKUP(A1079,vaccines!A:B,2)</f>
        <v>Polio_1_2_3</v>
      </c>
      <c r="C1079" s="29">
        <v>53</v>
      </c>
      <c r="D1079" s="8" t="str">
        <f>VLOOKUP(C1079,contraindications_list!A:B,2)</f>
        <v>неврологическое заболевание</v>
      </c>
      <c r="E1079" s="40">
        <v>45466</v>
      </c>
    </row>
    <row r="1080" spans="1:5">
      <c r="A1080" s="29">
        <v>145</v>
      </c>
      <c r="B1080" s="10" t="str">
        <f>VLOOKUP(A1080,vaccines!A:B,2)</f>
        <v>Polio_1_2_3</v>
      </c>
      <c r="C1080" s="29">
        <v>12</v>
      </c>
      <c r="D1080" s="8" t="str">
        <f>VLOOKUP(C1080,contraindications_list!A:B,2)</f>
        <v>энцефалопатия после вакцинации</v>
      </c>
      <c r="E1080" s="40">
        <v>45466</v>
      </c>
    </row>
    <row r="1081" spans="1:5">
      <c r="A1081" s="29">
        <v>145</v>
      </c>
      <c r="B1081" s="10" t="str">
        <f>VLOOKUP(A1081,vaccines!A:B,2)</f>
        <v>Polio_1_2_3</v>
      </c>
      <c r="C1081" s="29">
        <v>7</v>
      </c>
      <c r="D1081" s="8" t="str">
        <f>VLOOKUP(C1081,contraindications_list!A:B,2)</f>
        <v>иммунодефицит</v>
      </c>
      <c r="E1081" s="40">
        <v>45466</v>
      </c>
    </row>
    <row r="1082" spans="1:5">
      <c r="A1082" s="29">
        <v>145</v>
      </c>
      <c r="B1082" s="10" t="str">
        <f>VLOOKUP(A1082,vaccines!A:B,2)</f>
        <v>Polio_1_2_3</v>
      </c>
      <c r="C1082" s="29">
        <v>73</v>
      </c>
      <c r="D1082" s="8" t="str">
        <f>VLOOKUP(C1082,contraindications_list!A:B,2)</f>
        <v>анатомические дефекты, повышающие риск гемофильной инфекции</v>
      </c>
      <c r="E1082" s="40">
        <v>45466</v>
      </c>
    </row>
    <row r="1083" spans="1:5">
      <c r="A1083" s="29">
        <v>145</v>
      </c>
      <c r="B1083" s="10" t="str">
        <f>VLOOKUP(A1083,vaccines!A:B,2)</f>
        <v>Polio_1_2_3</v>
      </c>
      <c r="C1083" s="29">
        <v>33</v>
      </c>
      <c r="D1083" s="8" t="str">
        <f>VLOOKUP(C1083,contraindications_list!A:B,2)</f>
        <v>аномалия развития кишечника</v>
      </c>
      <c r="E1083" s="40">
        <v>45466</v>
      </c>
    </row>
    <row r="1084" spans="1:5">
      <c r="A1084" s="29">
        <v>145</v>
      </c>
      <c r="B1084" s="10" t="str">
        <f>VLOOKUP(A1084,vaccines!A:B,2)</f>
        <v>Polio_1_2_3</v>
      </c>
      <c r="C1084" s="29">
        <v>8</v>
      </c>
      <c r="D1084" s="8" t="str">
        <f>VLOOKUP(C1084,contraindications_list!A:B,2)</f>
        <v>злокачественное новообразование</v>
      </c>
      <c r="E1084" s="40">
        <v>45466</v>
      </c>
    </row>
    <row r="1085" spans="1:5">
      <c r="A1085" s="29">
        <v>145</v>
      </c>
      <c r="B1085" s="10" t="str">
        <f>VLOOKUP(A1085,vaccines!A:B,2)</f>
        <v>Polio_1_2_3</v>
      </c>
      <c r="C1085" s="29">
        <v>28</v>
      </c>
      <c r="D1085" s="8" t="str">
        <f>VLOOKUP(C1085,contraindications_list!A:B,2)</f>
        <v>иммуносупрессивная терапия</v>
      </c>
      <c r="E1085" s="40">
        <v>45466</v>
      </c>
    </row>
    <row r="1086" spans="1:5">
      <c r="A1086" s="29">
        <v>145</v>
      </c>
      <c r="B1086" s="10" t="str">
        <f>VLOOKUP(A1086,vaccines!A:B,2)</f>
        <v>Polio_1_2_3</v>
      </c>
      <c r="C1086" s="29">
        <v>10</v>
      </c>
      <c r="D1086" s="8" t="str">
        <f>VLOOKUP(C1086,contraindications_list!A:B,2)</f>
        <v>ВИЧ</v>
      </c>
      <c r="E1086" s="40">
        <v>45466</v>
      </c>
    </row>
    <row r="1087" spans="1:5">
      <c r="A1087" s="29">
        <v>145</v>
      </c>
      <c r="B1087" s="10" t="str">
        <f>VLOOKUP(A1087,vaccines!A:B,2)</f>
        <v>Polio_1_2_3</v>
      </c>
      <c r="C1087" s="29">
        <v>11</v>
      </c>
      <c r="D1087" s="8" t="str">
        <f>VLOOKUP(C1087,contraindications_list!A:B,2)</f>
        <v>ВИЧ у матери</v>
      </c>
      <c r="E1087" s="40">
        <v>45466</v>
      </c>
    </row>
    <row r="1088" spans="1:5">
      <c r="A1088" s="29">
        <v>145</v>
      </c>
      <c r="B1088" s="10" t="str">
        <f>VLOOKUP(A1088,vaccines!A:B,2)</f>
        <v>Polio_1_2_3</v>
      </c>
      <c r="C1088" s="29">
        <v>22</v>
      </c>
      <c r="D1088" s="8" t="str">
        <f>VLOOKUP(C1088,contraindications_list!A:B,2)</f>
        <v>беременность</v>
      </c>
      <c r="E1088" s="40">
        <v>45466</v>
      </c>
    </row>
    <row r="1089" spans="1:5">
      <c r="A1089" s="29">
        <v>145</v>
      </c>
      <c r="B1089" s="10" t="str">
        <f>VLOOKUP(A1089,vaccines!A:B,2)</f>
        <v>Polio_1_2_3</v>
      </c>
      <c r="C1089" s="29">
        <v>1</v>
      </c>
      <c r="D1089" s="8" t="str">
        <f>VLOOKUP(C1089,contraindications_list!A:B,2)</f>
        <v>гиперчувствительность к компонентам</v>
      </c>
      <c r="E1089" s="40">
        <v>45466</v>
      </c>
    </row>
    <row r="1090" spans="1:5">
      <c r="A1090" s="29">
        <v>145</v>
      </c>
      <c r="B1090" s="10" t="str">
        <f>VLOOKUP(A1090,vaccines!A:B,2)</f>
        <v>Polio_1_2_3</v>
      </c>
      <c r="C1090" s="29">
        <v>15</v>
      </c>
      <c r="D1090" s="8" t="str">
        <f>VLOOKUP(C1090,contraindications_list!A:B,2)</f>
        <v>сильная общая реакция на предыдущее введение вакцины</v>
      </c>
      <c r="E1090" s="40">
        <v>45466</v>
      </c>
    </row>
    <row r="1091" spans="1:5">
      <c r="A1091" s="29">
        <v>145</v>
      </c>
      <c r="B1091" s="10" t="str">
        <f>VLOOKUP(A1091,vaccines!A:B,2)</f>
        <v>Polio_1_2_3</v>
      </c>
      <c r="C1091" s="29">
        <v>5</v>
      </c>
      <c r="D1091" s="8" t="str">
        <f>VLOOKUP(C1091,contraindications_list!A:B,2)</f>
        <v>острое заболевание</v>
      </c>
      <c r="E1091" s="40">
        <v>45466</v>
      </c>
    </row>
    <row r="1092" spans="1:5">
      <c r="A1092" s="29">
        <v>145</v>
      </c>
      <c r="B1092" s="10" t="str">
        <f>VLOOKUP(A1092,vaccines!A:B,2)</f>
        <v>Polio_1_2_3</v>
      </c>
      <c r="C1092" s="29">
        <v>6</v>
      </c>
      <c r="D1092" s="8" t="str">
        <f>VLOOKUP(C1092,contraindications_list!A:B,2)</f>
        <v>обострение хронического заболевания</v>
      </c>
      <c r="E1092" s="40">
        <v>45466</v>
      </c>
    </row>
    <row r="1093" spans="1:5">
      <c r="A1093" s="29">
        <v>145</v>
      </c>
      <c r="B1093" s="10" t="str">
        <f>VLOOKUP(A1093,vaccines!A:B,2)</f>
        <v>Polio_1_2_3</v>
      </c>
      <c r="C1093" s="29">
        <v>71</v>
      </c>
      <c r="D1093" s="8" t="str">
        <f>VLOOKUP(C1093,contraindications_list!A:B,2)</f>
        <v>предоперационный период</v>
      </c>
      <c r="E1093" s="40">
        <v>45466</v>
      </c>
    </row>
    <row r="1094" spans="1:5">
      <c r="A1094" s="29">
        <v>146</v>
      </c>
      <c r="B1094" s="10" t="str">
        <f>VLOOKUP(A1094,vaccines!A:B,2)</f>
        <v>TEOVac_chew_tablets</v>
      </c>
      <c r="C1094" s="29">
        <v>7</v>
      </c>
      <c r="D1094" s="8" t="str">
        <f>VLOOKUP(C1094,contraindications_list!A:B,2)</f>
        <v>иммунодефицит</v>
      </c>
      <c r="E1094" s="40">
        <v>45467</v>
      </c>
    </row>
    <row r="1095" spans="1:5">
      <c r="A1095" s="29">
        <v>146</v>
      </c>
      <c r="B1095" s="10" t="str">
        <f>VLOOKUP(A1095,vaccines!A:B,2)</f>
        <v>TEOVac_chew_tablets</v>
      </c>
      <c r="C1095" s="29">
        <v>5</v>
      </c>
      <c r="D1095" s="8" t="str">
        <f>VLOOKUP(C1095,contraindications_list!A:B,2)</f>
        <v>острое заболевание</v>
      </c>
      <c r="E1095" s="40">
        <v>45467</v>
      </c>
    </row>
    <row r="1096" spans="1:5">
      <c r="A1096" s="29">
        <v>146</v>
      </c>
      <c r="B1096" s="10" t="str">
        <f>VLOOKUP(A1096,vaccines!A:B,2)</f>
        <v>TEOVac_chew_tablets</v>
      </c>
      <c r="C1096" s="29">
        <v>6</v>
      </c>
      <c r="D1096" s="8" t="str">
        <f>VLOOKUP(C1096,contraindications_list!A:B,2)</f>
        <v>обострение хронического заболевания</v>
      </c>
      <c r="E1096" s="40">
        <v>45467</v>
      </c>
    </row>
    <row r="1097" spans="1:5">
      <c r="A1097" s="29">
        <v>146</v>
      </c>
      <c r="B1097" s="10" t="str">
        <f>VLOOKUP(A1097,vaccines!A:B,2)</f>
        <v>TEOVac_chew_tablets</v>
      </c>
      <c r="C1097" s="29">
        <v>28</v>
      </c>
      <c r="D1097" s="8" t="str">
        <f>VLOOKUP(C1097,contraindications_list!A:B,2)</f>
        <v>иммуносупрессивная терапия</v>
      </c>
      <c r="E1097" s="40">
        <v>45467</v>
      </c>
    </row>
    <row r="1098" spans="1:5">
      <c r="A1098" s="29">
        <v>146</v>
      </c>
      <c r="B1098" s="10" t="str">
        <f>VLOOKUP(A1098,vaccines!A:B,2)</f>
        <v>TEOVac_chew_tablets</v>
      </c>
      <c r="C1098" s="29">
        <v>29</v>
      </c>
      <c r="D1098" s="8" t="str">
        <f>VLOOKUP(C1098,contraindications_list!A:B,2)</f>
        <v>лучевая терапия</v>
      </c>
      <c r="E1098" s="40">
        <v>45467</v>
      </c>
    </row>
    <row r="1099" spans="1:5">
      <c r="A1099" s="29">
        <v>146</v>
      </c>
      <c r="B1099" s="10" t="str">
        <f>VLOOKUP(A1099,vaccines!A:B,2)</f>
        <v>TEOVac_chew_tablets</v>
      </c>
      <c r="C1099" s="29">
        <v>18</v>
      </c>
      <c r="D1099" s="8" t="str">
        <f>VLOOKUP(C1099,contraindications_list!A:B,2)</f>
        <v>туберкулез</v>
      </c>
      <c r="E1099" s="40">
        <v>45467</v>
      </c>
    </row>
    <row r="1100" spans="1:5">
      <c r="A1100" s="29">
        <v>146</v>
      </c>
      <c r="B1100" s="10" t="str">
        <f>VLOOKUP(A1100,vaccines!A:B,2)</f>
        <v>TEOVac_chew_tablets</v>
      </c>
      <c r="C1100" s="29">
        <v>59</v>
      </c>
      <c r="D1100" s="8" t="str">
        <f>VLOOKUP(C1100,contraindications_list!A:B,2)</f>
        <v>хроническое заболевание органов дыхания</v>
      </c>
      <c r="E1100" s="40">
        <v>45467</v>
      </c>
    </row>
    <row r="1101" spans="1:5">
      <c r="A1101" s="29">
        <v>146</v>
      </c>
      <c r="B1101" s="10" t="str">
        <f>VLOOKUP(A1101,vaccines!A:B,2)</f>
        <v>TEOVac_chew_tablets</v>
      </c>
      <c r="C1101" s="29">
        <v>49</v>
      </c>
      <c r="D1101" s="8" t="str">
        <f>VLOOKUP(C1101,contraindications_list!A:B,2)</f>
        <v>бронхиальная астма</v>
      </c>
      <c r="E1101" s="40">
        <v>45467</v>
      </c>
    </row>
    <row r="1102" spans="1:5">
      <c r="A1102" s="29">
        <v>146</v>
      </c>
      <c r="B1102" s="10" t="str">
        <f>VLOOKUP(A1102,vaccines!A:B,2)</f>
        <v>TEOVac_chew_tablets</v>
      </c>
      <c r="C1102" s="29">
        <v>58</v>
      </c>
      <c r="D1102" s="8" t="str">
        <f>VLOOKUP(C1102,contraindications_list!A:B,2)</f>
        <v>аллергия</v>
      </c>
      <c r="E1102" s="40">
        <v>45467</v>
      </c>
    </row>
    <row r="1103" spans="1:5">
      <c r="A1103" s="29">
        <v>146</v>
      </c>
      <c r="B1103" s="10" t="str">
        <f>VLOOKUP(A1103,vaccines!A:B,2)</f>
        <v>TEOVac_chew_tablets</v>
      </c>
      <c r="C1103" s="29">
        <v>21</v>
      </c>
      <c r="D1103" s="8" t="str">
        <f>VLOOKUP(C1103,contraindications_list!A:B,2)</f>
        <v>тяжелые аллергические реакции</v>
      </c>
      <c r="E1103" s="40">
        <v>45467</v>
      </c>
    </row>
    <row r="1104" spans="1:5">
      <c r="A1104" s="29">
        <v>146</v>
      </c>
      <c r="B1104" s="10" t="str">
        <f>VLOOKUP(A1104,vaccines!A:B,2)</f>
        <v>TEOVac_chew_tablets</v>
      </c>
      <c r="C1104" s="29">
        <v>57</v>
      </c>
      <c r="D1104" s="8" t="str">
        <f>VLOOKUP(C1104,contraindications_list!A:B,2)</f>
        <v>распространенное рецидивирующее заболевание кожи</v>
      </c>
      <c r="E1104" s="40">
        <v>45467</v>
      </c>
    </row>
    <row r="1105" spans="1:5">
      <c r="A1105" s="29">
        <v>146</v>
      </c>
      <c r="B1105" s="10" t="str">
        <f>VLOOKUP(A1105,vaccines!A:B,2)</f>
        <v>TEOVac_chew_tablets</v>
      </c>
      <c r="C1105" s="29">
        <v>53</v>
      </c>
      <c r="D1105" s="8" t="str">
        <f>VLOOKUP(C1105,contraindications_list!A:B,2)</f>
        <v>неврологическое заболевание</v>
      </c>
      <c r="E1105" s="40">
        <v>45467</v>
      </c>
    </row>
    <row r="1106" spans="1:5">
      <c r="A1106" s="29">
        <v>146</v>
      </c>
      <c r="B1106" s="10" t="str">
        <f>VLOOKUP(A1106,vaccines!A:B,2)</f>
        <v>TEOVac_chew_tablets</v>
      </c>
      <c r="C1106" s="29">
        <v>12</v>
      </c>
      <c r="D1106" s="8" t="str">
        <f>VLOOKUP(C1106,contraindications_list!A:B,2)</f>
        <v>энцефалопатия после вакцинации</v>
      </c>
      <c r="E1106" s="40">
        <v>45467</v>
      </c>
    </row>
    <row r="1107" spans="1:5">
      <c r="A1107" s="29">
        <v>146</v>
      </c>
      <c r="B1107" s="10" t="str">
        <f>VLOOKUP(A1107,vaccines!A:B,2)</f>
        <v>TEOVac_chew_tablets</v>
      </c>
      <c r="C1107" s="29">
        <v>13</v>
      </c>
      <c r="D1107" s="8" t="str">
        <f>VLOOKUP(C1107,contraindications_list!A:B,2)</f>
        <v>прогрессирующее неврологическое заболевание</v>
      </c>
      <c r="E1107" s="40">
        <v>45467</v>
      </c>
    </row>
    <row r="1108" spans="1:5">
      <c r="A1108" s="29">
        <v>146</v>
      </c>
      <c r="B1108" s="10" t="str">
        <f>VLOOKUP(A1108,vaccines!A:B,2)</f>
        <v>TEOVac_chew_tablets</v>
      </c>
      <c r="C1108" s="29">
        <v>51</v>
      </c>
      <c r="D1108" s="8" t="str">
        <f>VLOOKUP(C1108,contraindications_list!A:B,2)</f>
        <v>эпилепсия</v>
      </c>
      <c r="E1108" s="40">
        <v>45467</v>
      </c>
    </row>
    <row r="1109" spans="1:5">
      <c r="A1109" s="29">
        <v>146</v>
      </c>
      <c r="B1109" s="10" t="str">
        <f>VLOOKUP(A1109,vaccines!A:B,2)</f>
        <v>TEOVac_chew_tablets</v>
      </c>
      <c r="C1109" s="29">
        <v>50</v>
      </c>
      <c r="D1109" s="8" t="str">
        <f>VLOOKUP(C1109,contraindications_list!A:B,2)</f>
        <v>аутоиммунное заболевание</v>
      </c>
      <c r="E1109" s="40">
        <v>45467</v>
      </c>
    </row>
    <row r="1110" spans="1:5">
      <c r="A1110" s="29">
        <v>146</v>
      </c>
      <c r="B1110" s="10" t="str">
        <f>VLOOKUP(A1110,vaccines!A:B,2)</f>
        <v>TEOVac_chew_tablets</v>
      </c>
      <c r="C1110" s="29">
        <v>27</v>
      </c>
      <c r="D1110" s="8" t="str">
        <f>VLOOKUP(C1110,contraindications_list!A:B,2)</f>
        <v>тяжелое заболевание сердца</v>
      </c>
      <c r="E1110" s="40">
        <v>45467</v>
      </c>
    </row>
    <row r="1111" spans="1:5">
      <c r="A1111" s="29">
        <v>146</v>
      </c>
      <c r="B1111" s="10" t="str">
        <f>VLOOKUP(A1111,vaccines!A:B,2)</f>
        <v>TEOVac_chew_tablets</v>
      </c>
      <c r="C1111" s="29">
        <v>75</v>
      </c>
      <c r="D1111" s="8" t="str">
        <f>VLOOKUP(C1111,contraindications_list!A:B,2)</f>
        <v>болезни системы кровообращения</v>
      </c>
      <c r="E1111" s="40">
        <v>45467</v>
      </c>
    </row>
    <row r="1112" spans="1:5">
      <c r="A1112" s="29">
        <v>146</v>
      </c>
      <c r="B1112" s="10" t="str">
        <f>VLOOKUP(A1112,vaccines!A:B,2)</f>
        <v>TEOVac_chew_tablets</v>
      </c>
      <c r="C1112" s="29">
        <v>37</v>
      </c>
      <c r="D1112" s="8" t="str">
        <f>VLOOKUP(C1112,contraindications_list!A:B,2)</f>
        <v>хроническое заболевание печени</v>
      </c>
      <c r="E1112" s="40">
        <v>45467</v>
      </c>
    </row>
    <row r="1113" spans="1:5">
      <c r="A1113" s="29">
        <v>146</v>
      </c>
      <c r="B1113" s="10" t="str">
        <f>VLOOKUP(A1113,vaccines!A:B,2)</f>
        <v>TEOVac_chew_tablets</v>
      </c>
      <c r="C1113" s="29">
        <v>38</v>
      </c>
      <c r="D1113" s="8" t="str">
        <f>VLOOKUP(C1113,contraindications_list!A:B,2)</f>
        <v>хроническое заболевание эндокринной системы</v>
      </c>
      <c r="E1113" s="40">
        <v>45467</v>
      </c>
    </row>
    <row r="1114" spans="1:5">
      <c r="A1114" s="29">
        <v>146</v>
      </c>
      <c r="B1114" s="10" t="str">
        <f>VLOOKUP(A1114,vaccines!A:B,2)</f>
        <v>TEOVac_chew_tablets</v>
      </c>
      <c r="C1114" s="29">
        <v>66</v>
      </c>
      <c r="D1114" s="8" t="str">
        <f>VLOOKUP(C1114,contraindications_list!A:B,2)</f>
        <v>хроническое заболевание желчных путей</v>
      </c>
      <c r="E1114" s="40">
        <v>45467</v>
      </c>
    </row>
    <row r="1115" spans="1:5">
      <c r="A1115" s="29">
        <v>146</v>
      </c>
      <c r="B1115" s="10" t="str">
        <f>VLOOKUP(A1115,vaccines!A:B,2)</f>
        <v>TEOVac_chew_tablets</v>
      </c>
      <c r="C1115" s="29">
        <v>67</v>
      </c>
      <c r="D1115" s="8" t="str">
        <f>VLOOKUP(C1115,contraindications_list!A:B,2)</f>
        <v>хроническое заболевание сердца</v>
      </c>
      <c r="E1115" s="40">
        <v>45467</v>
      </c>
    </row>
    <row r="1116" spans="1:5">
      <c r="A1116" s="29">
        <v>146</v>
      </c>
      <c r="B1116" s="10" t="str">
        <f>VLOOKUP(A1116,vaccines!A:B,2)</f>
        <v>TEOVac_chew_tablets</v>
      </c>
      <c r="C1116" s="29">
        <v>36</v>
      </c>
      <c r="D1116" s="8" t="str">
        <f>VLOOKUP(C1116,contraindications_list!A:B,2)</f>
        <v>хроническое заболевание почек</v>
      </c>
      <c r="E1116" s="40">
        <v>45467</v>
      </c>
    </row>
    <row r="1117" spans="1:5">
      <c r="A1117" s="29">
        <v>146</v>
      </c>
      <c r="B1117" s="10" t="str">
        <f>VLOOKUP(A1117,vaccines!A:B,2)</f>
        <v>TEOVac_chew_tablets</v>
      </c>
      <c r="C1117" s="29">
        <v>77</v>
      </c>
      <c r="D1117" s="8" t="str">
        <f>VLOOKUP(C1117,contraindications_list!A:B,2)</f>
        <v>хроническое заболевание желудочно-кишечного тракта</v>
      </c>
      <c r="E1117" s="40">
        <v>45467</v>
      </c>
    </row>
    <row r="1118" spans="1:5">
      <c r="A1118" s="29">
        <v>146</v>
      </c>
      <c r="B1118" s="10" t="str">
        <f>VLOOKUP(A1118,vaccines!A:B,2)</f>
        <v>TEOVac_chew_tablets</v>
      </c>
      <c r="C1118" s="29">
        <v>74</v>
      </c>
      <c r="D1118" s="8" t="str">
        <f>VLOOKUP(C1118,contraindications_list!A:B,2)</f>
        <v>злокачественное заболевание крови</v>
      </c>
      <c r="E1118" s="40">
        <v>45467</v>
      </c>
    </row>
    <row r="1119" spans="1:5">
      <c r="A1119" s="29">
        <v>146</v>
      </c>
      <c r="B1119" s="10" t="str">
        <f>VLOOKUP(A1119,vaccines!A:B,2)</f>
        <v>TEOVac_chew_tablets</v>
      </c>
      <c r="C1119" s="29">
        <v>52</v>
      </c>
      <c r="D1119" s="8" t="str">
        <f>VLOOKUP(C1119,contraindications_list!A:B,2)</f>
        <v>болезни крови</v>
      </c>
      <c r="E1119" s="40">
        <v>45467</v>
      </c>
    </row>
    <row r="1120" spans="1:5">
      <c r="A1120" s="29">
        <v>146</v>
      </c>
      <c r="B1120" s="10" t="str">
        <f>VLOOKUP(A1120,vaccines!A:B,2)</f>
        <v>TEOVac_chew_tablets</v>
      </c>
      <c r="C1120" s="29">
        <v>39</v>
      </c>
      <c r="D1120" s="8" t="str">
        <f>VLOOKUP(C1120,contraindications_list!A:B,2)</f>
        <v>системное заболевание соединительной ткани</v>
      </c>
      <c r="E1120" s="40">
        <v>45467</v>
      </c>
    </row>
    <row r="1121" spans="1:5">
      <c r="A1121" s="29">
        <v>146</v>
      </c>
      <c r="B1121" s="10" t="str">
        <f>VLOOKUP(A1121,vaccines!A:B,2)</f>
        <v>TEOVac_chew_tablets</v>
      </c>
      <c r="C1121" s="29">
        <v>22</v>
      </c>
      <c r="D1121" s="8" t="str">
        <f>VLOOKUP(C1121,contraindications_list!A:B,2)</f>
        <v>беременность</v>
      </c>
      <c r="E1121" s="40">
        <v>45467</v>
      </c>
    </row>
    <row r="1122" spans="1:5">
      <c r="A1122" s="29">
        <v>146</v>
      </c>
      <c r="B1122" s="10" t="str">
        <f>VLOOKUP(A1122,vaccines!A:B,2)</f>
        <v>TEOVac_chew_tablets</v>
      </c>
      <c r="C1122" s="29">
        <v>71</v>
      </c>
      <c r="D1122" s="8" t="str">
        <f>VLOOKUP(C1122,contraindications_list!A:B,2)</f>
        <v>предоперационный период</v>
      </c>
      <c r="E1122" s="40">
        <v>45467</v>
      </c>
    </row>
    <row r="1123" spans="1:5">
      <c r="A1123" s="29">
        <v>146</v>
      </c>
      <c r="B1123" s="10" t="str">
        <f>VLOOKUP(A1123,vaccines!A:B,2)</f>
        <v>TEOVac_chew_tablets</v>
      </c>
      <c r="C1123" s="29">
        <v>8</v>
      </c>
      <c r="D1123" s="8" t="str">
        <f>VLOOKUP(C1123,contraindications_list!A:B,2)</f>
        <v>злокачественное новообразование</v>
      </c>
      <c r="E1123" s="40">
        <v>45467</v>
      </c>
    </row>
    <row r="1124" spans="1:5">
      <c r="A1124" s="29">
        <v>146</v>
      </c>
      <c r="B1124" s="10" t="str">
        <f>VLOOKUP(A1124,vaccines!A:B,2)</f>
        <v>TEOVac_chew_tablets</v>
      </c>
      <c r="C1124" s="29">
        <v>81</v>
      </c>
      <c r="D1124" s="8" t="str">
        <f>VLOOKUP(C1124,contraindications_list!A:B,2)</f>
        <v>заболевания надпочечников</v>
      </c>
      <c r="E1124" s="40">
        <v>45494</v>
      </c>
    </row>
    <row r="1125" spans="1:5">
      <c r="A1125" s="29">
        <v>146</v>
      </c>
      <c r="B1125" s="10" t="str">
        <f>VLOOKUP(A1125,vaccines!A:B,2)</f>
        <v>TEOVac_chew_tablets</v>
      </c>
      <c r="C1125" s="29">
        <v>83</v>
      </c>
      <c r="D1125" s="8" t="str">
        <f>VLOOKUP(C1125,contraindications_list!A:B,2)</f>
        <v>тимомегалия</v>
      </c>
      <c r="E1125" s="40">
        <v>45497</v>
      </c>
    </row>
    <row r="1126" spans="1:5">
      <c r="A1126" s="29">
        <v>147</v>
      </c>
      <c r="B1126" s="10" t="str">
        <f>VLOOKUP(A1126,vaccines!A:B,2)</f>
        <v>TEOVac_tablets</v>
      </c>
      <c r="C1126" s="29">
        <v>7</v>
      </c>
      <c r="D1126" s="8" t="str">
        <f>VLOOKUP(C1126,contraindications_list!A:B,2)</f>
        <v>иммунодефицит</v>
      </c>
      <c r="E1126" s="40">
        <v>45467</v>
      </c>
    </row>
    <row r="1127" spans="1:5">
      <c r="A1127" s="29">
        <v>147</v>
      </c>
      <c r="B1127" s="10" t="str">
        <f>VLOOKUP(A1127,vaccines!A:B,2)</f>
        <v>TEOVac_tablets</v>
      </c>
      <c r="C1127" s="29">
        <v>5</v>
      </c>
      <c r="D1127" s="8" t="str">
        <f>VLOOKUP(C1127,contraindications_list!A:B,2)</f>
        <v>острое заболевание</v>
      </c>
      <c r="E1127" s="40">
        <v>45467</v>
      </c>
    </row>
    <row r="1128" spans="1:5">
      <c r="A1128" s="29">
        <v>147</v>
      </c>
      <c r="B1128" s="10" t="str">
        <f>VLOOKUP(A1128,vaccines!A:B,2)</f>
        <v>TEOVac_tablets</v>
      </c>
      <c r="C1128" s="29">
        <v>6</v>
      </c>
      <c r="D1128" s="8" t="str">
        <f>VLOOKUP(C1128,contraindications_list!A:B,2)</f>
        <v>обострение хронического заболевания</v>
      </c>
      <c r="E1128" s="40">
        <v>45467</v>
      </c>
    </row>
    <row r="1129" spans="1:5">
      <c r="A1129" s="29">
        <v>147</v>
      </c>
      <c r="B1129" s="10" t="str">
        <f>VLOOKUP(A1129,vaccines!A:B,2)</f>
        <v>TEOVac_tablets</v>
      </c>
      <c r="C1129" s="29">
        <v>28</v>
      </c>
      <c r="D1129" s="8" t="str">
        <f>VLOOKUP(C1129,contraindications_list!A:B,2)</f>
        <v>иммуносупрессивная терапия</v>
      </c>
      <c r="E1129" s="40">
        <v>45467</v>
      </c>
    </row>
    <row r="1130" spans="1:5">
      <c r="A1130" s="29">
        <v>147</v>
      </c>
      <c r="B1130" s="10" t="str">
        <f>VLOOKUP(A1130,vaccines!A:B,2)</f>
        <v>TEOVac_tablets</v>
      </c>
      <c r="C1130" s="29">
        <v>29</v>
      </c>
      <c r="D1130" s="8" t="str">
        <f>VLOOKUP(C1130,contraindications_list!A:B,2)</f>
        <v>лучевая терапия</v>
      </c>
      <c r="E1130" s="40">
        <v>45467</v>
      </c>
    </row>
    <row r="1131" spans="1:5">
      <c r="A1131" s="29">
        <v>147</v>
      </c>
      <c r="B1131" s="10" t="str">
        <f>VLOOKUP(A1131,vaccines!A:B,2)</f>
        <v>TEOVac_tablets</v>
      </c>
      <c r="C1131" s="29">
        <v>18</v>
      </c>
      <c r="D1131" s="8" t="str">
        <f>VLOOKUP(C1131,contraindications_list!A:B,2)</f>
        <v>туберкулез</v>
      </c>
      <c r="E1131" s="40">
        <v>45467</v>
      </c>
    </row>
    <row r="1132" spans="1:5">
      <c r="A1132" s="29">
        <v>147</v>
      </c>
      <c r="B1132" s="10" t="str">
        <f>VLOOKUP(A1132,vaccines!A:B,2)</f>
        <v>TEOVac_tablets</v>
      </c>
      <c r="C1132" s="29">
        <v>59</v>
      </c>
      <c r="D1132" s="8" t="str">
        <f>VLOOKUP(C1132,contraindications_list!A:B,2)</f>
        <v>хроническое заболевание органов дыхания</v>
      </c>
      <c r="E1132" s="40">
        <v>45467</v>
      </c>
    </row>
    <row r="1133" spans="1:5">
      <c r="A1133" s="29">
        <v>147</v>
      </c>
      <c r="B1133" s="10" t="str">
        <f>VLOOKUP(A1133,vaccines!A:B,2)</f>
        <v>TEOVac_tablets</v>
      </c>
      <c r="C1133" s="29">
        <v>49</v>
      </c>
      <c r="D1133" s="8" t="str">
        <f>VLOOKUP(C1133,contraindications_list!A:B,2)</f>
        <v>бронхиальная астма</v>
      </c>
      <c r="E1133" s="40">
        <v>45467</v>
      </c>
    </row>
    <row r="1134" spans="1:5">
      <c r="A1134" s="29">
        <v>147</v>
      </c>
      <c r="B1134" s="10" t="str">
        <f>VLOOKUP(A1134,vaccines!A:B,2)</f>
        <v>TEOVac_tablets</v>
      </c>
      <c r="C1134" s="29">
        <v>58</v>
      </c>
      <c r="D1134" s="8" t="str">
        <f>VLOOKUP(C1134,contraindications_list!A:B,2)</f>
        <v>аллергия</v>
      </c>
      <c r="E1134" s="40">
        <v>45467</v>
      </c>
    </row>
    <row r="1135" spans="1:5">
      <c r="A1135" s="29">
        <v>147</v>
      </c>
      <c r="B1135" s="10" t="str">
        <f>VLOOKUP(A1135,vaccines!A:B,2)</f>
        <v>TEOVac_tablets</v>
      </c>
      <c r="C1135" s="29">
        <v>21</v>
      </c>
      <c r="D1135" s="8" t="str">
        <f>VLOOKUP(C1135,contraindications_list!A:B,2)</f>
        <v>тяжелые аллергические реакции</v>
      </c>
      <c r="E1135" s="40">
        <v>45467</v>
      </c>
    </row>
    <row r="1136" spans="1:5">
      <c r="A1136" s="29">
        <v>147</v>
      </c>
      <c r="B1136" s="10" t="str">
        <f>VLOOKUP(A1136,vaccines!A:B,2)</f>
        <v>TEOVac_tablets</v>
      </c>
      <c r="C1136" s="29">
        <v>57</v>
      </c>
      <c r="D1136" s="8" t="str">
        <f>VLOOKUP(C1136,contraindications_list!A:B,2)</f>
        <v>распространенное рецидивирующее заболевание кожи</v>
      </c>
      <c r="E1136" s="40">
        <v>45467</v>
      </c>
    </row>
    <row r="1137" spans="1:5">
      <c r="A1137" s="29">
        <v>147</v>
      </c>
      <c r="B1137" s="10" t="str">
        <f>VLOOKUP(A1137,vaccines!A:B,2)</f>
        <v>TEOVac_tablets</v>
      </c>
      <c r="C1137" s="29">
        <v>53</v>
      </c>
      <c r="D1137" s="8" t="str">
        <f>VLOOKUP(C1137,contraindications_list!A:B,2)</f>
        <v>неврологическое заболевание</v>
      </c>
      <c r="E1137" s="40">
        <v>45467</v>
      </c>
    </row>
    <row r="1138" spans="1:5">
      <c r="A1138" s="29">
        <v>147</v>
      </c>
      <c r="B1138" s="10" t="str">
        <f>VLOOKUP(A1138,vaccines!A:B,2)</f>
        <v>TEOVac_tablets</v>
      </c>
      <c r="C1138" s="29">
        <v>12</v>
      </c>
      <c r="D1138" s="8" t="str">
        <f>VLOOKUP(C1138,contraindications_list!A:B,2)</f>
        <v>энцефалопатия после вакцинации</v>
      </c>
      <c r="E1138" s="40">
        <v>45467</v>
      </c>
    </row>
    <row r="1139" spans="1:5">
      <c r="A1139" s="29">
        <v>147</v>
      </c>
      <c r="B1139" s="10" t="str">
        <f>VLOOKUP(A1139,vaccines!A:B,2)</f>
        <v>TEOVac_tablets</v>
      </c>
      <c r="C1139" s="29">
        <v>13</v>
      </c>
      <c r="D1139" s="8" t="str">
        <f>VLOOKUP(C1139,contraindications_list!A:B,2)</f>
        <v>прогрессирующее неврологическое заболевание</v>
      </c>
      <c r="E1139" s="40">
        <v>45467</v>
      </c>
    </row>
    <row r="1140" spans="1:5">
      <c r="A1140" s="29">
        <v>147</v>
      </c>
      <c r="B1140" s="10" t="str">
        <f>VLOOKUP(A1140,vaccines!A:B,2)</f>
        <v>TEOVac_tablets</v>
      </c>
      <c r="C1140" s="29">
        <v>51</v>
      </c>
      <c r="D1140" s="8" t="str">
        <f>VLOOKUP(C1140,contraindications_list!A:B,2)</f>
        <v>эпилепсия</v>
      </c>
      <c r="E1140" s="40">
        <v>45467</v>
      </c>
    </row>
    <row r="1141" spans="1:5">
      <c r="A1141" s="29">
        <v>147</v>
      </c>
      <c r="B1141" s="10" t="str">
        <f>VLOOKUP(A1141,vaccines!A:B,2)</f>
        <v>TEOVac_tablets</v>
      </c>
      <c r="C1141" s="29">
        <v>50</v>
      </c>
      <c r="D1141" s="8" t="str">
        <f>VLOOKUP(C1141,contraindications_list!A:B,2)</f>
        <v>аутоиммунное заболевание</v>
      </c>
      <c r="E1141" s="40">
        <v>45467</v>
      </c>
    </row>
    <row r="1142" spans="1:5">
      <c r="A1142" s="29">
        <v>147</v>
      </c>
      <c r="B1142" s="10" t="str">
        <f>VLOOKUP(A1142,vaccines!A:B,2)</f>
        <v>TEOVac_tablets</v>
      </c>
      <c r="C1142" s="29">
        <v>27</v>
      </c>
      <c r="D1142" s="8" t="str">
        <f>VLOOKUP(C1142,contraindications_list!A:B,2)</f>
        <v>тяжелое заболевание сердца</v>
      </c>
      <c r="E1142" s="40">
        <v>45467</v>
      </c>
    </row>
    <row r="1143" spans="1:5">
      <c r="A1143" s="29">
        <v>147</v>
      </c>
      <c r="B1143" s="10" t="str">
        <f>VLOOKUP(A1143,vaccines!A:B,2)</f>
        <v>TEOVac_tablets</v>
      </c>
      <c r="C1143" s="29">
        <v>75</v>
      </c>
      <c r="D1143" s="8" t="str">
        <f>VLOOKUP(C1143,contraindications_list!A:B,2)</f>
        <v>болезни системы кровообращения</v>
      </c>
      <c r="E1143" s="40">
        <v>45467</v>
      </c>
    </row>
    <row r="1144" spans="1:5">
      <c r="A1144" s="29">
        <v>147</v>
      </c>
      <c r="B1144" s="10" t="str">
        <f>VLOOKUP(A1144,vaccines!A:B,2)</f>
        <v>TEOVac_tablets</v>
      </c>
      <c r="C1144" s="29">
        <v>37</v>
      </c>
      <c r="D1144" s="8" t="str">
        <f>VLOOKUP(C1144,contraindications_list!A:B,2)</f>
        <v>хроническое заболевание печени</v>
      </c>
      <c r="E1144" s="40">
        <v>45467</v>
      </c>
    </row>
    <row r="1145" spans="1:5">
      <c r="A1145" s="29">
        <v>147</v>
      </c>
      <c r="B1145" s="10" t="str">
        <f>VLOOKUP(A1145,vaccines!A:B,2)</f>
        <v>TEOVac_tablets</v>
      </c>
      <c r="C1145" s="29">
        <v>38</v>
      </c>
      <c r="D1145" s="8" t="str">
        <f>VLOOKUP(C1145,contraindications_list!A:B,2)</f>
        <v>хроническое заболевание эндокринной системы</v>
      </c>
      <c r="E1145" s="40">
        <v>45467</v>
      </c>
    </row>
    <row r="1146" spans="1:5">
      <c r="A1146" s="29">
        <v>147</v>
      </c>
      <c r="B1146" s="10" t="str">
        <f>VLOOKUP(A1146,vaccines!A:B,2)</f>
        <v>TEOVac_tablets</v>
      </c>
      <c r="C1146" s="29">
        <v>66</v>
      </c>
      <c r="D1146" s="8" t="str">
        <f>VLOOKUP(C1146,contraindications_list!A:B,2)</f>
        <v>хроническое заболевание желчных путей</v>
      </c>
      <c r="E1146" s="40">
        <v>45467</v>
      </c>
    </row>
    <row r="1147" spans="1:5">
      <c r="A1147" s="29">
        <v>147</v>
      </c>
      <c r="B1147" s="10" t="str">
        <f>VLOOKUP(A1147,vaccines!A:B,2)</f>
        <v>TEOVac_tablets</v>
      </c>
      <c r="C1147" s="29">
        <v>67</v>
      </c>
      <c r="D1147" s="8" t="str">
        <f>VLOOKUP(C1147,contraindications_list!A:B,2)</f>
        <v>хроническое заболевание сердца</v>
      </c>
      <c r="E1147" s="40">
        <v>45467</v>
      </c>
    </row>
    <row r="1148" spans="1:5">
      <c r="A1148" s="29">
        <v>147</v>
      </c>
      <c r="B1148" s="10" t="str">
        <f>VLOOKUP(A1148,vaccines!A:B,2)</f>
        <v>TEOVac_tablets</v>
      </c>
      <c r="C1148" s="29">
        <v>36</v>
      </c>
      <c r="D1148" s="8" t="str">
        <f>VLOOKUP(C1148,contraindications_list!A:B,2)</f>
        <v>хроническое заболевание почек</v>
      </c>
      <c r="E1148" s="40">
        <v>45467</v>
      </c>
    </row>
    <row r="1149" spans="1:5">
      <c r="A1149" s="29">
        <v>147</v>
      </c>
      <c r="B1149" s="10" t="str">
        <f>VLOOKUP(A1149,vaccines!A:B,2)</f>
        <v>TEOVac_tablets</v>
      </c>
      <c r="C1149" s="29">
        <v>77</v>
      </c>
      <c r="D1149" s="8" t="str">
        <f>VLOOKUP(C1149,contraindications_list!A:B,2)</f>
        <v>хроническое заболевание желудочно-кишечного тракта</v>
      </c>
      <c r="E1149" s="40">
        <v>45467</v>
      </c>
    </row>
    <row r="1150" spans="1:5">
      <c r="A1150" s="29">
        <v>147</v>
      </c>
      <c r="B1150" s="10" t="str">
        <f>VLOOKUP(A1150,vaccines!A:B,2)</f>
        <v>TEOVac_tablets</v>
      </c>
      <c r="C1150" s="29">
        <v>74</v>
      </c>
      <c r="D1150" s="8" t="str">
        <f>VLOOKUP(C1150,contraindications_list!A:B,2)</f>
        <v>злокачественное заболевание крови</v>
      </c>
      <c r="E1150" s="40">
        <v>45467</v>
      </c>
    </row>
    <row r="1151" spans="1:5">
      <c r="A1151" s="29">
        <v>147</v>
      </c>
      <c r="B1151" s="10" t="str">
        <f>VLOOKUP(A1151,vaccines!A:B,2)</f>
        <v>TEOVac_tablets</v>
      </c>
      <c r="C1151" s="29">
        <v>52</v>
      </c>
      <c r="D1151" s="8" t="str">
        <f>VLOOKUP(C1151,contraindications_list!A:B,2)</f>
        <v>болезни крови</v>
      </c>
      <c r="E1151" s="40">
        <v>45467</v>
      </c>
    </row>
    <row r="1152" spans="1:5">
      <c r="A1152" s="29">
        <v>147</v>
      </c>
      <c r="B1152" s="10" t="str">
        <f>VLOOKUP(A1152,vaccines!A:B,2)</f>
        <v>TEOVac_tablets</v>
      </c>
      <c r="C1152" s="29">
        <v>39</v>
      </c>
      <c r="D1152" s="8" t="str">
        <f>VLOOKUP(C1152,contraindications_list!A:B,2)</f>
        <v>системное заболевание соединительной ткани</v>
      </c>
      <c r="E1152" s="40">
        <v>45467</v>
      </c>
    </row>
    <row r="1153" spans="1:5">
      <c r="A1153" s="29">
        <v>147</v>
      </c>
      <c r="B1153" s="10" t="str">
        <f>VLOOKUP(A1153,vaccines!A:B,2)</f>
        <v>TEOVac_tablets</v>
      </c>
      <c r="C1153" s="29">
        <v>22</v>
      </c>
      <c r="D1153" s="8" t="str">
        <f>VLOOKUP(C1153,contraindications_list!A:B,2)</f>
        <v>беременность</v>
      </c>
      <c r="E1153" s="40">
        <v>45467</v>
      </c>
    </row>
    <row r="1154" spans="1:5">
      <c r="A1154" s="29">
        <v>147</v>
      </c>
      <c r="B1154" s="10" t="str">
        <f>VLOOKUP(A1154,vaccines!A:B,2)</f>
        <v>TEOVac_tablets</v>
      </c>
      <c r="C1154" s="29">
        <v>71</v>
      </c>
      <c r="D1154" s="8" t="str">
        <f>VLOOKUP(C1154,contraindications_list!A:B,2)</f>
        <v>предоперационный период</v>
      </c>
      <c r="E1154" s="40">
        <v>45467</v>
      </c>
    </row>
    <row r="1155" spans="1:5">
      <c r="A1155" s="29">
        <v>147</v>
      </c>
      <c r="B1155" s="10" t="str">
        <f>VLOOKUP(A1155,vaccines!A:B,2)</f>
        <v>TEOVac_tablets</v>
      </c>
      <c r="C1155" s="29">
        <v>8</v>
      </c>
      <c r="D1155" s="8" t="str">
        <f>VLOOKUP(C1155,contraindications_list!A:B,2)</f>
        <v>злокачественное новообразование</v>
      </c>
      <c r="E1155" s="40">
        <v>45467</v>
      </c>
    </row>
    <row r="1156" spans="1:5">
      <c r="A1156" s="29">
        <v>147</v>
      </c>
      <c r="B1156" s="10" t="str">
        <f>VLOOKUP(A1156,vaccines!A:B,2)</f>
        <v>TEOVac_tablets</v>
      </c>
      <c r="C1156" s="29">
        <v>81</v>
      </c>
      <c r="D1156" s="8" t="str">
        <f>VLOOKUP(C1156,contraindications_list!A:B,2)</f>
        <v>заболевания надпочечников</v>
      </c>
      <c r="E1156" s="40">
        <v>45494</v>
      </c>
    </row>
    <row r="1157" spans="1:5">
      <c r="A1157" s="29">
        <v>147</v>
      </c>
      <c r="B1157" s="10" t="str">
        <f>VLOOKUP(A1157,vaccines!A:B,2)</f>
        <v>TEOVac_tablets</v>
      </c>
      <c r="C1157" s="29">
        <v>83</v>
      </c>
      <c r="D1157" s="8" t="str">
        <f>VLOOKUP(C1157,contraindications_list!A:B,2)</f>
        <v>тимомегалия</v>
      </c>
      <c r="E1157" s="40">
        <v>45497</v>
      </c>
    </row>
    <row r="1158" spans="1:5">
      <c r="A1158" s="29">
        <v>148</v>
      </c>
      <c r="B1158" s="10" t="str">
        <f>VLOOKUP(A1158,vaccines!A:B,2)</f>
        <v>Uro_BCG_therapeutic</v>
      </c>
      <c r="C1158" s="29">
        <v>1</v>
      </c>
      <c r="D1158" s="8" t="str">
        <f>VLOOKUP(C1158,contraindications_list!A:B,2)</f>
        <v>гиперчувствительность к компонентам</v>
      </c>
      <c r="E1158" s="40">
        <v>45494</v>
      </c>
    </row>
    <row r="1159" spans="1:5">
      <c r="A1159" s="29">
        <v>148</v>
      </c>
      <c r="B1159" s="10" t="str">
        <f>VLOOKUP(A1159,vaccines!A:B,2)</f>
        <v>Uro_BCG_therapeutic</v>
      </c>
      <c r="C1159" s="29">
        <v>18</v>
      </c>
      <c r="D1159" s="8" t="str">
        <f>VLOOKUP(C1159,contraindications_list!A:B,2)</f>
        <v>туберкулез</v>
      </c>
      <c r="E1159" s="40">
        <v>45494</v>
      </c>
    </row>
    <row r="1160" spans="1:5">
      <c r="A1160" s="29">
        <v>148</v>
      </c>
      <c r="B1160" s="10" t="str">
        <f>VLOOKUP(A1160,vaccines!A:B,2)</f>
        <v>Uro_BCG_therapeutic</v>
      </c>
      <c r="C1160" s="29">
        <v>7</v>
      </c>
      <c r="D1160" s="8" t="str">
        <f>VLOOKUP(C1160,contraindications_list!A:B,2)</f>
        <v>иммунодефицит</v>
      </c>
      <c r="E1160" s="40">
        <v>45494</v>
      </c>
    </row>
    <row r="1161" spans="1:5">
      <c r="A1161" s="29">
        <v>148</v>
      </c>
      <c r="B1161" s="10" t="str">
        <f>VLOOKUP(A1161,vaccines!A:B,2)</f>
        <v>Uro_BCG_therapeutic</v>
      </c>
      <c r="C1161" s="29">
        <v>28</v>
      </c>
      <c r="D1161" s="8" t="str">
        <f>VLOOKUP(C1161,contraindications_list!A:B,2)</f>
        <v>иммуносупрессивная терапия</v>
      </c>
      <c r="E1161" s="40">
        <v>45494</v>
      </c>
    </row>
    <row r="1162" spans="1:5">
      <c r="A1162" s="29">
        <v>148</v>
      </c>
      <c r="B1162" s="10" t="str">
        <f>VLOOKUP(A1162,vaccines!A:B,2)</f>
        <v>Uro_BCG_therapeutic</v>
      </c>
      <c r="C1162" s="29">
        <v>29</v>
      </c>
      <c r="D1162" s="8" t="str">
        <f>VLOOKUP(C1162,contraindications_list!A:B,2)</f>
        <v>лучевая терапия</v>
      </c>
      <c r="E1162" s="40">
        <v>45494</v>
      </c>
    </row>
    <row r="1163" spans="1:5">
      <c r="A1163" s="29">
        <v>148</v>
      </c>
      <c r="B1163" s="10" t="str">
        <f>VLOOKUP(A1163,vaccines!A:B,2)</f>
        <v>Uro_BCG_therapeutic</v>
      </c>
      <c r="C1163" s="29">
        <v>78</v>
      </c>
      <c r="D1163" s="8" t="str">
        <f>VLOOKUP(C1163,contraindications_list!A:B,2)</f>
        <v>инфекции мочевого пузыря и мочевыводящих путей в активной фазе</v>
      </c>
      <c r="E1163" s="40">
        <v>45494</v>
      </c>
    </row>
    <row r="1164" spans="1:5">
      <c r="A1164" s="29">
        <v>148</v>
      </c>
      <c r="B1164" s="10" t="str">
        <f>VLOOKUP(A1164,vaccines!A:B,2)</f>
        <v>Uro_BCG_therapeutic</v>
      </c>
      <c r="C1164" s="29">
        <v>79</v>
      </c>
      <c r="D1164" s="8" t="str">
        <f>VLOOKUP(C1164,contraindications_list!A:B,2)</f>
        <v>облучение мочевого пузыря в анамнезе</v>
      </c>
      <c r="E1164" s="40">
        <v>45494</v>
      </c>
    </row>
    <row r="1165" spans="1:5">
      <c r="A1165" s="29">
        <v>148</v>
      </c>
      <c r="B1165" s="10" t="str">
        <f>VLOOKUP(A1165,vaccines!A:B,2)</f>
        <v>Uro_BCG_therapeutic</v>
      </c>
      <c r="C1165" s="29">
        <v>80</v>
      </c>
      <c r="D1165" s="8" t="str">
        <f>VLOOKUP(C1165,contraindications_list!A:B,2)</f>
        <v>перфорация мочевого пузыря</v>
      </c>
      <c r="E1165" s="40">
        <v>45494</v>
      </c>
    </row>
    <row r="1166" spans="1:5">
      <c r="A1166" s="29">
        <v>148</v>
      </c>
      <c r="B1166" s="10" t="str">
        <f>VLOOKUP(A1166,vaccines!A:B,2)</f>
        <v>Uro_BCG_therapeutic</v>
      </c>
      <c r="C1166" s="29">
        <v>22</v>
      </c>
      <c r="D1166" s="8" t="str">
        <f>VLOOKUP(C1166,contraindications_list!A:B,2)</f>
        <v>беременность</v>
      </c>
      <c r="E1166" s="40">
        <v>45494</v>
      </c>
    </row>
    <row r="1167" spans="1:5">
      <c r="A1167" s="29">
        <v>148</v>
      </c>
      <c r="B1167" s="10" t="str">
        <f>VLOOKUP(A1167,vaccines!A:B,2)</f>
        <v>Uro_BCG_therapeutic</v>
      </c>
      <c r="C1167" s="29">
        <v>23</v>
      </c>
      <c r="D1167" s="8" t="str">
        <f>VLOOKUP(C1167,contraindications_list!A:B,2)</f>
        <v>грудное вскармливание</v>
      </c>
      <c r="E1167" s="40">
        <v>45494</v>
      </c>
    </row>
    <row r="1168" spans="1:5">
      <c r="A1168" s="29">
        <v>149</v>
      </c>
      <c r="B1168" s="10" t="str">
        <f>VLOOKUP(A1168,vaccines!A:B,2)</f>
        <v>Flu_Microgen</v>
      </c>
      <c r="C1168" s="29">
        <v>5</v>
      </c>
      <c r="D1168" s="8" t="str">
        <f>VLOOKUP(C1168,contraindications_list!A:B,2)</f>
        <v>острое заболевание</v>
      </c>
      <c r="E1168" s="40">
        <v>45494</v>
      </c>
    </row>
    <row r="1169" spans="1:5">
      <c r="A1169" s="29">
        <v>149</v>
      </c>
      <c r="B1169" s="10" t="str">
        <f>VLOOKUP(A1169,vaccines!A:B,2)</f>
        <v>Flu_Microgen</v>
      </c>
      <c r="C1169" s="29">
        <v>24</v>
      </c>
      <c r="D1169" s="8" t="str">
        <f>VLOOKUP(C1169,contraindications_list!A:B,2)</f>
        <v>аллергия на куриный белок</v>
      </c>
      <c r="E1169" s="40">
        <v>45494</v>
      </c>
    </row>
    <row r="1170" spans="1:5">
      <c r="A1170" s="29">
        <v>149</v>
      </c>
      <c r="B1170" s="10" t="str">
        <f>VLOOKUP(A1170,vaccines!A:B,2)</f>
        <v>Flu_Microgen</v>
      </c>
      <c r="C1170" s="29">
        <v>15</v>
      </c>
      <c r="D1170" s="8" t="str">
        <f>VLOOKUP(C1170,contraindications_list!A:B,2)</f>
        <v>сильная общая реакция на предыдущее введение вакцины</v>
      </c>
      <c r="E1170" s="40">
        <v>45494</v>
      </c>
    </row>
    <row r="1171" spans="1:5">
      <c r="A1171" s="29">
        <v>149</v>
      </c>
      <c r="B1171" s="10" t="str">
        <f>VLOOKUP(A1171,vaccines!A:B,2)</f>
        <v>Flu_Microgen</v>
      </c>
      <c r="C1171" s="29">
        <v>19</v>
      </c>
      <c r="D1171" s="8" t="str">
        <f>VLOOKUP(C1171,contraindications_list!A:B,2)</f>
        <v>осложнение на предыдущее введение вакцины</v>
      </c>
      <c r="E1171" s="40">
        <v>45494</v>
      </c>
    </row>
    <row r="1172" spans="1:5">
      <c r="A1172" s="29">
        <v>149</v>
      </c>
      <c r="B1172" s="10" t="str">
        <f>VLOOKUP(A1172,vaccines!A:B,2)</f>
        <v>Flu_Microgen</v>
      </c>
      <c r="C1172" s="29">
        <v>6</v>
      </c>
      <c r="D1172" s="8" t="str">
        <f>VLOOKUP(C1172,contraindications_list!A:B,2)</f>
        <v>обострение хронического заболевания</v>
      </c>
      <c r="E1172" s="40">
        <v>45494</v>
      </c>
    </row>
    <row r="1173" spans="1:5">
      <c r="A1173" s="29">
        <v>149</v>
      </c>
      <c r="B1173" s="10" t="str">
        <f>VLOOKUP(A1173,vaccines!A:B,2)</f>
        <v>Flu_Microgen</v>
      </c>
      <c r="C1173" s="29">
        <v>39</v>
      </c>
      <c r="D1173" s="8" t="str">
        <f>VLOOKUP(C1173,contraindications_list!A:B,2)</f>
        <v>системное заболевание соединительной ткани</v>
      </c>
      <c r="E1173" s="40">
        <v>45494</v>
      </c>
    </row>
    <row r="1174" spans="1:5">
      <c r="A1174" s="29">
        <v>149</v>
      </c>
      <c r="B1174" s="10" t="str">
        <f>VLOOKUP(A1174,vaccines!A:B,2)</f>
        <v>Flu_Microgen</v>
      </c>
      <c r="C1174" s="29">
        <v>22</v>
      </c>
      <c r="D1174" s="8" t="str">
        <f>VLOOKUP(C1174,contraindications_list!A:B,2)</f>
        <v>беременность</v>
      </c>
      <c r="E1174" s="40">
        <v>45494</v>
      </c>
    </row>
    <row r="1175" spans="1:5">
      <c r="A1175" s="29">
        <v>149</v>
      </c>
      <c r="B1175" s="10" t="str">
        <f>VLOOKUP(A1175,vaccines!A:B,2)</f>
        <v>Flu_Microgen</v>
      </c>
      <c r="C1175" s="29">
        <v>23</v>
      </c>
      <c r="D1175" s="8" t="str">
        <f>VLOOKUP(C1175,contraindications_list!A:B,2)</f>
        <v>грудное вскармливание</v>
      </c>
      <c r="E1175" s="40">
        <v>45494</v>
      </c>
    </row>
    <row r="1176" spans="1:5">
      <c r="A1176" s="29">
        <v>149</v>
      </c>
      <c r="B1176" s="10" t="str">
        <f>VLOOKUP(A1176,vaccines!A:B,2)</f>
        <v>Flu_Microgen</v>
      </c>
      <c r="C1176" s="29">
        <v>53</v>
      </c>
      <c r="D1176" s="8" t="str">
        <f>VLOOKUP(C1176,contraindications_list!A:B,2)</f>
        <v>неврологическое заболевание</v>
      </c>
      <c r="E1176" s="40">
        <v>45494</v>
      </c>
    </row>
    <row r="1177" spans="1:5">
      <c r="A1177" s="29">
        <v>149</v>
      </c>
      <c r="B1177" s="10" t="str">
        <f>VLOOKUP(A1177,vaccines!A:B,2)</f>
        <v>Flu_Microgen</v>
      </c>
      <c r="C1177" s="29">
        <v>13</v>
      </c>
      <c r="D1177" s="8" t="str">
        <f>VLOOKUP(C1177,contraindications_list!A:B,2)</f>
        <v>прогрессирующее неврологическое заболевание</v>
      </c>
      <c r="E1177" s="40">
        <v>45494</v>
      </c>
    </row>
    <row r="1178" spans="1:5">
      <c r="A1178" s="29">
        <v>149</v>
      </c>
      <c r="B1178" s="10" t="str">
        <f>VLOOKUP(A1178,vaccines!A:B,2)</f>
        <v>Flu_Microgen</v>
      </c>
      <c r="C1178" s="29">
        <v>81</v>
      </c>
      <c r="D1178" s="8" t="str">
        <f>VLOOKUP(C1178,contraindications_list!A:B,2)</f>
        <v>заболевания надпочечников</v>
      </c>
      <c r="E1178" s="40">
        <v>45494</v>
      </c>
    </row>
    <row r="1179" spans="1:5">
      <c r="A1179" s="29">
        <v>150</v>
      </c>
      <c r="B1179" s="10" t="str">
        <f>VLOOKUP(A1179,vaccines!A:B,2)</f>
        <v>MonoGrippol_plus</v>
      </c>
      <c r="C1179" s="29">
        <v>1</v>
      </c>
      <c r="D1179" s="8" t="str">
        <f>VLOOKUP(C1179,contraindications_list!A:B,2)</f>
        <v>гиперчувствительность к компонентам</v>
      </c>
      <c r="E1179" s="40">
        <v>45494</v>
      </c>
    </row>
    <row r="1180" spans="1:5">
      <c r="A1180" s="29">
        <v>150</v>
      </c>
      <c r="B1180" s="10" t="str">
        <f>VLOOKUP(A1180,vaccines!A:B,2)</f>
        <v>MonoGrippol_plus</v>
      </c>
      <c r="C1180" s="29">
        <v>24</v>
      </c>
      <c r="D1180" s="8" t="str">
        <f>VLOOKUP(C1180,contraindications_list!A:B,2)</f>
        <v>аллергия на куриный белок</v>
      </c>
      <c r="E1180" s="40">
        <v>45494</v>
      </c>
    </row>
    <row r="1181" spans="1:5">
      <c r="A1181" s="29">
        <v>150</v>
      </c>
      <c r="B1181" s="10" t="str">
        <f>VLOOKUP(A1181,vaccines!A:B,2)</f>
        <v>MonoGrippol_plus</v>
      </c>
      <c r="C1181" s="29">
        <v>5</v>
      </c>
      <c r="D1181" s="8" t="str">
        <f>VLOOKUP(C1181,contraindications_list!A:B,2)</f>
        <v>острое заболевание</v>
      </c>
      <c r="E1181" s="40">
        <v>45494</v>
      </c>
    </row>
    <row r="1182" spans="1:5">
      <c r="A1182" s="29">
        <v>150</v>
      </c>
      <c r="B1182" s="10" t="str">
        <f>VLOOKUP(A1182,vaccines!A:B,2)</f>
        <v>MonoGrippol_plus</v>
      </c>
      <c r="C1182" s="29">
        <v>6</v>
      </c>
      <c r="D1182" s="8" t="str">
        <f>VLOOKUP(C1182,contraindications_list!A:B,2)</f>
        <v>обострение хронического заболевания</v>
      </c>
      <c r="E1182" s="40">
        <v>45494</v>
      </c>
    </row>
    <row r="1183" spans="1:5">
      <c r="A1183" s="29">
        <v>150</v>
      </c>
      <c r="B1183" s="10" t="str">
        <f>VLOOKUP(A1183,vaccines!A:B,2)</f>
        <v>MonoGrippol_plus</v>
      </c>
      <c r="C1183" s="29">
        <v>15</v>
      </c>
      <c r="D1183" s="8" t="str">
        <f>VLOOKUP(C1183,contraindications_list!A:B,2)</f>
        <v>сильная общая реакция на предыдущее введение вакцины</v>
      </c>
      <c r="E1183" s="40">
        <v>45494</v>
      </c>
    </row>
    <row r="1184" spans="1:5">
      <c r="A1184" s="29">
        <v>150</v>
      </c>
      <c r="B1184" s="10" t="str">
        <f>VLOOKUP(A1184,vaccines!A:B,2)</f>
        <v>MonoGrippol_plus</v>
      </c>
      <c r="C1184" s="29">
        <v>19</v>
      </c>
      <c r="D1184" s="8" t="str">
        <f>VLOOKUP(C1184,contraindications_list!A:B,2)</f>
        <v>осложнение на предыдущее введение вакцины</v>
      </c>
      <c r="E1184" s="40">
        <v>45494</v>
      </c>
    </row>
    <row r="1185" spans="1:5">
      <c r="A1185" s="29">
        <v>151</v>
      </c>
      <c r="B1185" s="10" t="str">
        <f>VLOOKUP(A1185,vaccines!A:B,2)</f>
        <v>MonoGrippol_Neo</v>
      </c>
      <c r="C1185" s="29">
        <v>1</v>
      </c>
      <c r="D1185" s="8" t="str">
        <f>VLOOKUP(C1185,contraindications_list!A:B,2)</f>
        <v>гиперчувствительность к компонентам</v>
      </c>
      <c r="E1185" s="40">
        <v>45494</v>
      </c>
    </row>
    <row r="1186" spans="1:5">
      <c r="A1186" s="29">
        <v>151</v>
      </c>
      <c r="B1186" s="10" t="str">
        <f>VLOOKUP(A1186,vaccines!A:B,2)</f>
        <v>MonoGrippol_Neo</v>
      </c>
      <c r="C1186" s="29">
        <v>5</v>
      </c>
      <c r="D1186" s="8" t="str">
        <f>VLOOKUP(C1186,contraindications_list!A:B,2)</f>
        <v>острое заболевание</v>
      </c>
      <c r="E1186" s="40">
        <v>45494</v>
      </c>
    </row>
    <row r="1187" spans="1:5">
      <c r="A1187" s="29">
        <v>151</v>
      </c>
      <c r="B1187" s="10" t="str">
        <f>VLOOKUP(A1187,vaccines!A:B,2)</f>
        <v>MonoGrippol_Neo</v>
      </c>
      <c r="C1187" s="29">
        <v>6</v>
      </c>
      <c r="D1187" s="8" t="str">
        <f>VLOOKUP(C1187,contraindications_list!A:B,2)</f>
        <v>обострение хронического заболевания</v>
      </c>
      <c r="E1187" s="40">
        <v>45494</v>
      </c>
    </row>
    <row r="1188" spans="1:5">
      <c r="A1188" s="29">
        <v>152</v>
      </c>
      <c r="B1188" s="10" t="str">
        <f>VLOOKUP(A1188,vaccines!A:B,2)</f>
        <v>MonoGrippol</v>
      </c>
      <c r="C1188" s="29">
        <v>1</v>
      </c>
      <c r="D1188" s="8" t="str">
        <f>VLOOKUP(C1188,contraindications_list!A:B,2)</f>
        <v>гиперчувствительность к компонентам</v>
      </c>
      <c r="E1188" s="40">
        <v>45494</v>
      </c>
    </row>
    <row r="1189" spans="1:5">
      <c r="A1189" s="29">
        <v>152</v>
      </c>
      <c r="B1189" s="10" t="str">
        <f>VLOOKUP(A1189,vaccines!A:B,2)</f>
        <v>MonoGrippol</v>
      </c>
      <c r="C1189" s="29">
        <v>5</v>
      </c>
      <c r="D1189" s="8" t="str">
        <f>VLOOKUP(C1189,contraindications_list!A:B,2)</f>
        <v>острое заболевание</v>
      </c>
      <c r="E1189" s="40">
        <v>45494</v>
      </c>
    </row>
    <row r="1190" spans="1:5">
      <c r="A1190" s="29">
        <v>152</v>
      </c>
      <c r="B1190" s="10" t="str">
        <f>VLOOKUP(A1190,vaccines!A:B,2)</f>
        <v>MonoGrippol</v>
      </c>
      <c r="C1190" s="29">
        <v>6</v>
      </c>
      <c r="D1190" s="8" t="str">
        <f>VLOOKUP(C1190,contraindications_list!A:B,2)</f>
        <v>обострение хронического заболевания</v>
      </c>
      <c r="E1190" s="40">
        <v>45494</v>
      </c>
    </row>
    <row r="1191" spans="1:5">
      <c r="A1191" s="29">
        <v>153</v>
      </c>
      <c r="B1191" s="10" t="str">
        <f>VLOOKUP(A1191,vaccines!A:B,2)</f>
        <v>Influvir</v>
      </c>
      <c r="C1191" s="29">
        <v>5</v>
      </c>
      <c r="D1191" s="8" t="str">
        <f>VLOOKUP(C1191,contraindications_list!A:B,2)</f>
        <v>острое заболевание</v>
      </c>
      <c r="E1191" s="40">
        <v>45494</v>
      </c>
    </row>
    <row r="1192" spans="1:5">
      <c r="A1192" s="29">
        <v>153</v>
      </c>
      <c r="B1192" s="10" t="str">
        <f>VLOOKUP(A1192,vaccines!A:B,2)</f>
        <v>Influvir</v>
      </c>
      <c r="C1192" s="29">
        <v>6</v>
      </c>
      <c r="D1192" s="8" t="str">
        <f>VLOOKUP(C1192,contraindications_list!A:B,2)</f>
        <v>обострение хронического заболевания</v>
      </c>
      <c r="E1192" s="40">
        <v>45494</v>
      </c>
    </row>
    <row r="1193" spans="1:5">
      <c r="A1193" s="29">
        <v>153</v>
      </c>
      <c r="B1193" s="10" t="str">
        <f>VLOOKUP(A1193,vaccines!A:B,2)</f>
        <v>Influvir</v>
      </c>
      <c r="C1193" s="29">
        <v>1</v>
      </c>
      <c r="D1193" s="8" t="str">
        <f>VLOOKUP(C1193,contraindications_list!A:B,2)</f>
        <v>гиперчувствительность к компонентам</v>
      </c>
      <c r="E1193" s="40">
        <v>45494</v>
      </c>
    </row>
    <row r="1194" spans="1:5">
      <c r="A1194" s="29">
        <v>153</v>
      </c>
      <c r="B1194" s="10" t="str">
        <f>VLOOKUP(A1194,vaccines!A:B,2)</f>
        <v>Influvir</v>
      </c>
      <c r="C1194" s="29">
        <v>24</v>
      </c>
      <c r="D1194" s="8" t="str">
        <f>VLOOKUP(C1194,contraindications_list!A:B,2)</f>
        <v>аллергия на куриный белок</v>
      </c>
      <c r="E1194" s="40">
        <v>45494</v>
      </c>
    </row>
    <row r="1195" spans="1:5">
      <c r="A1195" s="29">
        <v>153</v>
      </c>
      <c r="B1195" s="10" t="str">
        <f>VLOOKUP(A1195,vaccines!A:B,2)</f>
        <v>Influvir</v>
      </c>
      <c r="C1195" s="29">
        <v>15</v>
      </c>
      <c r="D1195" s="8" t="str">
        <f>VLOOKUP(C1195,contraindications_list!A:B,2)</f>
        <v>сильная общая реакция на предыдущее введение вакцины</v>
      </c>
      <c r="E1195" s="40">
        <v>45494</v>
      </c>
    </row>
    <row r="1196" spans="1:5">
      <c r="A1196" s="29">
        <v>153</v>
      </c>
      <c r="B1196" s="10" t="str">
        <f>VLOOKUP(A1196,vaccines!A:B,2)</f>
        <v>Influvir</v>
      </c>
      <c r="C1196" s="29">
        <v>19</v>
      </c>
      <c r="D1196" s="8" t="str">
        <f>VLOOKUP(C1196,contraindications_list!A:B,2)</f>
        <v>осложнение на предыдущее введение вакцины</v>
      </c>
      <c r="E1196" s="40">
        <v>45494</v>
      </c>
    </row>
    <row r="1197" spans="1:5">
      <c r="A1197" s="29">
        <v>153</v>
      </c>
      <c r="B1197" s="10" t="str">
        <f>VLOOKUP(A1197,vaccines!A:B,2)</f>
        <v>Influvir</v>
      </c>
      <c r="C1197" s="29">
        <v>7</v>
      </c>
      <c r="D1197" s="8" t="str">
        <f>VLOOKUP(C1197,contraindications_list!A:B,2)</f>
        <v>иммунодефицит</v>
      </c>
      <c r="E1197" s="40">
        <v>45494</v>
      </c>
    </row>
    <row r="1198" spans="1:5">
      <c r="A1198" s="29">
        <v>153</v>
      </c>
      <c r="B1198" s="10" t="str">
        <f>VLOOKUP(A1198,vaccines!A:B,2)</f>
        <v>Influvir</v>
      </c>
      <c r="C1198" s="29">
        <v>22</v>
      </c>
      <c r="D1198" s="8" t="str">
        <f>VLOOKUP(C1198,contraindications_list!A:B,2)</f>
        <v>беременность</v>
      </c>
      <c r="E1198" s="40">
        <v>45494</v>
      </c>
    </row>
    <row r="1199" spans="1:5">
      <c r="A1199" s="29">
        <v>153</v>
      </c>
      <c r="B1199" s="10" t="str">
        <f>VLOOKUP(A1199,vaccines!A:B,2)</f>
        <v>Influvir</v>
      </c>
      <c r="C1199" s="29">
        <v>23</v>
      </c>
      <c r="D1199" s="8" t="str">
        <f>VLOOKUP(C1199,contraindications_list!A:B,2)</f>
        <v>грудное вскармливание</v>
      </c>
      <c r="E1199" s="40">
        <v>45494</v>
      </c>
    </row>
    <row r="1200" spans="1:5">
      <c r="A1200" s="29">
        <v>153</v>
      </c>
      <c r="B1200" s="10" t="str">
        <f>VLOOKUP(A1200,vaccines!A:B,2)</f>
        <v>Influvir</v>
      </c>
      <c r="C1200" s="29">
        <v>28</v>
      </c>
      <c r="D1200" s="8" t="str">
        <f>VLOOKUP(C1200,contraindications_list!A:B,2)</f>
        <v>иммуносупрессивная терапия</v>
      </c>
      <c r="E1200" s="40">
        <v>45494</v>
      </c>
    </row>
    <row r="1201" spans="1:6">
      <c r="A1201" s="29">
        <v>153</v>
      </c>
      <c r="B1201" s="10" t="str">
        <f>VLOOKUP(A1201,vaccines!A:B,2)</f>
        <v>Influvir</v>
      </c>
      <c r="C1201" s="29">
        <v>68</v>
      </c>
      <c r="D1201" s="8" t="str">
        <f>VLOOKUP(C1201,contraindications_list!A:B,2)</f>
        <v>высокая температура тела</v>
      </c>
      <c r="E1201" s="40">
        <v>45494</v>
      </c>
    </row>
    <row r="1202" spans="1:6">
      <c r="A1202" s="29">
        <v>154</v>
      </c>
      <c r="B1202" s="10" t="str">
        <f>VLOOKUP(A1202,vaccines!A:B,2)</f>
        <v>Pandeflu</v>
      </c>
      <c r="C1202" s="29">
        <v>1</v>
      </c>
      <c r="D1202" s="8" t="str">
        <f>VLOOKUP(C1202,contraindications_list!A:B,2)</f>
        <v>гиперчувствительность к компонентам</v>
      </c>
      <c r="E1202" s="40">
        <v>45494</v>
      </c>
    </row>
    <row r="1203" spans="1:6">
      <c r="A1203" s="29">
        <v>154</v>
      </c>
      <c r="B1203" s="10" t="str">
        <f>VLOOKUP(A1203,vaccines!A:B,2)</f>
        <v>Pandeflu</v>
      </c>
      <c r="C1203" s="29">
        <v>5</v>
      </c>
      <c r="D1203" s="8" t="str">
        <f>VLOOKUP(C1203,contraindications_list!A:B,2)</f>
        <v>острое заболевание</v>
      </c>
      <c r="E1203" s="40">
        <v>45494</v>
      </c>
    </row>
    <row r="1204" spans="1:6">
      <c r="A1204" s="29">
        <v>154</v>
      </c>
      <c r="B1204" s="10" t="str">
        <f>VLOOKUP(A1204,vaccines!A:B,2)</f>
        <v>Pandeflu</v>
      </c>
      <c r="C1204" s="29">
        <v>24</v>
      </c>
      <c r="D1204" s="8" t="str">
        <f>VLOOKUP(C1204,contraindications_list!A:B,2)</f>
        <v>аллергия на куриный белок</v>
      </c>
      <c r="E1204" s="40">
        <v>45494</v>
      </c>
    </row>
    <row r="1205" spans="1:6">
      <c r="A1205" s="29">
        <v>154</v>
      </c>
      <c r="B1205" s="10" t="str">
        <f>VLOOKUP(A1205,vaccines!A:B,2)</f>
        <v>Pandeflu</v>
      </c>
      <c r="C1205" s="29">
        <v>15</v>
      </c>
      <c r="D1205" s="8" t="str">
        <f>VLOOKUP(C1205,contraindications_list!A:B,2)</f>
        <v>сильная общая реакция на предыдущее введение вакцины</v>
      </c>
      <c r="E1205" s="40">
        <v>45494</v>
      </c>
    </row>
    <row r="1206" spans="1:6">
      <c r="A1206" s="29">
        <v>154</v>
      </c>
      <c r="B1206" s="10" t="str">
        <f>VLOOKUP(A1206,vaccines!A:B,2)</f>
        <v>Pandeflu</v>
      </c>
      <c r="C1206" s="29">
        <v>19</v>
      </c>
      <c r="D1206" s="8" t="str">
        <f>VLOOKUP(C1206,contraindications_list!A:B,2)</f>
        <v>осложнение на предыдущее введение вакцины</v>
      </c>
      <c r="E1206" s="40">
        <v>45494</v>
      </c>
    </row>
    <row r="1207" spans="1:6">
      <c r="A1207" s="29">
        <v>154</v>
      </c>
      <c r="B1207" s="10" t="str">
        <f>VLOOKUP(A1207,vaccines!A:B,2)</f>
        <v>Pandeflu</v>
      </c>
      <c r="C1207" s="29">
        <v>22</v>
      </c>
      <c r="D1207" s="8" t="str">
        <f>VLOOKUP(C1207,contraindications_list!A:B,2)</f>
        <v>беременность</v>
      </c>
      <c r="E1207" s="40">
        <v>45494</v>
      </c>
    </row>
    <row r="1208" spans="1:6">
      <c r="A1208" s="29">
        <v>154</v>
      </c>
      <c r="B1208" s="10" t="str">
        <f>VLOOKUP(A1208,vaccines!A:B,2)</f>
        <v>Pandeflu</v>
      </c>
      <c r="C1208" s="29">
        <v>23</v>
      </c>
      <c r="D1208" s="8" t="str">
        <f>VLOOKUP(C1208,contraindications_list!A:B,2)</f>
        <v>грудное вскармливание</v>
      </c>
      <c r="E1208" s="40">
        <v>45494</v>
      </c>
    </row>
    <row r="1209" spans="1:6">
      <c r="A1209" s="29">
        <v>155</v>
      </c>
      <c r="B1209" s="10" t="str">
        <f>VLOOKUP(A1209,vaccines!A:B,2)</f>
        <v>Grippol_Neo</v>
      </c>
      <c r="C1209" s="29">
        <v>1</v>
      </c>
      <c r="D1209" s="8" t="str">
        <f>VLOOKUP(C1209,contraindications_list!A:B,2)</f>
        <v>гиперчувствительность к компонентам</v>
      </c>
      <c r="E1209" s="40">
        <v>45494</v>
      </c>
    </row>
    <row r="1210" spans="1:6">
      <c r="A1210" s="29">
        <v>155</v>
      </c>
      <c r="B1210" s="10" t="str">
        <f>VLOOKUP(A1210,vaccines!A:B,2)</f>
        <v>Grippol_Neo</v>
      </c>
      <c r="C1210" s="29">
        <v>5</v>
      </c>
      <c r="D1210" s="8" t="str">
        <f>VLOOKUP(C1210,contraindications_list!A:B,2)</f>
        <v>острое заболевание</v>
      </c>
      <c r="E1210" s="40">
        <v>45494</v>
      </c>
    </row>
    <row r="1211" spans="1:6">
      <c r="A1211" s="29">
        <v>155</v>
      </c>
      <c r="B1211" s="10" t="str">
        <f>VLOOKUP(A1211,vaccines!A:B,2)</f>
        <v>Grippol_Neo</v>
      </c>
      <c r="C1211" s="29">
        <v>6</v>
      </c>
      <c r="D1211" s="8" t="str">
        <f>VLOOKUP(C1211,contraindications_list!A:B,2)</f>
        <v>обострение хронического заболевания</v>
      </c>
      <c r="E1211" s="40">
        <v>45494</v>
      </c>
    </row>
    <row r="1212" spans="1:6">
      <c r="A1212" s="29">
        <v>156</v>
      </c>
      <c r="B1212" s="10" t="str">
        <f>VLOOKUP(A1212,vaccines!A:B,2)</f>
        <v>Ultravac</v>
      </c>
      <c r="C1212" s="29">
        <v>1</v>
      </c>
      <c r="D1212" s="8" t="str">
        <f>VLOOKUP(C1212,contraindications_list!A:B,2)</f>
        <v>гиперчувствительность к компонентам</v>
      </c>
      <c r="E1212" s="40">
        <v>45494</v>
      </c>
      <c r="F1212" s="40">
        <v>45622</v>
      </c>
    </row>
    <row r="1213" spans="1:6">
      <c r="A1213" s="29">
        <v>156</v>
      </c>
      <c r="B1213" s="10" t="str">
        <f>VLOOKUP(A1213,vaccines!A:B,2)</f>
        <v>Ultravac</v>
      </c>
      <c r="C1213" s="29">
        <v>24</v>
      </c>
      <c r="D1213" s="8" t="str">
        <f>VLOOKUP(C1213,contraindications_list!A:B,2)</f>
        <v>аллергия на куриный белок</v>
      </c>
      <c r="E1213" s="40">
        <v>45494</v>
      </c>
      <c r="F1213" s="40">
        <v>45622</v>
      </c>
    </row>
    <row r="1214" spans="1:6">
      <c r="A1214" s="29">
        <v>156</v>
      </c>
      <c r="B1214" s="10" t="str">
        <f>VLOOKUP(A1214,vaccines!A:B,2)</f>
        <v>Ultravac</v>
      </c>
      <c r="C1214" s="29">
        <v>5</v>
      </c>
      <c r="D1214" s="8" t="str">
        <f>VLOOKUP(C1214,contraindications_list!A:B,2)</f>
        <v>острое заболевание</v>
      </c>
      <c r="E1214" s="40">
        <v>45494</v>
      </c>
      <c r="F1214" s="40">
        <v>45622</v>
      </c>
    </row>
    <row r="1215" spans="1:6">
      <c r="A1215" s="29">
        <v>156</v>
      </c>
      <c r="B1215" s="10" t="str">
        <f>VLOOKUP(A1215,vaccines!A:B,2)</f>
        <v>Ultravac</v>
      </c>
      <c r="C1215" s="29">
        <v>6</v>
      </c>
      <c r="D1215" s="8" t="str">
        <f>VLOOKUP(C1215,contraindications_list!A:B,2)</f>
        <v>обострение хронического заболевания</v>
      </c>
      <c r="E1215" s="40">
        <v>45494</v>
      </c>
      <c r="F1215" s="40">
        <v>45622</v>
      </c>
    </row>
    <row r="1216" spans="1:6">
      <c r="A1216" s="29">
        <v>156</v>
      </c>
      <c r="B1216" s="10" t="str">
        <f>VLOOKUP(A1216,vaccines!A:B,2)</f>
        <v>Ultravac</v>
      </c>
      <c r="C1216" s="29">
        <v>15</v>
      </c>
      <c r="D1216" s="8" t="str">
        <f>VLOOKUP(C1216,contraindications_list!A:B,2)</f>
        <v>сильная общая реакция на предыдущее введение вакцины</v>
      </c>
      <c r="E1216" s="40">
        <v>45494</v>
      </c>
      <c r="F1216" s="40">
        <v>45622</v>
      </c>
    </row>
    <row r="1217" spans="1:6">
      <c r="A1217" s="29">
        <v>156</v>
      </c>
      <c r="B1217" s="10" t="str">
        <f>VLOOKUP(A1217,vaccines!A:B,2)</f>
        <v>Ultravac</v>
      </c>
      <c r="C1217" s="29">
        <v>19</v>
      </c>
      <c r="D1217" s="8" t="str">
        <f>VLOOKUP(C1217,contraindications_list!A:B,2)</f>
        <v>осложнение на предыдущее введение вакцины</v>
      </c>
      <c r="E1217" s="40">
        <v>45494</v>
      </c>
      <c r="F1217" s="40">
        <v>45622</v>
      </c>
    </row>
    <row r="1218" spans="1:6">
      <c r="A1218" s="29">
        <v>156</v>
      </c>
      <c r="B1218" s="10" t="str">
        <f>VLOOKUP(A1218,vaccines!A:B,2)</f>
        <v>Ultravac</v>
      </c>
      <c r="C1218" s="29">
        <v>7</v>
      </c>
      <c r="D1218" s="8" t="str">
        <f>VLOOKUP(C1218,contraindications_list!A:B,2)</f>
        <v>иммунодефицит</v>
      </c>
      <c r="E1218" s="40">
        <v>45494</v>
      </c>
      <c r="F1218" s="40">
        <v>45622</v>
      </c>
    </row>
    <row r="1219" spans="1:6">
      <c r="A1219" s="29">
        <v>156</v>
      </c>
      <c r="B1219" s="10" t="str">
        <f>VLOOKUP(A1219,vaccines!A:B,2)</f>
        <v>Ultravac</v>
      </c>
      <c r="C1219" s="29">
        <v>28</v>
      </c>
      <c r="D1219" s="8" t="str">
        <f>VLOOKUP(C1219,contraindications_list!A:B,2)</f>
        <v>иммуносупрессивная терапия</v>
      </c>
      <c r="E1219" s="40">
        <v>45494</v>
      </c>
      <c r="F1219" s="40">
        <v>45622</v>
      </c>
    </row>
    <row r="1220" spans="1:6">
      <c r="A1220" s="29">
        <v>156</v>
      </c>
      <c r="B1220" s="10" t="str">
        <f>VLOOKUP(A1220,vaccines!A:B,2)</f>
        <v>Ultravac</v>
      </c>
      <c r="C1220" s="29">
        <v>22</v>
      </c>
      <c r="D1220" s="8" t="str">
        <f>VLOOKUP(C1220,contraindications_list!A:B,2)</f>
        <v>беременность</v>
      </c>
      <c r="E1220" s="40">
        <v>45494</v>
      </c>
      <c r="F1220" s="40">
        <v>45622</v>
      </c>
    </row>
    <row r="1221" spans="1:6">
      <c r="A1221" s="29">
        <v>156</v>
      </c>
      <c r="B1221" s="10" t="str">
        <f>VLOOKUP(A1221,vaccines!A:B,2)</f>
        <v>Ultravac</v>
      </c>
      <c r="C1221" s="29">
        <v>23</v>
      </c>
      <c r="D1221" s="8" t="str">
        <f>VLOOKUP(C1221,contraindications_list!A:B,2)</f>
        <v>грудное вскармливание</v>
      </c>
      <c r="E1221" s="40">
        <v>45494</v>
      </c>
      <c r="F1221" s="40">
        <v>45622</v>
      </c>
    </row>
    <row r="1222" spans="1:6">
      <c r="A1222" s="29">
        <v>156</v>
      </c>
      <c r="B1222" s="10" t="str">
        <f>VLOOKUP(A1222,vaccines!A:B,2)</f>
        <v>Ultravac</v>
      </c>
      <c r="C1222" s="29">
        <v>85</v>
      </c>
      <c r="D1222" s="8" t="str">
        <f>VLOOKUP(C1222,contraindications_list!A:B,2)</f>
        <v>ринит</v>
      </c>
      <c r="E1222" s="40">
        <v>45494</v>
      </c>
      <c r="F1222" s="40">
        <v>45622</v>
      </c>
    </row>
    <row r="1223" spans="1:6">
      <c r="A1223" s="29">
        <v>158</v>
      </c>
      <c r="B1223" s="10" t="str">
        <f>VLOOKUP(A1223,vaccines!A:B,2)</f>
        <v>Gerpovax_therapeutic</v>
      </c>
      <c r="C1223" s="29">
        <v>5</v>
      </c>
      <c r="D1223" s="8" t="str">
        <f>VLOOKUP(C1223,contraindications_list!A:B,2)</f>
        <v>острое заболевание</v>
      </c>
      <c r="E1223" s="40">
        <v>45496</v>
      </c>
    </row>
    <row r="1224" spans="1:6">
      <c r="A1224" s="29">
        <v>158</v>
      </c>
      <c r="B1224" s="10" t="str">
        <f>VLOOKUP(A1224,vaccines!A:B,2)</f>
        <v>Gerpovax_therapeutic</v>
      </c>
      <c r="C1224" s="29">
        <v>6</v>
      </c>
      <c r="D1224" s="8" t="str">
        <f>VLOOKUP(C1224,contraindications_list!A:B,2)</f>
        <v>обострение хронического заболевания</v>
      </c>
      <c r="E1224" s="40">
        <v>45496</v>
      </c>
    </row>
    <row r="1225" spans="1:6">
      <c r="A1225" s="29">
        <v>158</v>
      </c>
      <c r="B1225" s="10" t="str">
        <f>VLOOKUP(A1225,vaccines!A:B,2)</f>
        <v>Gerpovax_therapeutic</v>
      </c>
      <c r="C1225" s="29">
        <v>82</v>
      </c>
      <c r="D1225" s="8" t="str">
        <f>VLOOKUP(C1225,contraindications_list!A:B,2)</f>
        <v>герпетическая инфекция в активной стадии</v>
      </c>
      <c r="E1225" s="40">
        <v>45496</v>
      </c>
    </row>
    <row r="1226" spans="1:6">
      <c r="A1226" s="29">
        <v>158</v>
      </c>
      <c r="B1226" s="10" t="str">
        <f>VLOOKUP(A1226,vaccines!A:B,2)</f>
        <v>Gerpovax_therapeutic</v>
      </c>
      <c r="C1226" s="29">
        <v>22</v>
      </c>
      <c r="D1226" s="8" t="str">
        <f>VLOOKUP(C1226,contraindications_list!A:B,2)</f>
        <v>беременность</v>
      </c>
      <c r="E1226" s="40">
        <v>45496</v>
      </c>
    </row>
    <row r="1227" spans="1:6">
      <c r="A1227" s="29">
        <v>158</v>
      </c>
      <c r="B1227" s="10" t="str">
        <f>VLOOKUP(A1227,vaccines!A:B,2)</f>
        <v>Gerpovax_therapeutic</v>
      </c>
      <c r="C1227" s="29">
        <v>8</v>
      </c>
      <c r="D1227" s="8" t="str">
        <f>VLOOKUP(C1227,contraindications_list!A:B,2)</f>
        <v>злокачественное новообразование</v>
      </c>
      <c r="E1227" s="40">
        <v>45496</v>
      </c>
    </row>
    <row r="1228" spans="1:6">
      <c r="A1228" s="29">
        <v>158</v>
      </c>
      <c r="B1228" s="10" t="str">
        <f>VLOOKUP(A1228,vaccines!A:B,2)</f>
        <v>Gerpovax_therapeutic</v>
      </c>
      <c r="C1228" s="29">
        <v>24</v>
      </c>
      <c r="D1228" s="8" t="str">
        <f>VLOOKUP(C1228,contraindications_list!A:B,2)</f>
        <v>аллергия на куриный белок</v>
      </c>
      <c r="E1228" s="40">
        <v>45496</v>
      </c>
    </row>
    <row r="1229" spans="1:6">
      <c r="A1229" s="29">
        <v>158</v>
      </c>
      <c r="B1229" s="10" t="str">
        <f>VLOOKUP(A1229,vaccines!A:B,2)</f>
        <v>Gerpovax_therapeutic</v>
      </c>
      <c r="C1229" s="29">
        <v>25</v>
      </c>
      <c r="D1229" s="8" t="str">
        <f>VLOOKUP(C1229,contraindications_list!A:B,2)</f>
        <v>аллергия на аминогликозиды</v>
      </c>
      <c r="E1229" s="40">
        <v>45496</v>
      </c>
    </row>
    <row r="1230" spans="1:6">
      <c r="A1230" s="29">
        <v>158</v>
      </c>
      <c r="B1230" s="10" t="str">
        <f>VLOOKUP(A1230,vaccines!A:B,2)</f>
        <v>Gerpovax_therapeutic</v>
      </c>
      <c r="C1230" s="29">
        <v>23</v>
      </c>
      <c r="D1230" s="8" t="str">
        <f>VLOOKUP(C1230,contraindications_list!A:B,2)</f>
        <v>грудное вскармливание</v>
      </c>
      <c r="E1230" s="40">
        <v>45496</v>
      </c>
    </row>
    <row r="1231" spans="1:6">
      <c r="A1231" s="29">
        <v>159</v>
      </c>
      <c r="B1231" s="10" t="str">
        <f>VLOOKUP(A1231,vaccines!A:B,2)</f>
        <v>Ultragrivac</v>
      </c>
      <c r="C1231" s="29">
        <v>5</v>
      </c>
      <c r="D1231" s="8" t="str">
        <f>VLOOKUP(C1231,contraindications_list!A:B,2)</f>
        <v>острое заболевание</v>
      </c>
      <c r="E1231" s="40">
        <v>45496</v>
      </c>
    </row>
    <row r="1232" spans="1:6">
      <c r="A1232" s="29">
        <v>159</v>
      </c>
      <c r="B1232" s="10" t="str">
        <f>VLOOKUP(A1232,vaccines!A:B,2)</f>
        <v>Ultragrivac</v>
      </c>
      <c r="C1232" s="29">
        <v>6</v>
      </c>
      <c r="D1232" s="8" t="str">
        <f>VLOOKUP(C1232,contraindications_list!A:B,2)</f>
        <v>обострение хронического заболевания</v>
      </c>
      <c r="E1232" s="40">
        <v>45496</v>
      </c>
    </row>
    <row r="1233" spans="1:5">
      <c r="A1233" s="29">
        <v>159</v>
      </c>
      <c r="B1233" s="10" t="str">
        <f>VLOOKUP(A1233,vaccines!A:B,2)</f>
        <v>Ultragrivac</v>
      </c>
      <c r="C1233" s="29">
        <v>24</v>
      </c>
      <c r="D1233" s="8" t="str">
        <f>VLOOKUP(C1233,contraindications_list!A:B,2)</f>
        <v>аллергия на куриный белок</v>
      </c>
      <c r="E1233" s="40">
        <v>45496</v>
      </c>
    </row>
    <row r="1234" spans="1:5">
      <c r="A1234" s="29">
        <v>159</v>
      </c>
      <c r="B1234" s="10" t="str">
        <f>VLOOKUP(A1234,vaccines!A:B,2)</f>
        <v>Ultragrivac</v>
      </c>
      <c r="C1234" s="29">
        <v>15</v>
      </c>
      <c r="D1234" s="8" t="str">
        <f>VLOOKUP(C1234,contraindications_list!A:B,2)</f>
        <v>сильная общая реакция на предыдущее введение вакцины</v>
      </c>
      <c r="E1234" s="40">
        <v>45496</v>
      </c>
    </row>
    <row r="1235" spans="1:5">
      <c r="A1235" s="29">
        <v>159</v>
      </c>
      <c r="B1235" s="10" t="str">
        <f>VLOOKUP(A1235,vaccines!A:B,2)</f>
        <v>Ultragrivac</v>
      </c>
      <c r="C1235" s="29">
        <v>19</v>
      </c>
      <c r="D1235" s="8" t="str">
        <f>VLOOKUP(C1235,contraindications_list!A:B,2)</f>
        <v>осложнение на предыдущее введение вакцины</v>
      </c>
      <c r="E1235" s="40">
        <v>45496</v>
      </c>
    </row>
    <row r="1236" spans="1:5">
      <c r="A1236" s="29">
        <v>159</v>
      </c>
      <c r="B1236" s="10" t="str">
        <f>VLOOKUP(A1236,vaccines!A:B,2)</f>
        <v>Ultragrivac</v>
      </c>
      <c r="C1236" s="29">
        <v>7</v>
      </c>
      <c r="D1236" s="8" t="str">
        <f>VLOOKUP(C1236,contraindications_list!A:B,2)</f>
        <v>иммунодефицит</v>
      </c>
      <c r="E1236" s="40">
        <v>45496</v>
      </c>
    </row>
    <row r="1237" spans="1:5">
      <c r="A1237" s="29">
        <v>159</v>
      </c>
      <c r="B1237" s="10" t="str">
        <f>VLOOKUP(A1237,vaccines!A:B,2)</f>
        <v>Ultragrivac</v>
      </c>
      <c r="C1237" s="29">
        <v>28</v>
      </c>
      <c r="D1237" s="8" t="str">
        <f>VLOOKUP(C1237,contraindications_list!A:B,2)</f>
        <v>иммуносупрессивная терапия</v>
      </c>
      <c r="E1237" s="40">
        <v>45496</v>
      </c>
    </row>
    <row r="1238" spans="1:5">
      <c r="A1238" s="29">
        <v>159</v>
      </c>
      <c r="B1238" s="10" t="str">
        <f>VLOOKUP(A1238,vaccines!A:B,2)</f>
        <v>Ultragrivac</v>
      </c>
      <c r="C1238" s="29">
        <v>8</v>
      </c>
      <c r="D1238" s="8" t="str">
        <f>VLOOKUP(C1238,contraindications_list!A:B,2)</f>
        <v>злокачественное новообразование</v>
      </c>
      <c r="E1238" s="40">
        <v>45496</v>
      </c>
    </row>
    <row r="1239" spans="1:5">
      <c r="A1239" s="29">
        <v>159</v>
      </c>
      <c r="B1239" s="10" t="str">
        <f>VLOOKUP(A1239,vaccines!A:B,2)</f>
        <v>Ultragrivac</v>
      </c>
      <c r="C1239" s="29">
        <v>22</v>
      </c>
      <c r="D1239" s="8" t="str">
        <f>VLOOKUP(C1239,contraindications_list!A:B,2)</f>
        <v>беременность</v>
      </c>
      <c r="E1239" s="40">
        <v>45496</v>
      </c>
    </row>
    <row r="1240" spans="1:5">
      <c r="A1240" s="29">
        <v>159</v>
      </c>
      <c r="B1240" s="10" t="str">
        <f>VLOOKUP(A1240,vaccines!A:B,2)</f>
        <v>Ultragrivac</v>
      </c>
      <c r="C1240" s="29">
        <v>23</v>
      </c>
      <c r="D1240" s="8" t="str">
        <f>VLOOKUP(C1240,contraindications_list!A:B,2)</f>
        <v>грудное вскармливание</v>
      </c>
      <c r="E1240" s="40">
        <v>45496</v>
      </c>
    </row>
    <row r="1241" spans="1:5">
      <c r="A1241" s="29">
        <v>160</v>
      </c>
      <c r="B1241" s="10" t="str">
        <f>VLOOKUP(A1241,vaccines!A:B,2)</f>
        <v>OrniFlu</v>
      </c>
      <c r="C1241" s="29">
        <v>5</v>
      </c>
      <c r="D1241" s="8" t="str">
        <f>VLOOKUP(C1241,contraindications_list!A:B,2)</f>
        <v>острое заболевание</v>
      </c>
      <c r="E1241" s="40">
        <v>45496</v>
      </c>
    </row>
    <row r="1242" spans="1:5">
      <c r="A1242" s="29">
        <v>160</v>
      </c>
      <c r="B1242" s="10" t="str">
        <f>VLOOKUP(A1242,vaccines!A:B,2)</f>
        <v>OrniFlu</v>
      </c>
      <c r="C1242" s="29">
        <v>6</v>
      </c>
      <c r="D1242" s="8" t="str">
        <f>VLOOKUP(C1242,contraindications_list!A:B,2)</f>
        <v>обострение хронического заболевания</v>
      </c>
      <c r="E1242" s="40">
        <v>45496</v>
      </c>
    </row>
    <row r="1243" spans="1:5">
      <c r="A1243" s="29">
        <v>160</v>
      </c>
      <c r="B1243" s="10" t="str">
        <f>VLOOKUP(A1243,vaccines!A:B,2)</f>
        <v>OrniFlu</v>
      </c>
      <c r="C1243" s="29">
        <v>24</v>
      </c>
      <c r="D1243" s="8" t="str">
        <f>VLOOKUP(C1243,contraindications_list!A:B,2)</f>
        <v>аллергия на куриный белок</v>
      </c>
      <c r="E1243" s="40">
        <v>45496</v>
      </c>
    </row>
    <row r="1244" spans="1:5">
      <c r="A1244" s="29">
        <v>160</v>
      </c>
      <c r="B1244" s="10" t="str">
        <f>VLOOKUP(A1244,vaccines!A:B,2)</f>
        <v>OrniFlu</v>
      </c>
      <c r="C1244" s="29">
        <v>39</v>
      </c>
      <c r="D1244" s="8" t="str">
        <f>VLOOKUP(C1244,contraindications_list!A:B,2)</f>
        <v>системное заболевание соединительной ткани</v>
      </c>
      <c r="E1244" s="40">
        <v>45496</v>
      </c>
    </row>
    <row r="1245" spans="1:5">
      <c r="A1245" s="29">
        <v>160</v>
      </c>
      <c r="B1245" s="10" t="str">
        <f>VLOOKUP(A1245,vaccines!A:B,2)</f>
        <v>OrniFlu</v>
      </c>
      <c r="C1245" s="29">
        <v>81</v>
      </c>
      <c r="D1245" s="8" t="str">
        <f>VLOOKUP(C1245,contraindications_list!A:B,2)</f>
        <v>заболевания надпочечников</v>
      </c>
      <c r="E1245" s="40">
        <v>45496</v>
      </c>
    </row>
    <row r="1246" spans="1:5">
      <c r="A1246" s="29">
        <v>160</v>
      </c>
      <c r="B1246" s="10" t="str">
        <f>VLOOKUP(A1246,vaccines!A:B,2)</f>
        <v>OrniFlu</v>
      </c>
      <c r="C1246" s="29">
        <v>53</v>
      </c>
      <c r="D1246" s="8" t="str">
        <f>VLOOKUP(C1246,contraindications_list!A:B,2)</f>
        <v>неврологическое заболевание</v>
      </c>
      <c r="E1246" s="40">
        <v>45496</v>
      </c>
    </row>
    <row r="1247" spans="1:5">
      <c r="A1247" s="29">
        <v>160</v>
      </c>
      <c r="B1247" s="10" t="str">
        <f>VLOOKUP(A1247,vaccines!A:B,2)</f>
        <v>OrniFlu</v>
      </c>
      <c r="C1247" s="29">
        <v>13</v>
      </c>
      <c r="D1247" s="8" t="str">
        <f>VLOOKUP(C1247,contraindications_list!A:B,2)</f>
        <v>прогрессирующее неврологическое заболевание</v>
      </c>
      <c r="E1247" s="40">
        <v>45496</v>
      </c>
    </row>
    <row r="1248" spans="1:5">
      <c r="A1248" s="29">
        <v>160</v>
      </c>
      <c r="B1248" s="10" t="str">
        <f>VLOOKUP(A1248,vaccines!A:B,2)</f>
        <v>OrniFlu</v>
      </c>
      <c r="C1248" s="29">
        <v>68</v>
      </c>
      <c r="D1248" s="8" t="str">
        <f>VLOOKUP(C1248,contraindications_list!A:B,2)</f>
        <v>высокая температура тела</v>
      </c>
      <c r="E1248" s="40">
        <v>45496</v>
      </c>
    </row>
    <row r="1249" spans="1:5">
      <c r="A1249" s="29">
        <v>160</v>
      </c>
      <c r="B1249" s="10" t="str">
        <f>VLOOKUP(A1249,vaccines!A:B,2)</f>
        <v>OrniFlu</v>
      </c>
      <c r="C1249" s="29">
        <v>1</v>
      </c>
      <c r="D1249" s="8" t="str">
        <f>VLOOKUP(C1249,contraindications_list!A:B,2)</f>
        <v>гиперчувствительность к компонентам</v>
      </c>
      <c r="E1249" s="40">
        <v>45750</v>
      </c>
    </row>
    <row r="1250" spans="1:5">
      <c r="A1250" s="29">
        <v>160</v>
      </c>
      <c r="B1250" s="10" t="str">
        <f>VLOOKUP(A1250,vaccines!A:B,2)</f>
        <v>OrniFlu</v>
      </c>
      <c r="C1250" s="29">
        <v>15</v>
      </c>
      <c r="D1250" s="8" t="str">
        <f>VLOOKUP(C1250,contraindications_list!A:B,2)</f>
        <v>сильная общая реакция на предыдущее введение вакцины</v>
      </c>
      <c r="E1250" s="40">
        <v>45750</v>
      </c>
    </row>
    <row r="1251" spans="1:5">
      <c r="A1251" s="29">
        <v>160</v>
      </c>
      <c r="B1251" s="10" t="str">
        <f>VLOOKUP(A1251,vaccines!A:B,2)</f>
        <v>OrniFlu</v>
      </c>
      <c r="C1251" s="29">
        <v>19</v>
      </c>
      <c r="D1251" s="8" t="str">
        <f>VLOOKUP(C1251,contraindications_list!A:B,2)</f>
        <v>осложнение на предыдущее введение вакцины</v>
      </c>
      <c r="E1251" s="40">
        <v>45750</v>
      </c>
    </row>
    <row r="1252" spans="1:5">
      <c r="A1252" s="29">
        <v>161</v>
      </c>
      <c r="B1252" s="10" t="str">
        <f>VLOOKUP(A1252,vaccines!A:B,2)</f>
        <v>rubella_Croatia</v>
      </c>
      <c r="C1252" s="29">
        <v>7</v>
      </c>
      <c r="D1252" s="8" t="str">
        <f>VLOOKUP(C1252,contraindications_list!A:B,2)</f>
        <v>иммунодефицит</v>
      </c>
      <c r="E1252" s="40">
        <v>45496</v>
      </c>
    </row>
    <row r="1253" spans="1:5">
      <c r="A1253" s="29">
        <v>161</v>
      </c>
      <c r="B1253" s="10" t="str">
        <f>VLOOKUP(A1253,vaccines!A:B,2)</f>
        <v>rubella_Croatia</v>
      </c>
      <c r="C1253" s="29">
        <v>8</v>
      </c>
      <c r="D1253" s="8" t="str">
        <f>VLOOKUP(C1253,contraindications_list!A:B,2)</f>
        <v>злокачественное новообразование</v>
      </c>
      <c r="E1253" s="40">
        <v>45496</v>
      </c>
    </row>
    <row r="1254" spans="1:5">
      <c r="A1254" s="29">
        <v>161</v>
      </c>
      <c r="B1254" s="10" t="str">
        <f>VLOOKUP(A1254,vaccines!A:B,2)</f>
        <v>rubella_Croatia</v>
      </c>
      <c r="C1254" s="29">
        <v>22</v>
      </c>
      <c r="D1254" s="8" t="str">
        <f>VLOOKUP(C1254,contraindications_list!A:B,2)</f>
        <v>беременность</v>
      </c>
      <c r="E1254" s="40">
        <v>45496</v>
      </c>
    </row>
    <row r="1255" spans="1:5">
      <c r="A1255" s="29">
        <v>161</v>
      </c>
      <c r="B1255" s="10" t="str">
        <f>VLOOKUP(A1255,vaccines!A:B,2)</f>
        <v>rubella_Croatia</v>
      </c>
      <c r="C1255" s="29">
        <v>1</v>
      </c>
      <c r="D1255" s="8" t="str">
        <f>VLOOKUP(C1255,contraindications_list!A:B,2)</f>
        <v>гиперчувствительность к компонентам</v>
      </c>
      <c r="E1255" s="40">
        <v>45496</v>
      </c>
    </row>
    <row r="1256" spans="1:5">
      <c r="A1256" s="29">
        <v>161</v>
      </c>
      <c r="B1256" s="10" t="str">
        <f>VLOOKUP(A1256,vaccines!A:B,2)</f>
        <v>rubella_Croatia</v>
      </c>
      <c r="C1256" s="29">
        <v>5</v>
      </c>
      <c r="D1256" s="8" t="str">
        <f>VLOOKUP(C1256,contraindications_list!A:B,2)</f>
        <v>острое заболевание</v>
      </c>
      <c r="E1256" s="40">
        <v>45496</v>
      </c>
    </row>
    <row r="1257" spans="1:5">
      <c r="A1257" s="29">
        <v>161</v>
      </c>
      <c r="B1257" s="10" t="str">
        <f>VLOOKUP(A1257,vaccines!A:B,2)</f>
        <v>rubella_Croatia</v>
      </c>
      <c r="C1257" s="29">
        <v>6</v>
      </c>
      <c r="D1257" s="8" t="str">
        <f>VLOOKUP(C1257,contraindications_list!A:B,2)</f>
        <v>обострение хронического заболевания</v>
      </c>
      <c r="E1257" s="40">
        <v>45496</v>
      </c>
    </row>
    <row r="1258" spans="1:5">
      <c r="A1258" s="29">
        <v>162</v>
      </c>
      <c r="B1258" s="10" t="str">
        <f>VLOOKUP(A1258,vaccines!A:B,2)</f>
        <v>Tetraanatoxin</v>
      </c>
      <c r="C1258" s="29">
        <v>1</v>
      </c>
      <c r="D1258" s="8" t="str">
        <f>VLOOKUP(C1258,contraindications_list!A:B,2)</f>
        <v>гиперчувствительность к компонентам</v>
      </c>
      <c r="E1258" s="40">
        <v>45497</v>
      </c>
    </row>
    <row r="1259" spans="1:5">
      <c r="A1259" s="29">
        <v>162</v>
      </c>
      <c r="B1259" s="10" t="str">
        <f>VLOOKUP(A1259,vaccines!A:B,2)</f>
        <v>Tetraanatoxin</v>
      </c>
      <c r="C1259" s="29">
        <v>15</v>
      </c>
      <c r="D1259" s="8" t="str">
        <f>VLOOKUP(C1259,contraindications_list!A:B,2)</f>
        <v>сильная общая реакция на предыдущее введение вакцины</v>
      </c>
      <c r="E1259" s="40">
        <v>45497</v>
      </c>
    </row>
    <row r="1260" spans="1:5">
      <c r="A1260" s="29">
        <v>162</v>
      </c>
      <c r="B1260" s="10" t="str">
        <f>VLOOKUP(A1260,vaccines!A:B,2)</f>
        <v>Tetraanatoxin</v>
      </c>
      <c r="C1260" s="29">
        <v>5</v>
      </c>
      <c r="D1260" s="8" t="str">
        <f>VLOOKUP(C1260,contraindications_list!A:B,2)</f>
        <v>острое заболевание</v>
      </c>
      <c r="E1260" s="40">
        <v>45497</v>
      </c>
    </row>
    <row r="1261" spans="1:5">
      <c r="A1261" s="29">
        <v>162</v>
      </c>
      <c r="B1261" s="10" t="str">
        <f>VLOOKUP(A1261,vaccines!A:B,2)</f>
        <v>Tetraanatoxin</v>
      </c>
      <c r="C1261" s="29">
        <v>6</v>
      </c>
      <c r="D1261" s="8" t="str">
        <f>VLOOKUP(C1261,contraindications_list!A:B,2)</f>
        <v>обострение хронического заболевания</v>
      </c>
      <c r="E1261" s="40">
        <v>45497</v>
      </c>
    </row>
    <row r="1262" spans="1:5">
      <c r="A1262" s="29">
        <v>162</v>
      </c>
      <c r="B1262" s="10" t="str">
        <f>VLOOKUP(A1262,vaccines!A:B,2)</f>
        <v>Tetraanatoxin</v>
      </c>
      <c r="C1262" s="29">
        <v>75</v>
      </c>
      <c r="D1262" s="8" t="str">
        <f>VLOOKUP(C1262,contraindications_list!A:B,2)</f>
        <v>болезни системы кровообращения</v>
      </c>
      <c r="E1262" s="40">
        <v>45497</v>
      </c>
    </row>
    <row r="1263" spans="1:5">
      <c r="A1263" s="29">
        <v>162</v>
      </c>
      <c r="B1263" s="10" t="str">
        <f>VLOOKUP(A1263,vaccines!A:B,2)</f>
        <v>Tetraanatoxin</v>
      </c>
      <c r="C1263" s="29">
        <v>38</v>
      </c>
      <c r="D1263" s="8" t="str">
        <f>VLOOKUP(C1263,contraindications_list!A:B,2)</f>
        <v>хроническое заболевание эндокринной системы</v>
      </c>
      <c r="E1263" s="40">
        <v>45497</v>
      </c>
    </row>
    <row r="1264" spans="1:5">
      <c r="A1264" s="29">
        <v>162</v>
      </c>
      <c r="B1264" s="10" t="str">
        <f>VLOOKUP(A1264,vaccines!A:B,2)</f>
        <v>Tetraanatoxin</v>
      </c>
      <c r="C1264" s="29">
        <v>49</v>
      </c>
      <c r="D1264" s="8" t="str">
        <f>VLOOKUP(C1264,contraindications_list!A:B,2)</f>
        <v>бронхиальная астма</v>
      </c>
      <c r="E1264" s="40">
        <v>45497</v>
      </c>
    </row>
    <row r="1265" spans="1:5">
      <c r="A1265" s="29">
        <v>162</v>
      </c>
      <c r="B1265" s="10" t="str">
        <f>VLOOKUP(A1265,vaccines!A:B,2)</f>
        <v>Tetraanatoxin</v>
      </c>
      <c r="C1265" s="29">
        <v>58</v>
      </c>
      <c r="D1265" s="8" t="str">
        <f>VLOOKUP(C1265,contraindications_list!A:B,2)</f>
        <v>аллергия</v>
      </c>
      <c r="E1265" s="40">
        <v>45497</v>
      </c>
    </row>
    <row r="1266" spans="1:5">
      <c r="A1266" s="29">
        <v>162</v>
      </c>
      <c r="B1266" s="10" t="str">
        <f>VLOOKUP(A1266,vaccines!A:B,2)</f>
        <v>Tetraanatoxin</v>
      </c>
      <c r="C1266" s="29">
        <v>39</v>
      </c>
      <c r="D1266" s="8" t="str">
        <f>VLOOKUP(C1266,contraindications_list!A:B,2)</f>
        <v>системное заболевание соединительной ткани</v>
      </c>
      <c r="E1266" s="40">
        <v>45497</v>
      </c>
    </row>
    <row r="1267" spans="1:5">
      <c r="A1267" s="29">
        <v>162</v>
      </c>
      <c r="B1267" s="10" t="str">
        <f>VLOOKUP(A1267,vaccines!A:B,2)</f>
        <v>Tetraanatoxin</v>
      </c>
      <c r="C1267" s="29">
        <v>22</v>
      </c>
      <c r="D1267" s="8" t="str">
        <f>VLOOKUP(C1267,contraindications_list!A:B,2)</f>
        <v>беременность</v>
      </c>
      <c r="E1267" s="40">
        <v>45497</v>
      </c>
    </row>
    <row r="1268" spans="1:5">
      <c r="A1268" s="29">
        <v>162</v>
      </c>
      <c r="B1268" s="10" t="str">
        <f>VLOOKUP(A1268,vaccines!A:B,2)</f>
        <v>Tetraanatoxin</v>
      </c>
      <c r="C1268" s="29">
        <v>23</v>
      </c>
      <c r="D1268" s="8" t="str">
        <f>VLOOKUP(C1268,contraindications_list!A:B,2)</f>
        <v>грудное вскармливание</v>
      </c>
      <c r="E1268" s="40">
        <v>45497</v>
      </c>
    </row>
    <row r="1269" spans="1:5">
      <c r="A1269" s="29">
        <v>162</v>
      </c>
      <c r="B1269" s="10" t="str">
        <f>VLOOKUP(A1269,vaccines!A:B,2)</f>
        <v>Tetraanatoxin</v>
      </c>
      <c r="C1269" s="29">
        <v>19</v>
      </c>
      <c r="D1269" s="8" t="str">
        <f>VLOOKUP(C1269,contraindications_list!A:B,2)</f>
        <v>осложнение на предыдущее введение вакцины</v>
      </c>
      <c r="E1269" s="40">
        <v>45581</v>
      </c>
    </row>
    <row r="1270" spans="1:5">
      <c r="A1270" s="29">
        <v>162</v>
      </c>
      <c r="B1270" s="10" t="str">
        <f>VLOOKUP(A1270,vaccines!A:B,2)</f>
        <v>Tetraanatoxin</v>
      </c>
      <c r="C1270" s="29">
        <v>21</v>
      </c>
      <c r="D1270" s="8" t="str">
        <f>VLOOKUP(C1270,contraindications_list!A:B,2)</f>
        <v>тяжелые аллергические реакции</v>
      </c>
      <c r="E1270" s="40">
        <v>45581</v>
      </c>
    </row>
    <row r="1271" spans="1:5">
      <c r="A1271" s="29">
        <v>162</v>
      </c>
      <c r="B1271" s="10" t="str">
        <f>VLOOKUP(A1271,vaccines!A:B,2)</f>
        <v>Tetraanatoxin</v>
      </c>
      <c r="C1271" s="29">
        <v>69</v>
      </c>
      <c r="D1271" s="8" t="str">
        <f>VLOOKUP(C1271,contraindications_list!A:B,2)</f>
        <v>аллергия на формальдегид</v>
      </c>
      <c r="E1271" s="40">
        <v>45581</v>
      </c>
    </row>
    <row r="1272" spans="1:5">
      <c r="A1272" s="29">
        <v>162</v>
      </c>
      <c r="B1272" s="10" t="str">
        <f>VLOOKUP(A1272,vaccines!A:B,2)</f>
        <v>Tetraanatoxin</v>
      </c>
      <c r="C1272" s="29">
        <v>72</v>
      </c>
      <c r="D1272" s="8" t="str">
        <f>VLOOKUP(C1272,contraindications_list!A:B,2)</f>
        <v>повышенная чувствительность к столбнячному анатоксину</v>
      </c>
      <c r="E1272" s="40">
        <v>45581</v>
      </c>
    </row>
    <row r="1273" spans="1:5">
      <c r="A1273" s="29">
        <v>163</v>
      </c>
      <c r="B1273" s="10" t="str">
        <f>VLOOKUP(A1273,vaccines!A:B,2)</f>
        <v>Staphylococcus_Gamaleya</v>
      </c>
      <c r="C1273" s="29">
        <v>5</v>
      </c>
      <c r="D1273" s="8" t="str">
        <f>VLOOKUP(C1273,contraindications_list!A:B,2)</f>
        <v>острое заболевание</v>
      </c>
      <c r="E1273" s="40">
        <v>45497</v>
      </c>
    </row>
    <row r="1274" spans="1:5">
      <c r="A1274" s="29">
        <v>163</v>
      </c>
      <c r="B1274" s="10" t="str">
        <f>VLOOKUP(A1274,vaccines!A:B,2)</f>
        <v>Staphylococcus_Gamaleya</v>
      </c>
      <c r="C1274" s="29">
        <v>6</v>
      </c>
      <c r="D1274" s="8" t="str">
        <f>VLOOKUP(C1274,contraindications_list!A:B,2)</f>
        <v>обострение хронического заболевания</v>
      </c>
      <c r="E1274" s="40">
        <v>45497</v>
      </c>
    </row>
    <row r="1275" spans="1:5">
      <c r="A1275" s="29">
        <v>163</v>
      </c>
      <c r="B1275" s="10" t="str">
        <f>VLOOKUP(A1275,vaccines!A:B,2)</f>
        <v>Staphylococcus_Gamaleya</v>
      </c>
      <c r="C1275" s="29">
        <v>58</v>
      </c>
      <c r="D1275" s="8" t="str">
        <f>VLOOKUP(C1275,contraindications_list!A:B,2)</f>
        <v>аллергия</v>
      </c>
      <c r="E1275" s="40">
        <v>45497</v>
      </c>
    </row>
    <row r="1276" spans="1:5">
      <c r="A1276" s="29">
        <v>163</v>
      </c>
      <c r="B1276" s="10" t="str">
        <f>VLOOKUP(A1276,vaccines!A:B,2)</f>
        <v>Staphylococcus_Gamaleya</v>
      </c>
      <c r="C1276" s="29">
        <v>1</v>
      </c>
      <c r="D1276" s="8" t="str">
        <f>VLOOKUP(C1276,contraindications_list!A:B,2)</f>
        <v>гиперчувствительность к компонентам</v>
      </c>
      <c r="E1276" s="40">
        <v>45497</v>
      </c>
    </row>
    <row r="1277" spans="1:5">
      <c r="A1277" s="29">
        <v>163</v>
      </c>
      <c r="B1277" s="10" t="str">
        <f>VLOOKUP(A1277,vaccines!A:B,2)</f>
        <v>Staphylococcus_Gamaleya</v>
      </c>
      <c r="C1277" s="29">
        <v>83</v>
      </c>
      <c r="D1277" s="8" t="str">
        <f>VLOOKUP(C1277,contraindications_list!A:B,2)</f>
        <v>тимомегалия</v>
      </c>
      <c r="E1277" s="40">
        <v>45497</v>
      </c>
    </row>
    <row r="1278" spans="1:5">
      <c r="A1278" s="29">
        <v>163</v>
      </c>
      <c r="B1278" s="10" t="str">
        <f>VLOOKUP(A1278,vaccines!A:B,2)</f>
        <v>Staphylococcus_Gamaleya</v>
      </c>
      <c r="C1278" s="29">
        <v>52</v>
      </c>
      <c r="D1278" s="8" t="str">
        <f>VLOOKUP(C1278,contraindications_list!A:B,2)</f>
        <v>болезни крови</v>
      </c>
      <c r="E1278" s="40">
        <v>45497</v>
      </c>
    </row>
    <row r="1279" spans="1:5">
      <c r="A1279" s="29">
        <v>163</v>
      </c>
      <c r="B1279" s="10" t="str">
        <f>VLOOKUP(A1279,vaccines!A:B,2)</f>
        <v>Staphylococcus_Gamaleya</v>
      </c>
      <c r="C1279" s="29">
        <v>8</v>
      </c>
      <c r="D1279" s="8" t="str">
        <f>VLOOKUP(C1279,contraindications_list!A:B,2)</f>
        <v>злокачественное новообразование</v>
      </c>
      <c r="E1279" s="40">
        <v>45497</v>
      </c>
    </row>
    <row r="1280" spans="1:5">
      <c r="A1280" s="29">
        <v>163</v>
      </c>
      <c r="B1280" s="10" t="str">
        <f>VLOOKUP(A1280,vaccines!A:B,2)</f>
        <v>Staphylococcus_Gamaleya</v>
      </c>
      <c r="C1280" s="29">
        <v>22</v>
      </c>
      <c r="D1280" s="8" t="str">
        <f>VLOOKUP(C1280,contraindications_list!A:B,2)</f>
        <v>беременность</v>
      </c>
      <c r="E1280" s="40">
        <v>45497</v>
      </c>
    </row>
    <row r="1281" spans="1:5">
      <c r="A1281" s="29">
        <v>163</v>
      </c>
      <c r="B1281" s="10" t="str">
        <f>VLOOKUP(A1281,vaccines!A:B,2)</f>
        <v>Staphylococcus_Gamaleya</v>
      </c>
      <c r="C1281" s="29">
        <v>23</v>
      </c>
      <c r="D1281" s="8" t="str">
        <f>VLOOKUP(C1281,contraindications_list!A:B,2)</f>
        <v>грудное вскармливание</v>
      </c>
      <c r="E1281" s="40">
        <v>45497</v>
      </c>
    </row>
    <row r="1282" spans="1:5">
      <c r="A1282" s="29">
        <v>164</v>
      </c>
      <c r="B1282" s="30" t="str">
        <f>VLOOKUP(A1282,vaccines!A:B,2)</f>
        <v>Staphylococcus_therapeutic_Gamaleya</v>
      </c>
      <c r="C1282" s="29">
        <v>5</v>
      </c>
      <c r="D1282" s="8" t="str">
        <f>VLOOKUP(C1282,contraindications_list!A:B,2)</f>
        <v>острое заболевание</v>
      </c>
      <c r="E1282" s="40">
        <v>45497</v>
      </c>
    </row>
    <row r="1283" spans="1:5">
      <c r="A1283" s="29">
        <v>164</v>
      </c>
      <c r="B1283" s="30" t="str">
        <f>VLOOKUP(A1283,vaccines!A:B,2)</f>
        <v>Staphylococcus_therapeutic_Gamaleya</v>
      </c>
      <c r="C1283" s="29">
        <v>6</v>
      </c>
      <c r="D1283" s="8" t="str">
        <f>VLOOKUP(C1283,contraindications_list!A:B,2)</f>
        <v>обострение хронического заболевания</v>
      </c>
      <c r="E1283" s="40">
        <v>45497</v>
      </c>
    </row>
    <row r="1284" spans="1:5">
      <c r="A1284" s="29">
        <v>164</v>
      </c>
      <c r="B1284" s="30" t="str">
        <f>VLOOKUP(A1284,vaccines!A:B,2)</f>
        <v>Staphylococcus_therapeutic_Gamaleya</v>
      </c>
      <c r="C1284" s="29">
        <v>1</v>
      </c>
      <c r="D1284" s="8" t="str">
        <f>VLOOKUP(C1284,contraindications_list!A:B,2)</f>
        <v>гиперчувствительность к компонентам</v>
      </c>
      <c r="E1284" s="40">
        <v>45497</v>
      </c>
    </row>
    <row r="1285" spans="1:5">
      <c r="A1285" s="29">
        <v>164</v>
      </c>
      <c r="B1285" s="30" t="str">
        <f>VLOOKUP(A1285,vaccines!A:B,2)</f>
        <v>Staphylococcus_therapeutic_Gamaleya</v>
      </c>
      <c r="C1285" s="29">
        <v>22</v>
      </c>
      <c r="D1285" s="8" t="str">
        <f>VLOOKUP(C1285,contraindications_list!A:B,2)</f>
        <v>беременность</v>
      </c>
      <c r="E1285" s="40">
        <v>45497</v>
      </c>
    </row>
    <row r="1286" spans="1:5">
      <c r="A1286" s="29">
        <v>164</v>
      </c>
      <c r="B1286" s="30" t="str">
        <f>VLOOKUP(A1286,vaccines!A:B,2)</f>
        <v>Staphylococcus_therapeutic_Gamaleya</v>
      </c>
      <c r="C1286" s="29">
        <v>23</v>
      </c>
      <c r="D1286" s="8" t="str">
        <f>VLOOKUP(C1286,contraindications_list!A:B,2)</f>
        <v>грудное вскармливание</v>
      </c>
      <c r="E1286" s="40">
        <v>45497</v>
      </c>
    </row>
    <row r="1287" spans="1:5">
      <c r="A1287" s="29">
        <v>165</v>
      </c>
      <c r="B1287" s="10" t="str">
        <f>VLOOKUP(A1287,vaccines!A:B,2)</f>
        <v>Imuron_vac_therapeutic</v>
      </c>
      <c r="C1287" s="29">
        <v>18</v>
      </c>
      <c r="D1287" s="8" t="str">
        <f>VLOOKUP(C1287,contraindications_list!A:B,2)</f>
        <v>туберкулез</v>
      </c>
      <c r="E1287" s="40">
        <v>45497</v>
      </c>
    </row>
    <row r="1288" spans="1:5">
      <c r="A1288" s="29">
        <v>165</v>
      </c>
      <c r="B1288" s="10" t="str">
        <f>VLOOKUP(A1288,vaccines!A:B,2)</f>
        <v>Imuron_vac_therapeutic</v>
      </c>
      <c r="C1288" s="29">
        <v>7</v>
      </c>
      <c r="D1288" s="8" t="str">
        <f>VLOOKUP(C1288,contraindications_list!A:B,2)</f>
        <v>иммунодефицит</v>
      </c>
      <c r="E1288" s="40">
        <v>45497</v>
      </c>
    </row>
    <row r="1289" spans="1:5">
      <c r="A1289" s="29">
        <v>165</v>
      </c>
      <c r="B1289" s="10" t="str">
        <f>VLOOKUP(A1289,vaccines!A:B,2)</f>
        <v>Imuron_vac_therapeutic</v>
      </c>
      <c r="C1289" s="29">
        <v>78</v>
      </c>
      <c r="D1289" s="8" t="str">
        <f>VLOOKUP(C1289,contraindications_list!A:B,2)</f>
        <v>инфекции мочевого пузыря и мочевыводящих путей в активной фазе</v>
      </c>
      <c r="E1289" s="40">
        <v>45497</v>
      </c>
    </row>
    <row r="1290" spans="1:5">
      <c r="A1290" s="29">
        <v>165</v>
      </c>
      <c r="B1290" s="10" t="str">
        <f>VLOOKUP(A1290,vaccines!A:B,2)</f>
        <v>Imuron_vac_therapeutic</v>
      </c>
      <c r="C1290" s="29">
        <v>5</v>
      </c>
      <c r="D1290" s="8" t="str">
        <f>VLOOKUP(C1290,contraindications_list!A:B,2)</f>
        <v>острое заболевание</v>
      </c>
      <c r="E1290" s="40">
        <v>45497</v>
      </c>
    </row>
    <row r="1291" spans="1:5">
      <c r="A1291" s="29">
        <v>165</v>
      </c>
      <c r="B1291" s="10" t="str">
        <f>VLOOKUP(A1291,vaccines!A:B,2)</f>
        <v>Imuron_vac_therapeutic</v>
      </c>
      <c r="C1291" s="29">
        <v>6</v>
      </c>
      <c r="D1291" s="8" t="str">
        <f>VLOOKUP(C1291,contraindications_list!A:B,2)</f>
        <v>обострение хронического заболевания</v>
      </c>
      <c r="E1291" s="40">
        <v>45497</v>
      </c>
    </row>
    <row r="1292" spans="1:5">
      <c r="A1292" s="29">
        <v>165</v>
      </c>
      <c r="B1292" s="10" t="str">
        <f>VLOOKUP(A1292,vaccines!A:B,2)</f>
        <v>Imuron_vac_therapeutic</v>
      </c>
      <c r="C1292" s="29">
        <v>1</v>
      </c>
      <c r="D1292" s="8" t="str">
        <f>VLOOKUP(C1292,contraindications_list!A:B,2)</f>
        <v>гиперчувствительность к компонентам</v>
      </c>
      <c r="E1292" s="40">
        <v>45861</v>
      </c>
    </row>
    <row r="1293" spans="1:5">
      <c r="A1293" s="29">
        <v>165</v>
      </c>
      <c r="B1293" s="10" t="str">
        <f>VLOOKUP(A1293,vaccines!A:B,2)</f>
        <v>Imuron_vac_therapeutic</v>
      </c>
      <c r="C1293" s="29">
        <v>22</v>
      </c>
      <c r="D1293" s="8" t="str">
        <f>VLOOKUP(C1293,contraindications_list!A:B,2)</f>
        <v>беременность</v>
      </c>
      <c r="E1293" s="40">
        <v>45861</v>
      </c>
    </row>
    <row r="1294" spans="1:5">
      <c r="A1294" s="29">
        <v>165</v>
      </c>
      <c r="B1294" s="10" t="str">
        <f>VLOOKUP(A1294,vaccines!A:B,2)</f>
        <v>Imuron_vac_therapeutic</v>
      </c>
      <c r="C1294" s="29">
        <v>23</v>
      </c>
      <c r="D1294" s="8" t="str">
        <f>VLOOKUP(C1294,contraindications_list!A:B,2)</f>
        <v>грудное вскармливание</v>
      </c>
      <c r="E1294" s="40">
        <v>45861</v>
      </c>
    </row>
    <row r="1295" spans="1:5">
      <c r="A1295" s="29">
        <v>166</v>
      </c>
      <c r="B1295" s="10" t="str">
        <f>VLOOKUP(A1295,vaccines!A:B,2)</f>
        <v>HepB_Serum_India_1_0</v>
      </c>
      <c r="C1295" s="29">
        <v>1</v>
      </c>
      <c r="D1295" s="8" t="str">
        <f>VLOOKUP(C1295,contraindications_list!A:B,2)</f>
        <v>гиперчувствительность к компонентам</v>
      </c>
      <c r="E1295" s="40">
        <v>45466</v>
      </c>
    </row>
    <row r="1296" spans="1:5">
      <c r="A1296" s="29">
        <v>166</v>
      </c>
      <c r="B1296" s="10" t="str">
        <f>VLOOKUP(A1296,vaccines!A:B,2)</f>
        <v>HepB_Serum_India_1_0</v>
      </c>
      <c r="C1296" s="29">
        <v>15</v>
      </c>
      <c r="D1296" s="8" t="str">
        <f>VLOOKUP(C1296,contraindications_list!A:B,2)</f>
        <v>сильная общая реакция на предыдущее введение вакцины</v>
      </c>
      <c r="E1296" s="40">
        <v>45466</v>
      </c>
    </row>
    <row r="1297" spans="1:5">
      <c r="A1297" s="29">
        <v>166</v>
      </c>
      <c r="B1297" s="10" t="str">
        <f>VLOOKUP(A1297,vaccines!A:B,2)</f>
        <v>HepB_Serum_India_1_0</v>
      </c>
      <c r="C1297" s="29">
        <v>19</v>
      </c>
      <c r="D1297" s="8" t="str">
        <f>VLOOKUP(C1297,contraindications_list!A:B,2)</f>
        <v>осложнение на предыдущее введение вакцины</v>
      </c>
      <c r="E1297" s="40">
        <v>45466</v>
      </c>
    </row>
    <row r="1298" spans="1:5">
      <c r="A1298" s="29">
        <v>166</v>
      </c>
      <c r="B1298" s="10" t="str">
        <f>VLOOKUP(A1298,vaccines!A:B,2)</f>
        <v>HepB_Serum_India_1_0</v>
      </c>
      <c r="C1298" s="29">
        <v>5</v>
      </c>
      <c r="D1298" s="8" t="str">
        <f>VLOOKUP(C1298,contraindications_list!A:B,2)</f>
        <v>острое заболевание</v>
      </c>
      <c r="E1298" s="40">
        <v>45466</v>
      </c>
    </row>
    <row r="1299" spans="1:5">
      <c r="A1299" s="29">
        <v>167</v>
      </c>
      <c r="B1299" s="10" t="str">
        <f>VLOOKUP(A1299,vaccines!A:B,2)</f>
        <v>Hexaxim</v>
      </c>
      <c r="C1299" s="29">
        <v>15</v>
      </c>
      <c r="D1299" s="8" t="str">
        <f>VLOOKUP(C1299,contraindications_list!A:B,2)</f>
        <v>сильная общая реакция на предыдущее введение вакцины</v>
      </c>
      <c r="E1299" s="40">
        <v>45558</v>
      </c>
    </row>
    <row r="1300" spans="1:5">
      <c r="A1300" s="29">
        <v>167</v>
      </c>
      <c r="B1300" s="10" t="str">
        <f>VLOOKUP(A1300,vaccines!A:B,2)</f>
        <v>Hexaxim</v>
      </c>
      <c r="C1300" s="29">
        <v>1</v>
      </c>
      <c r="D1300" s="8" t="str">
        <f>VLOOKUP(C1300,contraindications_list!A:B,2)</f>
        <v>гиперчувствительность к компонентам</v>
      </c>
      <c r="E1300" s="40">
        <v>45558</v>
      </c>
    </row>
    <row r="1301" spans="1:5">
      <c r="A1301" s="29">
        <v>167</v>
      </c>
      <c r="B1301" s="10" t="str">
        <f>VLOOKUP(A1301,vaccines!A:B,2)</f>
        <v>Hexaxim</v>
      </c>
      <c r="C1301" s="29">
        <v>69</v>
      </c>
      <c r="D1301" s="8" t="str">
        <f>VLOOKUP(C1301,contraindications_list!A:B,2)</f>
        <v>аллергия на формальдегид</v>
      </c>
      <c r="E1301" s="40">
        <v>45558</v>
      </c>
    </row>
    <row r="1302" spans="1:5">
      <c r="A1302" s="29">
        <v>167</v>
      </c>
      <c r="B1302" s="10" t="str">
        <f>VLOOKUP(A1302,vaccines!A:B,2)</f>
        <v>Hexaxim</v>
      </c>
      <c r="C1302" s="29">
        <v>25</v>
      </c>
      <c r="D1302" s="8" t="str">
        <f>VLOOKUP(C1302,contraindications_list!A:B,2)</f>
        <v>аллергия на аминогликозиды</v>
      </c>
      <c r="E1302" s="40">
        <v>45558</v>
      </c>
    </row>
    <row r="1303" spans="1:5">
      <c r="A1303" s="29">
        <v>167</v>
      </c>
      <c r="B1303" s="10" t="str">
        <f>VLOOKUP(A1303,vaccines!A:B,2)</f>
        <v>Hexaxim</v>
      </c>
      <c r="C1303" s="29">
        <v>40</v>
      </c>
      <c r="D1303" s="8" t="str">
        <f>VLOOKUP(C1303,contraindications_list!A:B,2)</f>
        <v>гиперчувствительность к антибиотикам</v>
      </c>
      <c r="E1303" s="40">
        <v>45558</v>
      </c>
    </row>
    <row r="1304" spans="1:5">
      <c r="A1304" s="29">
        <v>167</v>
      </c>
      <c r="B1304" s="10" t="str">
        <f>VLOOKUP(A1304,vaccines!A:B,2)</f>
        <v>Hexaxim</v>
      </c>
      <c r="C1304" s="29">
        <v>72</v>
      </c>
      <c r="D1304" s="8" t="str">
        <f>VLOOKUP(C1304,contraindications_list!A:B,2)</f>
        <v>повышенная чувствительность к столбнячному анатоксину</v>
      </c>
      <c r="E1304" s="40">
        <v>45558</v>
      </c>
    </row>
    <row r="1305" spans="1:5">
      <c r="A1305" s="29">
        <v>167</v>
      </c>
      <c r="B1305" s="10" t="str">
        <f>VLOOKUP(A1305,vaccines!A:B,2)</f>
        <v>Hexaxim</v>
      </c>
      <c r="C1305" s="29">
        <v>32</v>
      </c>
      <c r="D1305" s="8" t="str">
        <f>VLOOKUP(C1305,contraindications_list!A:B,2)</f>
        <v>повышенная чувствительность к дифтерийному анатоксину</v>
      </c>
      <c r="E1305" s="40">
        <v>45558</v>
      </c>
    </row>
    <row r="1306" spans="1:5">
      <c r="A1306" s="29">
        <v>167</v>
      </c>
      <c r="B1306" s="10" t="str">
        <f>VLOOKUP(A1306,vaccines!A:B,2)</f>
        <v>Hexaxim</v>
      </c>
      <c r="C1306" s="29">
        <v>12</v>
      </c>
      <c r="D1306" s="8" t="str">
        <f>VLOOKUP(C1306,contraindications_list!A:B,2)</f>
        <v>энцефалопатия после вакцинации</v>
      </c>
      <c r="E1306" s="40">
        <v>45558</v>
      </c>
    </row>
    <row r="1307" spans="1:5">
      <c r="A1307" s="29">
        <v>167</v>
      </c>
      <c r="B1307" s="10" t="str">
        <f>VLOOKUP(A1307,vaccines!A:B,2)</f>
        <v>Hexaxim</v>
      </c>
      <c r="C1307" s="29">
        <v>13</v>
      </c>
      <c r="D1307" s="8" t="str">
        <f>VLOOKUP(C1307,contraindications_list!A:B,2)</f>
        <v>прогрессирующее неврологическое заболевание</v>
      </c>
      <c r="E1307" s="40">
        <v>45558</v>
      </c>
    </row>
    <row r="1308" spans="1:5">
      <c r="A1308" s="29">
        <v>167</v>
      </c>
      <c r="B1308" s="10" t="str">
        <f>VLOOKUP(A1308,vaccines!A:B,2)</f>
        <v>Hexaxim</v>
      </c>
      <c r="C1308" s="29">
        <v>51</v>
      </c>
      <c r="D1308" s="8" t="str">
        <f>VLOOKUP(C1308,contraindications_list!A:B,2)</f>
        <v>эпилепсия</v>
      </c>
      <c r="E1308" s="40">
        <v>45558</v>
      </c>
    </row>
    <row r="1309" spans="1:5">
      <c r="A1309" s="29">
        <v>167</v>
      </c>
      <c r="B1309" s="10" t="str">
        <f>VLOOKUP(A1309,vaccines!A:B,2)</f>
        <v>Hexaxim</v>
      </c>
      <c r="C1309" s="29">
        <v>5</v>
      </c>
      <c r="D1309" s="8" t="str">
        <f>VLOOKUP(C1309,contraindications_list!A:B,2)</f>
        <v>острое заболевание</v>
      </c>
      <c r="E1309" s="40">
        <v>45558</v>
      </c>
    </row>
    <row r="1310" spans="1:5">
      <c r="A1310" s="29">
        <v>167</v>
      </c>
      <c r="B1310" s="10" t="str">
        <f>VLOOKUP(A1310,vaccines!A:B,2)</f>
        <v>Hexaxim</v>
      </c>
      <c r="C1310" s="29">
        <v>6</v>
      </c>
      <c r="D1310" s="8" t="str">
        <f>VLOOKUP(C1310,contraindications_list!A:B,2)</f>
        <v>обострение хронического заболевания</v>
      </c>
      <c r="E1310" s="40">
        <v>45558</v>
      </c>
    </row>
    <row r="1311" spans="1:5">
      <c r="A1311" s="29">
        <v>167</v>
      </c>
      <c r="B1311" s="10" t="str">
        <f>VLOOKUP(A1311,vaccines!A:B,2)</f>
        <v>Hexaxim</v>
      </c>
      <c r="C1311" s="29">
        <v>84</v>
      </c>
      <c r="D1311" s="8" t="str">
        <f>VLOOKUP(C1311,contraindications_list!A:B,2)</f>
        <v>фенилкетонурия</v>
      </c>
      <c r="E1311" s="40">
        <v>45558</v>
      </c>
    </row>
    <row r="1312" spans="1:5">
      <c r="A1312" s="29">
        <v>168</v>
      </c>
      <c r="B1312" s="10" t="str">
        <f>VLOOKUP(A1312,vaccines!A:B,2)</f>
        <v>Gam_VLP_multivac</v>
      </c>
      <c r="C1312" s="29">
        <v>1</v>
      </c>
      <c r="D1312" s="8" t="str">
        <f>VLOOKUP(C1312,contraindications_list!A:B,2)</f>
        <v>гиперчувствительность к компонентам</v>
      </c>
      <c r="E1312" s="40">
        <v>45678</v>
      </c>
    </row>
    <row r="1313" spans="1:5">
      <c r="A1313" s="29">
        <v>168</v>
      </c>
      <c r="B1313" s="10" t="str">
        <f>VLOOKUP(A1313,vaccines!A:B,2)</f>
        <v>Gam_VLP_multivac</v>
      </c>
      <c r="C1313" s="29">
        <v>21</v>
      </c>
      <c r="D1313" s="8" t="str">
        <f>VLOOKUP(C1313,contraindications_list!A:B,2)</f>
        <v>тяжелые аллергические реакции</v>
      </c>
      <c r="E1313" s="40">
        <v>45678</v>
      </c>
    </row>
    <row r="1314" spans="1:5">
      <c r="A1314" s="29">
        <v>168</v>
      </c>
      <c r="B1314" s="10" t="str">
        <f>VLOOKUP(A1314,vaccines!A:B,2)</f>
        <v>Gam_VLP_multivac</v>
      </c>
      <c r="C1314" s="29">
        <v>5</v>
      </c>
      <c r="D1314" s="8" t="str">
        <f>VLOOKUP(C1314,contraindications_list!A:B,2)</f>
        <v>острое заболевание</v>
      </c>
      <c r="E1314" s="40">
        <v>45678</v>
      </c>
    </row>
    <row r="1315" spans="1:5">
      <c r="A1315" s="29">
        <v>168</v>
      </c>
      <c r="B1315" s="10" t="str">
        <f>VLOOKUP(A1315,vaccines!A:B,2)</f>
        <v>Gam_VLP_multivac</v>
      </c>
      <c r="C1315" s="29">
        <v>6</v>
      </c>
      <c r="D1315" s="8" t="str">
        <f>VLOOKUP(C1315,contraindications_list!A:B,2)</f>
        <v>обострение хронического заболевания</v>
      </c>
      <c r="E1315" s="40">
        <v>45678</v>
      </c>
    </row>
    <row r="1316" spans="1:5">
      <c r="A1316" s="29">
        <v>168</v>
      </c>
      <c r="B1316" s="10" t="str">
        <f>VLOOKUP(A1316,vaccines!A:B,2)</f>
        <v>Gam_VLP_multivac</v>
      </c>
      <c r="C1316" s="29">
        <v>22</v>
      </c>
      <c r="D1316" s="8" t="str">
        <f>VLOOKUP(C1316,contraindications_list!A:B,2)</f>
        <v>беременность</v>
      </c>
      <c r="E1316" s="40">
        <v>45678</v>
      </c>
    </row>
    <row r="1317" spans="1:5">
      <c r="A1317" s="29">
        <v>168</v>
      </c>
      <c r="B1317" s="10" t="str">
        <f>VLOOKUP(A1317,vaccines!A:B,2)</f>
        <v>Gam_VLP_multivac</v>
      </c>
      <c r="C1317" s="29">
        <v>23</v>
      </c>
      <c r="D1317" s="8" t="str">
        <f>VLOOKUP(C1317,contraindications_list!A:B,2)</f>
        <v>грудное вскармливание</v>
      </c>
      <c r="E1317" s="40">
        <v>45678</v>
      </c>
    </row>
    <row r="1318" spans="1:5">
      <c r="A1318" s="29">
        <v>169</v>
      </c>
      <c r="B1318" s="10" t="str">
        <f>VLOOKUP(A1318,vaccines!A:B,2)</f>
        <v>Gam_VLP_multivac_nasal</v>
      </c>
      <c r="C1318" s="29">
        <v>1</v>
      </c>
      <c r="D1318" s="8" t="str">
        <f>VLOOKUP(C1318,contraindications_list!A:B,2)</f>
        <v>гиперчувствительность к компонентам</v>
      </c>
      <c r="E1318" s="40">
        <v>45742</v>
      </c>
    </row>
    <row r="1319" spans="1:5">
      <c r="A1319" s="29">
        <v>169</v>
      </c>
      <c r="B1319" s="10" t="str">
        <f>VLOOKUP(A1319,vaccines!A:B,2)</f>
        <v>Gam_VLP_multivac_nasal</v>
      </c>
      <c r="C1319" s="29">
        <v>21</v>
      </c>
      <c r="D1319" s="8" t="str">
        <f>VLOOKUP(C1319,contraindications_list!A:B,2)</f>
        <v>тяжелые аллергические реакции</v>
      </c>
      <c r="E1319" s="40">
        <v>45742</v>
      </c>
    </row>
    <row r="1320" spans="1:5">
      <c r="A1320" s="29">
        <v>169</v>
      </c>
      <c r="B1320" s="10" t="str">
        <f>VLOOKUP(A1320,vaccines!A:B,2)</f>
        <v>Gam_VLP_multivac_nasal</v>
      </c>
      <c r="C1320" s="29">
        <v>5</v>
      </c>
      <c r="D1320" s="8" t="str">
        <f>VLOOKUP(C1320,contraindications_list!A:B,2)</f>
        <v>острое заболевание</v>
      </c>
      <c r="E1320" s="40">
        <v>45742</v>
      </c>
    </row>
    <row r="1321" spans="1:5">
      <c r="A1321" s="29">
        <v>169</v>
      </c>
      <c r="B1321" s="10" t="str">
        <f>VLOOKUP(A1321,vaccines!A:B,2)</f>
        <v>Gam_VLP_multivac_nasal</v>
      </c>
      <c r="C1321" s="29">
        <v>6</v>
      </c>
      <c r="D1321" s="8" t="str">
        <f>VLOOKUP(C1321,contraindications_list!A:B,2)</f>
        <v>обострение хронического заболевания</v>
      </c>
      <c r="E1321" s="40">
        <v>45742</v>
      </c>
    </row>
    <row r="1322" spans="1:5">
      <c r="A1322" s="29">
        <v>169</v>
      </c>
      <c r="B1322" s="10" t="str">
        <f>VLOOKUP(A1322,vaccines!A:B,2)</f>
        <v>Gam_VLP_multivac_nasal</v>
      </c>
      <c r="C1322" s="29">
        <v>22</v>
      </c>
      <c r="D1322" s="8" t="str">
        <f>VLOOKUP(C1322,contraindications_list!A:B,2)</f>
        <v>беременность</v>
      </c>
      <c r="E1322" s="40">
        <v>45742</v>
      </c>
    </row>
    <row r="1323" spans="1:5">
      <c r="A1323" s="29">
        <v>169</v>
      </c>
      <c r="B1323" s="10" t="str">
        <f>VLOOKUP(A1323,vaccines!A:B,2)</f>
        <v>Gam_VLP_multivac_nasal</v>
      </c>
      <c r="C1323" s="29">
        <v>23</v>
      </c>
      <c r="D1323" s="8" t="str">
        <f>VLOOKUP(C1323,contraindications_list!A:B,2)</f>
        <v>грудное вскармливание</v>
      </c>
      <c r="E1323" s="40">
        <v>45742</v>
      </c>
    </row>
    <row r="1324" spans="1:5">
      <c r="A1324" s="29">
        <v>170</v>
      </c>
      <c r="B1324" s="10" t="str">
        <f>VLOOKUP(A1324,vaccines!A:B,2)</f>
        <v>Cegardex</v>
      </c>
      <c r="C1324" s="29">
        <v>1</v>
      </c>
      <c r="D1324" s="8" t="str">
        <f>VLOOKUP(C1324,contraindications_list!A:B,2)</f>
        <v>гиперчувствительность к компонентам</v>
      </c>
      <c r="E1324" s="40">
        <v>45742</v>
      </c>
    </row>
    <row r="1325" spans="1:5">
      <c r="A1325" s="29">
        <v>170</v>
      </c>
      <c r="B1325" s="10" t="str">
        <f>VLOOKUP(A1325,vaccines!A:B,2)</f>
        <v>Cegardex</v>
      </c>
      <c r="C1325" s="29">
        <v>15</v>
      </c>
      <c r="D1325" s="8" t="str">
        <f>VLOOKUP(C1325,contraindications_list!A:B,2)</f>
        <v>сильная общая реакция на предыдущее введение вакцины</v>
      </c>
      <c r="E1325" s="40">
        <v>45742</v>
      </c>
    </row>
    <row r="1326" spans="1:5">
      <c r="A1326" s="29">
        <v>170</v>
      </c>
      <c r="B1326" s="10" t="str">
        <f>VLOOKUP(A1326,vaccines!A:B,2)</f>
        <v>Cegardex</v>
      </c>
      <c r="C1326" s="29">
        <v>5</v>
      </c>
      <c r="D1326" s="8" t="str">
        <f>VLOOKUP(C1326,contraindications_list!A:B,2)</f>
        <v>острое заболевание</v>
      </c>
      <c r="E1326" s="40">
        <v>45742</v>
      </c>
    </row>
    <row r="1327" spans="1:5">
      <c r="A1327" s="29">
        <v>171</v>
      </c>
      <c r="B1327" s="10" t="str">
        <f>VLOOKUP(A1327,vaccines!A:B,2)</f>
        <v>Menvaid</v>
      </c>
      <c r="C1327" s="29">
        <v>1</v>
      </c>
      <c r="D1327" s="8" t="str">
        <f>VLOOKUP(C1327,contraindications_list!A:B,2)</f>
        <v>гиперчувствительность к компонентам</v>
      </c>
      <c r="E1327" s="40">
        <v>45755</v>
      </c>
    </row>
    <row r="1328" spans="1:5">
      <c r="A1328" s="29">
        <v>171</v>
      </c>
      <c r="B1328" s="10" t="str">
        <f>VLOOKUP(A1328,vaccines!A:B,2)</f>
        <v>Menvaid</v>
      </c>
      <c r="C1328" s="29">
        <v>19</v>
      </c>
      <c r="D1328" s="8" t="str">
        <f>VLOOKUP(C1328,contraindications_list!A:B,2)</f>
        <v>осложнение на предыдущее введение вакцины</v>
      </c>
      <c r="E1328" s="40">
        <v>45755</v>
      </c>
    </row>
    <row r="1329" spans="1:5">
      <c r="A1329" s="29">
        <v>171</v>
      </c>
      <c r="B1329" s="10" t="str">
        <f>VLOOKUP(A1329,vaccines!A:B,2)</f>
        <v>Menvaid</v>
      </c>
      <c r="C1329" s="29">
        <v>21</v>
      </c>
      <c r="D1329" s="8" t="str">
        <f>VLOOKUP(C1329,contraindications_list!A:B,2)</f>
        <v>тяжелые аллергические реакции</v>
      </c>
      <c r="E1329" s="40">
        <v>45755</v>
      </c>
    </row>
    <row r="1330" spans="1:5">
      <c r="A1330" s="29">
        <v>171</v>
      </c>
      <c r="B1330" s="10" t="str">
        <f>VLOOKUP(A1330,vaccines!A:B,2)</f>
        <v>Menvaid</v>
      </c>
      <c r="C1330" s="29">
        <v>5</v>
      </c>
      <c r="D1330" s="8" t="str">
        <f>VLOOKUP(C1330,contraindications_list!A:B,2)</f>
        <v>острое заболевание</v>
      </c>
      <c r="E1330" s="40">
        <v>45755</v>
      </c>
    </row>
    <row r="1331" spans="1:5">
      <c r="A1331" s="29">
        <v>172</v>
      </c>
      <c r="B1331" s="10" t="str">
        <f>VLOOKUP(A1331,vaccines!A:B,2)</f>
        <v>ChiroRab</v>
      </c>
      <c r="C1331" s="7">
        <v>5</v>
      </c>
      <c r="D1331" s="8" t="str">
        <f>VLOOKUP(C1331,contraindications_list!A:B,2)</f>
        <v>острое заболевание</v>
      </c>
      <c r="E1331" s="40">
        <v>45818</v>
      </c>
    </row>
    <row r="1332" spans="1:5">
      <c r="A1332" s="29">
        <v>172</v>
      </c>
      <c r="B1332" s="10" t="str">
        <f>VLOOKUP(A1332,vaccines!A:B,2)</f>
        <v>ChiroRab</v>
      </c>
      <c r="C1332" s="7">
        <v>6</v>
      </c>
      <c r="D1332" s="8" t="str">
        <f>VLOOKUP(C1332,contraindications_list!A:B,2)</f>
        <v>обострение хронического заболевания</v>
      </c>
      <c r="E1332" s="40">
        <v>45818</v>
      </c>
    </row>
    <row r="1333" spans="1:5">
      <c r="A1333" s="29">
        <v>172</v>
      </c>
      <c r="B1333" s="10" t="str">
        <f>VLOOKUP(A1333,vaccines!A:B,2)</f>
        <v>ChiroRab</v>
      </c>
      <c r="C1333" s="7">
        <v>40</v>
      </c>
      <c r="D1333" s="8" t="str">
        <f>VLOOKUP(C1333,contraindications_list!A:B,2)</f>
        <v>гиперчувствительность к антибиотикам</v>
      </c>
      <c r="E1333" s="40">
        <v>45818</v>
      </c>
    </row>
    <row r="1334" spans="1:5">
      <c r="A1334" s="29">
        <v>172</v>
      </c>
      <c r="B1334" s="10" t="str">
        <f>VLOOKUP(A1334,vaccines!A:B,2)</f>
        <v>ChiroRab</v>
      </c>
      <c r="C1334" s="7">
        <v>1</v>
      </c>
      <c r="D1334" s="8" t="str">
        <f>VLOOKUP(C1334,contraindications_list!A:B,2)</f>
        <v>гиперчувствительность к компонентам</v>
      </c>
      <c r="E1334" s="40">
        <v>45818</v>
      </c>
    </row>
    <row r="1335" spans="1:5">
      <c r="A1335" s="29">
        <v>172</v>
      </c>
      <c r="B1335" s="10" t="str">
        <f>VLOOKUP(A1335,vaccines!A:B,2)</f>
        <v>ChiroRab</v>
      </c>
      <c r="C1335" s="7">
        <v>19</v>
      </c>
      <c r="D1335" s="8" t="str">
        <f>VLOOKUP(C1335,contraindications_list!A:B,2)</f>
        <v>осложнение на предыдущее введение вакцины</v>
      </c>
      <c r="E1335" s="40">
        <v>45818</v>
      </c>
    </row>
    <row r="1336" spans="1:5">
      <c r="A1336" s="29">
        <v>172</v>
      </c>
      <c r="B1336" s="10" t="str">
        <f>VLOOKUP(A1336,vaccines!A:B,2)</f>
        <v>ChiroRab</v>
      </c>
      <c r="C1336" s="7">
        <v>22</v>
      </c>
      <c r="D1336" s="8" t="str">
        <f>VLOOKUP(C1336,contraindications_list!A:B,2)</f>
        <v>беременность</v>
      </c>
      <c r="E1336" s="40">
        <v>45818</v>
      </c>
    </row>
    <row r="1337" spans="1:5">
      <c r="A1337" s="29">
        <v>173</v>
      </c>
      <c r="B1337" s="10" t="str">
        <f>VLOOKUP(A1337,vaccines!A:B,2)</f>
        <v>Prevenar_20</v>
      </c>
      <c r="C1337" s="54">
        <v>1</v>
      </c>
      <c r="D1337" s="8" t="str">
        <f>VLOOKUP(C1337,contraindications_list!A:B,2)</f>
        <v>гиперчувствительность к компонентам</v>
      </c>
      <c r="E1337" s="40">
        <v>45861</v>
      </c>
    </row>
    <row r="1338" spans="1:5">
      <c r="A1338" s="29">
        <v>173</v>
      </c>
      <c r="B1338" s="10" t="str">
        <f>VLOOKUP(A1338,vaccines!A:B,2)</f>
        <v>Prevenar_20</v>
      </c>
      <c r="C1338" s="54">
        <v>32</v>
      </c>
      <c r="D1338" s="8" t="str">
        <f>VLOOKUP(C1338,contraindications_list!A:B,2)</f>
        <v>повышенная чувствительность к дифтерийному анатоксину</v>
      </c>
      <c r="E1338" s="40">
        <v>45861</v>
      </c>
    </row>
    <row r="1339" spans="1:5">
      <c r="A1339" s="29">
        <v>174</v>
      </c>
      <c r="B1339" s="10" t="str">
        <f>VLOOKUP(A1339,vaccines!A:B,2)</f>
        <v>aAKDS_M</v>
      </c>
      <c r="C1339" s="54">
        <v>1</v>
      </c>
      <c r="D1339" s="8" t="str">
        <f>VLOOKUP(C1339,contraindications_list!A:B,2)</f>
        <v>гиперчувствительность к компонентам</v>
      </c>
      <c r="E1339" s="40">
        <v>46131</v>
      </c>
    </row>
    <row r="1340" spans="1:5">
      <c r="A1340" s="29">
        <v>174</v>
      </c>
      <c r="B1340" s="10" t="str">
        <f>VLOOKUP(A1340,vaccines!A:B,2)</f>
        <v>aAKDS_M</v>
      </c>
      <c r="C1340" s="54">
        <v>15</v>
      </c>
      <c r="D1340" s="8" t="str">
        <f>VLOOKUP(C1340,contraindications_list!A:B,2)</f>
        <v>сильная общая реакция на предыдущее введение вакцины</v>
      </c>
      <c r="E1340" s="40">
        <v>46131</v>
      </c>
    </row>
    <row r="1341" spans="1:5">
      <c r="A1341" s="29">
        <v>174</v>
      </c>
      <c r="B1341" s="10" t="str">
        <f>VLOOKUP(A1341,vaccines!A:B,2)</f>
        <v>aAKDS_M</v>
      </c>
      <c r="C1341" s="54">
        <v>5</v>
      </c>
      <c r="D1341" s="8" t="str">
        <f>VLOOKUP(C1341,contraindications_list!A:B,2)</f>
        <v>острое заболевание</v>
      </c>
      <c r="E1341" s="40">
        <v>46131</v>
      </c>
    </row>
    <row r="1342" spans="1:5">
      <c r="A1342" s="29">
        <v>174</v>
      </c>
      <c r="B1342" s="10" t="str">
        <f>VLOOKUP(A1342,vaccines!A:B,2)</f>
        <v>aAKDS_M</v>
      </c>
      <c r="C1342" s="54">
        <v>13</v>
      </c>
      <c r="D1342" s="8" t="str">
        <f>VLOOKUP(C1342,contraindications_list!A:B,2)</f>
        <v>прогрессирующее неврологическое заболевание</v>
      </c>
      <c r="E1342" s="40">
        <v>46131</v>
      </c>
    </row>
    <row r="1343" spans="1:5">
      <c r="A1343" s="29">
        <v>174</v>
      </c>
      <c r="B1343" s="10" t="str">
        <f>VLOOKUP(A1343,vaccines!A:B,2)</f>
        <v>aAKDS_M</v>
      </c>
      <c r="C1343" s="54">
        <v>12</v>
      </c>
      <c r="D1343" s="8" t="str">
        <f>VLOOKUP(C1343,contraindications_list!A:B,2)</f>
        <v>энцефалопатия после вакцинации</v>
      </c>
      <c r="E1343" s="40">
        <v>46131</v>
      </c>
    </row>
    <row r="1344" spans="1:5">
      <c r="A1344" s="29">
        <v>174</v>
      </c>
      <c r="B1344" s="10" t="str">
        <f>VLOOKUP(A1344,vaccines!A:B,2)</f>
        <v>aAKDS_M</v>
      </c>
      <c r="C1344" s="54">
        <v>19</v>
      </c>
      <c r="D1344" s="8" t="str">
        <f>VLOOKUP(C1344,contraindications_list!A:B,2)</f>
        <v>осложнение на предыдущее введение вакцины</v>
      </c>
      <c r="E1344" s="40">
        <v>46131</v>
      </c>
    </row>
    <row r="1345" spans="1:5">
      <c r="A1345" s="29">
        <v>174</v>
      </c>
      <c r="B1345" s="10" t="str">
        <f>VLOOKUP(A1345,vaccines!A:B,2)</f>
        <v>aAKDS_M</v>
      </c>
      <c r="C1345" s="54">
        <v>32</v>
      </c>
      <c r="D1345" s="8" t="str">
        <f>VLOOKUP(C1345,contraindications_list!A:B,2)</f>
        <v>повышенная чувствительность к дифтерийному анатоксину</v>
      </c>
      <c r="E1345" s="40">
        <v>46131</v>
      </c>
    </row>
    <row r="1346" spans="1:5">
      <c r="A1346" s="29">
        <v>174</v>
      </c>
      <c r="B1346" s="10" t="str">
        <f>VLOOKUP(A1346,vaccines!A:B,2)</f>
        <v>aAKDS_M</v>
      </c>
      <c r="C1346" s="54">
        <v>72</v>
      </c>
      <c r="D1346" s="8" t="str">
        <f>VLOOKUP(C1346,contraindications_list!A:B,2)</f>
        <v>повышенная чувствительность к столбнячному анатоксину</v>
      </c>
      <c r="E1346" s="40">
        <v>46131</v>
      </c>
    </row>
    <row r="1347" spans="1:5">
      <c r="A1347" s="29">
        <v>174</v>
      </c>
      <c r="B1347" s="10" t="str">
        <f>VLOOKUP(A1347,vaccines!A:B,2)</f>
        <v>aAKDS_M</v>
      </c>
      <c r="C1347" s="54">
        <v>51</v>
      </c>
      <c r="D1347" s="8" t="str">
        <f>VLOOKUP(C1347,contraindications_list!A:B,2)</f>
        <v>эпилепсия</v>
      </c>
      <c r="E1347" s="40">
        <v>46131</v>
      </c>
    </row>
    <row r="1348" spans="1:5">
      <c r="A1348" s="29">
        <v>174</v>
      </c>
      <c r="B1348" s="10" t="str">
        <f>VLOOKUP(A1348,vaccines!A:B,2)</f>
        <v>aAKDS_M</v>
      </c>
      <c r="C1348" s="54">
        <v>69</v>
      </c>
      <c r="D1348" s="8" t="str">
        <f>VLOOKUP(C1348,contraindications_list!A:B,2)</f>
        <v>аллергия на формальдегид</v>
      </c>
      <c r="E1348" s="40">
        <v>46131</v>
      </c>
    </row>
    <row r="1349" spans="1:5">
      <c r="A1349" s="29">
        <v>175</v>
      </c>
      <c r="B1349" s="10" t="str">
        <f>VLOOKUP(A1349,vaccines!A:B,2)</f>
        <v>Nimenrix</v>
      </c>
      <c r="C1349" s="54">
        <v>1</v>
      </c>
      <c r="D1349" s="8" t="str">
        <f>VLOOKUP(C1349,contraindications_list!A:B,2)</f>
        <v>гиперчувствительность к компонентам</v>
      </c>
      <c r="E1349" s="40">
        <v>46131</v>
      </c>
    </row>
    <row r="1350" spans="1:5">
      <c r="E1350" s="43"/>
    </row>
    <row r="1351" spans="1:5">
      <c r="E1351" s="43"/>
    </row>
    <row r="1352" spans="1:5">
      <c r="E1352" s="43"/>
    </row>
    <row r="1353" spans="1:5">
      <c r="E1353" s="43"/>
    </row>
    <row r="1354" spans="1:5">
      <c r="E1354" s="43"/>
    </row>
    <row r="1355" spans="1:5">
      <c r="E1355" s="43"/>
    </row>
    <row r="1356" spans="1:5">
      <c r="E1356" s="43"/>
    </row>
    <row r="1357" spans="1:5">
      <c r="E1357" s="43"/>
    </row>
    <row r="1358" spans="1:5">
      <c r="E1358" s="43"/>
    </row>
    <row r="1359" spans="1:5">
      <c r="E1359" s="43"/>
    </row>
    <row r="1360" spans="1:5">
      <c r="E1360" s="43"/>
    </row>
    <row r="1361" spans="5:5">
      <c r="E1361" s="43"/>
    </row>
    <row r="1362" spans="5:5">
      <c r="E1362" s="43"/>
    </row>
    <row r="1363" spans="5:5">
      <c r="E1363" s="43"/>
    </row>
    <row r="1364" spans="5:5">
      <c r="E1364" s="43"/>
    </row>
    <row r="1365" spans="5:5">
      <c r="E1365" s="43"/>
    </row>
    <row r="1366" spans="5:5">
      <c r="E1366" s="43"/>
    </row>
    <row r="1367" spans="5:5">
      <c r="E1367" s="43"/>
    </row>
    <row r="1368" spans="5:5">
      <c r="E1368" s="43"/>
    </row>
    <row r="1369" spans="5:5">
      <c r="E1369" s="43"/>
    </row>
    <row r="1370" spans="5:5">
      <c r="E1370" s="43"/>
    </row>
    <row r="1371" spans="5:5">
      <c r="E1371" s="43"/>
    </row>
    <row r="1372" spans="5:5">
      <c r="E1372" s="43"/>
    </row>
    <row r="1373" spans="5:5">
      <c r="E1373" s="43"/>
    </row>
    <row r="1374" spans="5:5">
      <c r="E1374" s="43"/>
    </row>
    <row r="1375" spans="5:5">
      <c r="E1375" s="43"/>
    </row>
    <row r="1376" spans="5:5">
      <c r="E1376" s="43"/>
    </row>
  </sheetData>
  <customSheetViews>
    <customSheetView guid="{3347BB5D-8AF0-45D9-BFC8-FD260B52EDAD}" filter="1" showAutoFilter="1">
      <pageMargins left="0.7" right="0.7" top="0.75" bottom="0.75" header="0.3" footer="0.3"/>
      <autoFilter ref="A1:F912" xr:uid="{AA14E041-A116-4446-A0A7-26895C77B796}">
        <filterColumn colId="2">
          <filters>
            <filter val="74"/>
            <filter val="8"/>
            <filter val="84"/>
          </filters>
        </filterColumn>
      </autoFilter>
    </customSheetView>
  </customSheetView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23</vt:i4>
      </vt:variant>
    </vt:vector>
  </HeadingPairs>
  <TitlesOfParts>
    <vt:vector size="23" baseType="lpstr">
      <vt:lpstr>legacy_hidden_sheet_1</vt:lpstr>
      <vt:lpstr>vaccines</vt:lpstr>
      <vt:lpstr>ingredients_text</vt:lpstr>
      <vt:lpstr>pregnancy_BF_text</vt:lpstr>
      <vt:lpstr>interaction_text</vt:lpstr>
      <vt:lpstr>simult_administration_text</vt:lpstr>
      <vt:lpstr>storage_text</vt:lpstr>
      <vt:lpstr>ages_text</vt:lpstr>
      <vt:lpstr>contraindications_text</vt:lpstr>
      <vt:lpstr>routes_of_administration_text</vt:lpstr>
      <vt:lpstr>legacy_hidden_sheet_2</vt:lpstr>
      <vt:lpstr>vaccines_routes_of_administrati</vt:lpstr>
      <vt:lpstr>routes_of_administration_list</vt:lpstr>
      <vt:lpstr>ages_from_list</vt:lpstr>
      <vt:lpstr>ages_through_list</vt:lpstr>
      <vt:lpstr>vaccines_ages</vt:lpstr>
      <vt:lpstr>infections_list</vt:lpstr>
      <vt:lpstr>vaccines_infections</vt:lpstr>
      <vt:lpstr>contraindications_list</vt:lpstr>
      <vt:lpstr>vaccines_contraindications</vt:lpstr>
      <vt:lpstr>legacy_hidden_sheet_5</vt:lpstr>
      <vt:lpstr>legacy_hidden_sheet_4</vt:lpstr>
      <vt:lpstr>legacy_hidden_sheet_3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gasuaska</dc:creator>
  <cp:lastModifiedBy>gasuaska</cp:lastModifiedBy>
  <dcterms:created xsi:type="dcterms:W3CDTF">2026-07-24T12:56:49Z</dcterms:created>
  <dcterms:modified xsi:type="dcterms:W3CDTF">2026-08-07T07:57:20Z</dcterms:modified>
</cp:coreProperties>
</file>